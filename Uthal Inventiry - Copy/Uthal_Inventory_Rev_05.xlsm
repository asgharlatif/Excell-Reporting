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firstSheet="1" activeTab="6"/>
  </bookViews>
  <sheets>
    <sheet name="RawData_GRN_Detail" sheetId="1" state="hidden" r:id="rId1"/>
    <sheet name="Report Criteria" sheetId="10" r:id="rId2"/>
    <sheet name="GRN" sheetId="2" r:id="rId3"/>
    <sheet name="MonthList" sheetId="4" state="hidden" r:id="rId4"/>
    <sheet name="RawIssue" sheetId="6" state="hidden" r:id="rId5"/>
    <sheet name="Issue" sheetId="5" r:id="rId6"/>
    <sheet name="MasterSheet" sheetId="7" r:id="rId7"/>
    <sheet name="RawOpening" sheetId="8" state="hidden" r:id="rId8"/>
    <sheet name="Sheet1" sheetId="9" state="hidden" r:id="rId9"/>
  </sheets>
  <definedNames>
    <definedName name="_192.168.3.138_Grn" localSheetId="0" hidden="1">RawData_GRN_Detail!$A$1:$E$44</definedName>
    <definedName name="ExternalData_1" localSheetId="2" hidden="1">GRN!$A$4:$F$12</definedName>
    <definedName name="ExternalData_1" localSheetId="5" hidden="1">Issue!$A$4:$D$19</definedName>
    <definedName name="ExternalData_1" localSheetId="6" hidden="1">MasterSheet!$A$4:$C$12</definedName>
    <definedName name="ExternalData_1" localSheetId="4" hidden="1">RawIssue!$A$1:$D$163</definedName>
    <definedName name="ExternalData_1" localSheetId="7" hidden="1">RawOpening!$A$1:$B$9</definedName>
    <definedName name="GDList">Table__192.168.3.138_Grn[DayNo]</definedName>
    <definedName name="GIList">Table__192.168.3.138_Grn[item_key]</definedName>
    <definedName name="GQList">Table__192.168.3.138_Grn[Qty]</definedName>
    <definedName name="GTList">Table__192.168.3.138_Grn[RType]</definedName>
    <definedName name="IsDList">Table_ExternalData_14[DayNo]</definedName>
    <definedName name="IsIList">Table_ExternalData_14[item_key]</definedName>
    <definedName name="IsITypeList">Table_ExternalData_14[IType]</definedName>
    <definedName name="IsQList">Table_ExternalData_14[Qty]</definedName>
    <definedName name="OPBIList">Table_ExternalData_16[item_key]</definedName>
    <definedName name="OPBQList">Table_ExternalData_16[OpQty]</definedName>
  </definedNames>
  <calcPr calcId="125725"/>
</workbook>
</file>

<file path=xl/calcChain.xml><?xml version="1.0" encoding="utf-8"?>
<calcChain xmlns="http://schemas.openxmlformats.org/spreadsheetml/2006/main">
  <c r="D5" i="7"/>
  <c r="D6"/>
  <c r="D7"/>
  <c r="D8"/>
  <c r="D9"/>
  <c r="D10"/>
  <c r="D11"/>
  <c r="D12"/>
  <c r="E5"/>
  <c r="E6"/>
  <c r="E7"/>
  <c r="E8"/>
  <c r="E9"/>
  <c r="E10"/>
  <c r="E11"/>
  <c r="E12"/>
  <c r="F5"/>
  <c r="F6"/>
  <c r="F7"/>
  <c r="F8"/>
  <c r="F9"/>
  <c r="F10"/>
  <c r="F11"/>
  <c r="F12"/>
  <c r="G5"/>
  <c r="G6"/>
  <c r="G7"/>
  <c r="G8"/>
  <c r="G9"/>
  <c r="G10"/>
  <c r="G11"/>
  <c r="G12"/>
  <c r="H5"/>
  <c r="H6"/>
  <c r="H7"/>
  <c r="H8"/>
  <c r="H9"/>
  <c r="H10"/>
  <c r="H11"/>
  <c r="H12"/>
  <c r="I5"/>
  <c r="I6"/>
  <c r="I7"/>
  <c r="I8"/>
  <c r="I9"/>
  <c r="I10"/>
  <c r="I11"/>
  <c r="I12"/>
  <c r="J5"/>
  <c r="J6"/>
  <c r="J7"/>
  <c r="J8"/>
  <c r="J9"/>
  <c r="J10"/>
  <c r="J11"/>
  <c r="J12"/>
  <c r="K5"/>
  <c r="K6"/>
  <c r="K7"/>
  <c r="K8"/>
  <c r="K9"/>
  <c r="K10"/>
  <c r="K11"/>
  <c r="K12"/>
  <c r="L5"/>
  <c r="L6"/>
  <c r="L7"/>
  <c r="L8"/>
  <c r="L9"/>
  <c r="L10"/>
  <c r="L11"/>
  <c r="L12"/>
  <c r="M5"/>
  <c r="M6"/>
  <c r="M7"/>
  <c r="M8"/>
  <c r="M9"/>
  <c r="M10"/>
  <c r="M11"/>
  <c r="M12"/>
  <c r="N5"/>
  <c r="N6"/>
  <c r="N7"/>
  <c r="N8"/>
  <c r="N9"/>
  <c r="N10"/>
  <c r="N11"/>
  <c r="N12"/>
  <c r="O5"/>
  <c r="O6"/>
  <c r="O7"/>
  <c r="O8"/>
  <c r="O9"/>
  <c r="O10"/>
  <c r="O11"/>
  <c r="O12"/>
  <c r="P5"/>
  <c r="P6"/>
  <c r="P7"/>
  <c r="P8"/>
  <c r="P9"/>
  <c r="P10"/>
  <c r="P11"/>
  <c r="P12"/>
  <c r="Q5"/>
  <c r="Q6"/>
  <c r="Q7"/>
  <c r="Q8"/>
  <c r="Q9"/>
  <c r="Q10"/>
  <c r="Q11"/>
  <c r="Q12"/>
  <c r="E5" i="5"/>
  <c r="E6"/>
  <c r="E7"/>
  <c r="E8"/>
  <c r="E9"/>
  <c r="E10"/>
  <c r="E11"/>
  <c r="E12"/>
  <c r="E13"/>
  <c r="E14"/>
  <c r="E15"/>
  <c r="E16"/>
  <c r="E17"/>
  <c r="E18"/>
  <c r="E19"/>
  <c r="F5"/>
  <c r="F6"/>
  <c r="F7"/>
  <c r="F8"/>
  <c r="F9"/>
  <c r="F10"/>
  <c r="F11"/>
  <c r="F12"/>
  <c r="F13"/>
  <c r="F14"/>
  <c r="F15"/>
  <c r="F16"/>
  <c r="F17"/>
  <c r="F18"/>
  <c r="F19"/>
  <c r="G5"/>
  <c r="G6"/>
  <c r="G7"/>
  <c r="G8"/>
  <c r="G9"/>
  <c r="G10"/>
  <c r="G11"/>
  <c r="G12"/>
  <c r="G13"/>
  <c r="G14"/>
  <c r="G15"/>
  <c r="G16"/>
  <c r="G17"/>
  <c r="G18"/>
  <c r="G19"/>
  <c r="H5"/>
  <c r="H6"/>
  <c r="H7"/>
  <c r="H8"/>
  <c r="H9"/>
  <c r="H10"/>
  <c r="H11"/>
  <c r="H12"/>
  <c r="H13"/>
  <c r="H14"/>
  <c r="H15"/>
  <c r="H16"/>
  <c r="H17"/>
  <c r="H18"/>
  <c r="H19"/>
  <c r="I5"/>
  <c r="I6"/>
  <c r="I7"/>
  <c r="I8"/>
  <c r="I9"/>
  <c r="I10"/>
  <c r="I11"/>
  <c r="I12"/>
  <c r="I13"/>
  <c r="I14"/>
  <c r="I15"/>
  <c r="I16"/>
  <c r="I17"/>
  <c r="I18"/>
  <c r="I19"/>
  <c r="J5"/>
  <c r="J6"/>
  <c r="J7"/>
  <c r="J8"/>
  <c r="J9"/>
  <c r="J10"/>
  <c r="J11"/>
  <c r="J12"/>
  <c r="J13"/>
  <c r="J14"/>
  <c r="J15"/>
  <c r="J16"/>
  <c r="J17"/>
  <c r="J18"/>
  <c r="J19"/>
  <c r="K5"/>
  <c r="K6"/>
  <c r="K7"/>
  <c r="K8"/>
  <c r="K9"/>
  <c r="K10"/>
  <c r="K11"/>
  <c r="K12"/>
  <c r="K13"/>
  <c r="K14"/>
  <c r="K15"/>
  <c r="K16"/>
  <c r="K17"/>
  <c r="K18"/>
  <c r="K19"/>
  <c r="L5"/>
  <c r="L6"/>
  <c r="L7"/>
  <c r="L8"/>
  <c r="L9"/>
  <c r="L10"/>
  <c r="L11"/>
  <c r="L12"/>
  <c r="L13"/>
  <c r="L14"/>
  <c r="L15"/>
  <c r="L16"/>
  <c r="L17"/>
  <c r="L18"/>
  <c r="L19"/>
  <c r="M5"/>
  <c r="M6"/>
  <c r="M7"/>
  <c r="M8"/>
  <c r="M9"/>
  <c r="M10"/>
  <c r="M11"/>
  <c r="M12"/>
  <c r="M13"/>
  <c r="M14"/>
  <c r="M15"/>
  <c r="M16"/>
  <c r="M17"/>
  <c r="M18"/>
  <c r="M19"/>
  <c r="N5"/>
  <c r="N6"/>
  <c r="N7"/>
  <c r="N8"/>
  <c r="N9"/>
  <c r="N10"/>
  <c r="N11"/>
  <c r="N12"/>
  <c r="N13"/>
  <c r="N14"/>
  <c r="N15"/>
  <c r="N16"/>
  <c r="N17"/>
  <c r="N18"/>
  <c r="N19"/>
  <c r="O5"/>
  <c r="O6"/>
  <c r="O7"/>
  <c r="O8"/>
  <c r="O9"/>
  <c r="O10"/>
  <c r="O11"/>
  <c r="O12"/>
  <c r="O13"/>
  <c r="O14"/>
  <c r="O15"/>
  <c r="O16"/>
  <c r="O17"/>
  <c r="O18"/>
  <c r="O19"/>
  <c r="P5"/>
  <c r="P6"/>
  <c r="P7"/>
  <c r="P8"/>
  <c r="P9"/>
  <c r="P10"/>
  <c r="P11"/>
  <c r="P12"/>
  <c r="P13"/>
  <c r="P14"/>
  <c r="P15"/>
  <c r="P16"/>
  <c r="P17"/>
  <c r="P18"/>
  <c r="P19"/>
  <c r="Q5"/>
  <c r="Q6"/>
  <c r="Q7"/>
  <c r="Q8"/>
  <c r="Q9"/>
  <c r="Q10"/>
  <c r="Q11"/>
  <c r="Q12"/>
  <c r="Q13"/>
  <c r="Q14"/>
  <c r="Q15"/>
  <c r="Q16"/>
  <c r="Q17"/>
  <c r="Q18"/>
  <c r="Q19"/>
  <c r="R5"/>
  <c r="R6"/>
  <c r="R7"/>
  <c r="R8"/>
  <c r="R9"/>
  <c r="R10"/>
  <c r="R11"/>
  <c r="R12"/>
  <c r="R13"/>
  <c r="R14"/>
  <c r="R15"/>
  <c r="R16"/>
  <c r="R17"/>
  <c r="R18"/>
  <c r="R19"/>
  <c r="S5"/>
  <c r="S6"/>
  <c r="S7"/>
  <c r="S8"/>
  <c r="S9"/>
  <c r="S10"/>
  <c r="S11"/>
  <c r="S12"/>
  <c r="S13"/>
  <c r="S14"/>
  <c r="S15"/>
  <c r="S16"/>
  <c r="S17"/>
  <c r="S18"/>
  <c r="S19"/>
  <c r="T5"/>
  <c r="T6"/>
  <c r="T7"/>
  <c r="T8"/>
  <c r="T9"/>
  <c r="T10"/>
  <c r="T11"/>
  <c r="T12"/>
  <c r="T13"/>
  <c r="T14"/>
  <c r="T15"/>
  <c r="T16"/>
  <c r="T17"/>
  <c r="T18"/>
  <c r="T19"/>
  <c r="U5"/>
  <c r="U6"/>
  <c r="U7"/>
  <c r="U8"/>
  <c r="U9"/>
  <c r="U10"/>
  <c r="U11"/>
  <c r="U12"/>
  <c r="U13"/>
  <c r="U14"/>
  <c r="U15"/>
  <c r="U16"/>
  <c r="U17"/>
  <c r="U18"/>
  <c r="U19"/>
  <c r="V5"/>
  <c r="V6"/>
  <c r="V7"/>
  <c r="V8"/>
  <c r="V9"/>
  <c r="V10"/>
  <c r="V11"/>
  <c r="V12"/>
  <c r="V13"/>
  <c r="V14"/>
  <c r="V15"/>
  <c r="V16"/>
  <c r="V17"/>
  <c r="V18"/>
  <c r="V19"/>
  <c r="W5"/>
  <c r="W6"/>
  <c r="W7"/>
  <c r="W8"/>
  <c r="W9"/>
  <c r="W10"/>
  <c r="W11"/>
  <c r="W12"/>
  <c r="W13"/>
  <c r="W14"/>
  <c r="W15"/>
  <c r="W16"/>
  <c r="W17"/>
  <c r="W18"/>
  <c r="W19"/>
  <c r="X5"/>
  <c r="X6"/>
  <c r="X7"/>
  <c r="X8"/>
  <c r="X9"/>
  <c r="X10"/>
  <c r="X11"/>
  <c r="X12"/>
  <c r="X13"/>
  <c r="X14"/>
  <c r="X15"/>
  <c r="X16"/>
  <c r="X17"/>
  <c r="X18"/>
  <c r="X19"/>
  <c r="Y5"/>
  <c r="Y6"/>
  <c r="Y7"/>
  <c r="Y8"/>
  <c r="Y9"/>
  <c r="Y10"/>
  <c r="Y11"/>
  <c r="Y12"/>
  <c r="Y13"/>
  <c r="Y14"/>
  <c r="Y15"/>
  <c r="Y16"/>
  <c r="Y17"/>
  <c r="Y18"/>
  <c r="Y19"/>
  <c r="Z5"/>
  <c r="Z6"/>
  <c r="Z7"/>
  <c r="Z8"/>
  <c r="Z9"/>
  <c r="Z10"/>
  <c r="Z11"/>
  <c r="Z12"/>
  <c r="Z13"/>
  <c r="Z14"/>
  <c r="Z15"/>
  <c r="Z16"/>
  <c r="Z17"/>
  <c r="Z18"/>
  <c r="Z19"/>
  <c r="AA5"/>
  <c r="AA6"/>
  <c r="AA7"/>
  <c r="AA8"/>
  <c r="AA9"/>
  <c r="AA10"/>
  <c r="AA11"/>
  <c r="AA12"/>
  <c r="AA13"/>
  <c r="AA14"/>
  <c r="AA15"/>
  <c r="AA16"/>
  <c r="AA17"/>
  <c r="AA18"/>
  <c r="AA19"/>
  <c r="AB5"/>
  <c r="AB6"/>
  <c r="AB7"/>
  <c r="AB8"/>
  <c r="AB9"/>
  <c r="AB10"/>
  <c r="AB11"/>
  <c r="AB12"/>
  <c r="AB13"/>
  <c r="AB14"/>
  <c r="AB15"/>
  <c r="AB16"/>
  <c r="AB17"/>
  <c r="AB18"/>
  <c r="AB19"/>
  <c r="AC5"/>
  <c r="AC6"/>
  <c r="AC7"/>
  <c r="AC8"/>
  <c r="AC9"/>
  <c r="AC10"/>
  <c r="AC11"/>
  <c r="AC12"/>
  <c r="AC13"/>
  <c r="AC14"/>
  <c r="AC15"/>
  <c r="AC16"/>
  <c r="AC17"/>
  <c r="AC18"/>
  <c r="AC19"/>
  <c r="AD5"/>
  <c r="AD6"/>
  <c r="AD7"/>
  <c r="AD8"/>
  <c r="AD9"/>
  <c r="AD10"/>
  <c r="AD11"/>
  <c r="AD12"/>
  <c r="AD13"/>
  <c r="AD14"/>
  <c r="AD15"/>
  <c r="AD16"/>
  <c r="AD17"/>
  <c r="AD18"/>
  <c r="AD19"/>
  <c r="AE5"/>
  <c r="AE6"/>
  <c r="AE7"/>
  <c r="AE8"/>
  <c r="AE9"/>
  <c r="AE10"/>
  <c r="AE11"/>
  <c r="AE12"/>
  <c r="AE13"/>
  <c r="AE14"/>
  <c r="AE15"/>
  <c r="AE16"/>
  <c r="AE17"/>
  <c r="AE18"/>
  <c r="AE19"/>
  <c r="AF5"/>
  <c r="AF6"/>
  <c r="AF7"/>
  <c r="AF8"/>
  <c r="AF9"/>
  <c r="AF10"/>
  <c r="AF11"/>
  <c r="AF12"/>
  <c r="AF13"/>
  <c r="AF14"/>
  <c r="AF15"/>
  <c r="AF16"/>
  <c r="AF17"/>
  <c r="AF18"/>
  <c r="AF19"/>
  <c r="AG5"/>
  <c r="AG6"/>
  <c r="AG7"/>
  <c r="AG8"/>
  <c r="AG9"/>
  <c r="AG10"/>
  <c r="AG11"/>
  <c r="AG12"/>
  <c r="AG13"/>
  <c r="AG14"/>
  <c r="AG15"/>
  <c r="AG16"/>
  <c r="AJ16" s="1"/>
  <c r="AG17"/>
  <c r="AG18"/>
  <c r="AG19"/>
  <c r="AH5"/>
  <c r="AH6"/>
  <c r="AH7"/>
  <c r="AH8"/>
  <c r="AH9"/>
  <c r="AH10"/>
  <c r="AH11"/>
  <c r="AH12"/>
  <c r="AH13"/>
  <c r="AH14"/>
  <c r="AH15"/>
  <c r="AH16"/>
  <c r="AH17"/>
  <c r="AH18"/>
  <c r="AH19"/>
  <c r="AI5"/>
  <c r="AI6"/>
  <c r="AI7"/>
  <c r="AI8"/>
  <c r="AI9"/>
  <c r="AI10"/>
  <c r="AI11"/>
  <c r="AI12"/>
  <c r="AI13"/>
  <c r="AI14"/>
  <c r="AI15"/>
  <c r="AI16"/>
  <c r="AI17"/>
  <c r="AI18"/>
  <c r="AI19"/>
  <c r="AJ8"/>
  <c r="G5" i="2"/>
  <c r="G6"/>
  <c r="G7"/>
  <c r="G8"/>
  <c r="G9"/>
  <c r="G10"/>
  <c r="G11"/>
  <c r="G12"/>
  <c r="H5"/>
  <c r="H6"/>
  <c r="H7"/>
  <c r="H8"/>
  <c r="H9"/>
  <c r="H10"/>
  <c r="H11"/>
  <c r="H12"/>
  <c r="I5"/>
  <c r="I6"/>
  <c r="I7"/>
  <c r="I8"/>
  <c r="I9"/>
  <c r="I10"/>
  <c r="I11"/>
  <c r="I12"/>
  <c r="J5"/>
  <c r="J6"/>
  <c r="J7"/>
  <c r="J8"/>
  <c r="J9"/>
  <c r="J10"/>
  <c r="J11"/>
  <c r="J12"/>
  <c r="K5"/>
  <c r="K6"/>
  <c r="K7"/>
  <c r="K8"/>
  <c r="K9"/>
  <c r="K10"/>
  <c r="K11"/>
  <c r="K12"/>
  <c r="L5"/>
  <c r="L6"/>
  <c r="L7"/>
  <c r="L8"/>
  <c r="L9"/>
  <c r="L10"/>
  <c r="L11"/>
  <c r="L12"/>
  <c r="M5"/>
  <c r="M6"/>
  <c r="M7"/>
  <c r="M8"/>
  <c r="M9"/>
  <c r="M10"/>
  <c r="M11"/>
  <c r="M12"/>
  <c r="N5"/>
  <c r="N6"/>
  <c r="N7"/>
  <c r="N8"/>
  <c r="N9"/>
  <c r="N10"/>
  <c r="N11"/>
  <c r="N12"/>
  <c r="O5"/>
  <c r="O6"/>
  <c r="O7"/>
  <c r="O8"/>
  <c r="O9"/>
  <c r="O10"/>
  <c r="O11"/>
  <c r="O12"/>
  <c r="P5"/>
  <c r="P6"/>
  <c r="P7"/>
  <c r="P8"/>
  <c r="P9"/>
  <c r="P10"/>
  <c r="P11"/>
  <c r="P12"/>
  <c r="Q5"/>
  <c r="Q6"/>
  <c r="Q7"/>
  <c r="Q8"/>
  <c r="Q9"/>
  <c r="Q10"/>
  <c r="Q11"/>
  <c r="Q12"/>
  <c r="R5"/>
  <c r="R6"/>
  <c r="R7"/>
  <c r="R8"/>
  <c r="R9"/>
  <c r="R10"/>
  <c r="R11"/>
  <c r="R12"/>
  <c r="S5"/>
  <c r="S6"/>
  <c r="S7"/>
  <c r="S8"/>
  <c r="S9"/>
  <c r="S10"/>
  <c r="S11"/>
  <c r="S12"/>
  <c r="T5"/>
  <c r="T6"/>
  <c r="T7"/>
  <c r="T8"/>
  <c r="T9"/>
  <c r="T10"/>
  <c r="T11"/>
  <c r="T12"/>
  <c r="U5"/>
  <c r="U6"/>
  <c r="U7"/>
  <c r="U8"/>
  <c r="U9"/>
  <c r="U10"/>
  <c r="U11"/>
  <c r="U12"/>
  <c r="V5"/>
  <c r="V6"/>
  <c r="V7"/>
  <c r="V8"/>
  <c r="V9"/>
  <c r="V10"/>
  <c r="V11"/>
  <c r="V12"/>
  <c r="W5"/>
  <c r="W6"/>
  <c r="W7"/>
  <c r="W8"/>
  <c r="W9"/>
  <c r="W10"/>
  <c r="W11"/>
  <c r="W12"/>
  <c r="X5"/>
  <c r="X6"/>
  <c r="X7"/>
  <c r="X8"/>
  <c r="X9"/>
  <c r="X10"/>
  <c r="X11"/>
  <c r="X12"/>
  <c r="Y5"/>
  <c r="Y6"/>
  <c r="Y7"/>
  <c r="Y8"/>
  <c r="Y9"/>
  <c r="Y10"/>
  <c r="Y11"/>
  <c r="Y12"/>
  <c r="Z5"/>
  <c r="Z6"/>
  <c r="Z7"/>
  <c r="Z8"/>
  <c r="Z9"/>
  <c r="Z10"/>
  <c r="Z11"/>
  <c r="Z12"/>
  <c r="AA5"/>
  <c r="AA6"/>
  <c r="AA7"/>
  <c r="AA8"/>
  <c r="AA9"/>
  <c r="AA10"/>
  <c r="AA11"/>
  <c r="AA12"/>
  <c r="AB5"/>
  <c r="AB6"/>
  <c r="AB7"/>
  <c r="AB8"/>
  <c r="AB9"/>
  <c r="AB10"/>
  <c r="AB11"/>
  <c r="AB12"/>
  <c r="AC5"/>
  <c r="AC6"/>
  <c r="AC7"/>
  <c r="AC8"/>
  <c r="AC9"/>
  <c r="AC10"/>
  <c r="AC11"/>
  <c r="AC12"/>
  <c r="AD5"/>
  <c r="AD6"/>
  <c r="AD7"/>
  <c r="AD8"/>
  <c r="AD9"/>
  <c r="AD10"/>
  <c r="AD11"/>
  <c r="AD12"/>
  <c r="AE5"/>
  <c r="AE6"/>
  <c r="AE7"/>
  <c r="AE8"/>
  <c r="AE9"/>
  <c r="AE10"/>
  <c r="AE11"/>
  <c r="AE12"/>
  <c r="AF5"/>
  <c r="AF6"/>
  <c r="AF7"/>
  <c r="AF8"/>
  <c r="AF9"/>
  <c r="AF10"/>
  <c r="AF11"/>
  <c r="AF12"/>
  <c r="AG5"/>
  <c r="AG6"/>
  <c r="AG7"/>
  <c r="AG8"/>
  <c r="AG9"/>
  <c r="AG10"/>
  <c r="AG11"/>
  <c r="AG12"/>
  <c r="AH5"/>
  <c r="AH6"/>
  <c r="AH7"/>
  <c r="AH8"/>
  <c r="AH9"/>
  <c r="AH10"/>
  <c r="AH11"/>
  <c r="AH12"/>
  <c r="AI5"/>
  <c r="AI6"/>
  <c r="AI7"/>
  <c r="AI8"/>
  <c r="AI9"/>
  <c r="AI10"/>
  <c r="AI11"/>
  <c r="AI12"/>
  <c r="AJ5"/>
  <c r="AJ6"/>
  <c r="AJ7"/>
  <c r="AJ8"/>
  <c r="AJ9"/>
  <c r="AJ10"/>
  <c r="AJ11"/>
  <c r="AJ12"/>
  <c r="AK5"/>
  <c r="AK6"/>
  <c r="AK7"/>
  <c r="AK8"/>
  <c r="AK9"/>
  <c r="AK10"/>
  <c r="AK11"/>
  <c r="AK12"/>
  <c r="AL12" s="1"/>
  <c r="AL5"/>
  <c r="AL6"/>
  <c r="AL7"/>
  <c r="AL8"/>
  <c r="AL9"/>
  <c r="AL10"/>
  <c r="AL11"/>
  <c r="AJ12" i="5" l="1"/>
  <c r="AJ18"/>
  <c r="AJ14"/>
  <c r="AJ10"/>
  <c r="AJ6"/>
  <c r="AJ19"/>
  <c r="AJ17"/>
  <c r="AJ15"/>
  <c r="AJ13"/>
  <c r="AJ11"/>
  <c r="AJ9"/>
  <c r="AJ7"/>
  <c r="AJ5"/>
  <c r="P23" i="9"/>
  <c r="O21"/>
  <c r="L28"/>
  <c r="I5"/>
  <c r="F3" i="5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E3"/>
  <c r="L3" i="2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H3"/>
  <c r="I3"/>
  <c r="J3"/>
  <c r="K3"/>
  <c r="G3"/>
</calcChain>
</file>

<file path=xl/comments1.xml><?xml version="1.0" encoding="utf-8"?>
<comments xmlns="http://schemas.openxmlformats.org/spreadsheetml/2006/main">
  <authors>
    <author>Author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 xml:space="preserve">
Note : - Read colors strips using mouse over.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GRN:-
GRN showing Stock In from vendor . It is covering RH,RL,RT,RIM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TR:-
TR listening Quantity Sum of all  those documents which are being transferred through CST or ICST type. It covers ISTR and ECTR.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 xml:space="preserve">RCA:-
RCA are those documents which were created wrongly and later on were cancelled by data entry user . Please note that it is not a return or rejection but a user mistake only which were corrected.
</t>
        </r>
      </text>
    </comment>
    <comment ref="O1" authorId="0">
      <text>
        <r>
          <rPr>
            <b/>
            <sz val="9"/>
            <color indexed="81"/>
            <rFont val="Tahoma"/>
            <family val="2"/>
          </rPr>
          <t>SR:-
SR covering documents where our customer return back goods because of any particular reason.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VSTR:-
VSTR is used to take remaining material back into stock from vendor. 
VST Covering documents where material is transferring to vendor  as a BOM of purchase order process.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 xml:space="preserve">
Note : - Read colors strips using mouse over.</t>
        </r>
      </text>
    </comment>
    <comment ref="J1" authorId="0">
      <text>
        <r>
          <rPr>
            <b/>
            <sz val="9"/>
            <color indexed="81"/>
            <rFont val="Tahoma"/>
            <family val="2"/>
          </rPr>
          <t>R/P Showing comsumption detail . It is covering ISCO,ISCU and VCO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CST listening Quantity Sum of all  those documents which are being transferred through CST type.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RTN convering documents which are being return using RR or RRT from vendor.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S/I covering documents which are being issued using any type of Sale Invoice.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>VST Covering documents where material is transferring to vendor as a purchase order process. VSTR is used to take remaining material back into GRN.</t>
        </r>
      </text>
    </comment>
  </commentList>
</comments>
</file>

<file path=xl/connections.xml><?xml version="1.0" encoding="utf-8"?>
<connections xmlns="http://schemas.openxmlformats.org/spreadsheetml/2006/main">
  <connection id="1" keepAlive="1" name="192.168.3.138_DYL_OP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opening_excell_inventory  '13','PP','01','11'"/>
  </connection>
  <connection id="2" keepAlive="1" name="192.168.3.138_Grn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grn_dayWiseSum_excell_inventory 'Aug','13','PP','01','11','IDUTHAL'"/>
  </connection>
  <connection id="3" keepAlive="1" name="192.168.3.138_GRN_VendItem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grn_dayWiseSum_VendorWiseItemList_excell_inventory 'Aug', '13','PP','01','11','IDUTHAL'"/>
  </connection>
  <connection id="4" keepAlive="1" name="192.168.3.138_Inv_DYL_Is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issue_dayWiseSum_excell_inventory  'Aug','13','PP','01','11','IDUTHAL','Item'"/>
  </connection>
  <connection id="5" keepAlive="1" name="192.168.3.138_Inv_DYL_Is_Detail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issue_dayWiseSum_excell_inventory 'Aug','13','PP','01','11','IDUTHAL','Detail'"/>
  </connection>
  <connection id="6" keepAlive="1" name="192.168.3.138_Inv_DYL_OnlyItem1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issue_dayWiseSum_excell_inventory 'Aug','13','PP','01','11','IDUTHAL','OnlyItem'"/>
  </connection>
</connections>
</file>

<file path=xl/sharedStrings.xml><?xml version="1.0" encoding="utf-8"?>
<sst xmlns="http://schemas.openxmlformats.org/spreadsheetml/2006/main" count="812" uniqueCount="200">
  <si>
    <t>supcode</t>
  </si>
  <si>
    <t>DayNo</t>
  </si>
  <si>
    <t>item_key</t>
  </si>
  <si>
    <t>SUP-1969</t>
  </si>
  <si>
    <t>SUP-0979</t>
  </si>
  <si>
    <t>SUP-1341</t>
  </si>
  <si>
    <t>006-04347</t>
  </si>
  <si>
    <t>SUP-1993</t>
  </si>
  <si>
    <t>006-00039</t>
  </si>
  <si>
    <t>006-04141</t>
  </si>
  <si>
    <t>VendorName</t>
  </si>
  <si>
    <t>Item_key</t>
  </si>
  <si>
    <t>itemNo</t>
  </si>
  <si>
    <t>itemName</t>
  </si>
  <si>
    <t>5HM-F5181-00</t>
  </si>
  <si>
    <t xml:space="preserve">AXLE,WHEEL FR.                </t>
  </si>
  <si>
    <t xml:space="preserve">BOLT,FLG.                     </t>
  </si>
  <si>
    <t>BEWL-UNIT-GHL</t>
  </si>
  <si>
    <t>7DY-E8111-00-93</t>
  </si>
  <si>
    <t>PEDAL SHIFT ASSY</t>
  </si>
  <si>
    <t>7DY-F1510-00-93</t>
  </si>
  <si>
    <t xml:space="preserve">FRONT FENDER COMP. (CHROME)              </t>
  </si>
  <si>
    <t>Total</t>
  </si>
  <si>
    <t>Qty</t>
  </si>
  <si>
    <t>RType</t>
  </si>
  <si>
    <t>GRN</t>
  </si>
  <si>
    <t>RCA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</si>
  <si>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</si>
  <si>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</si>
  <si>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</si>
  <si>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</si>
  <si>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</si>
  <si>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</si>
  <si>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</si>
  <si>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</si>
  <si>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</si>
  <si>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</si>
  <si>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</si>
  <si>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</si>
  <si>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</si>
  <si>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</si>
  <si>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</si>
  <si>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</si>
  <si>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</si>
  <si>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</si>
  <si>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</si>
  <si>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</si>
  <si>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</si>
  <si>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</si>
  <si>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</si>
  <si>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</si>
  <si>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</si>
  <si>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</si>
  <si>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</si>
  <si>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</si>
  <si>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</si>
  <si>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</si>
  <si>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</si>
  <si>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Receipt Detail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</si>
  <si>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</si>
  <si>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</si>
  <si>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</si>
  <si>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</si>
  <si>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</si>
  <si>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</si>
  <si>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</si>
  <si>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</si>
  <si>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</si>
  <si>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</si>
  <si>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</si>
  <si>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</si>
  <si>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TR</t>
  </si>
  <si>
    <t>VType</t>
  </si>
  <si>
    <t>S</t>
  </si>
  <si>
    <t>M</t>
  </si>
  <si>
    <t xml:space="preserve">Note:-Eliminated items are Service,Inactive and Invalid  </t>
  </si>
  <si>
    <t>IType</t>
  </si>
  <si>
    <t>CST</t>
  </si>
  <si>
    <t>VST</t>
  </si>
  <si>
    <t>RTN</t>
  </si>
  <si>
    <t>R/P</t>
  </si>
  <si>
    <t>006-00098</t>
  </si>
  <si>
    <t>006-04505</t>
  </si>
  <si>
    <t>S/I</t>
  </si>
  <si>
    <t>95807-06012</t>
  </si>
  <si>
    <t>7DY-E9001-10</t>
  </si>
  <si>
    <t>ENG. ASSY.</t>
  </si>
  <si>
    <t>Issue Detail</t>
  </si>
  <si>
    <t>VSTR</t>
  </si>
  <si>
    <t>Document Detail</t>
  </si>
  <si>
    <t>SR</t>
  </si>
  <si>
    <t>Closing Balance</t>
  </si>
  <si>
    <t>Opening</t>
  </si>
  <si>
    <t>Total Receipt</t>
  </si>
  <si>
    <t>Total Issue</t>
  </si>
  <si>
    <t>SUP-1679</t>
  </si>
  <si>
    <t/>
  </si>
  <si>
    <t>OpQty</t>
  </si>
  <si>
    <t xml:space="preserve">Month </t>
  </si>
  <si>
    <t>Uthal Production Inventory Report</t>
  </si>
  <si>
    <t>ALLIED ENGINEERS SYNDICATE / S.M ENGINEERING &amp; METAL WORKS / BRIGHT STAR ELECTROPLATING &amp; ENGINEERING (PVT) LTD</t>
  </si>
  <si>
    <t>SUPER STAR METAL FINISHING (PVT) LIMITED / S.M ENGINEERING &amp; METAL WORKS</t>
  </si>
  <si>
    <t>006-03918</t>
  </si>
  <si>
    <t>006-04350</t>
  </si>
  <si>
    <t>006-04360</t>
  </si>
  <si>
    <t>SUP-1227</t>
  </si>
  <si>
    <t>SUP-1456</t>
  </si>
  <si>
    <t>Sup-0025</t>
  </si>
  <si>
    <t>Sup-0027</t>
  </si>
  <si>
    <t>SUP-1404</t>
  </si>
  <si>
    <t>7DY-E4781-00</t>
  </si>
  <si>
    <t>BRACKET MUFFLER ASSY</t>
  </si>
  <si>
    <t>7DY-H3519-00</t>
  </si>
  <si>
    <t>BRACKET METER</t>
  </si>
  <si>
    <t>7DY-H3500-00</t>
  </si>
  <si>
    <t>SPEEDOMETER ASSY.</t>
  </si>
  <si>
    <t>MATEEN CORPORATION / M.S. ENGINEERING COMPANY</t>
  </si>
  <si>
    <t>SHAYAN AUTO ENGINEERING WORKS</t>
  </si>
  <si>
    <t>STEEL CRAFT (PVT) LTD. / AUTOMOTIVE COMPONENT LTD</t>
  </si>
  <si>
    <t>Year</t>
  </si>
  <si>
    <t xml:space="preserve">Unit </t>
  </si>
  <si>
    <t>Location</t>
  </si>
  <si>
    <t>Inventory</t>
  </si>
  <si>
    <t>Setup Id</t>
  </si>
  <si>
    <t>01</t>
  </si>
  <si>
    <t>PP</t>
  </si>
  <si>
    <t>IDUTHAL</t>
  </si>
  <si>
    <t>Reporting Criteria</t>
  </si>
  <si>
    <t>Unit - I</t>
  </si>
  <si>
    <t>Unit - II</t>
  </si>
  <si>
    <t>Unit - III</t>
  </si>
  <si>
    <t>Unit - IV</t>
  </si>
  <si>
    <t>Unit - V</t>
  </si>
  <si>
    <t>Unit - VI</t>
  </si>
  <si>
    <t>Unti - VII</t>
  </si>
  <si>
    <t>Unit - VIII</t>
  </si>
  <si>
    <t>MF Working</t>
  </si>
  <si>
    <t>Unit Code</t>
  </si>
  <si>
    <t>Unit Name</t>
  </si>
  <si>
    <t>Head Office</t>
  </si>
  <si>
    <t>Karachi Show Room</t>
  </si>
  <si>
    <t>Hyderabad</t>
  </si>
  <si>
    <t>Quetta</t>
  </si>
  <si>
    <t>Multan</t>
  </si>
  <si>
    <t>Lahore</t>
  </si>
  <si>
    <t>Rawalpindi</t>
  </si>
  <si>
    <t>Faisalabad</t>
  </si>
  <si>
    <t>Peshawer</t>
  </si>
  <si>
    <t>Sukkur</t>
  </si>
  <si>
    <t>Plant - I - Uthal</t>
  </si>
  <si>
    <t>SF Transit</t>
  </si>
  <si>
    <t>Spare Parts Division</t>
  </si>
  <si>
    <t>KRO</t>
  </si>
  <si>
    <t>Plant - BEWL</t>
  </si>
  <si>
    <t>Plant - DCL</t>
  </si>
  <si>
    <t>Plant - AEWL</t>
  </si>
  <si>
    <t>Plant - GHL</t>
  </si>
  <si>
    <t>Central Warehouse</t>
  </si>
  <si>
    <t>Plant - TGL</t>
  </si>
  <si>
    <t>Plant - Elecom - I</t>
  </si>
  <si>
    <t>Plant - Elecom - II</t>
  </si>
  <si>
    <t>AutoCity Main Office</t>
  </si>
  <si>
    <t>Saddar Show Room</t>
  </si>
  <si>
    <t>Bahawalpur</t>
  </si>
  <si>
    <t>Okara</t>
  </si>
  <si>
    <t>Vehari</t>
  </si>
  <si>
    <t>Khan Pur</t>
  </si>
  <si>
    <t>Rahim Yar Khan</t>
  </si>
  <si>
    <t>Mailsi</t>
  </si>
  <si>
    <t>Sahiwal</t>
  </si>
  <si>
    <t>Plant - TGL (Knits)</t>
  </si>
  <si>
    <t>Plant - TGL (Woven)</t>
  </si>
  <si>
    <t>Plant - TGL (Dyeing)</t>
  </si>
  <si>
    <t>Plant - TGL (Embroidery)</t>
  </si>
  <si>
    <t>Plant - TGL (Knitting)</t>
  </si>
  <si>
    <t>Deepalpur</t>
  </si>
  <si>
    <t>Liaquatpur</t>
  </si>
  <si>
    <t>Khanqah Sharif</t>
  </si>
  <si>
    <t>Lodhran</t>
  </si>
  <si>
    <t>Ahmed Pur</t>
  </si>
  <si>
    <t>Yazman</t>
  </si>
  <si>
    <t>Sadiq Abad</t>
  </si>
  <si>
    <t>Main Head Office</t>
  </si>
  <si>
    <t>Plant -Uthal - Body Assy Factory</t>
  </si>
  <si>
    <t>Plant -Uthal - Wheel Assy Factory</t>
  </si>
  <si>
    <t>Plant -Uthal - Paint Factory</t>
  </si>
  <si>
    <t>Plant -Uthal - Engine Factory</t>
  </si>
  <si>
    <t>Lube Division</t>
  </si>
  <si>
    <t>Location Code</t>
  </si>
  <si>
    <t>Location Name</t>
  </si>
  <si>
    <t>Unit Help</t>
  </si>
  <si>
    <t>Location Help</t>
  </si>
  <si>
    <t>02</t>
  </si>
  <si>
    <t>03</t>
  </si>
  <si>
    <t>04</t>
  </si>
  <si>
    <t>05</t>
  </si>
  <si>
    <t>06</t>
  </si>
  <si>
    <t>07</t>
  </si>
  <si>
    <t>08</t>
  </si>
  <si>
    <t>09</t>
  </si>
</sst>
</file>

<file path=xl/styles.xml><?xml version="1.0" encoding="utf-8"?>
<styleSheet xmlns="http://schemas.openxmlformats.org/spreadsheetml/2006/main">
  <fonts count="28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9"/>
      <color theme="0" tint="-0.14999847407452621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9"/>
      <color theme="2" tint="-9.9978637043366805E-2"/>
      <name val="Calibri"/>
      <family val="2"/>
      <scheme val="minor"/>
    </font>
    <font>
      <sz val="9"/>
      <color theme="1"/>
      <name val="Calibri"/>
      <scheme val="minor"/>
    </font>
    <font>
      <b/>
      <sz val="9"/>
      <color theme="1"/>
      <name val="Calibri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00B0F0"/>
        <bgColor indexed="64"/>
      </patternFill>
    </fill>
    <fill>
      <patternFill patternType="solid">
        <fgColor rgb="FF70CE9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72A6E4"/>
        <bgColor indexed="64"/>
      </patternFill>
    </fill>
    <fill>
      <patternFill patternType="solid">
        <fgColor rgb="FFF5B1E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">
    <xf numFmtId="0" fontId="0" fillId="0" borderId="0"/>
    <xf numFmtId="0" fontId="2" fillId="0" borderId="1" applyNumberFormat="0" applyFill="0" applyAlignment="0" applyProtection="0"/>
    <xf numFmtId="0" fontId="5" fillId="2" borderId="3" applyNumberFormat="0" applyFont="0" applyAlignment="0" applyProtection="0"/>
    <xf numFmtId="0" fontId="15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3" fillId="14" borderId="6" applyNumberFormat="0" applyAlignment="0" applyProtection="0"/>
    <xf numFmtId="0" fontId="24" fillId="0" borderId="7" applyNumberFormat="0" applyFill="0" applyAlignment="0" applyProtection="0"/>
  </cellStyleXfs>
  <cellXfs count="56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wrapText="1"/>
    </xf>
    <xf numFmtId="0" fontId="1" fillId="0" borderId="0" xfId="0" applyNumberFormat="1" applyFont="1" applyAlignment="1">
      <alignment vertical="center" wrapText="1"/>
    </xf>
    <xf numFmtId="0" fontId="4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wrapText="1"/>
    </xf>
    <xf numFmtId="0" fontId="1" fillId="0" borderId="0" xfId="0" applyNumberFormat="1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3" fillId="6" borderId="0" xfId="0" applyFont="1" applyFill="1" applyAlignment="1">
      <alignment vertical="center"/>
    </xf>
    <xf numFmtId="0" fontId="1" fillId="5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3" fillId="9" borderId="0" xfId="0" applyFont="1" applyFill="1" applyAlignment="1">
      <alignment horizontal="center" vertical="center"/>
    </xf>
    <xf numFmtId="0" fontId="7" fillId="0" borderId="0" xfId="0" applyFont="1"/>
    <xf numFmtId="0" fontId="3" fillId="11" borderId="0" xfId="0" applyFont="1" applyFill="1" applyBorder="1"/>
    <xf numFmtId="0" fontId="3" fillId="11" borderId="2" xfId="0" applyFont="1" applyFill="1" applyBorder="1"/>
    <xf numFmtId="0" fontId="17" fillId="11" borderId="2" xfId="0" applyFont="1" applyFill="1" applyBorder="1" applyAlignment="1" applyProtection="1">
      <alignment horizontal="center"/>
    </xf>
    <xf numFmtId="0" fontId="17" fillId="11" borderId="0" xfId="0" applyFont="1" applyFill="1" applyBorder="1" applyAlignment="1" applyProtection="1">
      <alignment horizontal="center"/>
      <protection locked="0"/>
    </xf>
    <xf numFmtId="0" fontId="17" fillId="11" borderId="2" xfId="0" applyFont="1" applyFill="1" applyBorder="1" applyAlignment="1">
      <alignment horizontal="center" vertical="top"/>
    </xf>
    <xf numFmtId="0" fontId="19" fillId="11" borderId="0" xfId="4" applyFill="1" applyBorder="1" applyAlignment="1" applyProtection="1"/>
    <xf numFmtId="0" fontId="15" fillId="11" borderId="0" xfId="3" applyFill="1" applyBorder="1"/>
    <xf numFmtId="0" fontId="20" fillId="11" borderId="2" xfId="0" applyFont="1" applyFill="1" applyBorder="1"/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NumberFormat="1" applyFont="1" applyAlignment="1">
      <alignment vertical="center" wrapText="1"/>
    </xf>
    <xf numFmtId="0" fontId="21" fillId="0" borderId="0" xfId="0" applyFont="1"/>
    <xf numFmtId="0" fontId="22" fillId="0" borderId="0" xfId="0" applyFont="1" applyAlignment="1">
      <alignment horizontal="center"/>
    </xf>
    <xf numFmtId="0" fontId="21" fillId="0" borderId="0" xfId="0" applyNumberFormat="1" applyFont="1"/>
    <xf numFmtId="0" fontId="0" fillId="12" borderId="4" xfId="0" applyFont="1" applyFill="1" applyBorder="1"/>
    <xf numFmtId="0" fontId="0" fillId="13" borderId="4" xfId="0" applyFont="1" applyFill="1" applyBorder="1"/>
    <xf numFmtId="0" fontId="0" fillId="13" borderId="5" xfId="0" applyFont="1" applyFill="1" applyBorder="1"/>
    <xf numFmtId="0" fontId="0" fillId="12" borderId="5" xfId="0" applyFont="1" applyFill="1" applyBorder="1"/>
    <xf numFmtId="0" fontId="6" fillId="0" borderId="1" xfId="1" applyFont="1" applyAlignment="1">
      <alignment horizontal="center"/>
    </xf>
    <xf numFmtId="0" fontId="8" fillId="0" borderId="0" xfId="0" applyFont="1" applyAlignment="1">
      <alignment horizontal="left" wrapText="1"/>
    </xf>
    <xf numFmtId="0" fontId="14" fillId="2" borderId="3" xfId="2" applyFont="1" applyAlignment="1">
      <alignment horizontal="center"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25" fillId="14" borderId="6" xfId="5" applyNumberFormat="1" applyFont="1" applyAlignment="1" applyProtection="1">
      <alignment horizontal="center"/>
    </xf>
    <xf numFmtId="0" fontId="26" fillId="0" borderId="1" xfId="1" applyFont="1" applyAlignment="1">
      <alignment horizontal="center"/>
    </xf>
    <xf numFmtId="0" fontId="10" fillId="0" borderId="0" xfId="0" applyFont="1"/>
    <xf numFmtId="49" fontId="10" fillId="0" borderId="0" xfId="0" applyNumberFormat="1" applyFont="1"/>
    <xf numFmtId="0" fontId="27" fillId="2" borderId="7" xfId="6" applyFont="1" applyFill="1" applyAlignment="1" applyProtection="1">
      <alignment horizontal="right"/>
    </xf>
    <xf numFmtId="0" fontId="19" fillId="2" borderId="3" xfId="4" applyFill="1" applyBorder="1" applyAlignment="1" applyProtection="1">
      <alignment horizontal="center"/>
    </xf>
    <xf numFmtId="0" fontId="19" fillId="2" borderId="3" xfId="2" applyFont="1" applyAlignment="1" applyProtection="1">
      <alignment horizontal="center"/>
    </xf>
    <xf numFmtId="0" fontId="16" fillId="15" borderId="0" xfId="0" applyFont="1" applyFill="1" applyBorder="1" applyAlignment="1">
      <alignment horizontal="left" vertical="top"/>
    </xf>
  </cellXfs>
  <cellStyles count="7">
    <cellStyle name="Heading 1" xfId="1" builtinId="16"/>
    <cellStyle name="Hyperlink" xfId="4" builtinId="8"/>
    <cellStyle name="Input" xfId="5" builtinId="20"/>
    <cellStyle name="Normal" xfId="0" builtinId="0"/>
    <cellStyle name="Note" xfId="2" builtinId="10"/>
    <cellStyle name="Title" xfId="3" builtinId="15"/>
    <cellStyle name="Total" xfId="6" builtinId="25"/>
  </cellStyles>
  <dxfs count="1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bottom" textRotation="0" wrapText="0" indent="0" relativeIndent="0" justifyLastLine="0" shrinkToFit="0" mergeCell="0" readingOrder="0"/>
    </dxf>
    <dxf>
      <numFmt numFmtId="30" formatCode="@"/>
      <alignment horizontal="center" vertical="bottom" textRotation="0" wrapText="0" indent="0" relativeIndent="255" justifyLastLine="0" shrinkToFit="0" mergeCell="0" readingOrder="0"/>
    </dxf>
    <dxf>
      <fill>
        <patternFill>
          <bgColor theme="6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 patternType="gray0625">
          <fgColor theme="3" tint="0.79998168889431442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 patternType="solid">
          <fgColor auto="1"/>
        </patternFill>
      </fill>
    </dxf>
    <dxf>
      <fill>
        <patternFill>
          <bgColor theme="2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relativeIndent="255" justifyLastLine="0" shrinkToFit="0" mergeCell="0" readingOrder="0"/>
    </dxf>
  </dxfs>
  <tableStyles count="0" defaultTableStyle="TableStyleMedium9" defaultPivotStyle="PivotStyleLight16"/>
  <colors>
    <mruColors>
      <color rgb="FFF5B1E3"/>
      <color rgb="FF72A6E4"/>
      <color rgb="FF70CE9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192.168.3.138_Grn" backgroundRefresh="0" connectionId="2" autoFormatId="16" applyNumberFormats="0" applyBorderFormats="0" applyFontFormats="0" applyPatternFormats="0" applyAlignmentFormats="0" applyWidthHeightFormats="0">
  <queryTableRefresh nextId="8">
    <queryTableFields count="5">
      <queryTableField id="1" name="supcode" tableColumnId="1"/>
      <queryTableField id="2" name="DayNo" tableColumnId="2"/>
      <queryTableField id="3" name="item_key" tableColumnId="3"/>
      <queryTableField id="6" name="Qty" tableColumnId="4"/>
      <queryTableField id="7" name="RType" tableColumnId="5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3" autoFormatId="16" applyNumberFormats="0" applyBorderFormats="0" applyFontFormats="0" applyPatternFormats="0" applyAlignmentFormats="0" applyWidthHeightFormats="0">
  <queryTableRefresh nextId="111" unboundColumnsRight="32">
    <queryTableFields count="38">
      <queryTableField id="109" name="VType" tableColumnId="39"/>
      <queryTableField id="1" name="VendorName" tableColumnId="1"/>
      <queryTableField id="2" name="Item_key" tableColumnId="2"/>
      <queryTableField id="3" name="itemNo" tableColumnId="3"/>
      <queryTableField id="4" name="itemName" tableColumnId="4"/>
      <queryTableField id="76" name="RType" tableColumnId="5"/>
      <queryTableField id="77" dataBound="0" tableColumnId="6"/>
      <queryTableField id="78" dataBound="0" tableColumnId="7"/>
      <queryTableField id="79" dataBound="0" tableColumnId="8"/>
      <queryTableField id="107" dataBound="0" tableColumnId="9"/>
      <queryTableField id="106" dataBound="0" tableColumnId="10"/>
      <queryTableField id="105" dataBound="0" tableColumnId="11"/>
      <queryTableField id="104" dataBound="0" tableColumnId="12"/>
      <queryTableField id="103" dataBound="0" tableColumnId="13"/>
      <queryTableField id="102" dataBound="0" tableColumnId="14"/>
      <queryTableField id="101" dataBound="0" tableColumnId="15"/>
      <queryTableField id="100" dataBound="0" tableColumnId="16"/>
      <queryTableField id="99" dataBound="0" tableColumnId="17"/>
      <queryTableField id="98" dataBound="0" tableColumnId="18"/>
      <queryTableField id="97" dataBound="0" tableColumnId="19"/>
      <queryTableField id="96" dataBound="0" tableColumnId="20"/>
      <queryTableField id="95" dataBound="0" tableColumnId="21"/>
      <queryTableField id="94" dataBound="0" tableColumnId="22"/>
      <queryTableField id="93" dataBound="0" tableColumnId="23"/>
      <queryTableField id="92" dataBound="0" tableColumnId="24"/>
      <queryTableField id="91" dataBound="0" tableColumnId="25"/>
      <queryTableField id="90" dataBound="0" tableColumnId="26"/>
      <queryTableField id="89" dataBound="0" tableColumnId="27"/>
      <queryTableField id="88" dataBound="0" tableColumnId="28"/>
      <queryTableField id="87" dataBound="0" tableColumnId="29"/>
      <queryTableField id="86" dataBound="0" tableColumnId="30"/>
      <queryTableField id="85" dataBound="0" tableColumnId="31"/>
      <queryTableField id="84" dataBound="0" tableColumnId="32"/>
      <queryTableField id="83" dataBound="0" tableColumnId="33"/>
      <queryTableField id="82" dataBound="0" tableColumnId="34"/>
      <queryTableField id="81" dataBound="0" tableColumnId="35"/>
      <queryTableField id="80" dataBound="0" tableColumnId="36"/>
      <queryTableField id="108" dataBound="0" tableColumnId="37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5" autoFormatId="16" applyNumberFormats="0" applyBorderFormats="0" applyFontFormats="0" applyPatternFormats="0" applyAlignmentFormats="0" applyWidthHeightFormats="0">
  <queryTableRefresh nextId="7">
    <queryTableFields count="4">
      <queryTableField id="1" name="item_key" tableColumnId="1"/>
      <queryTableField id="2" name="DayNo" tableColumnId="2"/>
      <queryTableField id="4" name="IType" tableColumnId="4"/>
      <queryTableField id="6" name="Qty" tableColumnId="5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4" autoFormatId="16" applyNumberFormats="0" applyBorderFormats="0" applyFontFormats="0" applyPatternFormats="0" applyAlignmentFormats="0" applyWidthHeightFormats="0">
  <queryTableRefresh nextId="37" unboundColumnsRight="32">
    <queryTableFields count="36">
      <queryTableField id="1" name="item_key" tableColumnId="1"/>
      <queryTableField id="2" name="itemNo" tableColumnId="2"/>
      <queryTableField id="3" name="itemName" tableColumnId="3"/>
      <queryTableField id="4" name="IType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35" dataBound="0" tableColumnId="9"/>
      <queryTableField id="34" dataBound="0" tableColumnId="10"/>
      <queryTableField id="33" dataBound="0" tableColumnId="11"/>
      <queryTableField id="32" dataBound="0" tableColumnId="12"/>
      <queryTableField id="31" dataBound="0" tableColumnId="13"/>
      <queryTableField id="30" dataBound="0" tableColumnId="14"/>
      <queryTableField id="29" dataBound="0" tableColumnId="15"/>
      <queryTableField id="28" dataBound="0" tableColumnId="16"/>
      <queryTableField id="27" dataBound="0" tableColumnId="17"/>
      <queryTableField id="26" dataBound="0" tableColumnId="18"/>
      <queryTableField id="25" dataBound="0" tableColumnId="19"/>
      <queryTableField id="24" dataBound="0" tableColumnId="20"/>
      <queryTableField id="23" dataBound="0" tableColumnId="21"/>
      <queryTableField id="22" dataBound="0" tableColumnId="22"/>
      <queryTableField id="21" dataBound="0" tableColumnId="23"/>
      <queryTableField id="20" dataBound="0" tableColumnId="24"/>
      <queryTableField id="19" dataBound="0" tableColumnId="25"/>
      <queryTableField id="18" dataBound="0" tableColumnId="26"/>
      <queryTableField id="17" dataBound="0" tableColumnId="27"/>
      <queryTableField id="16" dataBound="0" tableColumnId="28"/>
      <queryTableField id="15" dataBound="0" tableColumnId="29"/>
      <queryTableField id="14" dataBound="0" tableColumnId="30"/>
      <queryTableField id="13" dataBound="0" tableColumnId="31"/>
      <queryTableField id="12" dataBound="0" tableColumnId="32"/>
      <queryTableField id="11" dataBound="0" tableColumnId="33"/>
      <queryTableField id="10" dataBound="0" tableColumnId="34"/>
      <queryTableField id="9" dataBound="0" tableColumnId="35"/>
      <queryTableField id="36" dataBound="0" tableColumnId="36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16" applyNumberFormats="0" applyBorderFormats="0" applyFontFormats="0" applyPatternFormats="0" applyAlignmentFormats="0" applyWidthHeightFormats="0">
  <queryTableRefresh nextId="18" unboundColumnsRight="14">
    <queryTableFields count="17">
      <queryTableField id="1" name="item_key" tableColumnId="1"/>
      <queryTableField id="2" name="itemNo" tableColumnId="2"/>
      <queryTableField id="3" name="itemName" tableColumnId="3"/>
      <queryTableField id="14" dataBound="0" tableColumnId="14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16" dataBound="0" tableColumnId="16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7" dataBound="0" tableColumnId="17"/>
      <queryTableField id="15" dataBound="0" tableColumnId="15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item_key" tableColumnId="1"/>
      <queryTableField id="2" name="OpQty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Table__192.168.3.138_Grn" displayName="Table__192.168.3.138_Grn" ref="A1:E44" tableType="queryTable" totalsRowShown="0">
  <autoFilter ref="A1:E44"/>
  <tableColumns count="5">
    <tableColumn id="1" uniqueName="1" name="supcode" queryTableFieldId="1"/>
    <tableColumn id="2" uniqueName="2" name="DayNo" queryTableFieldId="2"/>
    <tableColumn id="3" uniqueName="3" name="item_key" queryTableFieldId="3"/>
    <tableColumn id="4" uniqueName="4" name="Qty" queryTableFieldId="6"/>
    <tableColumn id="5" uniqueName="5" name="RType" queryTableField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8:B17" totalsRowShown="0">
  <autoFilter ref="A8:B17">
    <filterColumn colId="0">
      <filters>
        <filter val="1"/>
      </filters>
    </filterColumn>
  </autoFilter>
  <tableColumns count="2">
    <tableColumn id="1" name="Unit Code" dataDxfId="91"/>
    <tableColumn id="2" name="Unit Nam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9" name="Table9" displayName="Table9" ref="E8:F57" totalsRowShown="0">
  <autoFilter ref="E8:F57"/>
  <tableColumns count="2">
    <tableColumn id="1" name="Location Code" dataDxfId="92"/>
    <tableColumn id="2" name="Location Name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Table_ExternalData_1" displayName="Table_ExternalData_1" ref="A4:AL12" tableType="queryTable" headerRowDxfId="150" dataDxfId="149">
  <autoFilter ref="A4:AL12"/>
  <tableColumns count="38">
    <tableColumn id="39" uniqueName="39" name="VType" queryTableFieldId="109" dataDxfId="90"/>
    <tableColumn id="1" uniqueName="1" name="VendorName" totalsRowLabel="Total" queryTableFieldId="1" dataDxfId="89" totalsRowDxfId="148"/>
    <tableColumn id="2" uniqueName="2" name="Item_key" queryTableFieldId="2" dataDxfId="88" totalsRowDxfId="147"/>
    <tableColumn id="3" uniqueName="3" name="itemNo" queryTableFieldId="3" dataDxfId="87" totalsRowDxfId="146"/>
    <tableColumn id="4" uniqueName="4" name="itemName" queryTableFieldId="4" dataDxfId="86" totalsRowDxfId="145"/>
    <tableColumn id="5" uniqueName="5" name="RType" queryTableFieldId="76" dataDxfId="85" totalsRowDxfId="144"/>
    <tableColumn id="6" uniqueName="6" name="1" totalsRowFunction="sum" queryTableFieldId="77" dataDxfId="84" totalsRowDxfId="143">
      <calculatedColumnFormula>SUMIFS(GQList,GIList,Table_ExternalData_1[[#This Row],[Item_key]],GDList,Table_ExternalData_1[[#Headers],[1]])</calculatedColumnFormula>
    </tableColumn>
    <tableColumn id="7" uniqueName="7" name="2" totalsRowFunction="sum" queryTableFieldId="78" dataDxfId="83" totalsRowDxfId="142">
      <calculatedColumnFormula>SUMIFS(GQList,GIList,Table_ExternalData_1[[#This Row],[Item_key]],GDList,Table_ExternalData_1[[#Headers],[2]])</calculatedColumnFormula>
    </tableColumn>
    <tableColumn id="8" uniqueName="8" name="3" totalsRowFunction="sum" queryTableFieldId="79" dataDxfId="82" totalsRowDxfId="141">
      <calculatedColumnFormula>SUMIFS(GQList,GIList,Table_ExternalData_1[[#This Row],[Item_key]],GDList,Table_ExternalData_1[[#Headers],[3]])</calculatedColumnFormula>
    </tableColumn>
    <tableColumn id="9" uniqueName="9" name="4" totalsRowFunction="sum" queryTableFieldId="107" dataDxfId="81" totalsRowDxfId="140">
      <calculatedColumnFormula>SUMIFS(GQList,GIList,Table_ExternalData_1[[#This Row],[Item_key]],GDList,Table_ExternalData_1[[#Headers],[4]])</calculatedColumnFormula>
    </tableColumn>
    <tableColumn id="10" uniqueName="10" name="5" totalsRowFunction="sum" queryTableFieldId="106" dataDxfId="80" totalsRowDxfId="139">
      <calculatedColumnFormula>SUMIFS(GQList,GIList,Table_ExternalData_1[[#This Row],[Item_key]],GDList,Table_ExternalData_1[[#Headers],[5]])</calculatedColumnFormula>
    </tableColumn>
    <tableColumn id="11" uniqueName="11" name="6" queryTableFieldId="105" dataDxfId="79" totalsRowDxfId="138">
      <calculatedColumnFormula>SUMIFS(GQList,GIList,Table_ExternalData_1[[#This Row],[Item_key]],GDList,Table_ExternalData_1[[#Headers],[6]])</calculatedColumnFormula>
    </tableColumn>
    <tableColumn id="12" uniqueName="12" name="7" queryTableFieldId="104" dataDxfId="78" totalsRowDxfId="137">
      <calculatedColumnFormula>SUMIFS(GQList,GIList,Table_ExternalData_1[[#This Row],[Item_key]],GDList,Table_ExternalData_1[[#Headers],[7]])</calculatedColumnFormula>
    </tableColumn>
    <tableColumn id="13" uniqueName="13" name="8" queryTableFieldId="103" dataDxfId="77" totalsRowDxfId="136">
      <calculatedColumnFormula>SUMIFS(GQList,GIList,Table_ExternalData_1[[#This Row],[Item_key]],GDList,Table_ExternalData_1[[#Headers],[8]])</calculatedColumnFormula>
    </tableColumn>
    <tableColumn id="14" uniqueName="14" name="9" queryTableFieldId="102" dataDxfId="76" totalsRowDxfId="135">
      <calculatedColumnFormula>SUMIFS(GQList,GIList,Table_ExternalData_1[[#This Row],[Item_key]],GDList,Table_ExternalData_1[[#Headers],[9]])</calculatedColumnFormula>
    </tableColumn>
    <tableColumn id="15" uniqueName="15" name="10" queryTableFieldId="101" dataDxfId="75" totalsRowDxfId="134">
      <calculatedColumnFormula>SUMIFS(GQList,GIList,Table_ExternalData_1[[#This Row],[Item_key]],GDList,Table_ExternalData_1[[#Headers],[10]])</calculatedColumnFormula>
    </tableColumn>
    <tableColumn id="16" uniqueName="16" name="11" queryTableFieldId="100" dataDxfId="74" totalsRowDxfId="133">
      <calculatedColumnFormula>SUMIFS(GQList,GIList,Table_ExternalData_1[[#This Row],[Item_key]],GDList,Table_ExternalData_1[[#Headers],[11]])</calculatedColumnFormula>
    </tableColumn>
    <tableColumn id="17" uniqueName="17" name="12" queryTableFieldId="99" dataDxfId="73" totalsRowDxfId="132">
      <calculatedColumnFormula>SUMIFS(GQList,GIList,Table_ExternalData_1[[#This Row],[Item_key]],GDList,Table_ExternalData_1[[#Headers],[12]])</calculatedColumnFormula>
    </tableColumn>
    <tableColumn id="18" uniqueName="18" name="13" queryTableFieldId="98" dataDxfId="72" totalsRowDxfId="131">
      <calculatedColumnFormula>SUMIFS(GQList,GIList,Table_ExternalData_1[[#This Row],[Item_key]],GDList,Table_ExternalData_1[[#Headers],[13]])</calculatedColumnFormula>
    </tableColumn>
    <tableColumn id="19" uniqueName="19" name="14" queryTableFieldId="97" dataDxfId="71" totalsRowDxfId="130">
      <calculatedColumnFormula>SUMIFS(GQList,GIList,Table_ExternalData_1[[#This Row],[Item_key]],GDList,Table_ExternalData_1[[#Headers],[14]])</calculatedColumnFormula>
    </tableColumn>
    <tableColumn id="20" uniqueName="20" name="15" queryTableFieldId="96" dataDxfId="70" totalsRowDxfId="129">
      <calculatedColumnFormula>SUMIFS(GQList,GIList,Table_ExternalData_1[[#This Row],[Item_key]],GDList,Table_ExternalData_1[[#Headers],[15]])</calculatedColumnFormula>
    </tableColumn>
    <tableColumn id="21" uniqueName="21" name="16" queryTableFieldId="95" dataDxfId="69" totalsRowDxfId="128">
      <calculatedColumnFormula>SUMIFS(GQList,GIList,Table_ExternalData_1[[#This Row],[Item_key]],GDList,Table_ExternalData_1[[#Headers],[16]])</calculatedColumnFormula>
    </tableColumn>
    <tableColumn id="22" uniqueName="22" name="17" queryTableFieldId="94" dataDxfId="68" totalsRowDxfId="127">
      <calculatedColumnFormula>SUMIFS(GQList,GIList,Table_ExternalData_1[[#This Row],[Item_key]],GDList,Table_ExternalData_1[[#Headers],[17]])</calculatedColumnFormula>
    </tableColumn>
    <tableColumn id="23" uniqueName="23" name="18" queryTableFieldId="93" dataDxfId="67" totalsRowDxfId="126">
      <calculatedColumnFormula>SUMIFS(GQList,GIList,Table_ExternalData_1[[#This Row],[Item_key]],GDList,Table_ExternalData_1[[#Headers],[18]])</calculatedColumnFormula>
    </tableColumn>
    <tableColumn id="24" uniqueName="24" name="19" queryTableFieldId="92" dataDxfId="66" totalsRowDxfId="125">
      <calculatedColumnFormula>SUMIFS(GQList,GIList,Table_ExternalData_1[[#This Row],[Item_key]],GDList,Table_ExternalData_1[[#Headers],[19]])</calculatedColumnFormula>
    </tableColumn>
    <tableColumn id="25" uniqueName="25" name="20" queryTableFieldId="91" dataDxfId="65" totalsRowDxfId="124">
      <calculatedColumnFormula>SUMIFS(GQList,GIList,Table_ExternalData_1[[#This Row],[Item_key]],GDList,Table_ExternalData_1[[#Headers],[20]])</calculatedColumnFormula>
    </tableColumn>
    <tableColumn id="26" uniqueName="26" name="21" queryTableFieldId="90" dataDxfId="64" totalsRowDxfId="123">
      <calculatedColumnFormula>SUMIFS(GQList,GIList,Table_ExternalData_1[[#This Row],[Item_key]],GDList,Table_ExternalData_1[[#Headers],[21]])</calculatedColumnFormula>
    </tableColumn>
    <tableColumn id="27" uniqueName="27" name="22" queryTableFieldId="89" dataDxfId="63" totalsRowDxfId="122">
      <calculatedColumnFormula>SUMIFS(GQList,GIList,Table_ExternalData_1[[#This Row],[Item_key]],GDList,Table_ExternalData_1[[#Headers],[22]])</calculatedColumnFormula>
    </tableColumn>
    <tableColumn id="28" uniqueName="28" name="23" queryTableFieldId="88" dataDxfId="62" totalsRowDxfId="121">
      <calculatedColumnFormula>SUMIFS(GQList,GIList,Table_ExternalData_1[[#This Row],[Item_key]],GDList,Table_ExternalData_1[[#Headers],[23]])</calculatedColumnFormula>
    </tableColumn>
    <tableColumn id="29" uniqueName="29" name="24" queryTableFieldId="87" dataDxfId="61" totalsRowDxfId="120">
      <calculatedColumnFormula>SUMIFS(GQList,GIList,Table_ExternalData_1[[#This Row],[Item_key]],GDList,Table_ExternalData_1[[#Headers],[24]])</calculatedColumnFormula>
    </tableColumn>
    <tableColumn id="30" uniqueName="30" name="25" queryTableFieldId="86" dataDxfId="60" totalsRowDxfId="119">
      <calculatedColumnFormula>SUMIFS(GQList,GIList,Table_ExternalData_1[[#This Row],[Item_key]],GDList,Table_ExternalData_1[[#Headers],[25]])</calculatedColumnFormula>
    </tableColumn>
    <tableColumn id="31" uniqueName="31" name="26" queryTableFieldId="85" dataDxfId="59" totalsRowDxfId="118">
      <calculatedColumnFormula>SUMIFS(GQList,GIList,Table_ExternalData_1[[#This Row],[Item_key]],GDList,Table_ExternalData_1[[#Headers],[26]])</calculatedColumnFormula>
    </tableColumn>
    <tableColumn id="32" uniqueName="32" name="27" queryTableFieldId="84" dataDxfId="58" totalsRowDxfId="117">
      <calculatedColumnFormula>SUMIFS(GQList,GIList,Table_ExternalData_1[[#This Row],[Item_key]],GDList,Table_ExternalData_1[[#Headers],[27]])</calculatedColumnFormula>
    </tableColumn>
    <tableColumn id="33" uniqueName="33" name="28" queryTableFieldId="83" dataDxfId="57" totalsRowDxfId="116">
      <calculatedColumnFormula>SUMIFS(GQList,GIList,Table_ExternalData_1[[#This Row],[Item_key]],GDList,Table_ExternalData_1[[#Headers],[28]])</calculatedColumnFormula>
    </tableColumn>
    <tableColumn id="34" uniqueName="34" name="29" queryTableFieldId="82" dataDxfId="56" totalsRowDxfId="115">
      <calculatedColumnFormula>SUMIFS(GQList,GIList,Table_ExternalData_1[[#This Row],[Item_key]],GDList,Table_ExternalData_1[[#Headers],[29]])</calculatedColumnFormula>
    </tableColumn>
    <tableColumn id="35" uniqueName="35" name="30" queryTableFieldId="81" dataDxfId="55" totalsRowDxfId="114">
      <calculatedColumnFormula>SUMIFS(GQList,GIList,Table_ExternalData_1[[#This Row],[Item_key]],GDList,Table_ExternalData_1[[#Headers],[30]])</calculatedColumnFormula>
    </tableColumn>
    <tableColumn id="36" uniqueName="36" name="31" queryTableFieldId="80" dataDxfId="54" totalsRowDxfId="113">
      <calculatedColumnFormula>SUMIFS(GQList,GIList,Table_ExternalData_1[[#This Row],[Item_key]],GDList,Table_ExternalData_1[[#Headers],[31]])</calculatedColumnFormula>
    </tableColumn>
    <tableColumn id="37" uniqueName="37" name="Total" queryTableFieldId="108" dataDxfId="53" totalsRowDxfId="112">
      <calculatedColumnFormula>SUM(Table_ExternalData_1[[#This Row],[1]:[31]])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3" name="Table_ExternalData_14" displayName="Table_ExternalData_14" ref="A1:D163" tableType="queryTable" totalsRowShown="0">
  <autoFilter ref="A1:D163">
    <filterColumn colId="0">
      <filters>
        <filter val="006-04350"/>
      </filters>
    </filterColumn>
  </autoFilter>
  <tableColumns count="4">
    <tableColumn id="1" uniqueName="1" name="item_key" queryTableFieldId="1"/>
    <tableColumn id="2" uniqueName="2" name="DayNo" queryTableFieldId="2"/>
    <tableColumn id="4" uniqueName="4" name="IType" queryTableFieldId="4"/>
    <tableColumn id="5" uniqueName="5" name="Qty" queryTableFieldId="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able_ExternalData_15" displayName="Table_ExternalData_15" ref="A4:AJ19" tableType="queryTable" totalsRowShown="0" headerRowDxfId="111" dataDxfId="110">
  <autoFilter ref="A4:AJ19"/>
  <tableColumns count="36">
    <tableColumn id="1" uniqueName="1" name="item_key" queryTableFieldId="1" dataDxfId="52"/>
    <tableColumn id="2" uniqueName="2" name="itemNo" queryTableFieldId="2" dataDxfId="51"/>
    <tableColumn id="3" uniqueName="3" name="itemName" queryTableFieldId="3" dataDxfId="50"/>
    <tableColumn id="4" uniqueName="4" name="IType" queryTableFieldId="4" dataDxfId="49"/>
    <tableColumn id="5" uniqueName="5" name="1" queryTableFieldId="5" dataDxfId="48">
      <calculatedColumnFormula>SUMIFS(IsQList,IsIList,Table_ExternalData_15[[#This Row],[item_key]],IsITypeList,Table_ExternalData_15[[#This Row],[IType]],IsDList,Table_ExternalData_15[[#Headers],[1]])</calculatedColumnFormula>
    </tableColumn>
    <tableColumn id="6" uniqueName="6" name="2" queryTableFieldId="6" dataDxfId="47">
      <calculatedColumnFormula>SUMIFS(IsQList,IsIList,Table_ExternalData_15[[#This Row],[item_key]],IsITypeList,Table_ExternalData_15[[#This Row],[IType]],IsDList,Table_ExternalData_15[[#Headers],[2]])</calculatedColumnFormula>
    </tableColumn>
    <tableColumn id="7" uniqueName="7" name="3" queryTableFieldId="7" dataDxfId="46">
      <calculatedColumnFormula>SUMIFS(IsQList,IsIList,Table_ExternalData_15[[#This Row],[item_key]],IsITypeList,Table_ExternalData_15[[#This Row],[IType]],IsDList,Table_ExternalData_15[[#Headers],[3]])</calculatedColumnFormula>
    </tableColumn>
    <tableColumn id="8" uniqueName="8" name="4" queryTableFieldId="8" dataDxfId="45">
      <calculatedColumnFormula>SUMIFS(IsQList,IsIList,Table_ExternalData_15[[#This Row],[item_key]],IsITypeList,Table_ExternalData_15[[#This Row],[IType]],IsDList,Table_ExternalData_15[[#Headers],[4]])</calculatedColumnFormula>
    </tableColumn>
    <tableColumn id="9" uniqueName="9" name="5" queryTableFieldId="35" dataDxfId="44">
      <calculatedColumnFormula>SUMIFS(IsQList,IsIList,Table_ExternalData_15[[#This Row],[item_key]],IsITypeList,Table_ExternalData_15[[#This Row],[IType]],IsDList,Table_ExternalData_15[[#Headers],[5]])</calculatedColumnFormula>
    </tableColumn>
    <tableColumn id="10" uniqueName="10" name="6" queryTableFieldId="34" dataDxfId="43">
      <calculatedColumnFormula>SUMIFS(IsQList,IsIList,Table_ExternalData_15[[#This Row],[item_key]],IsITypeList,Table_ExternalData_15[[#This Row],[IType]],IsDList,Table_ExternalData_15[[#Headers],[6]])</calculatedColumnFormula>
    </tableColumn>
    <tableColumn id="11" uniqueName="11" name="7" queryTableFieldId="33" dataDxfId="42">
      <calculatedColumnFormula>SUMIFS(IsQList,IsIList,Table_ExternalData_15[[#This Row],[item_key]],IsITypeList,Table_ExternalData_15[[#This Row],[IType]],IsDList,Table_ExternalData_15[[#Headers],[7]])</calculatedColumnFormula>
    </tableColumn>
    <tableColumn id="12" uniqueName="12" name="8" queryTableFieldId="32" dataDxfId="41">
      <calculatedColumnFormula>SUMIFS(IsQList,IsIList,Table_ExternalData_15[[#This Row],[item_key]],IsITypeList,Table_ExternalData_15[[#This Row],[IType]],IsDList,Table_ExternalData_15[[#Headers],[8]])</calculatedColumnFormula>
    </tableColumn>
    <tableColumn id="13" uniqueName="13" name="9" queryTableFieldId="31" dataDxfId="40">
      <calculatedColumnFormula>SUMIFS(IsQList,IsIList,Table_ExternalData_15[[#This Row],[item_key]],IsITypeList,Table_ExternalData_15[[#This Row],[IType]],IsDList,Table_ExternalData_15[[#Headers],[9]])</calculatedColumnFormula>
    </tableColumn>
    <tableColumn id="14" uniqueName="14" name="10" queryTableFieldId="30" dataDxfId="39">
      <calculatedColumnFormula>SUMIFS(IsQList,IsIList,Table_ExternalData_15[[#This Row],[item_key]],IsITypeList,Table_ExternalData_15[[#This Row],[IType]],IsDList,Table_ExternalData_15[[#Headers],[10]])</calculatedColumnFormula>
    </tableColumn>
    <tableColumn id="15" uniqueName="15" name="11" queryTableFieldId="29" dataDxfId="38">
      <calculatedColumnFormula>SUMIFS(IsQList,IsIList,Table_ExternalData_15[[#This Row],[item_key]],IsITypeList,Table_ExternalData_15[[#This Row],[IType]],IsDList,Table_ExternalData_15[[#Headers],[11]])</calculatedColumnFormula>
    </tableColumn>
    <tableColumn id="16" uniqueName="16" name="12" queryTableFieldId="28" dataDxfId="37">
      <calculatedColumnFormula>SUMIFS(IsQList,IsIList,Table_ExternalData_15[[#This Row],[item_key]],IsITypeList,Table_ExternalData_15[[#This Row],[IType]],IsDList,Table_ExternalData_15[[#Headers],[12]])</calculatedColumnFormula>
    </tableColumn>
    <tableColumn id="17" uniqueName="17" name="13" queryTableFieldId="27" dataDxfId="36">
      <calculatedColumnFormula>SUMIFS(IsQList,IsIList,Table_ExternalData_15[[#This Row],[item_key]],IsITypeList,Table_ExternalData_15[[#This Row],[IType]],IsDList,Table_ExternalData_15[[#Headers],[13]])</calculatedColumnFormula>
    </tableColumn>
    <tableColumn id="18" uniqueName="18" name="14" queryTableFieldId="26" dataDxfId="35">
      <calculatedColumnFormula>SUMIFS(IsQList,IsIList,Table_ExternalData_15[[#This Row],[item_key]],IsITypeList,Table_ExternalData_15[[#This Row],[IType]],IsDList,Table_ExternalData_15[[#Headers],[14]])</calculatedColumnFormula>
    </tableColumn>
    <tableColumn id="19" uniqueName="19" name="15" queryTableFieldId="25" dataDxfId="34">
      <calculatedColumnFormula>SUMIFS(IsQList,IsIList,Table_ExternalData_15[[#This Row],[item_key]],IsITypeList,Table_ExternalData_15[[#This Row],[IType]],IsDList,Table_ExternalData_15[[#Headers],[15]])</calculatedColumnFormula>
    </tableColumn>
    <tableColumn id="20" uniqueName="20" name="16" queryTableFieldId="24" dataDxfId="33">
      <calculatedColumnFormula>SUMIFS(IsQList,IsIList,Table_ExternalData_15[[#This Row],[item_key]],IsITypeList,Table_ExternalData_15[[#This Row],[IType]],IsDList,Table_ExternalData_15[[#Headers],[16]])</calculatedColumnFormula>
    </tableColumn>
    <tableColumn id="21" uniqueName="21" name="17" queryTableFieldId="23" dataDxfId="32">
      <calculatedColumnFormula>SUMIFS(IsQList,IsIList,Table_ExternalData_15[[#This Row],[item_key]],IsITypeList,Table_ExternalData_15[[#This Row],[IType]],IsDList,Table_ExternalData_15[[#Headers],[17]])</calculatedColumnFormula>
    </tableColumn>
    <tableColumn id="22" uniqueName="22" name="18" queryTableFieldId="22" dataDxfId="31">
      <calculatedColumnFormula>SUMIFS(IsQList,IsIList,Table_ExternalData_15[[#This Row],[item_key]],IsITypeList,Table_ExternalData_15[[#This Row],[IType]],IsDList,Table_ExternalData_15[[#Headers],[18]])</calculatedColumnFormula>
    </tableColumn>
    <tableColumn id="23" uniqueName="23" name="19" queryTableFieldId="21" dataDxfId="30">
      <calculatedColumnFormula>SUMIFS(IsQList,IsIList,Table_ExternalData_15[[#This Row],[item_key]],IsITypeList,Table_ExternalData_15[[#This Row],[IType]],IsDList,Table_ExternalData_15[[#Headers],[19]])</calculatedColumnFormula>
    </tableColumn>
    <tableColumn id="24" uniqueName="24" name="20" queryTableFieldId="20" dataDxfId="29">
      <calculatedColumnFormula>SUMIFS(IsQList,IsIList,Table_ExternalData_15[[#This Row],[item_key]],IsITypeList,Table_ExternalData_15[[#This Row],[IType]],IsDList,Table_ExternalData_15[[#Headers],[20]])</calculatedColumnFormula>
    </tableColumn>
    <tableColumn id="25" uniqueName="25" name="21" queryTableFieldId="19" dataDxfId="28">
      <calculatedColumnFormula>SUMIFS(IsQList,IsIList,Table_ExternalData_15[[#This Row],[item_key]],IsITypeList,Table_ExternalData_15[[#This Row],[IType]],IsDList,Table_ExternalData_15[[#Headers],[21]])</calculatedColumnFormula>
    </tableColumn>
    <tableColumn id="26" uniqueName="26" name="22" queryTableFieldId="18" dataDxfId="27">
      <calculatedColumnFormula>SUMIFS(IsQList,IsIList,Table_ExternalData_15[[#This Row],[item_key]],IsITypeList,Table_ExternalData_15[[#This Row],[IType]],IsDList,Table_ExternalData_15[[#Headers],[22]])</calculatedColumnFormula>
    </tableColumn>
    <tableColumn id="27" uniqueName="27" name="23" queryTableFieldId="17" dataDxfId="26">
      <calculatedColumnFormula>SUMIFS(IsQList,IsIList,Table_ExternalData_15[[#This Row],[item_key]],IsITypeList,Table_ExternalData_15[[#This Row],[IType]],IsDList,Table_ExternalData_15[[#Headers],[23]])</calculatedColumnFormula>
    </tableColumn>
    <tableColumn id="28" uniqueName="28" name="24" queryTableFieldId="16" dataDxfId="25">
      <calculatedColumnFormula>SUMIFS(IsQList,IsIList,Table_ExternalData_15[[#This Row],[item_key]],IsITypeList,Table_ExternalData_15[[#This Row],[IType]],IsDList,Table_ExternalData_15[[#Headers],[24]])</calculatedColumnFormula>
    </tableColumn>
    <tableColumn id="29" uniqueName="29" name="25" queryTableFieldId="15" dataDxfId="24">
      <calculatedColumnFormula>SUMIFS(IsQList,IsIList,Table_ExternalData_15[[#This Row],[item_key]],IsITypeList,Table_ExternalData_15[[#This Row],[IType]],IsDList,Table_ExternalData_15[[#Headers],[25]])</calculatedColumnFormula>
    </tableColumn>
    <tableColumn id="30" uniqueName="30" name="26" queryTableFieldId="14" dataDxfId="23">
      <calculatedColumnFormula>SUMIFS(IsQList,IsIList,Table_ExternalData_15[[#This Row],[item_key]],IsITypeList,Table_ExternalData_15[[#This Row],[IType]],IsDList,Table_ExternalData_15[[#Headers],[26]])</calculatedColumnFormula>
    </tableColumn>
    <tableColumn id="31" uniqueName="31" name="27" queryTableFieldId="13" dataDxfId="22">
      <calculatedColumnFormula>SUMIFS(IsQList,IsIList,Table_ExternalData_15[[#This Row],[item_key]],IsITypeList,Table_ExternalData_15[[#This Row],[IType]],IsDList,Table_ExternalData_15[[#Headers],[27]])</calculatedColumnFormula>
    </tableColumn>
    <tableColumn id="32" uniqueName="32" name="28" queryTableFieldId="12" dataDxfId="21">
      <calculatedColumnFormula>SUMIFS(IsQList,IsIList,Table_ExternalData_15[[#This Row],[item_key]],IsITypeList,Table_ExternalData_15[[#This Row],[IType]],IsDList,Table_ExternalData_15[[#Headers],[28]])</calculatedColumnFormula>
    </tableColumn>
    <tableColumn id="33" uniqueName="33" name="29" queryTableFieldId="11" dataDxfId="20">
      <calculatedColumnFormula>SUMIFS(IsQList,IsIList,Table_ExternalData_15[[#This Row],[item_key]],IsITypeList,Table_ExternalData_15[[#This Row],[IType]],IsDList,Table_ExternalData_15[[#Headers],[29]])</calculatedColumnFormula>
    </tableColumn>
    <tableColumn id="34" uniqueName="34" name="30" queryTableFieldId="10" dataDxfId="19">
      <calculatedColumnFormula>SUMIFS(IsQList,IsIList,Table_ExternalData_15[[#This Row],[item_key]],IsITypeList,Table_ExternalData_15[[#This Row],[IType]],IsDList,Table_ExternalData_15[[#Headers],[30]])</calculatedColumnFormula>
    </tableColumn>
    <tableColumn id="35" uniqueName="35" name="31" queryTableFieldId="9" dataDxfId="18">
      <calculatedColumnFormula>SUMIFS(IsQList,IsIList,Table_ExternalData_15[[#This Row],[item_key]],IsITypeList,Table_ExternalData_15[[#This Row],[IType]],IsDList,Table_ExternalData_15[[#Headers],[31]])</calculatedColumnFormula>
    </tableColumn>
    <tableColumn id="36" uniqueName="36" name="Total" queryTableFieldId="36" dataDxfId="17">
      <calculatedColumnFormula>SUM(Table_ExternalData_15[[#This Row],[1]:[31]])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6" name="Table_ExternalData_17" displayName="Table_ExternalData_17" ref="A4:Q12" tableType="queryTable" totalsRowShown="0" headerRowDxfId="109" dataDxfId="108">
  <autoFilter ref="A4:Q12"/>
  <tableColumns count="17">
    <tableColumn id="1" uniqueName="1" name="item_key" queryTableFieldId="1" dataDxfId="16"/>
    <tableColumn id="2" uniqueName="2" name="itemNo" queryTableFieldId="2" dataDxfId="15"/>
    <tableColumn id="3" uniqueName="3" name="itemName" queryTableFieldId="3" dataDxfId="14"/>
    <tableColumn id="14" uniqueName="14" name="Opening" queryTableFieldId="14" dataDxfId="13">
      <calculatedColumnFormula>SUMIFS(OPBQList,OPBIList,Table_ExternalData_17[[#This Row],[item_key]])+SUMIFS(GQList,GIList,Table_ExternalData_17[[#This Row],[item_key]],GDList,0)-ABS(SUMIFS(IsQList,IsIList,Table_ExternalData_17[[#This Row],[item_key]],IsDList,0))</calculatedColumnFormula>
    </tableColumn>
    <tableColumn id="4" uniqueName="4" name="GRN" queryTableFieldId="4" dataDxfId="12">
      <calculatedColumnFormula>SUMIFS(GQList,GIList,Table_ExternalData_17[[#This Row],[item_key]],GTList,Table_ExternalData_17[[#Headers],[GRN]],GDList,"&lt;&gt;"&amp;0)</calculatedColumnFormula>
    </tableColumn>
    <tableColumn id="5" uniqueName="5" name="VSTR" queryTableFieldId="5" dataDxfId="11">
      <calculatedColumnFormula>SUMIFS(GQList,GIList,Table_ExternalData_17[[#This Row],[item_key]],GTList,Table_ExternalData_17[[#Headers],[VSTR]],GDList,"&lt;&gt;"&amp;0)</calculatedColumnFormula>
    </tableColumn>
    <tableColumn id="6" uniqueName="6" name="SR" queryTableFieldId="6" dataDxfId="10">
      <calculatedColumnFormula>SUMIFS(GQList,GIList,Table_ExternalData_17[[#This Row],[item_key]],GTList,Table_ExternalData_17[[#Headers],[SR]],GDList,"&lt;&gt;"&amp;0)</calculatedColumnFormula>
    </tableColumn>
    <tableColumn id="7" uniqueName="7" name="TR" queryTableFieldId="7" dataDxfId="9">
      <calculatedColumnFormula>SUMIFS(GQList,GIList,Table_ExternalData_17[[#This Row],[item_key]],GTList,Table_ExternalData_17[[#Headers],[TR]],GDList,"&lt;&gt;"&amp;0)</calculatedColumnFormula>
    </tableColumn>
    <tableColumn id="8" uniqueName="8" name="RCA" queryTableFieldId="8" dataDxfId="8">
      <calculatedColumnFormula>SUMIFS(GQList,GIList,Table_ExternalData_17[[#This Row],[item_key]],GTList,Table_ExternalData_17[[#Headers],[RCA]],GDList,"&lt;&gt;"&amp;0)</calculatedColumnFormula>
    </tableColumn>
    <tableColumn id="16" uniqueName="16" name="Total Receipt" queryTableFieldId="16" dataDxfId="7">
      <calculatedColumnFormula>SUM(Table_ExternalData_17[[#This Row],[GRN]]+Table_ExternalData_17[[#This Row],[VSTR]]+Table_ExternalData_17[[#This Row],[SR]]+Table_ExternalData_17[[#This Row],[TR]]+Table_ExternalData_17[[#This Row],[RCA]])</calculatedColumnFormula>
    </tableColumn>
    <tableColumn id="9" uniqueName="9" name="R/P" queryTableFieldId="9" dataDxfId="6">
      <calculatedColumnFormula>SUMIFS(IsQList,IsIList,Table_ExternalData_17[[#This Row],[item_key]],IsITypeList,Table_ExternalData_17[[#Headers],[R/P]],IsDList,"&lt;&gt;"&amp;0)</calculatedColumnFormula>
    </tableColumn>
    <tableColumn id="10" uniqueName="10" name="CST" queryTableFieldId="10" dataDxfId="5">
      <calculatedColumnFormula>SUMIFS(IsQList,IsIList,Table_ExternalData_15[[#This Row],[item_key]],IsITypeList,Table_ExternalData_17[[#Headers],[CST]],IsDList,"&lt;&gt;"&amp;0)</calculatedColumnFormula>
    </tableColumn>
    <tableColumn id="11" uniqueName="11" name="S/I" queryTableFieldId="11" dataDxfId="4">
      <calculatedColumnFormula>SUMIFS(IsQList,IsIList,Table_ExternalData_15[[#This Row],[item_key]],IsITypeList,Table_ExternalData_17[[#Headers],[S/I]],IsDList,"&lt;&gt;"&amp;0)</calculatedColumnFormula>
    </tableColumn>
    <tableColumn id="12" uniqueName="12" name="VST" queryTableFieldId="12" dataDxfId="3">
      <calculatedColumnFormula>SUMIFS(IsQList,IsIList,Table_ExternalData_15[[#This Row],[item_key]],IsITypeList,Table_ExternalData_17[[#Headers],[VST]],IsDList,"&lt;&gt;"&amp;0)</calculatedColumnFormula>
    </tableColumn>
    <tableColumn id="13" uniqueName="13" name="RTN" queryTableFieldId="13" dataDxfId="2">
      <calculatedColumnFormula>ABS(SUMIFS(IsQList,IsIList,Table_ExternalData_17[[#This Row],[item_key]],IsITypeList,Table_ExternalData_17[[#Headers],[RTN]],IsDList,"&lt;&gt;"&amp;0))</calculatedColumnFormula>
    </tableColumn>
    <tableColumn id="17" uniqueName="17" name="Total Issue" queryTableFieldId="17" dataDxfId="1">
      <calculatedColumnFormula>SUM(Table_ExternalData_17[[#This Row],[R/P]:[RTN]])</calculatedColumnFormula>
    </tableColumn>
    <tableColumn id="15" uniqueName="15" name="Closing Balance" queryTableFieldId="15" dataDxfId="0">
      <calculatedColumnFormula>SUM((Table_ExternalData_17[[#This Row],[Opening]]+Table_ExternalData_17[[#This Row],[Total Receipt]])-ABS(Table_ExternalData_17[[#This Row],[Total Issue]]))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id="5" name="Table_ExternalData_16" displayName="Table_ExternalData_16" ref="A1:B9" tableType="queryTable" totalsRowShown="0">
  <autoFilter ref="A1:B9"/>
  <tableColumns count="2">
    <tableColumn id="1" uniqueName="1" name="item_key" queryTableFieldId="1"/>
    <tableColumn id="2" uniqueName="2" name="OpQty" queryTableField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44"/>
  <sheetViews>
    <sheetView workbookViewId="0">
      <selection activeCell="C5" sqref="C5"/>
    </sheetView>
  </sheetViews>
  <sheetFormatPr defaultRowHeight="15"/>
  <cols>
    <col min="1" max="1" width="10.7109375" bestFit="1" customWidth="1"/>
    <col min="3" max="3" width="11.5703125" bestFit="1" customWidth="1"/>
    <col min="4" max="4" width="6.42578125" customWidth="1"/>
    <col min="5" max="5" width="8.7109375" bestFit="1" customWidth="1"/>
    <col min="6" max="6" width="10.85546875" bestFit="1" customWidth="1"/>
    <col min="7" max="7" width="10" bestFit="1" customWidth="1"/>
  </cols>
  <sheetData>
    <row r="1" spans="1:5">
      <c r="A1" t="s">
        <v>0</v>
      </c>
      <c r="B1" t="s">
        <v>1</v>
      </c>
      <c r="C1" t="s">
        <v>2</v>
      </c>
      <c r="D1" t="s">
        <v>23</v>
      </c>
      <c r="E1" t="s">
        <v>24</v>
      </c>
    </row>
    <row r="2" spans="1:5">
      <c r="A2" t="s">
        <v>7</v>
      </c>
      <c r="B2">
        <v>3</v>
      </c>
      <c r="C2" t="s">
        <v>9</v>
      </c>
      <c r="D2">
        <v>1000</v>
      </c>
      <c r="E2" t="s">
        <v>25</v>
      </c>
    </row>
    <row r="3" spans="1:5">
      <c r="A3" t="s">
        <v>4</v>
      </c>
      <c r="B3">
        <v>6</v>
      </c>
      <c r="C3" t="s">
        <v>8</v>
      </c>
      <c r="D3">
        <v>529</v>
      </c>
      <c r="E3" t="s">
        <v>25</v>
      </c>
    </row>
    <row r="4" spans="1:5">
      <c r="A4" t="s">
        <v>105</v>
      </c>
      <c r="B4">
        <v>6</v>
      </c>
      <c r="C4" t="s">
        <v>104</v>
      </c>
      <c r="D4">
        <v>800</v>
      </c>
      <c r="E4" t="s">
        <v>25</v>
      </c>
    </row>
    <row r="5" spans="1:5">
      <c r="A5" t="s">
        <v>105</v>
      </c>
      <c r="B5">
        <v>8</v>
      </c>
      <c r="C5" t="s">
        <v>104</v>
      </c>
      <c r="D5">
        <v>700</v>
      </c>
      <c r="E5" t="s">
        <v>25</v>
      </c>
    </row>
    <row r="6" spans="1:5">
      <c r="A6" t="s">
        <v>7</v>
      </c>
      <c r="B6">
        <v>9</v>
      </c>
      <c r="C6" t="s">
        <v>9</v>
      </c>
      <c r="D6">
        <v>400</v>
      </c>
      <c r="E6" t="s">
        <v>25</v>
      </c>
    </row>
    <row r="7" spans="1:5">
      <c r="A7" t="s">
        <v>5</v>
      </c>
      <c r="B7">
        <v>9</v>
      </c>
      <c r="C7" t="s">
        <v>6</v>
      </c>
      <c r="D7">
        <v>14</v>
      </c>
      <c r="E7" t="s">
        <v>25</v>
      </c>
    </row>
    <row r="8" spans="1:5">
      <c r="A8" t="s">
        <v>3</v>
      </c>
      <c r="B8">
        <v>9</v>
      </c>
      <c r="C8" t="s">
        <v>6</v>
      </c>
      <c r="D8">
        <v>45</v>
      </c>
      <c r="E8" t="s">
        <v>25</v>
      </c>
    </row>
    <row r="9" spans="1:5">
      <c r="A9" t="s">
        <v>106</v>
      </c>
      <c r="B9">
        <v>9</v>
      </c>
      <c r="C9" t="s">
        <v>103</v>
      </c>
      <c r="D9">
        <v>2400</v>
      </c>
      <c r="E9" t="s">
        <v>25</v>
      </c>
    </row>
    <row r="10" spans="1:5">
      <c r="A10" t="s">
        <v>107</v>
      </c>
      <c r="B10">
        <v>10</v>
      </c>
      <c r="C10" t="s">
        <v>102</v>
      </c>
      <c r="D10">
        <v>500</v>
      </c>
      <c r="E10" t="s">
        <v>25</v>
      </c>
    </row>
    <row r="11" spans="1:5">
      <c r="A11" t="s">
        <v>7</v>
      </c>
      <c r="B11">
        <v>11</v>
      </c>
      <c r="C11" t="s">
        <v>9</v>
      </c>
      <c r="D11">
        <v>500</v>
      </c>
      <c r="E11" t="s">
        <v>25</v>
      </c>
    </row>
    <row r="12" spans="1:5">
      <c r="A12" t="s">
        <v>107</v>
      </c>
      <c r="B12">
        <v>13</v>
      </c>
      <c r="C12" t="s">
        <v>102</v>
      </c>
      <c r="D12">
        <v>2400</v>
      </c>
      <c r="E12" t="s">
        <v>25</v>
      </c>
    </row>
    <row r="13" spans="1:5">
      <c r="A13" t="s">
        <v>105</v>
      </c>
      <c r="B13">
        <v>15</v>
      </c>
      <c r="C13" t="s">
        <v>104</v>
      </c>
      <c r="D13">
        <v>800</v>
      </c>
      <c r="E13" t="s">
        <v>25</v>
      </c>
    </row>
    <row r="14" spans="1:5">
      <c r="A14" t="s">
        <v>107</v>
      </c>
      <c r="B14">
        <v>16</v>
      </c>
      <c r="C14" t="s">
        <v>102</v>
      </c>
      <c r="D14">
        <v>1450</v>
      </c>
      <c r="E14" t="s">
        <v>25</v>
      </c>
    </row>
    <row r="15" spans="1:5">
      <c r="A15" t="s">
        <v>5</v>
      </c>
      <c r="B15">
        <v>18</v>
      </c>
      <c r="C15" t="s">
        <v>6</v>
      </c>
      <c r="D15">
        <v>268</v>
      </c>
      <c r="E15" t="s">
        <v>25</v>
      </c>
    </row>
    <row r="16" spans="1:5">
      <c r="A16" t="s">
        <v>107</v>
      </c>
      <c r="B16">
        <v>24</v>
      </c>
      <c r="C16" t="s">
        <v>102</v>
      </c>
      <c r="D16">
        <v>1450</v>
      </c>
      <c r="E16" t="s">
        <v>25</v>
      </c>
    </row>
    <row r="17" spans="1:5">
      <c r="A17" t="s">
        <v>7</v>
      </c>
      <c r="B17">
        <v>24</v>
      </c>
      <c r="C17" t="s">
        <v>9</v>
      </c>
      <c r="D17">
        <v>300</v>
      </c>
      <c r="E17" t="s">
        <v>25</v>
      </c>
    </row>
    <row r="18" spans="1:5">
      <c r="A18" t="s">
        <v>7</v>
      </c>
      <c r="B18">
        <v>25</v>
      </c>
      <c r="C18" t="s">
        <v>9</v>
      </c>
      <c r="D18">
        <v>200</v>
      </c>
      <c r="E18" t="s">
        <v>25</v>
      </c>
    </row>
    <row r="19" spans="1:5">
      <c r="A19" t="s">
        <v>95</v>
      </c>
      <c r="B19">
        <v>27</v>
      </c>
      <c r="C19" t="s">
        <v>9</v>
      </c>
      <c r="D19">
        <v>300</v>
      </c>
      <c r="E19" t="s">
        <v>25</v>
      </c>
    </row>
    <row r="20" spans="1:5">
      <c r="A20" t="s">
        <v>106</v>
      </c>
      <c r="B20">
        <v>27</v>
      </c>
      <c r="C20" t="s">
        <v>103</v>
      </c>
      <c r="D20">
        <v>600</v>
      </c>
      <c r="E20" t="s">
        <v>25</v>
      </c>
    </row>
    <row r="21" spans="1:5">
      <c r="B21">
        <v>27</v>
      </c>
      <c r="C21" t="s">
        <v>82</v>
      </c>
      <c r="D21">
        <v>7392</v>
      </c>
      <c r="E21" t="s">
        <v>25</v>
      </c>
    </row>
    <row r="22" spans="1:5">
      <c r="A22" t="s">
        <v>7</v>
      </c>
      <c r="B22">
        <v>28</v>
      </c>
      <c r="C22" t="s">
        <v>9</v>
      </c>
      <c r="D22">
        <v>300</v>
      </c>
      <c r="E22" t="s">
        <v>25</v>
      </c>
    </row>
    <row r="23" spans="1:5">
      <c r="A23" t="s">
        <v>5</v>
      </c>
      <c r="B23">
        <v>28</v>
      </c>
      <c r="C23" t="s">
        <v>6</v>
      </c>
      <c r="D23">
        <v>697</v>
      </c>
      <c r="E23" t="s">
        <v>25</v>
      </c>
    </row>
    <row r="24" spans="1:5">
      <c r="A24" t="s">
        <v>7</v>
      </c>
      <c r="B24">
        <v>29</v>
      </c>
      <c r="C24" t="s">
        <v>9</v>
      </c>
      <c r="D24">
        <v>300</v>
      </c>
      <c r="E24" t="s">
        <v>25</v>
      </c>
    </row>
    <row r="25" spans="1:5">
      <c r="A25" t="s">
        <v>5</v>
      </c>
      <c r="B25">
        <v>29</v>
      </c>
      <c r="C25" t="s">
        <v>6</v>
      </c>
      <c r="D25">
        <v>2013</v>
      </c>
      <c r="E25" t="s">
        <v>25</v>
      </c>
    </row>
    <row r="26" spans="1:5">
      <c r="A26" t="s">
        <v>3</v>
      </c>
      <c r="B26">
        <v>29</v>
      </c>
      <c r="C26" t="s">
        <v>6</v>
      </c>
      <c r="D26">
        <v>340</v>
      </c>
      <c r="E26" t="s">
        <v>25</v>
      </c>
    </row>
    <row r="27" spans="1:5">
      <c r="A27" t="s">
        <v>106</v>
      </c>
      <c r="B27">
        <v>29</v>
      </c>
      <c r="C27" t="s">
        <v>103</v>
      </c>
      <c r="D27">
        <v>2800</v>
      </c>
      <c r="E27" t="s">
        <v>25</v>
      </c>
    </row>
    <row r="28" spans="1:5">
      <c r="A28" t="s">
        <v>108</v>
      </c>
      <c r="B28">
        <v>30</v>
      </c>
      <c r="C28" t="s">
        <v>102</v>
      </c>
      <c r="D28">
        <v>265</v>
      </c>
      <c r="E28" t="s">
        <v>25</v>
      </c>
    </row>
    <row r="29" spans="1:5">
      <c r="A29" t="s">
        <v>5</v>
      </c>
      <c r="B29">
        <v>30</v>
      </c>
      <c r="C29" t="s">
        <v>6</v>
      </c>
      <c r="D29">
        <v>942</v>
      </c>
      <c r="E29" t="s">
        <v>25</v>
      </c>
    </row>
    <row r="30" spans="1:5">
      <c r="A30" t="s">
        <v>5</v>
      </c>
      <c r="B30">
        <v>31</v>
      </c>
      <c r="C30" t="s">
        <v>6</v>
      </c>
      <c r="D30">
        <v>233</v>
      </c>
      <c r="E30" t="s">
        <v>25</v>
      </c>
    </row>
    <row r="31" spans="1:5">
      <c r="B31">
        <v>31</v>
      </c>
      <c r="C31" t="s">
        <v>82</v>
      </c>
      <c r="D31">
        <v>2257</v>
      </c>
      <c r="E31" t="s">
        <v>25</v>
      </c>
    </row>
    <row r="32" spans="1:5">
      <c r="A32" t="s">
        <v>109</v>
      </c>
      <c r="B32">
        <v>31</v>
      </c>
      <c r="C32" t="s">
        <v>104</v>
      </c>
      <c r="D32">
        <v>20</v>
      </c>
      <c r="E32" t="s">
        <v>25</v>
      </c>
    </row>
    <row r="33" spans="1:5">
      <c r="A33" t="s">
        <v>109</v>
      </c>
      <c r="B33">
        <v>31</v>
      </c>
      <c r="C33" t="s">
        <v>104</v>
      </c>
      <c r="D33">
        <v>3380</v>
      </c>
      <c r="E33" t="s">
        <v>25</v>
      </c>
    </row>
    <row r="34" spans="1:5">
      <c r="A34" t="s">
        <v>3</v>
      </c>
      <c r="B34">
        <v>31</v>
      </c>
      <c r="C34" t="s">
        <v>9</v>
      </c>
      <c r="D34">
        <v>270</v>
      </c>
      <c r="E34" t="s">
        <v>25</v>
      </c>
    </row>
    <row r="35" spans="1:5">
      <c r="A35" t="s">
        <v>3</v>
      </c>
      <c r="B35">
        <v>31</v>
      </c>
      <c r="C35" t="s">
        <v>9</v>
      </c>
      <c r="D35">
        <v>200</v>
      </c>
      <c r="E35" t="s">
        <v>25</v>
      </c>
    </row>
    <row r="36" spans="1:5">
      <c r="A36" t="s">
        <v>95</v>
      </c>
      <c r="B36">
        <v>31</v>
      </c>
      <c r="C36" t="s">
        <v>9</v>
      </c>
      <c r="D36">
        <v>300</v>
      </c>
      <c r="E36" t="s">
        <v>25</v>
      </c>
    </row>
    <row r="37" spans="1:5">
      <c r="A37" t="s">
        <v>96</v>
      </c>
      <c r="B37">
        <v>0</v>
      </c>
      <c r="C37" t="s">
        <v>8</v>
      </c>
      <c r="D37">
        <v>1300</v>
      </c>
      <c r="E37" t="s">
        <v>25</v>
      </c>
    </row>
    <row r="38" spans="1:5">
      <c r="A38" t="s">
        <v>96</v>
      </c>
      <c r="B38">
        <v>0</v>
      </c>
      <c r="C38" t="s">
        <v>102</v>
      </c>
      <c r="D38">
        <v>5880</v>
      </c>
      <c r="E38" t="s">
        <v>25</v>
      </c>
    </row>
    <row r="39" spans="1:5">
      <c r="A39" t="s">
        <v>96</v>
      </c>
      <c r="B39">
        <v>0</v>
      </c>
      <c r="C39" t="s">
        <v>9</v>
      </c>
      <c r="D39">
        <v>1100</v>
      </c>
      <c r="E39" t="s">
        <v>25</v>
      </c>
    </row>
    <row r="40" spans="1:5">
      <c r="A40" t="s">
        <v>96</v>
      </c>
      <c r="B40">
        <v>0</v>
      </c>
      <c r="C40" t="s">
        <v>6</v>
      </c>
      <c r="D40">
        <v>4150</v>
      </c>
      <c r="E40" t="s">
        <v>25</v>
      </c>
    </row>
    <row r="41" spans="1:5">
      <c r="A41" t="s">
        <v>96</v>
      </c>
      <c r="B41">
        <v>0</v>
      </c>
      <c r="C41" t="s">
        <v>103</v>
      </c>
      <c r="D41">
        <v>7500</v>
      </c>
      <c r="E41" t="s">
        <v>25</v>
      </c>
    </row>
    <row r="42" spans="1:5">
      <c r="A42" t="s">
        <v>96</v>
      </c>
      <c r="B42">
        <v>0</v>
      </c>
      <c r="C42" t="s">
        <v>104</v>
      </c>
      <c r="D42">
        <v>7350</v>
      </c>
      <c r="E42" t="s">
        <v>25</v>
      </c>
    </row>
    <row r="43" spans="1:5">
      <c r="A43" t="s">
        <v>3</v>
      </c>
      <c r="B43">
        <v>28</v>
      </c>
      <c r="C43" t="s">
        <v>6</v>
      </c>
      <c r="D43">
        <v>-44</v>
      </c>
      <c r="E43" t="s">
        <v>26</v>
      </c>
    </row>
    <row r="44" spans="1:5">
      <c r="A44" t="s">
        <v>96</v>
      </c>
      <c r="B44">
        <v>0</v>
      </c>
      <c r="C44" t="s">
        <v>6</v>
      </c>
      <c r="D44">
        <v>-100</v>
      </c>
      <c r="E44" t="s">
        <v>26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7"/>
  <sheetViews>
    <sheetView showRowColHeaders="0" workbookViewId="0">
      <selection activeCell="D7" sqref="D7"/>
    </sheetView>
  </sheetViews>
  <sheetFormatPr defaultRowHeight="15"/>
  <cols>
    <col min="1" max="1" width="21.42578125" customWidth="1"/>
    <col min="2" max="2" width="42" customWidth="1"/>
    <col min="3" max="3" width="24.28515625" customWidth="1"/>
    <col min="4" max="4" width="30.5703125" style="46" customWidth="1"/>
    <col min="5" max="7" width="30.5703125" customWidth="1"/>
  </cols>
  <sheetData>
    <row r="1" spans="1:6" ht="21.75" thickBot="1">
      <c r="C1" s="49" t="s">
        <v>127</v>
      </c>
      <c r="D1" s="49"/>
    </row>
    <row r="2" spans="1:6" ht="21.75" thickTop="1">
      <c r="C2" s="50"/>
      <c r="D2" s="51"/>
    </row>
    <row r="3" spans="1:6" ht="21.75" thickBot="1">
      <c r="C3" s="52" t="s">
        <v>119</v>
      </c>
      <c r="D3" s="48">
        <v>13</v>
      </c>
    </row>
    <row r="4" spans="1:6" ht="22.5" thickTop="1" thickBot="1">
      <c r="C4" s="52" t="s">
        <v>120</v>
      </c>
      <c r="D4" s="48" t="s">
        <v>124</v>
      </c>
    </row>
    <row r="5" spans="1:6" ht="22.5" thickTop="1" thickBot="1">
      <c r="C5" s="52" t="s">
        <v>121</v>
      </c>
      <c r="D5" s="48">
        <v>11</v>
      </c>
    </row>
    <row r="6" spans="1:6" ht="22.5" thickTop="1" thickBot="1">
      <c r="C6" s="52" t="s">
        <v>122</v>
      </c>
      <c r="D6" s="48" t="s">
        <v>125</v>
      </c>
    </row>
    <row r="7" spans="1:6" ht="22.5" thickTop="1" thickBot="1">
      <c r="A7" s="53" t="s">
        <v>190</v>
      </c>
      <c r="B7" s="53"/>
      <c r="C7" s="52" t="s">
        <v>123</v>
      </c>
      <c r="D7" s="48" t="s">
        <v>126</v>
      </c>
      <c r="E7" s="54" t="s">
        <v>191</v>
      </c>
      <c r="F7" s="54"/>
    </row>
    <row r="8" spans="1:6" ht="15.75" thickTop="1">
      <c r="A8" s="45" t="s">
        <v>137</v>
      </c>
      <c r="B8" s="45" t="s">
        <v>138</v>
      </c>
      <c r="E8" s="45" t="s">
        <v>188</v>
      </c>
      <c r="F8" s="45" t="s">
        <v>189</v>
      </c>
    </row>
    <row r="9" spans="1:6">
      <c r="A9" s="47" t="s">
        <v>124</v>
      </c>
      <c r="B9" s="45" t="s">
        <v>128</v>
      </c>
      <c r="E9" s="47" t="s">
        <v>124</v>
      </c>
      <c r="F9" s="45" t="s">
        <v>139</v>
      </c>
    </row>
    <row r="10" spans="1:6">
      <c r="A10" s="47" t="s">
        <v>192</v>
      </c>
      <c r="B10" s="45" t="s">
        <v>129</v>
      </c>
      <c r="E10" s="47" t="s">
        <v>192</v>
      </c>
      <c r="F10" s="45" t="s">
        <v>140</v>
      </c>
    </row>
    <row r="11" spans="1:6" ht="15" customHeight="1">
      <c r="A11" s="47" t="s">
        <v>193</v>
      </c>
      <c r="B11" s="45" t="s">
        <v>130</v>
      </c>
      <c r="E11" s="47" t="s">
        <v>193</v>
      </c>
      <c r="F11" s="45" t="s">
        <v>141</v>
      </c>
    </row>
    <row r="12" spans="1:6" ht="15" customHeight="1">
      <c r="A12" s="47" t="s">
        <v>194</v>
      </c>
      <c r="B12" s="45" t="s">
        <v>131</v>
      </c>
      <c r="E12" s="47" t="s">
        <v>194</v>
      </c>
      <c r="F12" s="45" t="s">
        <v>142</v>
      </c>
    </row>
    <row r="13" spans="1:6" ht="15" customHeight="1">
      <c r="A13" s="47" t="s">
        <v>195</v>
      </c>
      <c r="B13" s="45" t="s">
        <v>132</v>
      </c>
      <c r="E13" s="47" t="s">
        <v>195</v>
      </c>
      <c r="F13" s="45" t="s">
        <v>143</v>
      </c>
    </row>
    <row r="14" spans="1:6" ht="15" customHeight="1">
      <c r="A14" s="47" t="s">
        <v>196</v>
      </c>
      <c r="B14" s="45" t="s">
        <v>133</v>
      </c>
      <c r="E14" s="47" t="s">
        <v>196</v>
      </c>
      <c r="F14" s="45" t="s">
        <v>144</v>
      </c>
    </row>
    <row r="15" spans="1:6" ht="15" customHeight="1">
      <c r="A15" s="47" t="s">
        <v>197</v>
      </c>
      <c r="B15" s="45" t="s">
        <v>134</v>
      </c>
      <c r="E15" s="47" t="s">
        <v>197</v>
      </c>
      <c r="F15" s="45" t="s">
        <v>145</v>
      </c>
    </row>
    <row r="16" spans="1:6" ht="15" customHeight="1">
      <c r="A16" s="47" t="s">
        <v>198</v>
      </c>
      <c r="B16" s="45" t="s">
        <v>135</v>
      </c>
      <c r="E16" s="47" t="s">
        <v>198</v>
      </c>
      <c r="F16" s="45" t="s">
        <v>146</v>
      </c>
    </row>
    <row r="17" spans="1:6" ht="15" customHeight="1">
      <c r="A17" s="47" t="s">
        <v>199</v>
      </c>
      <c r="B17" s="45" t="s">
        <v>136</v>
      </c>
      <c r="E17" s="47" t="s">
        <v>199</v>
      </c>
      <c r="F17" s="45" t="s">
        <v>147</v>
      </c>
    </row>
    <row r="18" spans="1:6" ht="15" customHeight="1">
      <c r="E18" s="47">
        <v>10</v>
      </c>
      <c r="F18" s="45" t="s">
        <v>148</v>
      </c>
    </row>
    <row r="19" spans="1:6">
      <c r="E19" s="47">
        <v>11</v>
      </c>
      <c r="F19" s="45" t="s">
        <v>149</v>
      </c>
    </row>
    <row r="20" spans="1:6">
      <c r="E20" s="47">
        <v>15</v>
      </c>
      <c r="F20" s="45" t="s">
        <v>150</v>
      </c>
    </row>
    <row r="21" spans="1:6">
      <c r="E21" s="47">
        <v>16</v>
      </c>
      <c r="F21" s="45" t="s">
        <v>151</v>
      </c>
    </row>
    <row r="22" spans="1:6">
      <c r="E22" s="47">
        <v>18</v>
      </c>
      <c r="F22" s="45" t="s">
        <v>152</v>
      </c>
    </row>
    <row r="23" spans="1:6">
      <c r="E23" s="47">
        <v>21</v>
      </c>
      <c r="F23" s="45" t="s">
        <v>153</v>
      </c>
    </row>
    <row r="24" spans="1:6">
      <c r="E24" s="47">
        <v>22</v>
      </c>
      <c r="F24" s="45" t="s">
        <v>154</v>
      </c>
    </row>
    <row r="25" spans="1:6">
      <c r="E25" s="47">
        <v>23</v>
      </c>
      <c r="F25" s="45" t="s">
        <v>155</v>
      </c>
    </row>
    <row r="26" spans="1:6">
      <c r="E26" s="47">
        <v>24</v>
      </c>
      <c r="F26" s="45" t="s">
        <v>156</v>
      </c>
    </row>
    <row r="27" spans="1:6">
      <c r="E27" s="47">
        <v>25</v>
      </c>
      <c r="F27" s="45" t="s">
        <v>157</v>
      </c>
    </row>
    <row r="28" spans="1:6">
      <c r="E28" s="47">
        <v>27</v>
      </c>
      <c r="F28" s="45" t="s">
        <v>158</v>
      </c>
    </row>
    <row r="29" spans="1:6">
      <c r="E29" s="47">
        <v>28</v>
      </c>
      <c r="F29" s="45" t="s">
        <v>159</v>
      </c>
    </row>
    <row r="30" spans="1:6">
      <c r="E30" s="47">
        <v>30</v>
      </c>
      <c r="F30" s="45" t="s">
        <v>160</v>
      </c>
    </row>
    <row r="31" spans="1:6">
      <c r="E31" s="47">
        <v>31</v>
      </c>
      <c r="F31" s="45" t="s">
        <v>161</v>
      </c>
    </row>
    <row r="32" spans="1:6">
      <c r="E32" s="47">
        <v>32</v>
      </c>
      <c r="F32" s="45" t="s">
        <v>162</v>
      </c>
    </row>
    <row r="33" spans="5:6">
      <c r="E33" s="47">
        <v>33</v>
      </c>
      <c r="F33" s="45" t="s">
        <v>163</v>
      </c>
    </row>
    <row r="34" spans="5:6">
      <c r="E34" s="47">
        <v>34</v>
      </c>
      <c r="F34" s="45" t="s">
        <v>164</v>
      </c>
    </row>
    <row r="35" spans="5:6">
      <c r="E35" s="47">
        <v>35</v>
      </c>
      <c r="F35" s="45" t="s">
        <v>165</v>
      </c>
    </row>
    <row r="36" spans="5:6">
      <c r="E36" s="47">
        <v>36</v>
      </c>
      <c r="F36" s="45" t="s">
        <v>166</v>
      </c>
    </row>
    <row r="37" spans="5:6">
      <c r="E37" s="47">
        <v>37</v>
      </c>
      <c r="F37" s="45" t="s">
        <v>167</v>
      </c>
    </row>
    <row r="38" spans="5:6">
      <c r="E38" s="47">
        <v>38</v>
      </c>
      <c r="F38" s="45" t="s">
        <v>168</v>
      </c>
    </row>
    <row r="39" spans="5:6">
      <c r="E39" s="47">
        <v>39</v>
      </c>
      <c r="F39" s="45" t="s">
        <v>169</v>
      </c>
    </row>
    <row r="40" spans="5:6">
      <c r="E40" s="47">
        <v>40</v>
      </c>
      <c r="F40" s="45" t="s">
        <v>170</v>
      </c>
    </row>
    <row r="41" spans="5:6">
      <c r="E41" s="47">
        <v>41</v>
      </c>
      <c r="F41" s="45" t="s">
        <v>171</v>
      </c>
    </row>
    <row r="42" spans="5:6">
      <c r="E42" s="47">
        <v>42</v>
      </c>
      <c r="F42" s="45" t="s">
        <v>172</v>
      </c>
    </row>
    <row r="43" spans="5:6">
      <c r="E43" s="47">
        <v>43</v>
      </c>
      <c r="F43" s="45" t="s">
        <v>173</v>
      </c>
    </row>
    <row r="44" spans="5:6">
      <c r="E44" s="47">
        <v>44</v>
      </c>
      <c r="F44" s="45" t="s">
        <v>174</v>
      </c>
    </row>
    <row r="45" spans="5:6">
      <c r="E45" s="47">
        <v>45</v>
      </c>
      <c r="F45" s="45" t="s">
        <v>175</v>
      </c>
    </row>
    <row r="46" spans="5:6">
      <c r="E46" s="47">
        <v>46</v>
      </c>
      <c r="F46" s="45" t="s">
        <v>176</v>
      </c>
    </row>
    <row r="47" spans="5:6">
      <c r="E47" s="47">
        <v>47</v>
      </c>
      <c r="F47" s="45" t="s">
        <v>177</v>
      </c>
    </row>
    <row r="48" spans="5:6">
      <c r="E48" s="47">
        <v>48</v>
      </c>
      <c r="F48" s="45" t="s">
        <v>178</v>
      </c>
    </row>
    <row r="49" spans="5:6">
      <c r="E49" s="47">
        <v>49</v>
      </c>
      <c r="F49" s="45" t="s">
        <v>179</v>
      </c>
    </row>
    <row r="50" spans="5:6">
      <c r="E50" s="47">
        <v>61</v>
      </c>
      <c r="F50" s="45" t="s">
        <v>180</v>
      </c>
    </row>
    <row r="51" spans="5:6">
      <c r="E51" s="47">
        <v>62</v>
      </c>
      <c r="F51" s="45" t="s">
        <v>181</v>
      </c>
    </row>
    <row r="52" spans="5:6">
      <c r="E52" s="47">
        <v>63</v>
      </c>
      <c r="F52" s="45" t="s">
        <v>182</v>
      </c>
    </row>
    <row r="53" spans="5:6">
      <c r="E53" s="47">
        <v>64</v>
      </c>
      <c r="F53" s="45" t="s">
        <v>183</v>
      </c>
    </row>
    <row r="54" spans="5:6">
      <c r="E54" s="47">
        <v>65</v>
      </c>
      <c r="F54" s="45" t="s">
        <v>184</v>
      </c>
    </row>
    <row r="55" spans="5:6">
      <c r="E55" s="47">
        <v>66</v>
      </c>
      <c r="F55" s="45" t="s">
        <v>185</v>
      </c>
    </row>
    <row r="56" spans="5:6">
      <c r="E56" s="47">
        <v>67</v>
      </c>
      <c r="F56" s="45" t="s">
        <v>186</v>
      </c>
    </row>
    <row r="57" spans="5:6">
      <c r="E57" s="47">
        <v>68</v>
      </c>
      <c r="F57" s="45" t="s">
        <v>187</v>
      </c>
    </row>
  </sheetData>
  <mergeCells count="3">
    <mergeCell ref="C1:D1"/>
    <mergeCell ref="A7:B7"/>
    <mergeCell ref="E7:F7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L12"/>
  <sheetViews>
    <sheetView workbookViewId="0">
      <pane xSplit="6" ySplit="4" topLeftCell="Z5" activePane="bottomRight" state="frozen"/>
      <selection pane="topRight" activeCell="G1" sqref="G1"/>
      <selection pane="bottomLeft" activeCell="A5" sqref="A5"/>
      <selection pane="bottomRight" activeCell="B7" sqref="B7"/>
    </sheetView>
  </sheetViews>
  <sheetFormatPr defaultRowHeight="12"/>
  <cols>
    <col min="1" max="1" width="7.7109375" style="1" bestFit="1" customWidth="1"/>
    <col min="2" max="2" width="81.140625" style="2" customWidth="1"/>
    <col min="3" max="3" width="10" style="2" bestFit="1" customWidth="1"/>
    <col min="4" max="4" width="13.42578125" style="2" customWidth="1"/>
    <col min="5" max="5" width="26" style="4" customWidth="1"/>
    <col min="6" max="6" width="5.42578125" style="4" bestFit="1" customWidth="1"/>
    <col min="7" max="8" width="4.140625" style="1" customWidth="1"/>
    <col min="9" max="9" width="4.42578125" style="1" customWidth="1"/>
    <col min="10" max="13" width="4.140625" style="1" customWidth="1"/>
    <col min="14" max="14" width="4.140625" style="1" bestFit="1" customWidth="1"/>
    <col min="15" max="15" width="4.42578125" style="1" customWidth="1"/>
    <col min="16" max="16" width="5" style="1" customWidth="1"/>
    <col min="17" max="17" width="5" style="1" bestFit="1" customWidth="1"/>
    <col min="18" max="18" width="5" style="1" customWidth="1"/>
    <col min="19" max="19" width="5" style="1" bestFit="1" customWidth="1"/>
    <col min="20" max="20" width="5" style="1" customWidth="1"/>
    <col min="21" max="21" width="5" style="1" bestFit="1" customWidth="1"/>
    <col min="22" max="23" width="5" style="1" customWidth="1"/>
    <col min="24" max="25" width="5" style="1" bestFit="1" customWidth="1"/>
    <col min="26" max="26" width="5" style="1" customWidth="1"/>
    <col min="27" max="27" width="5" style="1" bestFit="1" customWidth="1"/>
    <col min="28" max="28" width="5" style="1" customWidth="1"/>
    <col min="29" max="29" width="5" style="1" bestFit="1" customWidth="1"/>
    <col min="30" max="31" width="5" style="1" customWidth="1"/>
    <col min="32" max="32" width="5" style="1" bestFit="1" customWidth="1"/>
    <col min="33" max="33" width="5" style="1" customWidth="1"/>
    <col min="34" max="34" width="5" style="1" bestFit="1" customWidth="1"/>
    <col min="35" max="37" width="5" style="1" customWidth="1"/>
    <col min="38" max="38" width="6.85546875" style="1" customWidth="1"/>
    <col min="39" max="16384" width="9.140625" style="1"/>
  </cols>
  <sheetData>
    <row r="1" spans="1:38" ht="27" thickBot="1">
      <c r="A1" s="42" t="s">
        <v>58</v>
      </c>
      <c r="B1" s="42"/>
      <c r="G1" s="44" t="s">
        <v>89</v>
      </c>
      <c r="H1" s="44"/>
      <c r="I1" s="44"/>
      <c r="J1" s="44"/>
      <c r="K1" s="44"/>
      <c r="L1" s="13" t="s">
        <v>25</v>
      </c>
      <c r="M1" s="21" t="s">
        <v>71</v>
      </c>
      <c r="N1" s="20" t="s">
        <v>26</v>
      </c>
      <c r="O1" s="18" t="s">
        <v>90</v>
      </c>
      <c r="P1" s="19" t="s">
        <v>88</v>
      </c>
    </row>
    <row r="2" spans="1:38" ht="13.5" thickTop="1">
      <c r="D2" s="43" t="s">
        <v>75</v>
      </c>
      <c r="E2" s="43"/>
    </row>
    <row r="3" spans="1:38" ht="30.75" customHeight="1">
      <c r="G3" s="7" t="str">
        <f>MID(CHOOSE(WEEKDAY(DATE(MasterSheet!$B1,MasterSheet!$A1,Table_ExternalData_1[[#Headers],[1]])),"Sunday","Monday","Tuesday","Wednesday","Thursday","Friday","Saturday"),1,3)</f>
        <v>Wed</v>
      </c>
      <c r="H3" s="7" t="str">
        <f>MID(CHOOSE(WEEKDAY(DATE(MasterSheet!$B1,MasterSheet!$A1,Table_ExternalData_1[[#Headers],[2]])),"Sunday","Monday","Tuesday","Wednesday","Thursday","Friday","Saturday"),1,3)</f>
        <v>Thu</v>
      </c>
      <c r="I3" s="7" t="str">
        <f>MID(CHOOSE(WEEKDAY(DATE(MasterSheet!$B1,MasterSheet!$A1,Table_ExternalData_1[[#Headers],[3]])),"Sunday","Monday","Tuesday","Wednesday","Thursday","Friday","Saturday"),1,3)</f>
        <v>Fri</v>
      </c>
      <c r="J3" s="7" t="str">
        <f>MID(CHOOSE(WEEKDAY(DATE(MasterSheet!$B1,MasterSheet!$A1,Table_ExternalData_1[[#Headers],[4]])),"Sunday","Monday","Tuesday","Wednesday","Thursday","Friday","Saturday"),1,3)</f>
        <v>Sat</v>
      </c>
      <c r="K3" s="7" t="str">
        <f>MID(CHOOSE(WEEKDAY(DATE(MasterSheet!$B1,MasterSheet!$A1,Table_ExternalData_1[[#Headers],[5]])),"Sunday","Monday","Tuesday","Wednesday","Thursday","Friday","Saturday"),1,3)</f>
        <v>Sun</v>
      </c>
      <c r="L3" s="7" t="str">
        <f>MID(CHOOSE(WEEKDAY(DATE(MasterSheet!$B1,MasterSheet!$A1,Table_ExternalData_1[[#Headers],[2]])),"Sunday","Monday","Tuesday","Wednesday","Thursday","Friday","Saturday"),1,3)</f>
        <v>Thu</v>
      </c>
      <c r="M3" s="7" t="str">
        <f>MID(CHOOSE(WEEKDAY(DATE(MasterSheet!$B1,MasterSheet!$A1,Table_ExternalData_1[[#Headers],[3]])),"Sunday","Monday","Tuesday","Wednesday","Thursday","Friday","Saturday"),1,3)</f>
        <v>Fri</v>
      </c>
      <c r="N3" s="7" t="str">
        <f>MID(CHOOSE(WEEKDAY(DATE(MasterSheet!$B1,MasterSheet!$A1,Table_ExternalData_1[[#Headers],[4]])),"Sunday","Monday","Tuesday","Wednesday","Thursday","Friday","Saturday"),1,3)</f>
        <v>Sat</v>
      </c>
      <c r="O3" s="7" t="str">
        <f>MID(CHOOSE(WEEKDAY(DATE(MasterSheet!$B1,MasterSheet!$A1,Table_ExternalData_1[[#Headers],[5]])),"Sunday","Monday","Tuesday","Wednesday","Thursday","Friday","Saturday"),1,3)</f>
        <v>Sun</v>
      </c>
      <c r="P3" s="7" t="str">
        <f>MID(CHOOSE(WEEKDAY(DATE(MasterSheet!$B1,MasterSheet!$A1,Table_ExternalData_1[[#Headers],[6]])),"Sunday","Monday","Tuesday","Wednesday","Thursday","Friday","Saturday"),1,3)</f>
        <v>Mon</v>
      </c>
      <c r="Q3" s="7" t="str">
        <f>MID(CHOOSE(WEEKDAY(DATE(MasterSheet!$B1,MasterSheet!$A1,Table_ExternalData_1[[#Headers],[3]])),"Sunday","Monday","Tuesday","Wednesday","Thursday","Friday","Saturday"),1,3)</f>
        <v>Fri</v>
      </c>
      <c r="R3" s="7" t="str">
        <f>MID(CHOOSE(WEEKDAY(DATE(MasterSheet!$B1,MasterSheet!$A1,Table_ExternalData_1[[#Headers],[4]])),"Sunday","Monday","Tuesday","Wednesday","Thursday","Friday","Saturday"),1,3)</f>
        <v>Sat</v>
      </c>
      <c r="S3" s="7" t="str">
        <f>MID(CHOOSE(WEEKDAY(DATE(MasterSheet!$B1,MasterSheet!$A1,Table_ExternalData_1[[#Headers],[5]])),"Sunday","Monday","Tuesday","Wednesday","Thursday","Friday","Saturday"),1,3)</f>
        <v>Sun</v>
      </c>
      <c r="T3" s="7" t="str">
        <f>MID(CHOOSE(WEEKDAY(DATE(MasterSheet!$B1,MasterSheet!$A1,Table_ExternalData_1[[#Headers],[6]])),"Sunday","Monday","Tuesday","Wednesday","Thursday","Friday","Saturday"),1,3)</f>
        <v>Mon</v>
      </c>
      <c r="U3" s="7" t="str">
        <f>MID(CHOOSE(WEEKDAY(DATE(MasterSheet!$B1,MasterSheet!$A1,Table_ExternalData_1[[#Headers],[7]])),"Sunday","Monday","Tuesday","Wednesday","Thursday","Friday","Saturday"),1,3)</f>
        <v>Tue</v>
      </c>
      <c r="V3" s="7" t="str">
        <f>MID(CHOOSE(WEEKDAY(DATE(MasterSheet!$B1,MasterSheet!$A1,Table_ExternalData_1[[#Headers],[4]])),"Sunday","Monday","Tuesday","Wednesday","Thursday","Friday","Saturday"),1,3)</f>
        <v>Sat</v>
      </c>
      <c r="W3" s="7" t="str">
        <f>MID(CHOOSE(WEEKDAY(DATE(MasterSheet!$B1,MasterSheet!$A1,Table_ExternalData_1[[#Headers],[5]])),"Sunday","Monday","Tuesday","Wednesday","Thursday","Friday","Saturday"),1,3)</f>
        <v>Sun</v>
      </c>
      <c r="X3" s="7" t="str">
        <f>MID(CHOOSE(WEEKDAY(DATE(MasterSheet!$B1,MasterSheet!$A1,Table_ExternalData_1[[#Headers],[6]])),"Sunday","Monday","Tuesday","Wednesday","Thursday","Friday","Saturday"),1,3)</f>
        <v>Mon</v>
      </c>
      <c r="Y3" s="7" t="str">
        <f>MID(CHOOSE(WEEKDAY(DATE(MasterSheet!$B1,MasterSheet!$A1,Table_ExternalData_1[[#Headers],[7]])),"Sunday","Monday","Tuesday","Wednesday","Thursday","Friday","Saturday"),1,3)</f>
        <v>Tue</v>
      </c>
      <c r="Z3" s="7" t="str">
        <f>MID(CHOOSE(WEEKDAY(DATE(MasterSheet!$B1,MasterSheet!$A1,Table_ExternalData_1[[#Headers],[8]])),"Sunday","Monday","Tuesday","Wednesday","Thursday","Friday","Saturday"),1,3)</f>
        <v>Wed</v>
      </c>
      <c r="AA3" s="7" t="str">
        <f>MID(CHOOSE(WEEKDAY(DATE(MasterSheet!$B1,MasterSheet!$A1,Table_ExternalData_1[[#Headers],[5]])),"Sunday","Monday","Tuesday","Wednesday","Thursday","Friday","Saturday"),1,3)</f>
        <v>Sun</v>
      </c>
      <c r="AB3" s="7" t="str">
        <f>MID(CHOOSE(WEEKDAY(DATE(MasterSheet!$B1,MasterSheet!$A1,Table_ExternalData_1[[#Headers],[6]])),"Sunday","Monday","Tuesday","Wednesday","Thursday","Friday","Saturday"),1,3)</f>
        <v>Mon</v>
      </c>
      <c r="AC3" s="7" t="str">
        <f>MID(CHOOSE(WEEKDAY(DATE(MasterSheet!$B1,MasterSheet!$A1,Table_ExternalData_1[[#Headers],[7]])),"Sunday","Monday","Tuesday","Wednesday","Thursday","Friday","Saturday"),1,3)</f>
        <v>Tue</v>
      </c>
      <c r="AD3" s="7" t="str">
        <f>MID(CHOOSE(WEEKDAY(DATE(MasterSheet!$B1,MasterSheet!$A1,Table_ExternalData_1[[#Headers],[8]])),"Sunday","Monday","Tuesday","Wednesday","Thursday","Friday","Saturday"),1,3)</f>
        <v>Wed</v>
      </c>
      <c r="AE3" s="7" t="str">
        <f>MID(CHOOSE(WEEKDAY(DATE(MasterSheet!$B1,MasterSheet!$A1,Table_ExternalData_1[[#Headers],[9]])),"Sunday","Monday","Tuesday","Wednesday","Thursday","Friday","Saturday"),1,3)</f>
        <v>Thu</v>
      </c>
      <c r="AF3" s="7" t="str">
        <f>MID(CHOOSE(WEEKDAY(DATE(MasterSheet!$B1,MasterSheet!$A1,Table_ExternalData_1[[#Headers],[6]])),"Sunday","Monday","Tuesday","Wednesday","Thursday","Friday","Saturday"),1,3)</f>
        <v>Mon</v>
      </c>
      <c r="AG3" s="7" t="str">
        <f>MID(CHOOSE(WEEKDAY(DATE(MasterSheet!$B1,MasterSheet!$A1,Table_ExternalData_1[[#Headers],[7]])),"Sunday","Monday","Tuesday","Wednesday","Thursday","Friday","Saturday"),1,3)</f>
        <v>Tue</v>
      </c>
      <c r="AH3" s="7" t="str">
        <f>MID(CHOOSE(WEEKDAY(DATE(MasterSheet!$B1,MasterSheet!$A1,Table_ExternalData_1[[#Headers],[8]])),"Sunday","Monday","Tuesday","Wednesday","Thursday","Friday","Saturday"),1,3)</f>
        <v>Wed</v>
      </c>
      <c r="AI3" s="7" t="str">
        <f>MID(CHOOSE(WEEKDAY(DATE(MasterSheet!$B1,MasterSheet!$A1,Table_ExternalData_1[[#Headers],[9]])),"Sunday","Monday","Tuesday","Wednesday","Thursday","Friday","Saturday"),1,3)</f>
        <v>Thu</v>
      </c>
      <c r="AJ3" s="7" t="str">
        <f>MID(CHOOSE(WEEKDAY(DATE(MasterSheet!$B1,MasterSheet!$A1,Table_ExternalData_1[[#Headers],[10]])),"Sunday","Monday","Tuesday","Wednesday","Thursday","Friday","Saturday"),1,3)</f>
        <v>Fri</v>
      </c>
      <c r="AK3" s="7" t="str">
        <f>MID(CHOOSE(WEEKDAY(DATE(MasterSheet!$B1,MasterSheet!$A1,Table_ExternalData_1[[#Headers],[7]])),"Sunday","Monday","Tuesday","Wednesday","Thursday","Friday","Saturday"),1,3)</f>
        <v>Tue</v>
      </c>
    </row>
    <row r="4" spans="1:38" s="2" customFormat="1">
      <c r="A4" s="9" t="s">
        <v>72</v>
      </c>
      <c r="B4" s="2" t="s">
        <v>10</v>
      </c>
      <c r="C4" s="2" t="s">
        <v>11</v>
      </c>
      <c r="D4" s="2" t="s">
        <v>12</v>
      </c>
      <c r="E4" s="2" t="s">
        <v>13</v>
      </c>
      <c r="F4" s="5" t="s">
        <v>24</v>
      </c>
      <c r="G4" s="2" t="s">
        <v>27</v>
      </c>
      <c r="H4" s="2" t="s">
        <v>28</v>
      </c>
      <c r="I4" s="2" t="s">
        <v>29</v>
      </c>
      <c r="J4" s="2" t="s">
        <v>30</v>
      </c>
      <c r="K4" s="2" t="s">
        <v>31</v>
      </c>
      <c r="L4" s="2" t="s">
        <v>32</v>
      </c>
      <c r="M4" s="2" t="s">
        <v>33</v>
      </c>
      <c r="N4" s="2" t="s">
        <v>34</v>
      </c>
      <c r="O4" s="2" t="s">
        <v>35</v>
      </c>
      <c r="P4" s="2" t="s">
        <v>36</v>
      </c>
      <c r="Q4" s="2" t="s">
        <v>37</v>
      </c>
      <c r="R4" s="2" t="s">
        <v>38</v>
      </c>
      <c r="S4" s="2" t="s">
        <v>39</v>
      </c>
      <c r="T4" s="2" t="s">
        <v>40</v>
      </c>
      <c r="U4" s="2" t="s">
        <v>41</v>
      </c>
      <c r="V4" s="2" t="s">
        <v>42</v>
      </c>
      <c r="W4" s="2" t="s">
        <v>43</v>
      </c>
      <c r="X4" s="2" t="s">
        <v>44</v>
      </c>
      <c r="Y4" s="2" t="s">
        <v>45</v>
      </c>
      <c r="Z4" s="2" t="s">
        <v>46</v>
      </c>
      <c r="AA4" s="2" t="s">
        <v>47</v>
      </c>
      <c r="AB4" s="2" t="s">
        <v>48</v>
      </c>
      <c r="AC4" s="2" t="s">
        <v>49</v>
      </c>
      <c r="AD4" s="2" t="s">
        <v>50</v>
      </c>
      <c r="AE4" s="2" t="s">
        <v>51</v>
      </c>
      <c r="AF4" s="2" t="s">
        <v>52</v>
      </c>
      <c r="AG4" s="2" t="s">
        <v>53</v>
      </c>
      <c r="AH4" s="2" t="s">
        <v>54</v>
      </c>
      <c r="AI4" s="2" t="s">
        <v>55</v>
      </c>
      <c r="AJ4" s="2" t="s">
        <v>56</v>
      </c>
      <c r="AK4" s="2" t="s">
        <v>57</v>
      </c>
      <c r="AL4" s="2" t="s">
        <v>22</v>
      </c>
    </row>
    <row r="5" spans="1:38">
      <c r="A5" s="8" t="s">
        <v>73</v>
      </c>
      <c r="B5" s="3"/>
      <c r="C5" s="3" t="s">
        <v>82</v>
      </c>
      <c r="D5" s="3" t="s">
        <v>85</v>
      </c>
      <c r="E5" s="3" t="s">
        <v>86</v>
      </c>
      <c r="F5" s="8" t="s">
        <v>25</v>
      </c>
      <c r="G5" s="6">
        <f>SUMIFS(GQList,GIList,Table_ExternalData_1[[#This Row],[Item_key]],GDList,Table_ExternalData_1[[#Headers],[1]])</f>
        <v>0</v>
      </c>
      <c r="H5" s="6">
        <f>SUMIFS(GQList,GIList,Table_ExternalData_1[[#This Row],[Item_key]],GDList,Table_ExternalData_1[[#Headers],[2]])</f>
        <v>0</v>
      </c>
      <c r="I5" s="6">
        <f>SUMIFS(GQList,GIList,Table_ExternalData_1[[#This Row],[Item_key]],GDList,Table_ExternalData_1[[#Headers],[3]])</f>
        <v>0</v>
      </c>
      <c r="J5" s="6">
        <f>SUMIFS(GQList,GIList,Table_ExternalData_1[[#This Row],[Item_key]],GDList,Table_ExternalData_1[[#Headers],[4]])</f>
        <v>0</v>
      </c>
      <c r="K5" s="6">
        <f>SUMIFS(GQList,GIList,Table_ExternalData_1[[#This Row],[Item_key]],GDList,Table_ExternalData_1[[#Headers],[5]])</f>
        <v>0</v>
      </c>
      <c r="L5" s="6">
        <f>SUMIFS(GQList,GIList,Table_ExternalData_1[[#This Row],[Item_key]],GDList,Table_ExternalData_1[[#Headers],[6]])</f>
        <v>0</v>
      </c>
      <c r="M5" s="6">
        <f>SUMIFS(GQList,GIList,Table_ExternalData_1[[#This Row],[Item_key]],GDList,Table_ExternalData_1[[#Headers],[7]])</f>
        <v>0</v>
      </c>
      <c r="N5" s="6">
        <f>SUMIFS(GQList,GIList,Table_ExternalData_1[[#This Row],[Item_key]],GDList,Table_ExternalData_1[[#Headers],[8]])</f>
        <v>0</v>
      </c>
      <c r="O5" s="6">
        <f>SUMIFS(GQList,GIList,Table_ExternalData_1[[#This Row],[Item_key]],GDList,Table_ExternalData_1[[#Headers],[9]])</f>
        <v>0</v>
      </c>
      <c r="P5" s="6">
        <f>SUMIFS(GQList,GIList,Table_ExternalData_1[[#This Row],[Item_key]],GDList,Table_ExternalData_1[[#Headers],[10]])</f>
        <v>0</v>
      </c>
      <c r="Q5" s="6">
        <f>SUMIFS(GQList,GIList,Table_ExternalData_1[[#This Row],[Item_key]],GDList,Table_ExternalData_1[[#Headers],[11]])</f>
        <v>0</v>
      </c>
      <c r="R5" s="6">
        <f>SUMIFS(GQList,GIList,Table_ExternalData_1[[#This Row],[Item_key]],GDList,Table_ExternalData_1[[#Headers],[12]])</f>
        <v>0</v>
      </c>
      <c r="S5" s="6">
        <f>SUMIFS(GQList,GIList,Table_ExternalData_1[[#This Row],[Item_key]],GDList,Table_ExternalData_1[[#Headers],[13]])</f>
        <v>0</v>
      </c>
      <c r="T5" s="6">
        <f>SUMIFS(GQList,GIList,Table_ExternalData_1[[#This Row],[Item_key]],GDList,Table_ExternalData_1[[#Headers],[14]])</f>
        <v>0</v>
      </c>
      <c r="U5" s="6">
        <f>SUMIFS(GQList,GIList,Table_ExternalData_1[[#This Row],[Item_key]],GDList,Table_ExternalData_1[[#Headers],[15]])</f>
        <v>0</v>
      </c>
      <c r="V5" s="6">
        <f>SUMIFS(GQList,GIList,Table_ExternalData_1[[#This Row],[Item_key]],GDList,Table_ExternalData_1[[#Headers],[16]])</f>
        <v>0</v>
      </c>
      <c r="W5" s="6">
        <f>SUMIFS(GQList,GIList,Table_ExternalData_1[[#This Row],[Item_key]],GDList,Table_ExternalData_1[[#Headers],[17]])</f>
        <v>0</v>
      </c>
      <c r="X5" s="6">
        <f>SUMIFS(GQList,GIList,Table_ExternalData_1[[#This Row],[Item_key]],GDList,Table_ExternalData_1[[#Headers],[18]])</f>
        <v>0</v>
      </c>
      <c r="Y5" s="6">
        <f>SUMIFS(GQList,GIList,Table_ExternalData_1[[#This Row],[Item_key]],GDList,Table_ExternalData_1[[#Headers],[19]])</f>
        <v>0</v>
      </c>
      <c r="Z5" s="6">
        <f>SUMIFS(GQList,GIList,Table_ExternalData_1[[#This Row],[Item_key]],GDList,Table_ExternalData_1[[#Headers],[20]])</f>
        <v>0</v>
      </c>
      <c r="AA5" s="6">
        <f>SUMIFS(GQList,GIList,Table_ExternalData_1[[#This Row],[Item_key]],GDList,Table_ExternalData_1[[#Headers],[21]])</f>
        <v>0</v>
      </c>
      <c r="AB5" s="6">
        <f>SUMIFS(GQList,GIList,Table_ExternalData_1[[#This Row],[Item_key]],GDList,Table_ExternalData_1[[#Headers],[22]])</f>
        <v>0</v>
      </c>
      <c r="AC5" s="6">
        <f>SUMIFS(GQList,GIList,Table_ExternalData_1[[#This Row],[Item_key]],GDList,Table_ExternalData_1[[#Headers],[23]])</f>
        <v>0</v>
      </c>
      <c r="AD5" s="6">
        <f>SUMIFS(GQList,GIList,Table_ExternalData_1[[#This Row],[Item_key]],GDList,Table_ExternalData_1[[#Headers],[24]])</f>
        <v>0</v>
      </c>
      <c r="AE5" s="6">
        <f>SUMIFS(GQList,GIList,Table_ExternalData_1[[#This Row],[Item_key]],GDList,Table_ExternalData_1[[#Headers],[25]])</f>
        <v>0</v>
      </c>
      <c r="AF5" s="6">
        <f>SUMIFS(GQList,GIList,Table_ExternalData_1[[#This Row],[Item_key]],GDList,Table_ExternalData_1[[#Headers],[26]])</f>
        <v>0</v>
      </c>
      <c r="AG5" s="6">
        <f>SUMIFS(GQList,GIList,Table_ExternalData_1[[#This Row],[Item_key]],GDList,Table_ExternalData_1[[#Headers],[27]])</f>
        <v>7392</v>
      </c>
      <c r="AH5" s="6">
        <f>SUMIFS(GQList,GIList,Table_ExternalData_1[[#This Row],[Item_key]],GDList,Table_ExternalData_1[[#Headers],[28]])</f>
        <v>0</v>
      </c>
      <c r="AI5" s="6">
        <f>SUMIFS(GQList,GIList,Table_ExternalData_1[[#This Row],[Item_key]],GDList,Table_ExternalData_1[[#Headers],[29]])</f>
        <v>0</v>
      </c>
      <c r="AJ5" s="6">
        <f>SUMIFS(GQList,GIList,Table_ExternalData_1[[#This Row],[Item_key]],GDList,Table_ExternalData_1[[#Headers],[30]])</f>
        <v>0</v>
      </c>
      <c r="AK5" s="6">
        <f>SUMIFS(GQList,GIList,Table_ExternalData_1[[#This Row],[Item_key]],GDList,Table_ExternalData_1[[#Headers],[31]])</f>
        <v>2257</v>
      </c>
      <c r="AL5" s="6">
        <f>SUM(Table_ExternalData_1[[#This Row],[1]:[31]])</f>
        <v>9649</v>
      </c>
    </row>
    <row r="6" spans="1:38" ht="24">
      <c r="A6" s="31" t="s">
        <v>74</v>
      </c>
      <c r="B6" s="32" t="s">
        <v>100</v>
      </c>
      <c r="C6" s="32" t="s">
        <v>9</v>
      </c>
      <c r="D6" s="32" t="s">
        <v>18</v>
      </c>
      <c r="E6" s="32" t="s">
        <v>19</v>
      </c>
      <c r="F6" s="33" t="s">
        <v>25</v>
      </c>
      <c r="G6" s="34">
        <f>SUMIFS(GQList,GIList,Table_ExternalData_1[[#This Row],[Item_key]],GDList,Table_ExternalData_1[[#Headers],[1]])</f>
        <v>0</v>
      </c>
      <c r="H6" s="34">
        <f>SUMIFS(GQList,GIList,Table_ExternalData_1[[#This Row],[Item_key]],GDList,Table_ExternalData_1[[#Headers],[2]])</f>
        <v>0</v>
      </c>
      <c r="I6" s="34">
        <f>SUMIFS(GQList,GIList,Table_ExternalData_1[[#This Row],[Item_key]],GDList,Table_ExternalData_1[[#Headers],[3]])</f>
        <v>1000</v>
      </c>
      <c r="J6" s="34">
        <f>SUMIFS(GQList,GIList,Table_ExternalData_1[[#This Row],[Item_key]],GDList,Table_ExternalData_1[[#Headers],[4]])</f>
        <v>0</v>
      </c>
      <c r="K6" s="34">
        <f>SUMIFS(GQList,GIList,Table_ExternalData_1[[#This Row],[Item_key]],GDList,Table_ExternalData_1[[#Headers],[5]])</f>
        <v>0</v>
      </c>
      <c r="L6" s="34">
        <f>SUMIFS(GQList,GIList,Table_ExternalData_1[[#This Row],[Item_key]],GDList,Table_ExternalData_1[[#Headers],[6]])</f>
        <v>0</v>
      </c>
      <c r="M6" s="34">
        <f>SUMIFS(GQList,GIList,Table_ExternalData_1[[#This Row],[Item_key]],GDList,Table_ExternalData_1[[#Headers],[7]])</f>
        <v>0</v>
      </c>
      <c r="N6" s="34">
        <f>SUMIFS(GQList,GIList,Table_ExternalData_1[[#This Row],[Item_key]],GDList,Table_ExternalData_1[[#Headers],[8]])</f>
        <v>0</v>
      </c>
      <c r="O6" s="34">
        <f>SUMIFS(GQList,GIList,Table_ExternalData_1[[#This Row],[Item_key]],GDList,Table_ExternalData_1[[#Headers],[9]])</f>
        <v>400</v>
      </c>
      <c r="P6" s="34">
        <f>SUMIFS(GQList,GIList,Table_ExternalData_1[[#This Row],[Item_key]],GDList,Table_ExternalData_1[[#Headers],[10]])</f>
        <v>0</v>
      </c>
      <c r="Q6" s="34">
        <f>SUMIFS(GQList,GIList,Table_ExternalData_1[[#This Row],[Item_key]],GDList,Table_ExternalData_1[[#Headers],[11]])</f>
        <v>500</v>
      </c>
      <c r="R6" s="34">
        <f>SUMIFS(GQList,GIList,Table_ExternalData_1[[#This Row],[Item_key]],GDList,Table_ExternalData_1[[#Headers],[12]])</f>
        <v>0</v>
      </c>
      <c r="S6" s="34">
        <f>SUMIFS(GQList,GIList,Table_ExternalData_1[[#This Row],[Item_key]],GDList,Table_ExternalData_1[[#Headers],[13]])</f>
        <v>0</v>
      </c>
      <c r="T6" s="34">
        <f>SUMIFS(GQList,GIList,Table_ExternalData_1[[#This Row],[Item_key]],GDList,Table_ExternalData_1[[#Headers],[14]])</f>
        <v>0</v>
      </c>
      <c r="U6" s="34">
        <f>SUMIFS(GQList,GIList,Table_ExternalData_1[[#This Row],[Item_key]],GDList,Table_ExternalData_1[[#Headers],[15]])</f>
        <v>0</v>
      </c>
      <c r="V6" s="34">
        <f>SUMIFS(GQList,GIList,Table_ExternalData_1[[#This Row],[Item_key]],GDList,Table_ExternalData_1[[#Headers],[16]])</f>
        <v>0</v>
      </c>
      <c r="W6" s="34">
        <f>SUMIFS(GQList,GIList,Table_ExternalData_1[[#This Row],[Item_key]],GDList,Table_ExternalData_1[[#Headers],[17]])</f>
        <v>0</v>
      </c>
      <c r="X6" s="34">
        <f>SUMIFS(GQList,GIList,Table_ExternalData_1[[#This Row],[Item_key]],GDList,Table_ExternalData_1[[#Headers],[18]])</f>
        <v>0</v>
      </c>
      <c r="Y6" s="34">
        <f>SUMIFS(GQList,GIList,Table_ExternalData_1[[#This Row],[Item_key]],GDList,Table_ExternalData_1[[#Headers],[19]])</f>
        <v>0</v>
      </c>
      <c r="Z6" s="34">
        <f>SUMIFS(GQList,GIList,Table_ExternalData_1[[#This Row],[Item_key]],GDList,Table_ExternalData_1[[#Headers],[20]])</f>
        <v>0</v>
      </c>
      <c r="AA6" s="34">
        <f>SUMIFS(GQList,GIList,Table_ExternalData_1[[#This Row],[Item_key]],GDList,Table_ExternalData_1[[#Headers],[21]])</f>
        <v>0</v>
      </c>
      <c r="AB6" s="34">
        <f>SUMIFS(GQList,GIList,Table_ExternalData_1[[#This Row],[Item_key]],GDList,Table_ExternalData_1[[#Headers],[22]])</f>
        <v>0</v>
      </c>
      <c r="AC6" s="34">
        <f>SUMIFS(GQList,GIList,Table_ExternalData_1[[#This Row],[Item_key]],GDList,Table_ExternalData_1[[#Headers],[23]])</f>
        <v>0</v>
      </c>
      <c r="AD6" s="34">
        <f>SUMIFS(GQList,GIList,Table_ExternalData_1[[#This Row],[Item_key]],GDList,Table_ExternalData_1[[#Headers],[24]])</f>
        <v>300</v>
      </c>
      <c r="AE6" s="34">
        <f>SUMIFS(GQList,GIList,Table_ExternalData_1[[#This Row],[Item_key]],GDList,Table_ExternalData_1[[#Headers],[25]])</f>
        <v>200</v>
      </c>
      <c r="AF6" s="34">
        <f>SUMIFS(GQList,GIList,Table_ExternalData_1[[#This Row],[Item_key]],GDList,Table_ExternalData_1[[#Headers],[26]])</f>
        <v>0</v>
      </c>
      <c r="AG6" s="34">
        <f>SUMIFS(GQList,GIList,Table_ExternalData_1[[#This Row],[Item_key]],GDList,Table_ExternalData_1[[#Headers],[27]])</f>
        <v>300</v>
      </c>
      <c r="AH6" s="34">
        <f>SUMIFS(GQList,GIList,Table_ExternalData_1[[#This Row],[Item_key]],GDList,Table_ExternalData_1[[#Headers],[28]])</f>
        <v>300</v>
      </c>
      <c r="AI6" s="34">
        <f>SUMIFS(GQList,GIList,Table_ExternalData_1[[#This Row],[Item_key]],GDList,Table_ExternalData_1[[#Headers],[29]])</f>
        <v>300</v>
      </c>
      <c r="AJ6" s="34">
        <f>SUMIFS(GQList,GIList,Table_ExternalData_1[[#This Row],[Item_key]],GDList,Table_ExternalData_1[[#Headers],[30]])</f>
        <v>0</v>
      </c>
      <c r="AK6" s="34">
        <f>SUMIFS(GQList,GIList,Table_ExternalData_1[[#This Row],[Item_key]],GDList,Table_ExternalData_1[[#Headers],[31]])</f>
        <v>770</v>
      </c>
      <c r="AL6" s="34">
        <f>SUM(Table_ExternalData_1[[#This Row],[1]:[31]])</f>
        <v>4070</v>
      </c>
    </row>
    <row r="7" spans="1:38">
      <c r="A7" s="31" t="s">
        <v>73</v>
      </c>
      <c r="B7" s="32" t="s">
        <v>17</v>
      </c>
      <c r="C7" s="32" t="s">
        <v>8</v>
      </c>
      <c r="D7" s="32" t="s">
        <v>14</v>
      </c>
      <c r="E7" s="32" t="s">
        <v>15</v>
      </c>
      <c r="F7" s="33" t="s">
        <v>25</v>
      </c>
      <c r="G7" s="34">
        <f>SUMIFS(GQList,GIList,Table_ExternalData_1[[#This Row],[Item_key]],GDList,Table_ExternalData_1[[#Headers],[1]])</f>
        <v>0</v>
      </c>
      <c r="H7" s="34">
        <f>SUMIFS(GQList,GIList,Table_ExternalData_1[[#This Row],[Item_key]],GDList,Table_ExternalData_1[[#Headers],[2]])</f>
        <v>0</v>
      </c>
      <c r="I7" s="34">
        <f>SUMIFS(GQList,GIList,Table_ExternalData_1[[#This Row],[Item_key]],GDList,Table_ExternalData_1[[#Headers],[3]])</f>
        <v>0</v>
      </c>
      <c r="J7" s="34">
        <f>SUMIFS(GQList,GIList,Table_ExternalData_1[[#This Row],[Item_key]],GDList,Table_ExternalData_1[[#Headers],[4]])</f>
        <v>0</v>
      </c>
      <c r="K7" s="34">
        <f>SUMIFS(GQList,GIList,Table_ExternalData_1[[#This Row],[Item_key]],GDList,Table_ExternalData_1[[#Headers],[5]])</f>
        <v>0</v>
      </c>
      <c r="L7" s="34">
        <f>SUMIFS(GQList,GIList,Table_ExternalData_1[[#This Row],[Item_key]],GDList,Table_ExternalData_1[[#Headers],[6]])</f>
        <v>529</v>
      </c>
      <c r="M7" s="34">
        <f>SUMIFS(GQList,GIList,Table_ExternalData_1[[#This Row],[Item_key]],GDList,Table_ExternalData_1[[#Headers],[7]])</f>
        <v>0</v>
      </c>
      <c r="N7" s="34">
        <f>SUMIFS(GQList,GIList,Table_ExternalData_1[[#This Row],[Item_key]],GDList,Table_ExternalData_1[[#Headers],[8]])</f>
        <v>0</v>
      </c>
      <c r="O7" s="34">
        <f>SUMIFS(GQList,GIList,Table_ExternalData_1[[#This Row],[Item_key]],GDList,Table_ExternalData_1[[#Headers],[9]])</f>
        <v>0</v>
      </c>
      <c r="P7" s="34">
        <f>SUMIFS(GQList,GIList,Table_ExternalData_1[[#This Row],[Item_key]],GDList,Table_ExternalData_1[[#Headers],[10]])</f>
        <v>0</v>
      </c>
      <c r="Q7" s="34">
        <f>SUMIFS(GQList,GIList,Table_ExternalData_1[[#This Row],[Item_key]],GDList,Table_ExternalData_1[[#Headers],[11]])</f>
        <v>0</v>
      </c>
      <c r="R7" s="34">
        <f>SUMIFS(GQList,GIList,Table_ExternalData_1[[#This Row],[Item_key]],GDList,Table_ExternalData_1[[#Headers],[12]])</f>
        <v>0</v>
      </c>
      <c r="S7" s="34">
        <f>SUMIFS(GQList,GIList,Table_ExternalData_1[[#This Row],[Item_key]],GDList,Table_ExternalData_1[[#Headers],[13]])</f>
        <v>0</v>
      </c>
      <c r="T7" s="34">
        <f>SUMIFS(GQList,GIList,Table_ExternalData_1[[#This Row],[Item_key]],GDList,Table_ExternalData_1[[#Headers],[14]])</f>
        <v>0</v>
      </c>
      <c r="U7" s="34">
        <f>SUMIFS(GQList,GIList,Table_ExternalData_1[[#This Row],[Item_key]],GDList,Table_ExternalData_1[[#Headers],[15]])</f>
        <v>0</v>
      </c>
      <c r="V7" s="34">
        <f>SUMIFS(GQList,GIList,Table_ExternalData_1[[#This Row],[Item_key]],GDList,Table_ExternalData_1[[#Headers],[16]])</f>
        <v>0</v>
      </c>
      <c r="W7" s="34">
        <f>SUMIFS(GQList,GIList,Table_ExternalData_1[[#This Row],[Item_key]],GDList,Table_ExternalData_1[[#Headers],[17]])</f>
        <v>0</v>
      </c>
      <c r="X7" s="34">
        <f>SUMIFS(GQList,GIList,Table_ExternalData_1[[#This Row],[Item_key]],GDList,Table_ExternalData_1[[#Headers],[18]])</f>
        <v>0</v>
      </c>
      <c r="Y7" s="34">
        <f>SUMIFS(GQList,GIList,Table_ExternalData_1[[#This Row],[Item_key]],GDList,Table_ExternalData_1[[#Headers],[19]])</f>
        <v>0</v>
      </c>
      <c r="Z7" s="34">
        <f>SUMIFS(GQList,GIList,Table_ExternalData_1[[#This Row],[Item_key]],GDList,Table_ExternalData_1[[#Headers],[20]])</f>
        <v>0</v>
      </c>
      <c r="AA7" s="34">
        <f>SUMIFS(GQList,GIList,Table_ExternalData_1[[#This Row],[Item_key]],GDList,Table_ExternalData_1[[#Headers],[21]])</f>
        <v>0</v>
      </c>
      <c r="AB7" s="34">
        <f>SUMIFS(GQList,GIList,Table_ExternalData_1[[#This Row],[Item_key]],GDList,Table_ExternalData_1[[#Headers],[22]])</f>
        <v>0</v>
      </c>
      <c r="AC7" s="34">
        <f>SUMIFS(GQList,GIList,Table_ExternalData_1[[#This Row],[Item_key]],GDList,Table_ExternalData_1[[#Headers],[23]])</f>
        <v>0</v>
      </c>
      <c r="AD7" s="34">
        <f>SUMIFS(GQList,GIList,Table_ExternalData_1[[#This Row],[Item_key]],GDList,Table_ExternalData_1[[#Headers],[24]])</f>
        <v>0</v>
      </c>
      <c r="AE7" s="34">
        <f>SUMIFS(GQList,GIList,Table_ExternalData_1[[#This Row],[Item_key]],GDList,Table_ExternalData_1[[#Headers],[25]])</f>
        <v>0</v>
      </c>
      <c r="AF7" s="34">
        <f>SUMIFS(GQList,GIList,Table_ExternalData_1[[#This Row],[Item_key]],GDList,Table_ExternalData_1[[#Headers],[26]])</f>
        <v>0</v>
      </c>
      <c r="AG7" s="34">
        <f>SUMIFS(GQList,GIList,Table_ExternalData_1[[#This Row],[Item_key]],GDList,Table_ExternalData_1[[#Headers],[27]])</f>
        <v>0</v>
      </c>
      <c r="AH7" s="34">
        <f>SUMIFS(GQList,GIList,Table_ExternalData_1[[#This Row],[Item_key]],GDList,Table_ExternalData_1[[#Headers],[28]])</f>
        <v>0</v>
      </c>
      <c r="AI7" s="34">
        <f>SUMIFS(GQList,GIList,Table_ExternalData_1[[#This Row],[Item_key]],GDList,Table_ExternalData_1[[#Headers],[29]])</f>
        <v>0</v>
      </c>
      <c r="AJ7" s="34">
        <f>SUMIFS(GQList,GIList,Table_ExternalData_1[[#This Row],[Item_key]],GDList,Table_ExternalData_1[[#Headers],[30]])</f>
        <v>0</v>
      </c>
      <c r="AK7" s="34">
        <f>SUMIFS(GQList,GIList,Table_ExternalData_1[[#This Row],[Item_key]],GDList,Table_ExternalData_1[[#Headers],[31]])</f>
        <v>0</v>
      </c>
      <c r="AL7" s="34">
        <f>SUM(Table_ExternalData_1[[#This Row],[1]:[31]])</f>
        <v>529</v>
      </c>
    </row>
    <row r="8" spans="1:38">
      <c r="A8" s="31" t="s">
        <v>74</v>
      </c>
      <c r="B8" s="32" t="s">
        <v>116</v>
      </c>
      <c r="C8" s="32" t="s">
        <v>102</v>
      </c>
      <c r="D8" s="32" t="s">
        <v>110</v>
      </c>
      <c r="E8" s="32" t="s">
        <v>111</v>
      </c>
      <c r="F8" s="33" t="s">
        <v>25</v>
      </c>
      <c r="G8" s="34">
        <f>SUMIFS(GQList,GIList,Table_ExternalData_1[[#This Row],[Item_key]],GDList,Table_ExternalData_1[[#Headers],[1]])</f>
        <v>0</v>
      </c>
      <c r="H8" s="34">
        <f>SUMIFS(GQList,GIList,Table_ExternalData_1[[#This Row],[Item_key]],GDList,Table_ExternalData_1[[#Headers],[2]])</f>
        <v>0</v>
      </c>
      <c r="I8" s="34">
        <f>SUMIFS(GQList,GIList,Table_ExternalData_1[[#This Row],[Item_key]],GDList,Table_ExternalData_1[[#Headers],[3]])</f>
        <v>0</v>
      </c>
      <c r="J8" s="34">
        <f>SUMIFS(GQList,GIList,Table_ExternalData_1[[#This Row],[Item_key]],GDList,Table_ExternalData_1[[#Headers],[4]])</f>
        <v>0</v>
      </c>
      <c r="K8" s="34">
        <f>SUMIFS(GQList,GIList,Table_ExternalData_1[[#This Row],[Item_key]],GDList,Table_ExternalData_1[[#Headers],[5]])</f>
        <v>0</v>
      </c>
      <c r="L8" s="34">
        <f>SUMIFS(GQList,GIList,Table_ExternalData_1[[#This Row],[Item_key]],GDList,Table_ExternalData_1[[#Headers],[6]])</f>
        <v>0</v>
      </c>
      <c r="M8" s="34">
        <f>SUMIFS(GQList,GIList,Table_ExternalData_1[[#This Row],[Item_key]],GDList,Table_ExternalData_1[[#Headers],[7]])</f>
        <v>0</v>
      </c>
      <c r="N8" s="34">
        <f>SUMIFS(GQList,GIList,Table_ExternalData_1[[#This Row],[Item_key]],GDList,Table_ExternalData_1[[#Headers],[8]])</f>
        <v>0</v>
      </c>
      <c r="O8" s="34">
        <f>SUMIFS(GQList,GIList,Table_ExternalData_1[[#This Row],[Item_key]],GDList,Table_ExternalData_1[[#Headers],[9]])</f>
        <v>0</v>
      </c>
      <c r="P8" s="34">
        <f>SUMIFS(GQList,GIList,Table_ExternalData_1[[#This Row],[Item_key]],GDList,Table_ExternalData_1[[#Headers],[10]])</f>
        <v>500</v>
      </c>
      <c r="Q8" s="34">
        <f>SUMIFS(GQList,GIList,Table_ExternalData_1[[#This Row],[Item_key]],GDList,Table_ExternalData_1[[#Headers],[11]])</f>
        <v>0</v>
      </c>
      <c r="R8" s="34">
        <f>SUMIFS(GQList,GIList,Table_ExternalData_1[[#This Row],[Item_key]],GDList,Table_ExternalData_1[[#Headers],[12]])</f>
        <v>0</v>
      </c>
      <c r="S8" s="34">
        <f>SUMIFS(GQList,GIList,Table_ExternalData_1[[#This Row],[Item_key]],GDList,Table_ExternalData_1[[#Headers],[13]])</f>
        <v>2400</v>
      </c>
      <c r="T8" s="34">
        <f>SUMIFS(GQList,GIList,Table_ExternalData_1[[#This Row],[Item_key]],GDList,Table_ExternalData_1[[#Headers],[14]])</f>
        <v>0</v>
      </c>
      <c r="U8" s="34">
        <f>SUMIFS(GQList,GIList,Table_ExternalData_1[[#This Row],[Item_key]],GDList,Table_ExternalData_1[[#Headers],[15]])</f>
        <v>0</v>
      </c>
      <c r="V8" s="34">
        <f>SUMIFS(GQList,GIList,Table_ExternalData_1[[#This Row],[Item_key]],GDList,Table_ExternalData_1[[#Headers],[16]])</f>
        <v>1450</v>
      </c>
      <c r="W8" s="34">
        <f>SUMIFS(GQList,GIList,Table_ExternalData_1[[#This Row],[Item_key]],GDList,Table_ExternalData_1[[#Headers],[17]])</f>
        <v>0</v>
      </c>
      <c r="X8" s="34">
        <f>SUMIFS(GQList,GIList,Table_ExternalData_1[[#This Row],[Item_key]],GDList,Table_ExternalData_1[[#Headers],[18]])</f>
        <v>0</v>
      </c>
      <c r="Y8" s="34">
        <f>SUMIFS(GQList,GIList,Table_ExternalData_1[[#This Row],[Item_key]],GDList,Table_ExternalData_1[[#Headers],[19]])</f>
        <v>0</v>
      </c>
      <c r="Z8" s="34">
        <f>SUMIFS(GQList,GIList,Table_ExternalData_1[[#This Row],[Item_key]],GDList,Table_ExternalData_1[[#Headers],[20]])</f>
        <v>0</v>
      </c>
      <c r="AA8" s="34">
        <f>SUMIFS(GQList,GIList,Table_ExternalData_1[[#This Row],[Item_key]],GDList,Table_ExternalData_1[[#Headers],[21]])</f>
        <v>0</v>
      </c>
      <c r="AB8" s="34">
        <f>SUMIFS(GQList,GIList,Table_ExternalData_1[[#This Row],[Item_key]],GDList,Table_ExternalData_1[[#Headers],[22]])</f>
        <v>0</v>
      </c>
      <c r="AC8" s="34">
        <f>SUMIFS(GQList,GIList,Table_ExternalData_1[[#This Row],[Item_key]],GDList,Table_ExternalData_1[[#Headers],[23]])</f>
        <v>0</v>
      </c>
      <c r="AD8" s="34">
        <f>SUMIFS(GQList,GIList,Table_ExternalData_1[[#This Row],[Item_key]],GDList,Table_ExternalData_1[[#Headers],[24]])</f>
        <v>1450</v>
      </c>
      <c r="AE8" s="34">
        <f>SUMIFS(GQList,GIList,Table_ExternalData_1[[#This Row],[Item_key]],GDList,Table_ExternalData_1[[#Headers],[25]])</f>
        <v>0</v>
      </c>
      <c r="AF8" s="34">
        <f>SUMIFS(GQList,GIList,Table_ExternalData_1[[#This Row],[Item_key]],GDList,Table_ExternalData_1[[#Headers],[26]])</f>
        <v>0</v>
      </c>
      <c r="AG8" s="34">
        <f>SUMIFS(GQList,GIList,Table_ExternalData_1[[#This Row],[Item_key]],GDList,Table_ExternalData_1[[#Headers],[27]])</f>
        <v>0</v>
      </c>
      <c r="AH8" s="34">
        <f>SUMIFS(GQList,GIList,Table_ExternalData_1[[#This Row],[Item_key]],GDList,Table_ExternalData_1[[#Headers],[28]])</f>
        <v>0</v>
      </c>
      <c r="AI8" s="34">
        <f>SUMIFS(GQList,GIList,Table_ExternalData_1[[#This Row],[Item_key]],GDList,Table_ExternalData_1[[#Headers],[29]])</f>
        <v>0</v>
      </c>
      <c r="AJ8" s="34">
        <f>SUMIFS(GQList,GIList,Table_ExternalData_1[[#This Row],[Item_key]],GDList,Table_ExternalData_1[[#Headers],[30]])</f>
        <v>265</v>
      </c>
      <c r="AK8" s="34">
        <f>SUMIFS(GQList,GIList,Table_ExternalData_1[[#This Row],[Item_key]],GDList,Table_ExternalData_1[[#Headers],[31]])</f>
        <v>0</v>
      </c>
      <c r="AL8" s="34">
        <f>SUM(Table_ExternalData_1[[#This Row],[1]:[31]])</f>
        <v>6065</v>
      </c>
    </row>
    <row r="9" spans="1:38">
      <c r="A9" s="31" t="s">
        <v>73</v>
      </c>
      <c r="B9" s="32" t="s">
        <v>117</v>
      </c>
      <c r="C9" s="32" t="s">
        <v>103</v>
      </c>
      <c r="D9" s="32" t="s">
        <v>112</v>
      </c>
      <c r="E9" s="32" t="s">
        <v>113</v>
      </c>
      <c r="F9" s="33" t="s">
        <v>25</v>
      </c>
      <c r="G9" s="34">
        <f>SUMIFS(GQList,GIList,Table_ExternalData_1[[#This Row],[Item_key]],GDList,Table_ExternalData_1[[#Headers],[1]])</f>
        <v>0</v>
      </c>
      <c r="H9" s="34">
        <f>SUMIFS(GQList,GIList,Table_ExternalData_1[[#This Row],[Item_key]],GDList,Table_ExternalData_1[[#Headers],[2]])</f>
        <v>0</v>
      </c>
      <c r="I9" s="34">
        <f>SUMIFS(GQList,GIList,Table_ExternalData_1[[#This Row],[Item_key]],GDList,Table_ExternalData_1[[#Headers],[3]])</f>
        <v>0</v>
      </c>
      <c r="J9" s="34">
        <f>SUMIFS(GQList,GIList,Table_ExternalData_1[[#This Row],[Item_key]],GDList,Table_ExternalData_1[[#Headers],[4]])</f>
        <v>0</v>
      </c>
      <c r="K9" s="34">
        <f>SUMIFS(GQList,GIList,Table_ExternalData_1[[#This Row],[Item_key]],GDList,Table_ExternalData_1[[#Headers],[5]])</f>
        <v>0</v>
      </c>
      <c r="L9" s="34">
        <f>SUMIFS(GQList,GIList,Table_ExternalData_1[[#This Row],[Item_key]],GDList,Table_ExternalData_1[[#Headers],[6]])</f>
        <v>0</v>
      </c>
      <c r="M9" s="34">
        <f>SUMIFS(GQList,GIList,Table_ExternalData_1[[#This Row],[Item_key]],GDList,Table_ExternalData_1[[#Headers],[7]])</f>
        <v>0</v>
      </c>
      <c r="N9" s="34">
        <f>SUMIFS(GQList,GIList,Table_ExternalData_1[[#This Row],[Item_key]],GDList,Table_ExternalData_1[[#Headers],[8]])</f>
        <v>0</v>
      </c>
      <c r="O9" s="34">
        <f>SUMIFS(GQList,GIList,Table_ExternalData_1[[#This Row],[Item_key]],GDList,Table_ExternalData_1[[#Headers],[9]])</f>
        <v>2400</v>
      </c>
      <c r="P9" s="34">
        <f>SUMIFS(GQList,GIList,Table_ExternalData_1[[#This Row],[Item_key]],GDList,Table_ExternalData_1[[#Headers],[10]])</f>
        <v>0</v>
      </c>
      <c r="Q9" s="34">
        <f>SUMIFS(GQList,GIList,Table_ExternalData_1[[#This Row],[Item_key]],GDList,Table_ExternalData_1[[#Headers],[11]])</f>
        <v>0</v>
      </c>
      <c r="R9" s="34">
        <f>SUMIFS(GQList,GIList,Table_ExternalData_1[[#This Row],[Item_key]],GDList,Table_ExternalData_1[[#Headers],[12]])</f>
        <v>0</v>
      </c>
      <c r="S9" s="34">
        <f>SUMIFS(GQList,GIList,Table_ExternalData_1[[#This Row],[Item_key]],GDList,Table_ExternalData_1[[#Headers],[13]])</f>
        <v>0</v>
      </c>
      <c r="T9" s="34">
        <f>SUMIFS(GQList,GIList,Table_ExternalData_1[[#This Row],[Item_key]],GDList,Table_ExternalData_1[[#Headers],[14]])</f>
        <v>0</v>
      </c>
      <c r="U9" s="34">
        <f>SUMIFS(GQList,GIList,Table_ExternalData_1[[#This Row],[Item_key]],GDList,Table_ExternalData_1[[#Headers],[15]])</f>
        <v>0</v>
      </c>
      <c r="V9" s="34">
        <f>SUMIFS(GQList,GIList,Table_ExternalData_1[[#This Row],[Item_key]],GDList,Table_ExternalData_1[[#Headers],[16]])</f>
        <v>0</v>
      </c>
      <c r="W9" s="34">
        <f>SUMIFS(GQList,GIList,Table_ExternalData_1[[#This Row],[Item_key]],GDList,Table_ExternalData_1[[#Headers],[17]])</f>
        <v>0</v>
      </c>
      <c r="X9" s="34">
        <f>SUMIFS(GQList,GIList,Table_ExternalData_1[[#This Row],[Item_key]],GDList,Table_ExternalData_1[[#Headers],[18]])</f>
        <v>0</v>
      </c>
      <c r="Y9" s="34">
        <f>SUMIFS(GQList,GIList,Table_ExternalData_1[[#This Row],[Item_key]],GDList,Table_ExternalData_1[[#Headers],[19]])</f>
        <v>0</v>
      </c>
      <c r="Z9" s="34">
        <f>SUMIFS(GQList,GIList,Table_ExternalData_1[[#This Row],[Item_key]],GDList,Table_ExternalData_1[[#Headers],[20]])</f>
        <v>0</v>
      </c>
      <c r="AA9" s="34">
        <f>SUMIFS(GQList,GIList,Table_ExternalData_1[[#This Row],[Item_key]],GDList,Table_ExternalData_1[[#Headers],[21]])</f>
        <v>0</v>
      </c>
      <c r="AB9" s="34">
        <f>SUMIFS(GQList,GIList,Table_ExternalData_1[[#This Row],[Item_key]],GDList,Table_ExternalData_1[[#Headers],[22]])</f>
        <v>0</v>
      </c>
      <c r="AC9" s="34">
        <f>SUMIFS(GQList,GIList,Table_ExternalData_1[[#This Row],[Item_key]],GDList,Table_ExternalData_1[[#Headers],[23]])</f>
        <v>0</v>
      </c>
      <c r="AD9" s="34">
        <f>SUMIFS(GQList,GIList,Table_ExternalData_1[[#This Row],[Item_key]],GDList,Table_ExternalData_1[[#Headers],[24]])</f>
        <v>0</v>
      </c>
      <c r="AE9" s="34">
        <f>SUMIFS(GQList,GIList,Table_ExternalData_1[[#This Row],[Item_key]],GDList,Table_ExternalData_1[[#Headers],[25]])</f>
        <v>0</v>
      </c>
      <c r="AF9" s="34">
        <f>SUMIFS(GQList,GIList,Table_ExternalData_1[[#This Row],[Item_key]],GDList,Table_ExternalData_1[[#Headers],[26]])</f>
        <v>0</v>
      </c>
      <c r="AG9" s="34">
        <f>SUMIFS(GQList,GIList,Table_ExternalData_1[[#This Row],[Item_key]],GDList,Table_ExternalData_1[[#Headers],[27]])</f>
        <v>600</v>
      </c>
      <c r="AH9" s="34">
        <f>SUMIFS(GQList,GIList,Table_ExternalData_1[[#This Row],[Item_key]],GDList,Table_ExternalData_1[[#Headers],[28]])</f>
        <v>0</v>
      </c>
      <c r="AI9" s="34">
        <f>SUMIFS(GQList,GIList,Table_ExternalData_1[[#This Row],[Item_key]],GDList,Table_ExternalData_1[[#Headers],[29]])</f>
        <v>2800</v>
      </c>
      <c r="AJ9" s="34">
        <f>SUMIFS(GQList,GIList,Table_ExternalData_1[[#This Row],[Item_key]],GDList,Table_ExternalData_1[[#Headers],[30]])</f>
        <v>0</v>
      </c>
      <c r="AK9" s="34">
        <f>SUMIFS(GQList,GIList,Table_ExternalData_1[[#This Row],[Item_key]],GDList,Table_ExternalData_1[[#Headers],[31]])</f>
        <v>0</v>
      </c>
      <c r="AL9" s="34">
        <f>SUM(Table_ExternalData_1[[#This Row],[1]:[31]])</f>
        <v>5800</v>
      </c>
    </row>
    <row r="10" spans="1:38">
      <c r="A10" s="31" t="s">
        <v>74</v>
      </c>
      <c r="B10" s="32" t="s">
        <v>118</v>
      </c>
      <c r="C10" s="32" t="s">
        <v>104</v>
      </c>
      <c r="D10" s="32" t="s">
        <v>114</v>
      </c>
      <c r="E10" s="32" t="s">
        <v>115</v>
      </c>
      <c r="F10" s="33" t="s">
        <v>25</v>
      </c>
      <c r="G10" s="34">
        <f>SUMIFS(GQList,GIList,Table_ExternalData_1[[#This Row],[Item_key]],GDList,Table_ExternalData_1[[#Headers],[1]])</f>
        <v>0</v>
      </c>
      <c r="H10" s="34">
        <f>SUMIFS(GQList,GIList,Table_ExternalData_1[[#This Row],[Item_key]],GDList,Table_ExternalData_1[[#Headers],[2]])</f>
        <v>0</v>
      </c>
      <c r="I10" s="34">
        <f>SUMIFS(GQList,GIList,Table_ExternalData_1[[#This Row],[Item_key]],GDList,Table_ExternalData_1[[#Headers],[3]])</f>
        <v>0</v>
      </c>
      <c r="J10" s="34">
        <f>SUMIFS(GQList,GIList,Table_ExternalData_1[[#This Row],[Item_key]],GDList,Table_ExternalData_1[[#Headers],[4]])</f>
        <v>0</v>
      </c>
      <c r="K10" s="34">
        <f>SUMIFS(GQList,GIList,Table_ExternalData_1[[#This Row],[Item_key]],GDList,Table_ExternalData_1[[#Headers],[5]])</f>
        <v>0</v>
      </c>
      <c r="L10" s="34">
        <f>SUMIFS(GQList,GIList,Table_ExternalData_1[[#This Row],[Item_key]],GDList,Table_ExternalData_1[[#Headers],[6]])</f>
        <v>800</v>
      </c>
      <c r="M10" s="34">
        <f>SUMIFS(GQList,GIList,Table_ExternalData_1[[#This Row],[Item_key]],GDList,Table_ExternalData_1[[#Headers],[7]])</f>
        <v>0</v>
      </c>
      <c r="N10" s="34">
        <f>SUMIFS(GQList,GIList,Table_ExternalData_1[[#This Row],[Item_key]],GDList,Table_ExternalData_1[[#Headers],[8]])</f>
        <v>700</v>
      </c>
      <c r="O10" s="34">
        <f>SUMIFS(GQList,GIList,Table_ExternalData_1[[#This Row],[Item_key]],GDList,Table_ExternalData_1[[#Headers],[9]])</f>
        <v>0</v>
      </c>
      <c r="P10" s="34">
        <f>SUMIFS(GQList,GIList,Table_ExternalData_1[[#This Row],[Item_key]],GDList,Table_ExternalData_1[[#Headers],[10]])</f>
        <v>0</v>
      </c>
      <c r="Q10" s="34">
        <f>SUMIFS(GQList,GIList,Table_ExternalData_1[[#This Row],[Item_key]],GDList,Table_ExternalData_1[[#Headers],[11]])</f>
        <v>0</v>
      </c>
      <c r="R10" s="34">
        <f>SUMIFS(GQList,GIList,Table_ExternalData_1[[#This Row],[Item_key]],GDList,Table_ExternalData_1[[#Headers],[12]])</f>
        <v>0</v>
      </c>
      <c r="S10" s="34">
        <f>SUMIFS(GQList,GIList,Table_ExternalData_1[[#This Row],[Item_key]],GDList,Table_ExternalData_1[[#Headers],[13]])</f>
        <v>0</v>
      </c>
      <c r="T10" s="34">
        <f>SUMIFS(GQList,GIList,Table_ExternalData_1[[#This Row],[Item_key]],GDList,Table_ExternalData_1[[#Headers],[14]])</f>
        <v>0</v>
      </c>
      <c r="U10" s="34">
        <f>SUMIFS(GQList,GIList,Table_ExternalData_1[[#This Row],[Item_key]],GDList,Table_ExternalData_1[[#Headers],[15]])</f>
        <v>800</v>
      </c>
      <c r="V10" s="34">
        <f>SUMIFS(GQList,GIList,Table_ExternalData_1[[#This Row],[Item_key]],GDList,Table_ExternalData_1[[#Headers],[16]])</f>
        <v>0</v>
      </c>
      <c r="W10" s="34">
        <f>SUMIFS(GQList,GIList,Table_ExternalData_1[[#This Row],[Item_key]],GDList,Table_ExternalData_1[[#Headers],[17]])</f>
        <v>0</v>
      </c>
      <c r="X10" s="34">
        <f>SUMIFS(GQList,GIList,Table_ExternalData_1[[#This Row],[Item_key]],GDList,Table_ExternalData_1[[#Headers],[18]])</f>
        <v>0</v>
      </c>
      <c r="Y10" s="34">
        <f>SUMIFS(GQList,GIList,Table_ExternalData_1[[#This Row],[Item_key]],GDList,Table_ExternalData_1[[#Headers],[19]])</f>
        <v>0</v>
      </c>
      <c r="Z10" s="34">
        <f>SUMIFS(GQList,GIList,Table_ExternalData_1[[#This Row],[Item_key]],GDList,Table_ExternalData_1[[#Headers],[20]])</f>
        <v>0</v>
      </c>
      <c r="AA10" s="34">
        <f>SUMIFS(GQList,GIList,Table_ExternalData_1[[#This Row],[Item_key]],GDList,Table_ExternalData_1[[#Headers],[21]])</f>
        <v>0</v>
      </c>
      <c r="AB10" s="34">
        <f>SUMIFS(GQList,GIList,Table_ExternalData_1[[#This Row],[Item_key]],GDList,Table_ExternalData_1[[#Headers],[22]])</f>
        <v>0</v>
      </c>
      <c r="AC10" s="34">
        <f>SUMIFS(GQList,GIList,Table_ExternalData_1[[#This Row],[Item_key]],GDList,Table_ExternalData_1[[#Headers],[23]])</f>
        <v>0</v>
      </c>
      <c r="AD10" s="34">
        <f>SUMIFS(GQList,GIList,Table_ExternalData_1[[#This Row],[Item_key]],GDList,Table_ExternalData_1[[#Headers],[24]])</f>
        <v>0</v>
      </c>
      <c r="AE10" s="34">
        <f>SUMIFS(GQList,GIList,Table_ExternalData_1[[#This Row],[Item_key]],GDList,Table_ExternalData_1[[#Headers],[25]])</f>
        <v>0</v>
      </c>
      <c r="AF10" s="34">
        <f>SUMIFS(GQList,GIList,Table_ExternalData_1[[#This Row],[Item_key]],GDList,Table_ExternalData_1[[#Headers],[26]])</f>
        <v>0</v>
      </c>
      <c r="AG10" s="34">
        <f>SUMIFS(GQList,GIList,Table_ExternalData_1[[#This Row],[Item_key]],GDList,Table_ExternalData_1[[#Headers],[27]])</f>
        <v>0</v>
      </c>
      <c r="AH10" s="34">
        <f>SUMIFS(GQList,GIList,Table_ExternalData_1[[#This Row],[Item_key]],GDList,Table_ExternalData_1[[#Headers],[28]])</f>
        <v>0</v>
      </c>
      <c r="AI10" s="34">
        <f>SUMIFS(GQList,GIList,Table_ExternalData_1[[#This Row],[Item_key]],GDList,Table_ExternalData_1[[#Headers],[29]])</f>
        <v>0</v>
      </c>
      <c r="AJ10" s="34">
        <f>SUMIFS(GQList,GIList,Table_ExternalData_1[[#This Row],[Item_key]],GDList,Table_ExternalData_1[[#Headers],[30]])</f>
        <v>0</v>
      </c>
      <c r="AK10" s="34">
        <f>SUMIFS(GQList,GIList,Table_ExternalData_1[[#This Row],[Item_key]],GDList,Table_ExternalData_1[[#Headers],[31]])</f>
        <v>3400</v>
      </c>
      <c r="AL10" s="34">
        <f>SUM(Table_ExternalData_1[[#This Row],[1]:[31]])</f>
        <v>5700</v>
      </c>
    </row>
    <row r="11" spans="1:38">
      <c r="A11" s="31" t="s">
        <v>74</v>
      </c>
      <c r="B11" s="32" t="s">
        <v>101</v>
      </c>
      <c r="C11" s="32" t="s">
        <v>6</v>
      </c>
      <c r="D11" s="32" t="s">
        <v>20</v>
      </c>
      <c r="E11" s="32" t="s">
        <v>21</v>
      </c>
      <c r="F11" s="33" t="s">
        <v>25</v>
      </c>
      <c r="G11" s="34">
        <f>SUMIFS(GQList,GIList,Table_ExternalData_1[[#This Row],[Item_key]],GDList,Table_ExternalData_1[[#Headers],[1]])</f>
        <v>0</v>
      </c>
      <c r="H11" s="34">
        <f>SUMIFS(GQList,GIList,Table_ExternalData_1[[#This Row],[Item_key]],GDList,Table_ExternalData_1[[#Headers],[2]])</f>
        <v>0</v>
      </c>
      <c r="I11" s="34">
        <f>SUMIFS(GQList,GIList,Table_ExternalData_1[[#This Row],[Item_key]],GDList,Table_ExternalData_1[[#Headers],[3]])</f>
        <v>0</v>
      </c>
      <c r="J11" s="34">
        <f>SUMIFS(GQList,GIList,Table_ExternalData_1[[#This Row],[Item_key]],GDList,Table_ExternalData_1[[#Headers],[4]])</f>
        <v>0</v>
      </c>
      <c r="K11" s="34">
        <f>SUMIFS(GQList,GIList,Table_ExternalData_1[[#This Row],[Item_key]],GDList,Table_ExternalData_1[[#Headers],[5]])</f>
        <v>0</v>
      </c>
      <c r="L11" s="34">
        <f>SUMIFS(GQList,GIList,Table_ExternalData_1[[#This Row],[Item_key]],GDList,Table_ExternalData_1[[#Headers],[6]])</f>
        <v>0</v>
      </c>
      <c r="M11" s="34">
        <f>SUMIFS(GQList,GIList,Table_ExternalData_1[[#This Row],[Item_key]],GDList,Table_ExternalData_1[[#Headers],[7]])</f>
        <v>0</v>
      </c>
      <c r="N11" s="34">
        <f>SUMIFS(GQList,GIList,Table_ExternalData_1[[#This Row],[Item_key]],GDList,Table_ExternalData_1[[#Headers],[8]])</f>
        <v>0</v>
      </c>
      <c r="O11" s="34">
        <f>SUMIFS(GQList,GIList,Table_ExternalData_1[[#This Row],[Item_key]],GDList,Table_ExternalData_1[[#Headers],[9]])</f>
        <v>59</v>
      </c>
      <c r="P11" s="34">
        <f>SUMIFS(GQList,GIList,Table_ExternalData_1[[#This Row],[Item_key]],GDList,Table_ExternalData_1[[#Headers],[10]])</f>
        <v>0</v>
      </c>
      <c r="Q11" s="34">
        <f>SUMIFS(GQList,GIList,Table_ExternalData_1[[#This Row],[Item_key]],GDList,Table_ExternalData_1[[#Headers],[11]])</f>
        <v>0</v>
      </c>
      <c r="R11" s="34">
        <f>SUMIFS(GQList,GIList,Table_ExternalData_1[[#This Row],[Item_key]],GDList,Table_ExternalData_1[[#Headers],[12]])</f>
        <v>0</v>
      </c>
      <c r="S11" s="34">
        <f>SUMIFS(GQList,GIList,Table_ExternalData_1[[#This Row],[Item_key]],GDList,Table_ExternalData_1[[#Headers],[13]])</f>
        <v>0</v>
      </c>
      <c r="T11" s="34">
        <f>SUMIFS(GQList,GIList,Table_ExternalData_1[[#This Row],[Item_key]],GDList,Table_ExternalData_1[[#Headers],[14]])</f>
        <v>0</v>
      </c>
      <c r="U11" s="34">
        <f>SUMIFS(GQList,GIList,Table_ExternalData_1[[#This Row],[Item_key]],GDList,Table_ExternalData_1[[#Headers],[15]])</f>
        <v>0</v>
      </c>
      <c r="V11" s="34">
        <f>SUMIFS(GQList,GIList,Table_ExternalData_1[[#This Row],[Item_key]],GDList,Table_ExternalData_1[[#Headers],[16]])</f>
        <v>0</v>
      </c>
      <c r="W11" s="34">
        <f>SUMIFS(GQList,GIList,Table_ExternalData_1[[#This Row],[Item_key]],GDList,Table_ExternalData_1[[#Headers],[17]])</f>
        <v>0</v>
      </c>
      <c r="X11" s="34">
        <f>SUMIFS(GQList,GIList,Table_ExternalData_1[[#This Row],[Item_key]],GDList,Table_ExternalData_1[[#Headers],[18]])</f>
        <v>268</v>
      </c>
      <c r="Y11" s="34">
        <f>SUMIFS(GQList,GIList,Table_ExternalData_1[[#This Row],[Item_key]],GDList,Table_ExternalData_1[[#Headers],[19]])</f>
        <v>0</v>
      </c>
      <c r="Z11" s="34">
        <f>SUMIFS(GQList,GIList,Table_ExternalData_1[[#This Row],[Item_key]],GDList,Table_ExternalData_1[[#Headers],[20]])</f>
        <v>0</v>
      </c>
      <c r="AA11" s="34">
        <f>SUMIFS(GQList,GIList,Table_ExternalData_1[[#This Row],[Item_key]],GDList,Table_ExternalData_1[[#Headers],[21]])</f>
        <v>0</v>
      </c>
      <c r="AB11" s="34">
        <f>SUMIFS(GQList,GIList,Table_ExternalData_1[[#This Row],[Item_key]],GDList,Table_ExternalData_1[[#Headers],[22]])</f>
        <v>0</v>
      </c>
      <c r="AC11" s="34">
        <f>SUMIFS(GQList,GIList,Table_ExternalData_1[[#This Row],[Item_key]],GDList,Table_ExternalData_1[[#Headers],[23]])</f>
        <v>0</v>
      </c>
      <c r="AD11" s="34">
        <f>SUMIFS(GQList,GIList,Table_ExternalData_1[[#This Row],[Item_key]],GDList,Table_ExternalData_1[[#Headers],[24]])</f>
        <v>0</v>
      </c>
      <c r="AE11" s="34">
        <f>SUMIFS(GQList,GIList,Table_ExternalData_1[[#This Row],[Item_key]],GDList,Table_ExternalData_1[[#Headers],[25]])</f>
        <v>0</v>
      </c>
      <c r="AF11" s="34">
        <f>SUMIFS(GQList,GIList,Table_ExternalData_1[[#This Row],[Item_key]],GDList,Table_ExternalData_1[[#Headers],[26]])</f>
        <v>0</v>
      </c>
      <c r="AG11" s="34">
        <f>SUMIFS(GQList,GIList,Table_ExternalData_1[[#This Row],[Item_key]],GDList,Table_ExternalData_1[[#Headers],[27]])</f>
        <v>0</v>
      </c>
      <c r="AH11" s="34">
        <f>SUMIFS(GQList,GIList,Table_ExternalData_1[[#This Row],[Item_key]],GDList,Table_ExternalData_1[[#Headers],[28]])</f>
        <v>653</v>
      </c>
      <c r="AI11" s="34">
        <f>SUMIFS(GQList,GIList,Table_ExternalData_1[[#This Row],[Item_key]],GDList,Table_ExternalData_1[[#Headers],[29]])</f>
        <v>2353</v>
      </c>
      <c r="AJ11" s="34">
        <f>SUMIFS(GQList,GIList,Table_ExternalData_1[[#This Row],[Item_key]],GDList,Table_ExternalData_1[[#Headers],[30]])</f>
        <v>942</v>
      </c>
      <c r="AK11" s="34">
        <f>SUMIFS(GQList,GIList,Table_ExternalData_1[[#This Row],[Item_key]],GDList,Table_ExternalData_1[[#Headers],[31]])</f>
        <v>233</v>
      </c>
      <c r="AL11" s="34">
        <f>SUM(Table_ExternalData_1[[#This Row],[1]:[31]])</f>
        <v>4508</v>
      </c>
    </row>
    <row r="12" spans="1:38">
      <c r="A12" s="31" t="s">
        <v>74</v>
      </c>
      <c r="B12" s="32" t="s">
        <v>101</v>
      </c>
      <c r="C12" s="32" t="s">
        <v>6</v>
      </c>
      <c r="D12" s="32" t="s">
        <v>20</v>
      </c>
      <c r="E12" s="32" t="s">
        <v>21</v>
      </c>
      <c r="F12" s="33" t="s">
        <v>26</v>
      </c>
      <c r="G12" s="34">
        <f>SUMIFS(GQList,GIList,Table_ExternalData_1[[#This Row],[Item_key]],GDList,Table_ExternalData_1[[#Headers],[1]])</f>
        <v>0</v>
      </c>
      <c r="H12" s="34">
        <f>SUMIFS(GQList,GIList,Table_ExternalData_1[[#This Row],[Item_key]],GDList,Table_ExternalData_1[[#Headers],[2]])</f>
        <v>0</v>
      </c>
      <c r="I12" s="34">
        <f>SUMIFS(GQList,GIList,Table_ExternalData_1[[#This Row],[Item_key]],GDList,Table_ExternalData_1[[#Headers],[3]])</f>
        <v>0</v>
      </c>
      <c r="J12" s="34">
        <f>SUMIFS(GQList,GIList,Table_ExternalData_1[[#This Row],[Item_key]],GDList,Table_ExternalData_1[[#Headers],[4]])</f>
        <v>0</v>
      </c>
      <c r="K12" s="34">
        <f>SUMIFS(GQList,GIList,Table_ExternalData_1[[#This Row],[Item_key]],GDList,Table_ExternalData_1[[#Headers],[5]])</f>
        <v>0</v>
      </c>
      <c r="L12" s="34">
        <f>SUMIFS(GQList,GIList,Table_ExternalData_1[[#This Row],[Item_key]],GDList,Table_ExternalData_1[[#Headers],[6]])</f>
        <v>0</v>
      </c>
      <c r="M12" s="34">
        <f>SUMIFS(GQList,GIList,Table_ExternalData_1[[#This Row],[Item_key]],GDList,Table_ExternalData_1[[#Headers],[7]])</f>
        <v>0</v>
      </c>
      <c r="N12" s="34">
        <f>SUMIFS(GQList,GIList,Table_ExternalData_1[[#This Row],[Item_key]],GDList,Table_ExternalData_1[[#Headers],[8]])</f>
        <v>0</v>
      </c>
      <c r="O12" s="34">
        <f>SUMIFS(GQList,GIList,Table_ExternalData_1[[#This Row],[Item_key]],GDList,Table_ExternalData_1[[#Headers],[9]])</f>
        <v>59</v>
      </c>
      <c r="P12" s="34">
        <f>SUMIFS(GQList,GIList,Table_ExternalData_1[[#This Row],[Item_key]],GDList,Table_ExternalData_1[[#Headers],[10]])</f>
        <v>0</v>
      </c>
      <c r="Q12" s="34">
        <f>SUMIFS(GQList,GIList,Table_ExternalData_1[[#This Row],[Item_key]],GDList,Table_ExternalData_1[[#Headers],[11]])</f>
        <v>0</v>
      </c>
      <c r="R12" s="34">
        <f>SUMIFS(GQList,GIList,Table_ExternalData_1[[#This Row],[Item_key]],GDList,Table_ExternalData_1[[#Headers],[12]])</f>
        <v>0</v>
      </c>
      <c r="S12" s="34">
        <f>SUMIFS(GQList,GIList,Table_ExternalData_1[[#This Row],[Item_key]],GDList,Table_ExternalData_1[[#Headers],[13]])</f>
        <v>0</v>
      </c>
      <c r="T12" s="34">
        <f>SUMIFS(GQList,GIList,Table_ExternalData_1[[#This Row],[Item_key]],GDList,Table_ExternalData_1[[#Headers],[14]])</f>
        <v>0</v>
      </c>
      <c r="U12" s="34">
        <f>SUMIFS(GQList,GIList,Table_ExternalData_1[[#This Row],[Item_key]],GDList,Table_ExternalData_1[[#Headers],[15]])</f>
        <v>0</v>
      </c>
      <c r="V12" s="34">
        <f>SUMIFS(GQList,GIList,Table_ExternalData_1[[#This Row],[Item_key]],GDList,Table_ExternalData_1[[#Headers],[16]])</f>
        <v>0</v>
      </c>
      <c r="W12" s="34">
        <f>SUMIFS(GQList,GIList,Table_ExternalData_1[[#This Row],[Item_key]],GDList,Table_ExternalData_1[[#Headers],[17]])</f>
        <v>0</v>
      </c>
      <c r="X12" s="34">
        <f>SUMIFS(GQList,GIList,Table_ExternalData_1[[#This Row],[Item_key]],GDList,Table_ExternalData_1[[#Headers],[18]])</f>
        <v>268</v>
      </c>
      <c r="Y12" s="34">
        <f>SUMIFS(GQList,GIList,Table_ExternalData_1[[#This Row],[Item_key]],GDList,Table_ExternalData_1[[#Headers],[19]])</f>
        <v>0</v>
      </c>
      <c r="Z12" s="34">
        <f>SUMIFS(GQList,GIList,Table_ExternalData_1[[#This Row],[Item_key]],GDList,Table_ExternalData_1[[#Headers],[20]])</f>
        <v>0</v>
      </c>
      <c r="AA12" s="34">
        <f>SUMIFS(GQList,GIList,Table_ExternalData_1[[#This Row],[Item_key]],GDList,Table_ExternalData_1[[#Headers],[21]])</f>
        <v>0</v>
      </c>
      <c r="AB12" s="34">
        <f>SUMIFS(GQList,GIList,Table_ExternalData_1[[#This Row],[Item_key]],GDList,Table_ExternalData_1[[#Headers],[22]])</f>
        <v>0</v>
      </c>
      <c r="AC12" s="34">
        <f>SUMIFS(GQList,GIList,Table_ExternalData_1[[#This Row],[Item_key]],GDList,Table_ExternalData_1[[#Headers],[23]])</f>
        <v>0</v>
      </c>
      <c r="AD12" s="34">
        <f>SUMIFS(GQList,GIList,Table_ExternalData_1[[#This Row],[Item_key]],GDList,Table_ExternalData_1[[#Headers],[24]])</f>
        <v>0</v>
      </c>
      <c r="AE12" s="34">
        <f>SUMIFS(GQList,GIList,Table_ExternalData_1[[#This Row],[Item_key]],GDList,Table_ExternalData_1[[#Headers],[25]])</f>
        <v>0</v>
      </c>
      <c r="AF12" s="34">
        <f>SUMIFS(GQList,GIList,Table_ExternalData_1[[#This Row],[Item_key]],GDList,Table_ExternalData_1[[#Headers],[26]])</f>
        <v>0</v>
      </c>
      <c r="AG12" s="34">
        <f>SUMIFS(GQList,GIList,Table_ExternalData_1[[#This Row],[Item_key]],GDList,Table_ExternalData_1[[#Headers],[27]])</f>
        <v>0</v>
      </c>
      <c r="AH12" s="34">
        <f>SUMIFS(GQList,GIList,Table_ExternalData_1[[#This Row],[Item_key]],GDList,Table_ExternalData_1[[#Headers],[28]])</f>
        <v>653</v>
      </c>
      <c r="AI12" s="34">
        <f>SUMIFS(GQList,GIList,Table_ExternalData_1[[#This Row],[Item_key]],GDList,Table_ExternalData_1[[#Headers],[29]])</f>
        <v>2353</v>
      </c>
      <c r="AJ12" s="34">
        <f>SUMIFS(GQList,GIList,Table_ExternalData_1[[#This Row],[Item_key]],GDList,Table_ExternalData_1[[#Headers],[30]])</f>
        <v>942</v>
      </c>
      <c r="AK12" s="34">
        <f>SUMIFS(GQList,GIList,Table_ExternalData_1[[#This Row],[Item_key]],GDList,Table_ExternalData_1[[#Headers],[31]])</f>
        <v>233</v>
      </c>
      <c r="AL12" s="34">
        <f>SUM(Table_ExternalData_1[[#This Row],[1]:[31]])</f>
        <v>4508</v>
      </c>
    </row>
  </sheetData>
  <mergeCells count="3">
    <mergeCell ref="A1:B1"/>
    <mergeCell ref="D2:E2"/>
    <mergeCell ref="G1:K1"/>
  </mergeCells>
  <conditionalFormatting sqref="A5:A12 F5:F12">
    <cfRule type="cellIs" dxfId="99" priority="4" operator="equal">
      <formula>"TR"</formula>
    </cfRule>
    <cfRule type="cellIs" dxfId="98" priority="5" operator="equal">
      <formula>"RT"</formula>
    </cfRule>
    <cfRule type="cellIs" dxfId="97" priority="7" operator="equal">
      <formula>"RCA"</formula>
    </cfRule>
  </conditionalFormatting>
  <conditionalFormatting sqref="B5:B12">
    <cfRule type="containsText" dxfId="96" priority="6" operator="containsText" text="/">
      <formula>NOT(ISERROR(SEARCH("/",B5)))</formula>
    </cfRule>
  </conditionalFormatting>
  <conditionalFormatting sqref="F5:F12">
    <cfRule type="cellIs" dxfId="95" priority="1" operator="equal">
      <formula>"TR"</formula>
    </cfRule>
    <cfRule type="cellIs" dxfId="94" priority="2" operator="equal">
      <formula>"GRN"</formula>
    </cfRule>
    <cfRule type="cellIs" dxfId="93" priority="3" operator="equal">
      <formula>"GRN"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2"/>
  <sheetViews>
    <sheetView workbookViewId="0">
      <selection activeCell="A6" sqref="A6:XFD6"/>
    </sheetView>
  </sheetViews>
  <sheetFormatPr defaultRowHeight="15"/>
  <sheetData>
    <row r="1" spans="1:1">
      <c r="A1" t="s">
        <v>59</v>
      </c>
    </row>
    <row r="2" spans="1:1">
      <c r="A2" t="s">
        <v>60</v>
      </c>
    </row>
    <row r="3" spans="1:1">
      <c r="A3" t="s">
        <v>61</v>
      </c>
    </row>
    <row r="4" spans="1:1">
      <c r="A4" t="s">
        <v>62</v>
      </c>
    </row>
    <row r="5" spans="1:1">
      <c r="A5" t="s">
        <v>63</v>
      </c>
    </row>
    <row r="6" spans="1:1">
      <c r="A6" t="s">
        <v>64</v>
      </c>
    </row>
    <row r="7" spans="1:1">
      <c r="A7" t="s">
        <v>65</v>
      </c>
    </row>
    <row r="8" spans="1:1">
      <c r="A8" t="s">
        <v>66</v>
      </c>
    </row>
    <row r="9" spans="1:1">
      <c r="A9" t="s">
        <v>67</v>
      </c>
    </row>
    <row r="10" spans="1:1">
      <c r="A10" t="s">
        <v>68</v>
      </c>
    </row>
    <row r="11" spans="1:1">
      <c r="A11" t="s">
        <v>69</v>
      </c>
    </row>
    <row r="12" spans="1:1">
      <c r="A12" t="s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D163"/>
  <sheetViews>
    <sheetView workbookViewId="0">
      <selection activeCell="B96" sqref="B96"/>
    </sheetView>
  </sheetViews>
  <sheetFormatPr defaultRowHeight="15"/>
  <cols>
    <col min="1" max="1" width="11.5703125" bestFit="1" customWidth="1"/>
    <col min="3" max="3" width="8.140625" bestFit="1" customWidth="1"/>
    <col min="4" max="4" width="6.42578125" bestFit="1" customWidth="1"/>
    <col min="5" max="5" width="11.140625" bestFit="1" customWidth="1"/>
    <col min="6" max="6" width="8.140625" bestFit="1" customWidth="1"/>
  </cols>
  <sheetData>
    <row r="1" spans="1:4">
      <c r="A1" t="s">
        <v>2</v>
      </c>
      <c r="B1" t="s">
        <v>1</v>
      </c>
      <c r="C1" t="s">
        <v>76</v>
      </c>
      <c r="D1" t="s">
        <v>23</v>
      </c>
    </row>
    <row r="2" spans="1:4" hidden="1">
      <c r="A2" t="s">
        <v>6</v>
      </c>
      <c r="B2">
        <v>0</v>
      </c>
      <c r="C2" t="s">
        <v>77</v>
      </c>
      <c r="D2">
        <v>44</v>
      </c>
    </row>
    <row r="3" spans="1:4" hidden="1">
      <c r="A3" t="s">
        <v>8</v>
      </c>
      <c r="B3">
        <v>29</v>
      </c>
      <c r="C3" t="s">
        <v>79</v>
      </c>
      <c r="D3">
        <v>6</v>
      </c>
    </row>
    <row r="4" spans="1:4" hidden="1">
      <c r="A4" t="s">
        <v>102</v>
      </c>
      <c r="B4">
        <v>30</v>
      </c>
      <c r="C4" t="s">
        <v>79</v>
      </c>
      <c r="D4">
        <v>17</v>
      </c>
    </row>
    <row r="5" spans="1:4" hidden="1">
      <c r="A5" t="s">
        <v>9</v>
      </c>
      <c r="B5">
        <v>9</v>
      </c>
      <c r="C5" t="s">
        <v>79</v>
      </c>
      <c r="D5">
        <v>2</v>
      </c>
    </row>
    <row r="6" spans="1:4" hidden="1">
      <c r="A6" t="s">
        <v>6</v>
      </c>
      <c r="B6">
        <v>3</v>
      </c>
      <c r="C6" t="s">
        <v>79</v>
      </c>
      <c r="D6">
        <v>140</v>
      </c>
    </row>
    <row r="7" spans="1:4" hidden="1">
      <c r="A7" t="s">
        <v>6</v>
      </c>
      <c r="B7">
        <v>7</v>
      </c>
      <c r="C7" t="s">
        <v>79</v>
      </c>
      <c r="D7">
        <v>67</v>
      </c>
    </row>
    <row r="8" spans="1:4" hidden="1">
      <c r="A8" t="s">
        <v>6</v>
      </c>
      <c r="B8">
        <v>9</v>
      </c>
      <c r="C8" t="s">
        <v>79</v>
      </c>
      <c r="D8">
        <v>25</v>
      </c>
    </row>
    <row r="9" spans="1:4" hidden="1">
      <c r="A9" t="s">
        <v>6</v>
      </c>
      <c r="B9">
        <v>13</v>
      </c>
      <c r="C9" t="s">
        <v>79</v>
      </c>
      <c r="D9">
        <v>203</v>
      </c>
    </row>
    <row r="10" spans="1:4" hidden="1">
      <c r="A10" t="s">
        <v>6</v>
      </c>
      <c r="B10">
        <v>14</v>
      </c>
      <c r="C10" t="s">
        <v>79</v>
      </c>
      <c r="D10">
        <v>74</v>
      </c>
    </row>
    <row r="11" spans="1:4" hidden="1">
      <c r="A11" t="s">
        <v>6</v>
      </c>
      <c r="B11">
        <v>15</v>
      </c>
      <c r="C11" t="s">
        <v>79</v>
      </c>
      <c r="D11">
        <v>56</v>
      </c>
    </row>
    <row r="12" spans="1:4" hidden="1">
      <c r="A12" t="s">
        <v>6</v>
      </c>
      <c r="B12">
        <v>27</v>
      </c>
      <c r="C12" t="s">
        <v>79</v>
      </c>
      <c r="D12">
        <v>38</v>
      </c>
    </row>
    <row r="13" spans="1:4" hidden="1">
      <c r="A13" t="s">
        <v>6</v>
      </c>
      <c r="B13">
        <v>29</v>
      </c>
      <c r="C13" t="s">
        <v>79</v>
      </c>
      <c r="D13">
        <v>37</v>
      </c>
    </row>
    <row r="14" spans="1:4" hidden="1">
      <c r="A14" t="s">
        <v>6</v>
      </c>
      <c r="B14">
        <v>30</v>
      </c>
      <c r="C14" t="s">
        <v>79</v>
      </c>
      <c r="D14">
        <v>76</v>
      </c>
    </row>
    <row r="15" spans="1:4" hidden="1">
      <c r="A15" t="s">
        <v>6</v>
      </c>
      <c r="B15">
        <v>31</v>
      </c>
      <c r="C15" t="s">
        <v>79</v>
      </c>
      <c r="D15">
        <v>141</v>
      </c>
    </row>
    <row r="16" spans="1:4">
      <c r="A16" t="s">
        <v>103</v>
      </c>
      <c r="B16">
        <v>8</v>
      </c>
      <c r="C16" t="s">
        <v>79</v>
      </c>
      <c r="D16">
        <v>10</v>
      </c>
    </row>
    <row r="17" spans="1:4" hidden="1">
      <c r="A17" t="s">
        <v>104</v>
      </c>
      <c r="B17">
        <v>1</v>
      </c>
      <c r="C17" t="s">
        <v>79</v>
      </c>
      <c r="D17">
        <v>1</v>
      </c>
    </row>
    <row r="18" spans="1:4" hidden="1">
      <c r="A18" t="s">
        <v>104</v>
      </c>
      <c r="B18">
        <v>2</v>
      </c>
      <c r="C18" t="s">
        <v>79</v>
      </c>
      <c r="D18">
        <v>3</v>
      </c>
    </row>
    <row r="19" spans="1:4" hidden="1">
      <c r="A19" t="s">
        <v>104</v>
      </c>
      <c r="B19">
        <v>8</v>
      </c>
      <c r="C19" t="s">
        <v>79</v>
      </c>
      <c r="D19">
        <v>8</v>
      </c>
    </row>
    <row r="20" spans="1:4" hidden="1">
      <c r="A20" t="s">
        <v>104</v>
      </c>
      <c r="B20">
        <v>30</v>
      </c>
      <c r="C20" t="s">
        <v>79</v>
      </c>
      <c r="D20">
        <v>39</v>
      </c>
    </row>
    <row r="21" spans="1:4" hidden="1">
      <c r="A21" t="s">
        <v>8</v>
      </c>
      <c r="B21">
        <v>0</v>
      </c>
      <c r="C21" t="s">
        <v>79</v>
      </c>
      <c r="D21">
        <v>9</v>
      </c>
    </row>
    <row r="22" spans="1:4" hidden="1">
      <c r="A22" t="s">
        <v>6</v>
      </c>
      <c r="B22">
        <v>0</v>
      </c>
      <c r="C22" t="s">
        <v>79</v>
      </c>
      <c r="D22">
        <v>1507</v>
      </c>
    </row>
    <row r="23" spans="1:4" hidden="1">
      <c r="A23" t="s">
        <v>104</v>
      </c>
      <c r="B23">
        <v>0</v>
      </c>
      <c r="C23" t="s">
        <v>79</v>
      </c>
      <c r="D23">
        <v>20</v>
      </c>
    </row>
    <row r="24" spans="1:4" hidden="1">
      <c r="A24" t="s">
        <v>81</v>
      </c>
      <c r="B24">
        <v>1</v>
      </c>
      <c r="C24" t="s">
        <v>80</v>
      </c>
      <c r="D24">
        <v>8</v>
      </c>
    </row>
    <row r="25" spans="1:4" hidden="1">
      <c r="A25" t="s">
        <v>102</v>
      </c>
      <c r="B25">
        <v>1</v>
      </c>
      <c r="C25" t="s">
        <v>80</v>
      </c>
      <c r="D25">
        <v>85</v>
      </c>
    </row>
    <row r="26" spans="1:4" hidden="1">
      <c r="A26" t="s">
        <v>9</v>
      </c>
      <c r="B26">
        <v>1</v>
      </c>
      <c r="C26" t="s">
        <v>80</v>
      </c>
      <c r="D26">
        <v>85</v>
      </c>
    </row>
    <row r="27" spans="1:4" hidden="1">
      <c r="A27" t="s">
        <v>6</v>
      </c>
      <c r="B27">
        <v>1</v>
      </c>
      <c r="C27" t="s">
        <v>80</v>
      </c>
      <c r="D27">
        <v>85</v>
      </c>
    </row>
    <row r="28" spans="1:4">
      <c r="A28" t="s">
        <v>103</v>
      </c>
      <c r="B28">
        <v>1</v>
      </c>
      <c r="C28" t="s">
        <v>80</v>
      </c>
      <c r="D28">
        <v>85</v>
      </c>
    </row>
    <row r="29" spans="1:4" hidden="1">
      <c r="A29" t="s">
        <v>104</v>
      </c>
      <c r="B29">
        <v>1</v>
      </c>
      <c r="C29" t="s">
        <v>80</v>
      </c>
      <c r="D29">
        <v>85</v>
      </c>
    </row>
    <row r="30" spans="1:4" hidden="1">
      <c r="A30" t="s">
        <v>82</v>
      </c>
      <c r="B30">
        <v>1</v>
      </c>
      <c r="C30" t="s">
        <v>80</v>
      </c>
      <c r="D30">
        <v>85</v>
      </c>
    </row>
    <row r="31" spans="1:4" hidden="1">
      <c r="A31" t="s">
        <v>102</v>
      </c>
      <c r="B31">
        <v>2</v>
      </c>
      <c r="C31" t="s">
        <v>80</v>
      </c>
      <c r="D31">
        <v>188</v>
      </c>
    </row>
    <row r="32" spans="1:4" hidden="1">
      <c r="A32" t="s">
        <v>9</v>
      </c>
      <c r="B32">
        <v>2</v>
      </c>
      <c r="C32" t="s">
        <v>80</v>
      </c>
      <c r="D32">
        <v>188</v>
      </c>
    </row>
    <row r="33" spans="1:4" hidden="1">
      <c r="A33" t="s">
        <v>6</v>
      </c>
      <c r="B33">
        <v>2</v>
      </c>
      <c r="C33" t="s">
        <v>80</v>
      </c>
      <c r="D33">
        <v>136</v>
      </c>
    </row>
    <row r="34" spans="1:4">
      <c r="A34" t="s">
        <v>103</v>
      </c>
      <c r="B34">
        <v>2</v>
      </c>
      <c r="C34" t="s">
        <v>80</v>
      </c>
      <c r="D34">
        <v>188</v>
      </c>
    </row>
    <row r="35" spans="1:4" hidden="1">
      <c r="A35" t="s">
        <v>104</v>
      </c>
      <c r="B35">
        <v>2</v>
      </c>
      <c r="C35" t="s">
        <v>80</v>
      </c>
      <c r="D35">
        <v>188</v>
      </c>
    </row>
    <row r="36" spans="1:4" hidden="1">
      <c r="A36" t="s">
        <v>82</v>
      </c>
      <c r="B36">
        <v>2</v>
      </c>
      <c r="C36" t="s">
        <v>80</v>
      </c>
      <c r="D36">
        <v>188</v>
      </c>
    </row>
    <row r="37" spans="1:4" hidden="1">
      <c r="A37" t="s">
        <v>102</v>
      </c>
      <c r="B37">
        <v>3</v>
      </c>
      <c r="C37" t="s">
        <v>80</v>
      </c>
      <c r="D37">
        <v>85</v>
      </c>
    </row>
    <row r="38" spans="1:4" hidden="1">
      <c r="A38" t="s">
        <v>9</v>
      </c>
      <c r="B38">
        <v>3</v>
      </c>
      <c r="C38" t="s">
        <v>80</v>
      </c>
      <c r="D38">
        <v>85</v>
      </c>
    </row>
    <row r="39" spans="1:4" hidden="1">
      <c r="A39" t="s">
        <v>6</v>
      </c>
      <c r="B39">
        <v>3</v>
      </c>
      <c r="C39" t="s">
        <v>80</v>
      </c>
      <c r="D39">
        <v>35</v>
      </c>
    </row>
    <row r="40" spans="1:4">
      <c r="A40" t="s">
        <v>103</v>
      </c>
      <c r="B40">
        <v>3</v>
      </c>
      <c r="C40" t="s">
        <v>80</v>
      </c>
      <c r="D40">
        <v>85</v>
      </c>
    </row>
    <row r="41" spans="1:4" hidden="1">
      <c r="A41" t="s">
        <v>104</v>
      </c>
      <c r="B41">
        <v>3</v>
      </c>
      <c r="C41" t="s">
        <v>80</v>
      </c>
      <c r="D41">
        <v>85</v>
      </c>
    </row>
    <row r="42" spans="1:4" hidden="1">
      <c r="A42" t="s">
        <v>82</v>
      </c>
      <c r="B42">
        <v>3</v>
      </c>
      <c r="C42" t="s">
        <v>80</v>
      </c>
      <c r="D42">
        <v>85</v>
      </c>
    </row>
    <row r="43" spans="1:4" hidden="1">
      <c r="A43" t="s">
        <v>81</v>
      </c>
      <c r="B43">
        <v>4</v>
      </c>
      <c r="C43" t="s">
        <v>80</v>
      </c>
      <c r="D43">
        <v>560</v>
      </c>
    </row>
    <row r="44" spans="1:4" hidden="1">
      <c r="A44" t="s">
        <v>102</v>
      </c>
      <c r="B44">
        <v>4</v>
      </c>
      <c r="C44" t="s">
        <v>80</v>
      </c>
      <c r="D44">
        <v>250</v>
      </c>
    </row>
    <row r="45" spans="1:4" hidden="1">
      <c r="A45" t="s">
        <v>9</v>
      </c>
      <c r="B45">
        <v>4</v>
      </c>
      <c r="C45" t="s">
        <v>80</v>
      </c>
      <c r="D45">
        <v>250</v>
      </c>
    </row>
    <row r="46" spans="1:4" hidden="1">
      <c r="A46" t="s">
        <v>6</v>
      </c>
      <c r="B46">
        <v>4</v>
      </c>
      <c r="C46" t="s">
        <v>80</v>
      </c>
      <c r="D46">
        <v>200</v>
      </c>
    </row>
    <row r="47" spans="1:4">
      <c r="A47" t="s">
        <v>103</v>
      </c>
      <c r="B47">
        <v>4</v>
      </c>
      <c r="C47" t="s">
        <v>80</v>
      </c>
      <c r="D47">
        <v>250</v>
      </c>
    </row>
    <row r="48" spans="1:4" hidden="1">
      <c r="A48" t="s">
        <v>104</v>
      </c>
      <c r="B48">
        <v>4</v>
      </c>
      <c r="C48" t="s">
        <v>80</v>
      </c>
      <c r="D48">
        <v>250</v>
      </c>
    </row>
    <row r="49" spans="1:4" hidden="1">
      <c r="A49" t="s">
        <v>82</v>
      </c>
      <c r="B49">
        <v>4</v>
      </c>
      <c r="C49" t="s">
        <v>80</v>
      </c>
      <c r="D49">
        <v>250</v>
      </c>
    </row>
    <row r="50" spans="1:4" hidden="1">
      <c r="A50" t="s">
        <v>102</v>
      </c>
      <c r="B50">
        <v>5</v>
      </c>
      <c r="C50" t="s">
        <v>80</v>
      </c>
      <c r="D50">
        <v>100</v>
      </c>
    </row>
    <row r="51" spans="1:4" hidden="1">
      <c r="A51" t="s">
        <v>9</v>
      </c>
      <c r="B51">
        <v>5</v>
      </c>
      <c r="C51" t="s">
        <v>80</v>
      </c>
      <c r="D51">
        <v>100</v>
      </c>
    </row>
    <row r="52" spans="1:4" hidden="1">
      <c r="A52" t="s">
        <v>6</v>
      </c>
      <c r="B52">
        <v>5</v>
      </c>
      <c r="C52" t="s">
        <v>80</v>
      </c>
      <c r="D52">
        <v>56</v>
      </c>
    </row>
    <row r="53" spans="1:4">
      <c r="A53" t="s">
        <v>103</v>
      </c>
      <c r="B53">
        <v>5</v>
      </c>
      <c r="C53" t="s">
        <v>80</v>
      </c>
      <c r="D53">
        <v>100</v>
      </c>
    </row>
    <row r="54" spans="1:4" hidden="1">
      <c r="A54" t="s">
        <v>104</v>
      </c>
      <c r="B54">
        <v>5</v>
      </c>
      <c r="C54" t="s">
        <v>80</v>
      </c>
      <c r="D54">
        <v>100</v>
      </c>
    </row>
    <row r="55" spans="1:4" hidden="1">
      <c r="A55" t="s">
        <v>82</v>
      </c>
      <c r="B55">
        <v>5</v>
      </c>
      <c r="C55" t="s">
        <v>80</v>
      </c>
      <c r="D55">
        <v>100</v>
      </c>
    </row>
    <row r="56" spans="1:4" hidden="1">
      <c r="A56" t="s">
        <v>81</v>
      </c>
      <c r="B56">
        <v>6</v>
      </c>
      <c r="C56" t="s">
        <v>80</v>
      </c>
      <c r="D56">
        <v>184</v>
      </c>
    </row>
    <row r="57" spans="1:4" hidden="1">
      <c r="A57" t="s">
        <v>102</v>
      </c>
      <c r="B57">
        <v>6</v>
      </c>
      <c r="C57" t="s">
        <v>80</v>
      </c>
      <c r="D57">
        <v>237</v>
      </c>
    </row>
    <row r="58" spans="1:4" hidden="1">
      <c r="A58" t="s">
        <v>9</v>
      </c>
      <c r="B58">
        <v>6</v>
      </c>
      <c r="C58" t="s">
        <v>80</v>
      </c>
      <c r="D58">
        <v>237</v>
      </c>
    </row>
    <row r="59" spans="1:4" hidden="1">
      <c r="A59" t="s">
        <v>6</v>
      </c>
      <c r="B59">
        <v>6</v>
      </c>
      <c r="C59" t="s">
        <v>80</v>
      </c>
      <c r="D59">
        <v>237</v>
      </c>
    </row>
    <row r="60" spans="1:4">
      <c r="A60" t="s">
        <v>103</v>
      </c>
      <c r="B60">
        <v>6</v>
      </c>
      <c r="C60" t="s">
        <v>80</v>
      </c>
      <c r="D60">
        <v>237</v>
      </c>
    </row>
    <row r="61" spans="1:4" hidden="1">
      <c r="A61" t="s">
        <v>104</v>
      </c>
      <c r="B61">
        <v>6</v>
      </c>
      <c r="C61" t="s">
        <v>80</v>
      </c>
      <c r="D61">
        <v>237</v>
      </c>
    </row>
    <row r="62" spans="1:4" hidden="1">
      <c r="A62" t="s">
        <v>82</v>
      </c>
      <c r="B62">
        <v>6</v>
      </c>
      <c r="C62" t="s">
        <v>80</v>
      </c>
      <c r="D62">
        <v>237</v>
      </c>
    </row>
    <row r="63" spans="1:4" hidden="1">
      <c r="A63" t="s">
        <v>102</v>
      </c>
      <c r="B63">
        <v>7</v>
      </c>
      <c r="C63" t="s">
        <v>80</v>
      </c>
      <c r="D63">
        <v>209</v>
      </c>
    </row>
    <row r="64" spans="1:4" hidden="1">
      <c r="A64" t="s">
        <v>9</v>
      </c>
      <c r="B64">
        <v>7</v>
      </c>
      <c r="C64" t="s">
        <v>80</v>
      </c>
      <c r="D64">
        <v>209</v>
      </c>
    </row>
    <row r="65" spans="1:4" hidden="1">
      <c r="A65" t="s">
        <v>6</v>
      </c>
      <c r="B65">
        <v>7</v>
      </c>
      <c r="C65" t="s">
        <v>80</v>
      </c>
      <c r="D65">
        <v>205</v>
      </c>
    </row>
    <row r="66" spans="1:4">
      <c r="A66" t="s">
        <v>103</v>
      </c>
      <c r="B66">
        <v>7</v>
      </c>
      <c r="C66" t="s">
        <v>80</v>
      </c>
      <c r="D66">
        <v>209</v>
      </c>
    </row>
    <row r="67" spans="1:4" hidden="1">
      <c r="A67" t="s">
        <v>104</v>
      </c>
      <c r="B67">
        <v>7</v>
      </c>
      <c r="C67" t="s">
        <v>80</v>
      </c>
      <c r="D67">
        <v>209</v>
      </c>
    </row>
    <row r="68" spans="1:4" hidden="1">
      <c r="A68" t="s">
        <v>82</v>
      </c>
      <c r="B68">
        <v>7</v>
      </c>
      <c r="C68" t="s">
        <v>80</v>
      </c>
      <c r="D68">
        <v>209</v>
      </c>
    </row>
    <row r="69" spans="1:4" hidden="1">
      <c r="A69" t="s">
        <v>102</v>
      </c>
      <c r="B69">
        <v>8</v>
      </c>
      <c r="C69" t="s">
        <v>80</v>
      </c>
      <c r="D69">
        <v>139</v>
      </c>
    </row>
    <row r="70" spans="1:4" hidden="1">
      <c r="A70" t="s">
        <v>9</v>
      </c>
      <c r="B70">
        <v>8</v>
      </c>
      <c r="C70" t="s">
        <v>80</v>
      </c>
      <c r="D70">
        <v>139</v>
      </c>
    </row>
    <row r="71" spans="1:4" hidden="1">
      <c r="A71" t="s">
        <v>6</v>
      </c>
      <c r="B71">
        <v>8</v>
      </c>
      <c r="C71" t="s">
        <v>80</v>
      </c>
      <c r="D71">
        <v>139</v>
      </c>
    </row>
    <row r="72" spans="1:4">
      <c r="A72" t="s">
        <v>103</v>
      </c>
      <c r="B72">
        <v>8</v>
      </c>
      <c r="C72" t="s">
        <v>80</v>
      </c>
      <c r="D72">
        <v>139</v>
      </c>
    </row>
    <row r="73" spans="1:4" hidden="1">
      <c r="A73" t="s">
        <v>104</v>
      </c>
      <c r="B73">
        <v>8</v>
      </c>
      <c r="C73" t="s">
        <v>80</v>
      </c>
      <c r="D73">
        <v>139</v>
      </c>
    </row>
    <row r="74" spans="1:4" hidden="1">
      <c r="A74" t="s">
        <v>82</v>
      </c>
      <c r="B74">
        <v>8</v>
      </c>
      <c r="C74" t="s">
        <v>80</v>
      </c>
      <c r="D74">
        <v>139</v>
      </c>
    </row>
    <row r="75" spans="1:4" hidden="1">
      <c r="A75" t="s">
        <v>102</v>
      </c>
      <c r="B75">
        <v>9</v>
      </c>
      <c r="C75" t="s">
        <v>80</v>
      </c>
      <c r="D75">
        <v>317</v>
      </c>
    </row>
    <row r="76" spans="1:4" hidden="1">
      <c r="A76" t="s">
        <v>9</v>
      </c>
      <c r="B76">
        <v>9</v>
      </c>
      <c r="C76" t="s">
        <v>80</v>
      </c>
      <c r="D76">
        <v>317</v>
      </c>
    </row>
    <row r="77" spans="1:4" hidden="1">
      <c r="A77" t="s">
        <v>6</v>
      </c>
      <c r="B77">
        <v>9</v>
      </c>
      <c r="C77" t="s">
        <v>80</v>
      </c>
      <c r="D77">
        <v>307</v>
      </c>
    </row>
    <row r="78" spans="1:4">
      <c r="A78" t="s">
        <v>103</v>
      </c>
      <c r="B78">
        <v>9</v>
      </c>
      <c r="C78" t="s">
        <v>80</v>
      </c>
      <c r="D78">
        <v>317</v>
      </c>
    </row>
    <row r="79" spans="1:4" hidden="1">
      <c r="A79" t="s">
        <v>104</v>
      </c>
      <c r="B79">
        <v>9</v>
      </c>
      <c r="C79" t="s">
        <v>80</v>
      </c>
      <c r="D79">
        <v>317</v>
      </c>
    </row>
    <row r="80" spans="1:4" hidden="1">
      <c r="A80" t="s">
        <v>82</v>
      </c>
      <c r="B80">
        <v>9</v>
      </c>
      <c r="C80" t="s">
        <v>80</v>
      </c>
      <c r="D80">
        <v>317</v>
      </c>
    </row>
    <row r="81" spans="1:4" hidden="1">
      <c r="A81" t="s">
        <v>102</v>
      </c>
      <c r="B81">
        <v>10</v>
      </c>
      <c r="C81" t="s">
        <v>80</v>
      </c>
      <c r="D81">
        <v>207</v>
      </c>
    </row>
    <row r="82" spans="1:4" hidden="1">
      <c r="A82" t="s">
        <v>9</v>
      </c>
      <c r="B82">
        <v>10</v>
      </c>
      <c r="C82" t="s">
        <v>80</v>
      </c>
      <c r="D82">
        <v>207</v>
      </c>
    </row>
    <row r="83" spans="1:4" hidden="1">
      <c r="A83" t="s">
        <v>6</v>
      </c>
      <c r="B83">
        <v>10</v>
      </c>
      <c r="C83" t="s">
        <v>80</v>
      </c>
      <c r="D83">
        <v>205</v>
      </c>
    </row>
    <row r="84" spans="1:4">
      <c r="A84" t="s">
        <v>103</v>
      </c>
      <c r="B84">
        <v>10</v>
      </c>
      <c r="C84" t="s">
        <v>80</v>
      </c>
      <c r="D84">
        <v>207</v>
      </c>
    </row>
    <row r="85" spans="1:4" hidden="1">
      <c r="A85" t="s">
        <v>104</v>
      </c>
      <c r="B85">
        <v>10</v>
      </c>
      <c r="C85" t="s">
        <v>80</v>
      </c>
      <c r="D85">
        <v>207</v>
      </c>
    </row>
    <row r="86" spans="1:4" hidden="1">
      <c r="A86" t="s">
        <v>82</v>
      </c>
      <c r="B86">
        <v>10</v>
      </c>
      <c r="C86" t="s">
        <v>80</v>
      </c>
      <c r="D86">
        <v>207</v>
      </c>
    </row>
    <row r="87" spans="1:4" hidden="1">
      <c r="A87" t="s">
        <v>102</v>
      </c>
      <c r="B87">
        <v>11</v>
      </c>
      <c r="C87" t="s">
        <v>80</v>
      </c>
      <c r="D87">
        <v>150</v>
      </c>
    </row>
    <row r="88" spans="1:4" hidden="1">
      <c r="A88" t="s">
        <v>9</v>
      </c>
      <c r="B88">
        <v>11</v>
      </c>
      <c r="C88" t="s">
        <v>80</v>
      </c>
      <c r="D88">
        <v>150</v>
      </c>
    </row>
    <row r="89" spans="1:4" hidden="1">
      <c r="A89" t="s">
        <v>6</v>
      </c>
      <c r="B89">
        <v>11</v>
      </c>
      <c r="C89" t="s">
        <v>80</v>
      </c>
      <c r="D89">
        <v>150</v>
      </c>
    </row>
    <row r="90" spans="1:4">
      <c r="A90" t="s">
        <v>103</v>
      </c>
      <c r="B90">
        <v>11</v>
      </c>
      <c r="C90" t="s">
        <v>80</v>
      </c>
      <c r="D90">
        <v>150</v>
      </c>
    </row>
    <row r="91" spans="1:4" hidden="1">
      <c r="A91" t="s">
        <v>104</v>
      </c>
      <c r="B91">
        <v>11</v>
      </c>
      <c r="C91" t="s">
        <v>80</v>
      </c>
      <c r="D91">
        <v>150</v>
      </c>
    </row>
    <row r="92" spans="1:4" hidden="1">
      <c r="A92" t="s">
        <v>82</v>
      </c>
      <c r="B92">
        <v>11</v>
      </c>
      <c r="C92" t="s">
        <v>80</v>
      </c>
      <c r="D92">
        <v>150</v>
      </c>
    </row>
    <row r="93" spans="1:4" hidden="1">
      <c r="A93" t="s">
        <v>102</v>
      </c>
      <c r="B93">
        <v>13</v>
      </c>
      <c r="C93" t="s">
        <v>80</v>
      </c>
      <c r="D93">
        <v>184</v>
      </c>
    </row>
    <row r="94" spans="1:4" hidden="1">
      <c r="A94" t="s">
        <v>9</v>
      </c>
      <c r="B94">
        <v>13</v>
      </c>
      <c r="C94" t="s">
        <v>80</v>
      </c>
      <c r="D94">
        <v>184</v>
      </c>
    </row>
    <row r="95" spans="1:4" hidden="1">
      <c r="A95" t="s">
        <v>6</v>
      </c>
      <c r="B95">
        <v>13</v>
      </c>
      <c r="C95" t="s">
        <v>80</v>
      </c>
      <c r="D95">
        <v>184</v>
      </c>
    </row>
    <row r="96" spans="1:4">
      <c r="A96" t="s">
        <v>103</v>
      </c>
      <c r="B96">
        <v>13</v>
      </c>
      <c r="C96" t="s">
        <v>80</v>
      </c>
      <c r="D96">
        <v>184</v>
      </c>
    </row>
    <row r="97" spans="1:4" hidden="1">
      <c r="A97" t="s">
        <v>104</v>
      </c>
      <c r="B97">
        <v>13</v>
      </c>
      <c r="C97" t="s">
        <v>80</v>
      </c>
      <c r="D97">
        <v>184</v>
      </c>
    </row>
    <row r="98" spans="1:4" hidden="1">
      <c r="A98" t="s">
        <v>82</v>
      </c>
      <c r="B98">
        <v>13</v>
      </c>
      <c r="C98" t="s">
        <v>80</v>
      </c>
      <c r="D98">
        <v>184</v>
      </c>
    </row>
    <row r="99" spans="1:4" hidden="1">
      <c r="A99" t="s">
        <v>102</v>
      </c>
      <c r="B99">
        <v>14</v>
      </c>
      <c r="C99" t="s">
        <v>80</v>
      </c>
      <c r="D99">
        <v>312</v>
      </c>
    </row>
    <row r="100" spans="1:4" hidden="1">
      <c r="A100" t="s">
        <v>9</v>
      </c>
      <c r="B100">
        <v>14</v>
      </c>
      <c r="C100" t="s">
        <v>80</v>
      </c>
      <c r="D100">
        <v>312</v>
      </c>
    </row>
    <row r="101" spans="1:4" hidden="1">
      <c r="A101" t="s">
        <v>6</v>
      </c>
      <c r="B101">
        <v>14</v>
      </c>
      <c r="C101" t="s">
        <v>80</v>
      </c>
      <c r="D101">
        <v>312</v>
      </c>
    </row>
    <row r="102" spans="1:4">
      <c r="A102" t="s">
        <v>103</v>
      </c>
      <c r="B102">
        <v>14</v>
      </c>
      <c r="C102" t="s">
        <v>80</v>
      </c>
      <c r="D102">
        <v>312</v>
      </c>
    </row>
    <row r="103" spans="1:4" hidden="1">
      <c r="A103" t="s">
        <v>104</v>
      </c>
      <c r="B103">
        <v>14</v>
      </c>
      <c r="C103" t="s">
        <v>80</v>
      </c>
      <c r="D103">
        <v>312</v>
      </c>
    </row>
    <row r="104" spans="1:4" hidden="1">
      <c r="A104" t="s">
        <v>82</v>
      </c>
      <c r="B104">
        <v>14</v>
      </c>
      <c r="C104" t="s">
        <v>80</v>
      </c>
      <c r="D104">
        <v>312</v>
      </c>
    </row>
    <row r="105" spans="1:4" hidden="1">
      <c r="A105" t="s">
        <v>102</v>
      </c>
      <c r="B105">
        <v>15</v>
      </c>
      <c r="C105" t="s">
        <v>80</v>
      </c>
      <c r="D105">
        <v>186</v>
      </c>
    </row>
    <row r="106" spans="1:4" hidden="1">
      <c r="A106" t="s">
        <v>9</v>
      </c>
      <c r="B106">
        <v>15</v>
      </c>
      <c r="C106" t="s">
        <v>80</v>
      </c>
      <c r="D106">
        <v>186</v>
      </c>
    </row>
    <row r="107" spans="1:4" hidden="1">
      <c r="A107" t="s">
        <v>6</v>
      </c>
      <c r="B107">
        <v>15</v>
      </c>
      <c r="C107" t="s">
        <v>80</v>
      </c>
      <c r="D107">
        <v>186</v>
      </c>
    </row>
    <row r="108" spans="1:4">
      <c r="A108" t="s">
        <v>103</v>
      </c>
      <c r="B108">
        <v>15</v>
      </c>
      <c r="C108" t="s">
        <v>80</v>
      </c>
      <c r="D108">
        <v>186</v>
      </c>
    </row>
    <row r="109" spans="1:4" hidden="1">
      <c r="A109" t="s">
        <v>104</v>
      </c>
      <c r="B109">
        <v>15</v>
      </c>
      <c r="C109" t="s">
        <v>80</v>
      </c>
      <c r="D109">
        <v>186</v>
      </c>
    </row>
    <row r="110" spans="1:4" hidden="1">
      <c r="A110" t="s">
        <v>82</v>
      </c>
      <c r="B110">
        <v>15</v>
      </c>
      <c r="C110" t="s">
        <v>80</v>
      </c>
      <c r="D110">
        <v>186</v>
      </c>
    </row>
    <row r="111" spans="1:4" hidden="1">
      <c r="A111" t="s">
        <v>102</v>
      </c>
      <c r="B111">
        <v>16</v>
      </c>
      <c r="C111" t="s">
        <v>80</v>
      </c>
      <c r="D111">
        <v>164</v>
      </c>
    </row>
    <row r="112" spans="1:4" hidden="1">
      <c r="A112" t="s">
        <v>9</v>
      </c>
      <c r="B112">
        <v>16</v>
      </c>
      <c r="C112" t="s">
        <v>80</v>
      </c>
      <c r="D112">
        <v>164</v>
      </c>
    </row>
    <row r="113" spans="1:4" hidden="1">
      <c r="A113" t="s">
        <v>6</v>
      </c>
      <c r="B113">
        <v>16</v>
      </c>
      <c r="C113" t="s">
        <v>80</v>
      </c>
      <c r="D113">
        <v>125</v>
      </c>
    </row>
    <row r="114" spans="1:4">
      <c r="A114" t="s">
        <v>103</v>
      </c>
      <c r="B114">
        <v>16</v>
      </c>
      <c r="C114" t="s">
        <v>80</v>
      </c>
      <c r="D114">
        <v>164</v>
      </c>
    </row>
    <row r="115" spans="1:4" hidden="1">
      <c r="A115" t="s">
        <v>104</v>
      </c>
      <c r="B115">
        <v>16</v>
      </c>
      <c r="C115" t="s">
        <v>80</v>
      </c>
      <c r="D115">
        <v>164</v>
      </c>
    </row>
    <row r="116" spans="1:4" hidden="1">
      <c r="A116" t="s">
        <v>82</v>
      </c>
      <c r="B116">
        <v>16</v>
      </c>
      <c r="C116" t="s">
        <v>80</v>
      </c>
      <c r="D116">
        <v>164</v>
      </c>
    </row>
    <row r="117" spans="1:4" hidden="1">
      <c r="A117" t="s">
        <v>102</v>
      </c>
      <c r="B117">
        <v>17</v>
      </c>
      <c r="C117" t="s">
        <v>80</v>
      </c>
      <c r="D117">
        <v>85</v>
      </c>
    </row>
    <row r="118" spans="1:4" hidden="1">
      <c r="A118" t="s">
        <v>9</v>
      </c>
      <c r="B118">
        <v>17</v>
      </c>
      <c r="C118" t="s">
        <v>80</v>
      </c>
      <c r="D118">
        <v>85</v>
      </c>
    </row>
    <row r="119" spans="1:4" hidden="1">
      <c r="A119" t="s">
        <v>6</v>
      </c>
      <c r="B119">
        <v>17</v>
      </c>
      <c r="C119" t="s">
        <v>80</v>
      </c>
      <c r="D119">
        <v>40</v>
      </c>
    </row>
    <row r="120" spans="1:4">
      <c r="A120" t="s">
        <v>103</v>
      </c>
      <c r="B120">
        <v>17</v>
      </c>
      <c r="C120" t="s">
        <v>80</v>
      </c>
      <c r="D120">
        <v>85</v>
      </c>
    </row>
    <row r="121" spans="1:4" hidden="1">
      <c r="A121" t="s">
        <v>104</v>
      </c>
      <c r="B121">
        <v>17</v>
      </c>
      <c r="C121" t="s">
        <v>80</v>
      </c>
      <c r="D121">
        <v>85</v>
      </c>
    </row>
    <row r="122" spans="1:4" hidden="1">
      <c r="A122" t="s">
        <v>82</v>
      </c>
      <c r="B122">
        <v>17</v>
      </c>
      <c r="C122" t="s">
        <v>80</v>
      </c>
      <c r="D122">
        <v>85</v>
      </c>
    </row>
    <row r="123" spans="1:4" hidden="1">
      <c r="A123" t="s">
        <v>102</v>
      </c>
      <c r="B123">
        <v>27</v>
      </c>
      <c r="C123" t="s">
        <v>80</v>
      </c>
      <c r="D123">
        <v>334</v>
      </c>
    </row>
    <row r="124" spans="1:4" hidden="1">
      <c r="A124" t="s">
        <v>9</v>
      </c>
      <c r="B124">
        <v>27</v>
      </c>
      <c r="C124" t="s">
        <v>80</v>
      </c>
      <c r="D124">
        <v>334</v>
      </c>
    </row>
    <row r="125" spans="1:4" hidden="1">
      <c r="A125" t="s">
        <v>6</v>
      </c>
      <c r="B125">
        <v>27</v>
      </c>
      <c r="C125" t="s">
        <v>80</v>
      </c>
      <c r="D125">
        <v>334</v>
      </c>
    </row>
    <row r="126" spans="1:4">
      <c r="A126" t="s">
        <v>103</v>
      </c>
      <c r="B126">
        <v>27</v>
      </c>
      <c r="C126" t="s">
        <v>80</v>
      </c>
      <c r="D126">
        <v>334</v>
      </c>
    </row>
    <row r="127" spans="1:4" hidden="1">
      <c r="A127" t="s">
        <v>104</v>
      </c>
      <c r="B127">
        <v>27</v>
      </c>
      <c r="C127" t="s">
        <v>80</v>
      </c>
      <c r="D127">
        <v>334</v>
      </c>
    </row>
    <row r="128" spans="1:4" hidden="1">
      <c r="A128" t="s">
        <v>82</v>
      </c>
      <c r="B128">
        <v>27</v>
      </c>
      <c r="C128" t="s">
        <v>80</v>
      </c>
      <c r="D128">
        <v>334</v>
      </c>
    </row>
    <row r="129" spans="1:4" hidden="1">
      <c r="A129" t="s">
        <v>81</v>
      </c>
      <c r="B129">
        <v>28</v>
      </c>
      <c r="C129" t="s">
        <v>80</v>
      </c>
      <c r="D129">
        <v>8</v>
      </c>
    </row>
    <row r="130" spans="1:4" hidden="1">
      <c r="A130" t="s">
        <v>102</v>
      </c>
      <c r="B130">
        <v>28</v>
      </c>
      <c r="C130" t="s">
        <v>80</v>
      </c>
      <c r="D130">
        <v>382</v>
      </c>
    </row>
    <row r="131" spans="1:4" hidden="1">
      <c r="A131" t="s">
        <v>9</v>
      </c>
      <c r="B131">
        <v>28</v>
      </c>
      <c r="C131" t="s">
        <v>80</v>
      </c>
      <c r="D131">
        <v>382</v>
      </c>
    </row>
    <row r="132" spans="1:4" hidden="1">
      <c r="A132" t="s">
        <v>6</v>
      </c>
      <c r="B132">
        <v>28</v>
      </c>
      <c r="C132" t="s">
        <v>80</v>
      </c>
      <c r="D132">
        <v>382</v>
      </c>
    </row>
    <row r="133" spans="1:4">
      <c r="A133" t="s">
        <v>103</v>
      </c>
      <c r="B133">
        <v>28</v>
      </c>
      <c r="C133" t="s">
        <v>80</v>
      </c>
      <c r="D133">
        <v>382</v>
      </c>
    </row>
    <row r="134" spans="1:4" hidden="1">
      <c r="A134" t="s">
        <v>104</v>
      </c>
      <c r="B134">
        <v>28</v>
      </c>
      <c r="C134" t="s">
        <v>80</v>
      </c>
      <c r="D134">
        <v>382</v>
      </c>
    </row>
    <row r="135" spans="1:4" hidden="1">
      <c r="A135" t="s">
        <v>82</v>
      </c>
      <c r="B135">
        <v>28</v>
      </c>
      <c r="C135" t="s">
        <v>80</v>
      </c>
      <c r="D135">
        <v>382</v>
      </c>
    </row>
    <row r="136" spans="1:4" hidden="1">
      <c r="A136" t="s">
        <v>81</v>
      </c>
      <c r="B136">
        <v>29</v>
      </c>
      <c r="C136" t="s">
        <v>80</v>
      </c>
      <c r="D136">
        <v>608</v>
      </c>
    </row>
    <row r="137" spans="1:4" hidden="1">
      <c r="A137" t="s">
        <v>102</v>
      </c>
      <c r="B137">
        <v>29</v>
      </c>
      <c r="C137" t="s">
        <v>80</v>
      </c>
      <c r="D137">
        <v>364</v>
      </c>
    </row>
    <row r="138" spans="1:4" hidden="1">
      <c r="A138" t="s">
        <v>9</v>
      </c>
      <c r="B138">
        <v>29</v>
      </c>
      <c r="C138" t="s">
        <v>80</v>
      </c>
      <c r="D138">
        <v>364</v>
      </c>
    </row>
    <row r="139" spans="1:4" hidden="1">
      <c r="A139" t="s">
        <v>6</v>
      </c>
      <c r="B139">
        <v>29</v>
      </c>
      <c r="C139" t="s">
        <v>80</v>
      </c>
      <c r="D139">
        <v>304</v>
      </c>
    </row>
    <row r="140" spans="1:4">
      <c r="A140" t="s">
        <v>103</v>
      </c>
      <c r="B140">
        <v>29</v>
      </c>
      <c r="C140" t="s">
        <v>80</v>
      </c>
      <c r="D140">
        <v>364</v>
      </c>
    </row>
    <row r="141" spans="1:4" hidden="1">
      <c r="A141" t="s">
        <v>104</v>
      </c>
      <c r="B141">
        <v>29</v>
      </c>
      <c r="C141" t="s">
        <v>80</v>
      </c>
      <c r="D141">
        <v>364</v>
      </c>
    </row>
    <row r="142" spans="1:4" hidden="1">
      <c r="A142" t="s">
        <v>82</v>
      </c>
      <c r="B142">
        <v>29</v>
      </c>
      <c r="C142" t="s">
        <v>80</v>
      </c>
      <c r="D142">
        <v>364</v>
      </c>
    </row>
    <row r="143" spans="1:4" hidden="1">
      <c r="A143" t="s">
        <v>102</v>
      </c>
      <c r="B143">
        <v>30</v>
      </c>
      <c r="C143" t="s">
        <v>80</v>
      </c>
      <c r="D143">
        <v>230</v>
      </c>
    </row>
    <row r="144" spans="1:4" hidden="1">
      <c r="A144" t="s">
        <v>9</v>
      </c>
      <c r="B144">
        <v>30</v>
      </c>
      <c r="C144" t="s">
        <v>80</v>
      </c>
      <c r="D144">
        <v>230</v>
      </c>
    </row>
    <row r="145" spans="1:4" hidden="1">
      <c r="A145" t="s">
        <v>6</v>
      </c>
      <c r="B145">
        <v>30</v>
      </c>
      <c r="C145" t="s">
        <v>80</v>
      </c>
      <c r="D145">
        <v>230</v>
      </c>
    </row>
    <row r="146" spans="1:4">
      <c r="A146" t="s">
        <v>103</v>
      </c>
      <c r="B146">
        <v>30</v>
      </c>
      <c r="C146" t="s">
        <v>80</v>
      </c>
      <c r="D146">
        <v>230</v>
      </c>
    </row>
    <row r="147" spans="1:4" hidden="1">
      <c r="A147" t="s">
        <v>104</v>
      </c>
      <c r="B147">
        <v>30</v>
      </c>
      <c r="C147" t="s">
        <v>80</v>
      </c>
      <c r="D147">
        <v>230</v>
      </c>
    </row>
    <row r="148" spans="1:4" hidden="1">
      <c r="A148" t="s">
        <v>82</v>
      </c>
      <c r="B148">
        <v>30</v>
      </c>
      <c r="C148" t="s">
        <v>80</v>
      </c>
      <c r="D148">
        <v>230</v>
      </c>
    </row>
    <row r="149" spans="1:4" hidden="1">
      <c r="A149" t="s">
        <v>81</v>
      </c>
      <c r="B149">
        <v>31</v>
      </c>
      <c r="C149" t="s">
        <v>80</v>
      </c>
      <c r="D149">
        <v>80</v>
      </c>
    </row>
    <row r="150" spans="1:4" hidden="1">
      <c r="A150" t="s">
        <v>102</v>
      </c>
      <c r="B150">
        <v>31</v>
      </c>
      <c r="C150" t="s">
        <v>80</v>
      </c>
      <c r="D150">
        <v>727</v>
      </c>
    </row>
    <row r="151" spans="1:4" hidden="1">
      <c r="A151" t="s">
        <v>9</v>
      </c>
      <c r="B151">
        <v>31</v>
      </c>
      <c r="C151" t="s">
        <v>80</v>
      </c>
      <c r="D151">
        <v>727</v>
      </c>
    </row>
    <row r="152" spans="1:4" hidden="1">
      <c r="A152" t="s">
        <v>6</v>
      </c>
      <c r="B152">
        <v>31</v>
      </c>
      <c r="C152" t="s">
        <v>80</v>
      </c>
      <c r="D152">
        <v>645</v>
      </c>
    </row>
    <row r="153" spans="1:4">
      <c r="A153" t="s">
        <v>103</v>
      </c>
      <c r="B153">
        <v>31</v>
      </c>
      <c r="C153" t="s">
        <v>80</v>
      </c>
      <c r="D153">
        <v>727</v>
      </c>
    </row>
    <row r="154" spans="1:4" hidden="1">
      <c r="A154" t="s">
        <v>104</v>
      </c>
      <c r="B154">
        <v>31</v>
      </c>
      <c r="C154" t="s">
        <v>80</v>
      </c>
      <c r="D154">
        <v>727</v>
      </c>
    </row>
    <row r="155" spans="1:4" hidden="1">
      <c r="A155" t="s">
        <v>82</v>
      </c>
      <c r="B155">
        <v>31</v>
      </c>
      <c r="C155" t="s">
        <v>80</v>
      </c>
      <c r="D155">
        <v>727</v>
      </c>
    </row>
    <row r="156" spans="1:4" hidden="1">
      <c r="A156" t="s">
        <v>81</v>
      </c>
      <c r="B156">
        <v>0</v>
      </c>
      <c r="C156" t="s">
        <v>80</v>
      </c>
      <c r="D156">
        <v>2464</v>
      </c>
    </row>
    <row r="157" spans="1:4" hidden="1">
      <c r="A157" t="s">
        <v>102</v>
      </c>
      <c r="B157">
        <v>0</v>
      </c>
      <c r="C157" t="s">
        <v>80</v>
      </c>
      <c r="D157">
        <v>4989</v>
      </c>
    </row>
    <row r="158" spans="1:4" hidden="1">
      <c r="A158" t="s">
        <v>9</v>
      </c>
      <c r="B158">
        <v>0</v>
      </c>
      <c r="C158" t="s">
        <v>80</v>
      </c>
      <c r="D158">
        <v>4989</v>
      </c>
    </row>
    <row r="159" spans="1:4" hidden="1">
      <c r="A159" t="s">
        <v>6</v>
      </c>
      <c r="B159">
        <v>0</v>
      </c>
      <c r="C159" t="s">
        <v>80</v>
      </c>
      <c r="D159">
        <v>4526</v>
      </c>
    </row>
    <row r="160" spans="1:4">
      <c r="A160" t="s">
        <v>103</v>
      </c>
      <c r="B160">
        <v>0</v>
      </c>
      <c r="C160" t="s">
        <v>80</v>
      </c>
      <c r="D160">
        <v>4989</v>
      </c>
    </row>
    <row r="161" spans="1:4" hidden="1">
      <c r="A161" t="s">
        <v>104</v>
      </c>
      <c r="B161">
        <v>0</v>
      </c>
      <c r="C161" t="s">
        <v>80</v>
      </c>
      <c r="D161">
        <v>4989</v>
      </c>
    </row>
    <row r="162" spans="1:4" hidden="1">
      <c r="A162" t="s">
        <v>82</v>
      </c>
      <c r="B162">
        <v>0</v>
      </c>
      <c r="C162" t="s">
        <v>80</v>
      </c>
      <c r="D162">
        <v>4989</v>
      </c>
    </row>
    <row r="163" spans="1:4" hidden="1">
      <c r="A163" t="s">
        <v>102</v>
      </c>
      <c r="B163">
        <v>0</v>
      </c>
      <c r="C163" t="s">
        <v>83</v>
      </c>
      <c r="D163">
        <v>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J19"/>
  <sheetViews>
    <sheetView workbookViewId="0">
      <pane xSplit="4" ySplit="4" topLeftCell="L5" activePane="bottomRight" state="frozen"/>
      <selection pane="topRight" activeCell="E1" sqref="E1"/>
      <selection pane="bottomLeft" activeCell="A5" sqref="A5"/>
      <selection pane="bottomRight" activeCell="C13" sqref="C13"/>
    </sheetView>
  </sheetViews>
  <sheetFormatPr defaultRowHeight="12"/>
  <cols>
    <col min="1" max="1" width="10" style="1" bestFit="1" customWidth="1"/>
    <col min="2" max="2" width="13.42578125" style="1" customWidth="1"/>
    <col min="3" max="3" width="32.140625" style="1" customWidth="1"/>
    <col min="4" max="4" width="7.140625" style="1" bestFit="1" customWidth="1"/>
    <col min="5" max="6" width="4.140625" style="1" bestFit="1" customWidth="1"/>
    <col min="7" max="10" width="4.140625" style="1" customWidth="1"/>
    <col min="11" max="12" width="4.140625" style="1" bestFit="1" customWidth="1"/>
    <col min="13" max="13" width="4.140625" style="1" customWidth="1"/>
    <col min="14" max="29" width="5" style="1" bestFit="1" customWidth="1"/>
    <col min="30" max="35" width="5" style="1" customWidth="1"/>
    <col min="36" max="36" width="6.85546875" style="1" bestFit="1" customWidth="1"/>
    <col min="37" max="16384" width="9.140625" style="1"/>
  </cols>
  <sheetData>
    <row r="1" spans="1:36" ht="27" thickBot="1">
      <c r="A1" s="42" t="s">
        <v>87</v>
      </c>
      <c r="B1" s="42"/>
      <c r="C1" s="12"/>
      <c r="E1" s="44" t="s">
        <v>89</v>
      </c>
      <c r="F1" s="44"/>
      <c r="G1" s="44"/>
      <c r="H1" s="44"/>
      <c r="I1" s="44"/>
      <c r="J1" s="13" t="s">
        <v>80</v>
      </c>
      <c r="K1" s="14" t="s">
        <v>77</v>
      </c>
      <c r="L1" s="15" t="s">
        <v>79</v>
      </c>
      <c r="M1" s="16" t="s">
        <v>83</v>
      </c>
      <c r="N1" s="17" t="s">
        <v>78</v>
      </c>
    </row>
    <row r="2" spans="1:36" ht="12.75" thickTop="1"/>
    <row r="3" spans="1:36" ht="12.75" customHeight="1">
      <c r="E3" s="7" t="str">
        <f>MID(CHOOSE(WEEKDAY(DATE(MasterSheet!$B1,MasterSheet!$A1,Table_ExternalData_1[[#Headers],[1]])),"Sunday","Monday","Tuesday","Wednesday","Thursday","Friday","Saturday"),1,3)</f>
        <v>Wed</v>
      </c>
      <c r="F3" s="7" t="str">
        <f>MID(CHOOSE(WEEKDAY(DATE(MasterSheet!$B1,MasterSheet!$A1,Table_ExternalData_1[[#Headers],[2]])),"Sunday","Monday","Tuesday","Wednesday","Thursday","Friday","Saturday"),1,3)</f>
        <v>Thu</v>
      </c>
      <c r="G3" s="7" t="str">
        <f>MID(CHOOSE(WEEKDAY(DATE(MasterSheet!$B1,MasterSheet!$A1,Table_ExternalData_1[[#Headers],[3]])),"Sunday","Monday","Tuesday","Wednesday","Thursday","Friday","Saturday"),1,3)</f>
        <v>Fri</v>
      </c>
      <c r="H3" s="7" t="str">
        <f>MID(CHOOSE(WEEKDAY(DATE(MasterSheet!$B1,MasterSheet!$A1,Table_ExternalData_1[[#Headers],[4]])),"Sunday","Monday","Tuesday","Wednesday","Thursday","Friday","Saturday"),1,3)</f>
        <v>Sat</v>
      </c>
      <c r="I3" s="7" t="str">
        <f>MID(CHOOSE(WEEKDAY(DATE(MasterSheet!$B1,MasterSheet!$A1,Table_ExternalData_1[[#Headers],[5]])),"Sunday","Monday","Tuesday","Wednesday","Thursday","Friday","Saturday"),1,3)</f>
        <v>Sun</v>
      </c>
      <c r="J3" s="7" t="str">
        <f>MID(CHOOSE(WEEKDAY(DATE(MasterSheet!$B1,MasterSheet!$A1,Table_ExternalData_1[[#Headers],[6]])),"Sunday","Monday","Tuesday","Wednesday","Thursday","Friday","Saturday"),1,3)</f>
        <v>Mon</v>
      </c>
      <c r="K3" s="7" t="str">
        <f>MID(CHOOSE(WEEKDAY(DATE(MasterSheet!$B1,MasterSheet!$A1,Table_ExternalData_1[[#Headers],[7]])),"Sunday","Monday","Tuesday","Wednesday","Thursday","Friday","Saturday"),1,3)</f>
        <v>Tue</v>
      </c>
      <c r="L3" s="7" t="str">
        <f>MID(CHOOSE(WEEKDAY(DATE(MasterSheet!$B1,MasterSheet!$A1,Table_ExternalData_1[[#Headers],[8]])),"Sunday","Monday","Tuesday","Wednesday","Thursday","Friday","Saturday"),1,3)</f>
        <v>Wed</v>
      </c>
      <c r="M3" s="7" t="str">
        <f>MID(CHOOSE(WEEKDAY(DATE(MasterSheet!$B1,MasterSheet!$A1,Table_ExternalData_1[[#Headers],[9]])),"Sunday","Monday","Tuesday","Wednesday","Thursday","Friday","Saturday"),1,3)</f>
        <v>Thu</v>
      </c>
      <c r="N3" s="7" t="str">
        <f>MID(CHOOSE(WEEKDAY(DATE(MasterSheet!$B1,MasterSheet!$A1,Table_ExternalData_1[[#Headers],[10]])),"Sunday","Monday","Tuesday","Wednesday","Thursday","Friday","Saturday"),1,3)</f>
        <v>Fri</v>
      </c>
      <c r="O3" s="7" t="str">
        <f>MID(CHOOSE(WEEKDAY(DATE(MasterSheet!$B1,MasterSheet!$A1,Table_ExternalData_1[[#Headers],[11]])),"Sunday","Monday","Tuesday","Wednesday","Thursday","Friday","Saturday"),1,3)</f>
        <v>Sat</v>
      </c>
      <c r="P3" s="7" t="str">
        <f>MID(CHOOSE(WEEKDAY(DATE(MasterSheet!$B1,MasterSheet!$A1,Table_ExternalData_1[[#Headers],[12]])),"Sunday","Monday","Tuesday","Wednesday","Thursday","Friday","Saturday"),1,3)</f>
        <v>Sun</v>
      </c>
      <c r="Q3" s="7" t="str">
        <f>MID(CHOOSE(WEEKDAY(DATE(MasterSheet!$B1,MasterSheet!$A1,Table_ExternalData_1[[#Headers],[13]])),"Sunday","Monday","Tuesday","Wednesday","Thursday","Friday","Saturday"),1,3)</f>
        <v>Mon</v>
      </c>
      <c r="R3" s="7" t="str">
        <f>MID(CHOOSE(WEEKDAY(DATE(MasterSheet!$B1,MasterSheet!$A1,Table_ExternalData_1[[#Headers],[14]])),"Sunday","Monday","Tuesday","Wednesday","Thursday","Friday","Saturday"),1,3)</f>
        <v>Tue</v>
      </c>
      <c r="S3" s="7" t="str">
        <f>MID(CHOOSE(WEEKDAY(DATE(MasterSheet!$B1,MasterSheet!$A1,Table_ExternalData_1[[#Headers],[15]])),"Sunday","Monday","Tuesday","Wednesday","Thursday","Friday","Saturday"),1,3)</f>
        <v>Wed</v>
      </c>
      <c r="T3" s="7" t="str">
        <f>MID(CHOOSE(WEEKDAY(DATE(MasterSheet!$B1,MasterSheet!$A1,Table_ExternalData_1[[#Headers],[16]])),"Sunday","Monday","Tuesday","Wednesday","Thursday","Friday","Saturday"),1,3)</f>
        <v>Thu</v>
      </c>
      <c r="U3" s="7" t="str">
        <f>MID(CHOOSE(WEEKDAY(DATE(MasterSheet!$B1,MasterSheet!$A1,Table_ExternalData_1[[#Headers],[17]])),"Sunday","Monday","Tuesday","Wednesday","Thursday","Friday","Saturday"),1,3)</f>
        <v>Fri</v>
      </c>
      <c r="V3" s="7" t="str">
        <f>MID(CHOOSE(WEEKDAY(DATE(MasterSheet!$B1,MasterSheet!$A1,Table_ExternalData_1[[#Headers],[18]])),"Sunday","Monday","Tuesday","Wednesday","Thursday","Friday","Saturday"),1,3)</f>
        <v>Sat</v>
      </c>
      <c r="W3" s="7" t="str">
        <f>MID(CHOOSE(WEEKDAY(DATE(MasterSheet!$B1,MasterSheet!$A1,Table_ExternalData_1[[#Headers],[19]])),"Sunday","Monday","Tuesday","Wednesday","Thursday","Friday","Saturday"),1,3)</f>
        <v>Sun</v>
      </c>
      <c r="X3" s="7" t="str">
        <f>MID(CHOOSE(WEEKDAY(DATE(MasterSheet!$B1,MasterSheet!$A1,Table_ExternalData_1[[#Headers],[20]])),"Sunday","Monday","Tuesday","Wednesday","Thursday","Friday","Saturday"),1,3)</f>
        <v>Mon</v>
      </c>
      <c r="Y3" s="7" t="str">
        <f>MID(CHOOSE(WEEKDAY(DATE(MasterSheet!$B1,MasterSheet!$A1,Table_ExternalData_1[[#Headers],[21]])),"Sunday","Monday","Tuesday","Wednesday","Thursday","Friday","Saturday"),1,3)</f>
        <v>Tue</v>
      </c>
      <c r="Z3" s="7" t="str">
        <f>MID(CHOOSE(WEEKDAY(DATE(MasterSheet!$B1,MasterSheet!$A1,Table_ExternalData_1[[#Headers],[22]])),"Sunday","Monday","Tuesday","Wednesday","Thursday","Friday","Saturday"),1,3)</f>
        <v>Wed</v>
      </c>
      <c r="AA3" s="7" t="str">
        <f>MID(CHOOSE(WEEKDAY(DATE(MasterSheet!$B1,MasterSheet!$A1,Table_ExternalData_1[[#Headers],[23]])),"Sunday","Monday","Tuesday","Wednesday","Thursday","Friday","Saturday"),1,3)</f>
        <v>Thu</v>
      </c>
      <c r="AB3" s="7" t="str">
        <f>MID(CHOOSE(WEEKDAY(DATE(MasterSheet!$B1,MasterSheet!$A1,Table_ExternalData_1[[#Headers],[24]])),"Sunday","Monday","Tuesday","Wednesday","Thursday","Friday","Saturday"),1,3)</f>
        <v>Fri</v>
      </c>
      <c r="AC3" s="7" t="str">
        <f>MID(CHOOSE(WEEKDAY(DATE(MasterSheet!$B1,MasterSheet!$A1,Table_ExternalData_1[[#Headers],[25]])),"Sunday","Monday","Tuesday","Wednesday","Thursday","Friday","Saturday"),1,3)</f>
        <v>Sat</v>
      </c>
      <c r="AD3" s="7" t="str">
        <f>MID(CHOOSE(WEEKDAY(DATE(MasterSheet!$B1,MasterSheet!$A1,Table_ExternalData_1[[#Headers],[26]])),"Sunday","Monday","Tuesday","Wednesday","Thursday","Friday","Saturday"),1,3)</f>
        <v>Sun</v>
      </c>
      <c r="AE3" s="7" t="str">
        <f>MID(CHOOSE(WEEKDAY(DATE(MasterSheet!$B1,MasterSheet!$A1,Table_ExternalData_1[[#Headers],[27]])),"Sunday","Monday","Tuesday","Wednesday","Thursday","Friday","Saturday"),1,3)</f>
        <v>Mon</v>
      </c>
      <c r="AF3" s="7" t="str">
        <f>MID(CHOOSE(WEEKDAY(DATE(MasterSheet!$B1,MasterSheet!$A1,Table_ExternalData_1[[#Headers],[28]])),"Sunday","Monday","Tuesday","Wednesday","Thursday","Friday","Saturday"),1,3)</f>
        <v>Tue</v>
      </c>
      <c r="AG3" s="7" t="str">
        <f>MID(CHOOSE(WEEKDAY(DATE(MasterSheet!$B1,MasterSheet!$A1,Table_ExternalData_1[[#Headers],[29]])),"Sunday","Monday","Tuesday","Wednesday","Thursday","Friday","Saturday"),1,3)</f>
        <v>Wed</v>
      </c>
      <c r="AH3" s="7" t="str">
        <f>MID(CHOOSE(WEEKDAY(DATE(MasterSheet!$B1,MasterSheet!$A1,Table_ExternalData_1[[#Headers],[30]])),"Sunday","Monday","Tuesday","Wednesday","Thursday","Friday","Saturday"),1,3)</f>
        <v>Thu</v>
      </c>
      <c r="AI3" s="7" t="str">
        <f>MID(CHOOSE(WEEKDAY(DATE(MasterSheet!$B1,MasterSheet!$A1,Table_ExternalData_1[[#Headers],[31]])),"Sunday","Monday","Tuesday","Wednesday","Thursday","Friday","Saturday"),1,3)</f>
        <v>Fri</v>
      </c>
    </row>
    <row r="4" spans="1:36">
      <c r="A4" s="1" t="s">
        <v>2</v>
      </c>
      <c r="B4" s="1" t="s">
        <v>12</v>
      </c>
      <c r="C4" s="1" t="s">
        <v>13</v>
      </c>
      <c r="D4" s="1" t="s">
        <v>76</v>
      </c>
      <c r="E4" s="1" t="s">
        <v>27</v>
      </c>
      <c r="F4" s="1" t="s">
        <v>28</v>
      </c>
      <c r="G4" s="1" t="s">
        <v>29</v>
      </c>
      <c r="H4" s="1" t="s">
        <v>30</v>
      </c>
      <c r="I4" s="1" t="s">
        <v>31</v>
      </c>
      <c r="J4" s="1" t="s">
        <v>32</v>
      </c>
      <c r="K4" s="1" t="s">
        <v>33</v>
      </c>
      <c r="L4" s="1" t="s">
        <v>34</v>
      </c>
      <c r="M4" s="1" t="s">
        <v>35</v>
      </c>
      <c r="N4" s="1" t="s">
        <v>36</v>
      </c>
      <c r="O4" s="1" t="s">
        <v>37</v>
      </c>
      <c r="P4" s="1" t="s">
        <v>38</v>
      </c>
      <c r="Q4" s="1" t="s">
        <v>39</v>
      </c>
      <c r="R4" s="1" t="s">
        <v>40</v>
      </c>
      <c r="S4" s="1" t="s">
        <v>41</v>
      </c>
      <c r="T4" s="1" t="s">
        <v>42</v>
      </c>
      <c r="U4" s="1" t="s">
        <v>43</v>
      </c>
      <c r="V4" s="1" t="s">
        <v>44</v>
      </c>
      <c r="W4" s="1" t="s">
        <v>45</v>
      </c>
      <c r="X4" s="1" t="s">
        <v>46</v>
      </c>
      <c r="Y4" s="1" t="s">
        <v>47</v>
      </c>
      <c r="Z4" s="1" t="s">
        <v>48</v>
      </c>
      <c r="AA4" s="1" t="s">
        <v>49</v>
      </c>
      <c r="AB4" s="1" t="s">
        <v>50</v>
      </c>
      <c r="AC4" s="1" t="s">
        <v>51</v>
      </c>
      <c r="AD4" s="1" t="s">
        <v>52</v>
      </c>
      <c r="AE4" s="1" t="s">
        <v>53</v>
      </c>
      <c r="AF4" s="1" t="s">
        <v>54</v>
      </c>
      <c r="AG4" s="1" t="s">
        <v>55</v>
      </c>
      <c r="AH4" s="1" t="s">
        <v>56</v>
      </c>
      <c r="AI4" s="1" t="s">
        <v>57</v>
      </c>
      <c r="AJ4" s="1" t="s">
        <v>22</v>
      </c>
    </row>
    <row r="5" spans="1:36">
      <c r="A5" s="1" t="s">
        <v>8</v>
      </c>
      <c r="B5" s="1" t="s">
        <v>14</v>
      </c>
      <c r="C5" s="1" t="s">
        <v>15</v>
      </c>
      <c r="D5" s="11" t="s">
        <v>79</v>
      </c>
      <c r="E5" s="10">
        <f>SUMIFS(IsQList,IsIList,Table_ExternalData_15[[#This Row],[item_key]],IsITypeList,Table_ExternalData_15[[#This Row],[IType]],IsDList,Table_ExternalData_15[[#Headers],[1]])</f>
        <v>0</v>
      </c>
      <c r="F5" s="10">
        <f>SUMIFS(IsQList,IsIList,Table_ExternalData_15[[#This Row],[item_key]],IsITypeList,Table_ExternalData_15[[#This Row],[IType]],IsDList,Table_ExternalData_15[[#Headers],[2]])</f>
        <v>0</v>
      </c>
      <c r="G5" s="10">
        <f>SUMIFS(IsQList,IsIList,Table_ExternalData_15[[#This Row],[item_key]],IsITypeList,Table_ExternalData_15[[#This Row],[IType]],IsDList,Table_ExternalData_15[[#Headers],[3]])</f>
        <v>0</v>
      </c>
      <c r="H5" s="10">
        <f>SUMIFS(IsQList,IsIList,Table_ExternalData_15[[#This Row],[item_key]],IsITypeList,Table_ExternalData_15[[#This Row],[IType]],IsDList,Table_ExternalData_15[[#Headers],[4]])</f>
        <v>0</v>
      </c>
      <c r="I5" s="10">
        <f>SUMIFS(IsQList,IsIList,Table_ExternalData_15[[#This Row],[item_key]],IsITypeList,Table_ExternalData_15[[#This Row],[IType]],IsDList,Table_ExternalData_15[[#Headers],[5]])</f>
        <v>0</v>
      </c>
      <c r="J5" s="10">
        <f>SUMIFS(IsQList,IsIList,Table_ExternalData_15[[#This Row],[item_key]],IsITypeList,Table_ExternalData_15[[#This Row],[IType]],IsDList,Table_ExternalData_15[[#Headers],[6]])</f>
        <v>0</v>
      </c>
      <c r="K5" s="10">
        <f>SUMIFS(IsQList,IsIList,Table_ExternalData_15[[#This Row],[item_key]],IsITypeList,Table_ExternalData_15[[#This Row],[IType]],IsDList,Table_ExternalData_15[[#Headers],[7]])</f>
        <v>0</v>
      </c>
      <c r="L5" s="10">
        <f>SUMIFS(IsQList,IsIList,Table_ExternalData_15[[#This Row],[item_key]],IsITypeList,Table_ExternalData_15[[#This Row],[IType]],IsDList,Table_ExternalData_15[[#Headers],[8]])</f>
        <v>0</v>
      </c>
      <c r="M5" s="10">
        <f>SUMIFS(IsQList,IsIList,Table_ExternalData_15[[#This Row],[item_key]],IsITypeList,Table_ExternalData_15[[#This Row],[IType]],IsDList,Table_ExternalData_15[[#Headers],[9]])</f>
        <v>0</v>
      </c>
      <c r="N5" s="10">
        <f>SUMIFS(IsQList,IsIList,Table_ExternalData_15[[#This Row],[item_key]],IsITypeList,Table_ExternalData_15[[#This Row],[IType]],IsDList,Table_ExternalData_15[[#Headers],[10]])</f>
        <v>0</v>
      </c>
      <c r="O5" s="10">
        <f>SUMIFS(IsQList,IsIList,Table_ExternalData_15[[#This Row],[item_key]],IsITypeList,Table_ExternalData_15[[#This Row],[IType]],IsDList,Table_ExternalData_15[[#Headers],[11]])</f>
        <v>0</v>
      </c>
      <c r="P5" s="10">
        <f>SUMIFS(IsQList,IsIList,Table_ExternalData_15[[#This Row],[item_key]],IsITypeList,Table_ExternalData_15[[#This Row],[IType]],IsDList,Table_ExternalData_15[[#Headers],[12]])</f>
        <v>0</v>
      </c>
      <c r="Q5" s="10">
        <f>SUMIFS(IsQList,IsIList,Table_ExternalData_15[[#This Row],[item_key]],IsITypeList,Table_ExternalData_15[[#This Row],[IType]],IsDList,Table_ExternalData_15[[#Headers],[13]])</f>
        <v>0</v>
      </c>
      <c r="R5" s="10">
        <f>SUMIFS(IsQList,IsIList,Table_ExternalData_15[[#This Row],[item_key]],IsITypeList,Table_ExternalData_15[[#This Row],[IType]],IsDList,Table_ExternalData_15[[#Headers],[14]])</f>
        <v>0</v>
      </c>
      <c r="S5" s="10">
        <f>SUMIFS(IsQList,IsIList,Table_ExternalData_15[[#This Row],[item_key]],IsITypeList,Table_ExternalData_15[[#This Row],[IType]],IsDList,Table_ExternalData_15[[#Headers],[15]])</f>
        <v>0</v>
      </c>
      <c r="T5" s="10">
        <f>SUMIFS(IsQList,IsIList,Table_ExternalData_15[[#This Row],[item_key]],IsITypeList,Table_ExternalData_15[[#This Row],[IType]],IsDList,Table_ExternalData_15[[#Headers],[16]])</f>
        <v>0</v>
      </c>
      <c r="U5" s="10">
        <f>SUMIFS(IsQList,IsIList,Table_ExternalData_15[[#This Row],[item_key]],IsITypeList,Table_ExternalData_15[[#This Row],[IType]],IsDList,Table_ExternalData_15[[#Headers],[17]])</f>
        <v>0</v>
      </c>
      <c r="V5" s="10">
        <f>SUMIFS(IsQList,IsIList,Table_ExternalData_15[[#This Row],[item_key]],IsITypeList,Table_ExternalData_15[[#This Row],[IType]],IsDList,Table_ExternalData_15[[#Headers],[18]])</f>
        <v>0</v>
      </c>
      <c r="W5" s="10">
        <f>SUMIFS(IsQList,IsIList,Table_ExternalData_15[[#This Row],[item_key]],IsITypeList,Table_ExternalData_15[[#This Row],[IType]],IsDList,Table_ExternalData_15[[#Headers],[19]])</f>
        <v>0</v>
      </c>
      <c r="X5" s="10">
        <f>SUMIFS(IsQList,IsIList,Table_ExternalData_15[[#This Row],[item_key]],IsITypeList,Table_ExternalData_15[[#This Row],[IType]],IsDList,Table_ExternalData_15[[#Headers],[20]])</f>
        <v>0</v>
      </c>
      <c r="Y5" s="10">
        <f>SUMIFS(IsQList,IsIList,Table_ExternalData_15[[#This Row],[item_key]],IsITypeList,Table_ExternalData_15[[#This Row],[IType]],IsDList,Table_ExternalData_15[[#Headers],[21]])</f>
        <v>0</v>
      </c>
      <c r="Z5" s="10">
        <f>SUMIFS(IsQList,IsIList,Table_ExternalData_15[[#This Row],[item_key]],IsITypeList,Table_ExternalData_15[[#This Row],[IType]],IsDList,Table_ExternalData_15[[#Headers],[22]])</f>
        <v>0</v>
      </c>
      <c r="AA5" s="10">
        <f>SUMIFS(IsQList,IsIList,Table_ExternalData_15[[#This Row],[item_key]],IsITypeList,Table_ExternalData_15[[#This Row],[IType]],IsDList,Table_ExternalData_15[[#Headers],[23]])</f>
        <v>0</v>
      </c>
      <c r="AB5" s="10">
        <f>SUMIFS(IsQList,IsIList,Table_ExternalData_15[[#This Row],[item_key]],IsITypeList,Table_ExternalData_15[[#This Row],[IType]],IsDList,Table_ExternalData_15[[#Headers],[24]])</f>
        <v>0</v>
      </c>
      <c r="AC5" s="10">
        <f>SUMIFS(IsQList,IsIList,Table_ExternalData_15[[#This Row],[item_key]],IsITypeList,Table_ExternalData_15[[#This Row],[IType]],IsDList,Table_ExternalData_15[[#Headers],[25]])</f>
        <v>0</v>
      </c>
      <c r="AD5" s="10">
        <f>SUMIFS(IsQList,IsIList,Table_ExternalData_15[[#This Row],[item_key]],IsITypeList,Table_ExternalData_15[[#This Row],[IType]],IsDList,Table_ExternalData_15[[#Headers],[26]])</f>
        <v>0</v>
      </c>
      <c r="AE5" s="10">
        <f>SUMIFS(IsQList,IsIList,Table_ExternalData_15[[#This Row],[item_key]],IsITypeList,Table_ExternalData_15[[#This Row],[IType]],IsDList,Table_ExternalData_15[[#Headers],[27]])</f>
        <v>0</v>
      </c>
      <c r="AF5" s="10">
        <f>SUMIFS(IsQList,IsIList,Table_ExternalData_15[[#This Row],[item_key]],IsITypeList,Table_ExternalData_15[[#This Row],[IType]],IsDList,Table_ExternalData_15[[#Headers],[28]])</f>
        <v>0</v>
      </c>
      <c r="AG5" s="10">
        <f>SUMIFS(IsQList,IsIList,Table_ExternalData_15[[#This Row],[item_key]],IsITypeList,Table_ExternalData_15[[#This Row],[IType]],IsDList,Table_ExternalData_15[[#Headers],[29]])</f>
        <v>6</v>
      </c>
      <c r="AH5" s="10">
        <f>SUMIFS(IsQList,IsIList,Table_ExternalData_15[[#This Row],[item_key]],IsITypeList,Table_ExternalData_15[[#This Row],[IType]],IsDList,Table_ExternalData_15[[#Headers],[30]])</f>
        <v>0</v>
      </c>
      <c r="AI5" s="10">
        <f>SUMIFS(IsQList,IsIList,Table_ExternalData_15[[#This Row],[item_key]],IsITypeList,Table_ExternalData_15[[#This Row],[IType]],IsDList,Table_ExternalData_15[[#Headers],[31]])</f>
        <v>0</v>
      </c>
      <c r="AJ5" s="10">
        <f>SUM(Table_ExternalData_15[[#This Row],[1]:[31]])</f>
        <v>6</v>
      </c>
    </row>
    <row r="6" spans="1:36">
      <c r="A6" s="1" t="s">
        <v>81</v>
      </c>
      <c r="B6" s="1" t="s">
        <v>84</v>
      </c>
      <c r="C6" s="1" t="s">
        <v>16</v>
      </c>
      <c r="D6" s="11" t="s">
        <v>80</v>
      </c>
      <c r="E6" s="10">
        <f>SUMIFS(IsQList,IsIList,Table_ExternalData_15[[#This Row],[item_key]],IsITypeList,Table_ExternalData_15[[#This Row],[IType]],IsDList,Table_ExternalData_15[[#Headers],[1]])</f>
        <v>8</v>
      </c>
      <c r="F6" s="10">
        <f>SUMIFS(IsQList,IsIList,Table_ExternalData_15[[#This Row],[item_key]],IsITypeList,Table_ExternalData_15[[#This Row],[IType]],IsDList,Table_ExternalData_15[[#Headers],[2]])</f>
        <v>0</v>
      </c>
      <c r="G6" s="10">
        <f>SUMIFS(IsQList,IsIList,Table_ExternalData_15[[#This Row],[item_key]],IsITypeList,Table_ExternalData_15[[#This Row],[IType]],IsDList,Table_ExternalData_15[[#Headers],[3]])</f>
        <v>0</v>
      </c>
      <c r="H6" s="10">
        <f>SUMIFS(IsQList,IsIList,Table_ExternalData_15[[#This Row],[item_key]],IsITypeList,Table_ExternalData_15[[#This Row],[IType]],IsDList,Table_ExternalData_15[[#Headers],[4]])</f>
        <v>560</v>
      </c>
      <c r="I6" s="10">
        <f>SUMIFS(IsQList,IsIList,Table_ExternalData_15[[#This Row],[item_key]],IsITypeList,Table_ExternalData_15[[#This Row],[IType]],IsDList,Table_ExternalData_15[[#Headers],[5]])</f>
        <v>0</v>
      </c>
      <c r="J6" s="10">
        <f>SUMIFS(IsQList,IsIList,Table_ExternalData_15[[#This Row],[item_key]],IsITypeList,Table_ExternalData_15[[#This Row],[IType]],IsDList,Table_ExternalData_15[[#Headers],[6]])</f>
        <v>184</v>
      </c>
      <c r="K6" s="10">
        <f>SUMIFS(IsQList,IsIList,Table_ExternalData_15[[#This Row],[item_key]],IsITypeList,Table_ExternalData_15[[#This Row],[IType]],IsDList,Table_ExternalData_15[[#Headers],[7]])</f>
        <v>0</v>
      </c>
      <c r="L6" s="10">
        <f>SUMIFS(IsQList,IsIList,Table_ExternalData_15[[#This Row],[item_key]],IsITypeList,Table_ExternalData_15[[#This Row],[IType]],IsDList,Table_ExternalData_15[[#Headers],[8]])</f>
        <v>0</v>
      </c>
      <c r="M6" s="10">
        <f>SUMIFS(IsQList,IsIList,Table_ExternalData_15[[#This Row],[item_key]],IsITypeList,Table_ExternalData_15[[#This Row],[IType]],IsDList,Table_ExternalData_15[[#Headers],[9]])</f>
        <v>0</v>
      </c>
      <c r="N6" s="10">
        <f>SUMIFS(IsQList,IsIList,Table_ExternalData_15[[#This Row],[item_key]],IsITypeList,Table_ExternalData_15[[#This Row],[IType]],IsDList,Table_ExternalData_15[[#Headers],[10]])</f>
        <v>0</v>
      </c>
      <c r="O6" s="10">
        <f>SUMIFS(IsQList,IsIList,Table_ExternalData_15[[#This Row],[item_key]],IsITypeList,Table_ExternalData_15[[#This Row],[IType]],IsDList,Table_ExternalData_15[[#Headers],[11]])</f>
        <v>0</v>
      </c>
      <c r="P6" s="10">
        <f>SUMIFS(IsQList,IsIList,Table_ExternalData_15[[#This Row],[item_key]],IsITypeList,Table_ExternalData_15[[#This Row],[IType]],IsDList,Table_ExternalData_15[[#Headers],[12]])</f>
        <v>0</v>
      </c>
      <c r="Q6" s="10">
        <f>SUMIFS(IsQList,IsIList,Table_ExternalData_15[[#This Row],[item_key]],IsITypeList,Table_ExternalData_15[[#This Row],[IType]],IsDList,Table_ExternalData_15[[#Headers],[13]])</f>
        <v>0</v>
      </c>
      <c r="R6" s="10">
        <f>SUMIFS(IsQList,IsIList,Table_ExternalData_15[[#This Row],[item_key]],IsITypeList,Table_ExternalData_15[[#This Row],[IType]],IsDList,Table_ExternalData_15[[#Headers],[14]])</f>
        <v>0</v>
      </c>
      <c r="S6" s="10">
        <f>SUMIFS(IsQList,IsIList,Table_ExternalData_15[[#This Row],[item_key]],IsITypeList,Table_ExternalData_15[[#This Row],[IType]],IsDList,Table_ExternalData_15[[#Headers],[15]])</f>
        <v>0</v>
      </c>
      <c r="T6" s="10">
        <f>SUMIFS(IsQList,IsIList,Table_ExternalData_15[[#This Row],[item_key]],IsITypeList,Table_ExternalData_15[[#This Row],[IType]],IsDList,Table_ExternalData_15[[#Headers],[16]])</f>
        <v>0</v>
      </c>
      <c r="U6" s="10">
        <f>SUMIFS(IsQList,IsIList,Table_ExternalData_15[[#This Row],[item_key]],IsITypeList,Table_ExternalData_15[[#This Row],[IType]],IsDList,Table_ExternalData_15[[#Headers],[17]])</f>
        <v>0</v>
      </c>
      <c r="V6" s="10">
        <f>SUMIFS(IsQList,IsIList,Table_ExternalData_15[[#This Row],[item_key]],IsITypeList,Table_ExternalData_15[[#This Row],[IType]],IsDList,Table_ExternalData_15[[#Headers],[18]])</f>
        <v>0</v>
      </c>
      <c r="W6" s="10">
        <f>SUMIFS(IsQList,IsIList,Table_ExternalData_15[[#This Row],[item_key]],IsITypeList,Table_ExternalData_15[[#This Row],[IType]],IsDList,Table_ExternalData_15[[#Headers],[19]])</f>
        <v>0</v>
      </c>
      <c r="X6" s="10">
        <f>SUMIFS(IsQList,IsIList,Table_ExternalData_15[[#This Row],[item_key]],IsITypeList,Table_ExternalData_15[[#This Row],[IType]],IsDList,Table_ExternalData_15[[#Headers],[20]])</f>
        <v>0</v>
      </c>
      <c r="Y6" s="10">
        <f>SUMIFS(IsQList,IsIList,Table_ExternalData_15[[#This Row],[item_key]],IsITypeList,Table_ExternalData_15[[#This Row],[IType]],IsDList,Table_ExternalData_15[[#Headers],[21]])</f>
        <v>0</v>
      </c>
      <c r="Z6" s="10">
        <f>SUMIFS(IsQList,IsIList,Table_ExternalData_15[[#This Row],[item_key]],IsITypeList,Table_ExternalData_15[[#This Row],[IType]],IsDList,Table_ExternalData_15[[#Headers],[22]])</f>
        <v>0</v>
      </c>
      <c r="AA6" s="10">
        <f>SUMIFS(IsQList,IsIList,Table_ExternalData_15[[#This Row],[item_key]],IsITypeList,Table_ExternalData_15[[#This Row],[IType]],IsDList,Table_ExternalData_15[[#Headers],[23]])</f>
        <v>0</v>
      </c>
      <c r="AB6" s="10">
        <f>SUMIFS(IsQList,IsIList,Table_ExternalData_15[[#This Row],[item_key]],IsITypeList,Table_ExternalData_15[[#This Row],[IType]],IsDList,Table_ExternalData_15[[#Headers],[24]])</f>
        <v>0</v>
      </c>
      <c r="AC6" s="10">
        <f>SUMIFS(IsQList,IsIList,Table_ExternalData_15[[#This Row],[item_key]],IsITypeList,Table_ExternalData_15[[#This Row],[IType]],IsDList,Table_ExternalData_15[[#Headers],[25]])</f>
        <v>0</v>
      </c>
      <c r="AD6" s="10">
        <f>SUMIFS(IsQList,IsIList,Table_ExternalData_15[[#This Row],[item_key]],IsITypeList,Table_ExternalData_15[[#This Row],[IType]],IsDList,Table_ExternalData_15[[#Headers],[26]])</f>
        <v>0</v>
      </c>
      <c r="AE6" s="10">
        <f>SUMIFS(IsQList,IsIList,Table_ExternalData_15[[#This Row],[item_key]],IsITypeList,Table_ExternalData_15[[#This Row],[IType]],IsDList,Table_ExternalData_15[[#Headers],[27]])</f>
        <v>0</v>
      </c>
      <c r="AF6" s="10">
        <f>SUMIFS(IsQList,IsIList,Table_ExternalData_15[[#This Row],[item_key]],IsITypeList,Table_ExternalData_15[[#This Row],[IType]],IsDList,Table_ExternalData_15[[#Headers],[28]])</f>
        <v>8</v>
      </c>
      <c r="AG6" s="10">
        <f>SUMIFS(IsQList,IsIList,Table_ExternalData_15[[#This Row],[item_key]],IsITypeList,Table_ExternalData_15[[#This Row],[IType]],IsDList,Table_ExternalData_15[[#Headers],[29]])</f>
        <v>608</v>
      </c>
      <c r="AH6" s="10">
        <f>SUMIFS(IsQList,IsIList,Table_ExternalData_15[[#This Row],[item_key]],IsITypeList,Table_ExternalData_15[[#This Row],[IType]],IsDList,Table_ExternalData_15[[#Headers],[30]])</f>
        <v>0</v>
      </c>
      <c r="AI6" s="10">
        <f>SUMIFS(IsQList,IsIList,Table_ExternalData_15[[#This Row],[item_key]],IsITypeList,Table_ExternalData_15[[#This Row],[IType]],IsDList,Table_ExternalData_15[[#Headers],[31]])</f>
        <v>80</v>
      </c>
      <c r="AJ6" s="10">
        <f>SUM(Table_ExternalData_15[[#This Row],[1]:[31]])</f>
        <v>1448</v>
      </c>
    </row>
    <row r="7" spans="1:36">
      <c r="A7" s="35" t="s">
        <v>102</v>
      </c>
      <c r="B7" s="35" t="s">
        <v>110</v>
      </c>
      <c r="C7" s="35" t="s">
        <v>111</v>
      </c>
      <c r="D7" s="36" t="s">
        <v>80</v>
      </c>
      <c r="E7" s="37">
        <f>SUMIFS(IsQList,IsIList,Table_ExternalData_15[[#This Row],[item_key]],IsITypeList,Table_ExternalData_15[[#This Row],[IType]],IsDList,Table_ExternalData_15[[#Headers],[1]])</f>
        <v>85</v>
      </c>
      <c r="F7" s="37">
        <f>SUMIFS(IsQList,IsIList,Table_ExternalData_15[[#This Row],[item_key]],IsITypeList,Table_ExternalData_15[[#This Row],[IType]],IsDList,Table_ExternalData_15[[#Headers],[2]])</f>
        <v>188</v>
      </c>
      <c r="G7" s="37">
        <f>SUMIFS(IsQList,IsIList,Table_ExternalData_15[[#This Row],[item_key]],IsITypeList,Table_ExternalData_15[[#This Row],[IType]],IsDList,Table_ExternalData_15[[#Headers],[3]])</f>
        <v>85</v>
      </c>
      <c r="H7" s="37">
        <f>SUMIFS(IsQList,IsIList,Table_ExternalData_15[[#This Row],[item_key]],IsITypeList,Table_ExternalData_15[[#This Row],[IType]],IsDList,Table_ExternalData_15[[#Headers],[4]])</f>
        <v>250</v>
      </c>
      <c r="I7" s="37">
        <f>SUMIFS(IsQList,IsIList,Table_ExternalData_15[[#This Row],[item_key]],IsITypeList,Table_ExternalData_15[[#This Row],[IType]],IsDList,Table_ExternalData_15[[#Headers],[5]])</f>
        <v>100</v>
      </c>
      <c r="J7" s="37">
        <f>SUMIFS(IsQList,IsIList,Table_ExternalData_15[[#This Row],[item_key]],IsITypeList,Table_ExternalData_15[[#This Row],[IType]],IsDList,Table_ExternalData_15[[#Headers],[6]])</f>
        <v>237</v>
      </c>
      <c r="K7" s="37">
        <f>SUMIFS(IsQList,IsIList,Table_ExternalData_15[[#This Row],[item_key]],IsITypeList,Table_ExternalData_15[[#This Row],[IType]],IsDList,Table_ExternalData_15[[#Headers],[7]])</f>
        <v>209</v>
      </c>
      <c r="L7" s="37">
        <f>SUMIFS(IsQList,IsIList,Table_ExternalData_15[[#This Row],[item_key]],IsITypeList,Table_ExternalData_15[[#This Row],[IType]],IsDList,Table_ExternalData_15[[#Headers],[8]])</f>
        <v>139</v>
      </c>
      <c r="M7" s="37">
        <f>SUMIFS(IsQList,IsIList,Table_ExternalData_15[[#This Row],[item_key]],IsITypeList,Table_ExternalData_15[[#This Row],[IType]],IsDList,Table_ExternalData_15[[#Headers],[9]])</f>
        <v>317</v>
      </c>
      <c r="N7" s="37">
        <f>SUMIFS(IsQList,IsIList,Table_ExternalData_15[[#This Row],[item_key]],IsITypeList,Table_ExternalData_15[[#This Row],[IType]],IsDList,Table_ExternalData_15[[#Headers],[10]])</f>
        <v>207</v>
      </c>
      <c r="O7" s="37">
        <f>SUMIFS(IsQList,IsIList,Table_ExternalData_15[[#This Row],[item_key]],IsITypeList,Table_ExternalData_15[[#This Row],[IType]],IsDList,Table_ExternalData_15[[#Headers],[11]])</f>
        <v>150</v>
      </c>
      <c r="P7" s="37">
        <f>SUMIFS(IsQList,IsIList,Table_ExternalData_15[[#This Row],[item_key]],IsITypeList,Table_ExternalData_15[[#This Row],[IType]],IsDList,Table_ExternalData_15[[#Headers],[12]])</f>
        <v>0</v>
      </c>
      <c r="Q7" s="37">
        <f>SUMIFS(IsQList,IsIList,Table_ExternalData_15[[#This Row],[item_key]],IsITypeList,Table_ExternalData_15[[#This Row],[IType]],IsDList,Table_ExternalData_15[[#Headers],[13]])</f>
        <v>184</v>
      </c>
      <c r="R7" s="37">
        <f>SUMIFS(IsQList,IsIList,Table_ExternalData_15[[#This Row],[item_key]],IsITypeList,Table_ExternalData_15[[#This Row],[IType]],IsDList,Table_ExternalData_15[[#Headers],[14]])</f>
        <v>312</v>
      </c>
      <c r="S7" s="37">
        <f>SUMIFS(IsQList,IsIList,Table_ExternalData_15[[#This Row],[item_key]],IsITypeList,Table_ExternalData_15[[#This Row],[IType]],IsDList,Table_ExternalData_15[[#Headers],[15]])</f>
        <v>186</v>
      </c>
      <c r="T7" s="37">
        <f>SUMIFS(IsQList,IsIList,Table_ExternalData_15[[#This Row],[item_key]],IsITypeList,Table_ExternalData_15[[#This Row],[IType]],IsDList,Table_ExternalData_15[[#Headers],[16]])</f>
        <v>164</v>
      </c>
      <c r="U7" s="37">
        <f>SUMIFS(IsQList,IsIList,Table_ExternalData_15[[#This Row],[item_key]],IsITypeList,Table_ExternalData_15[[#This Row],[IType]],IsDList,Table_ExternalData_15[[#Headers],[17]])</f>
        <v>85</v>
      </c>
      <c r="V7" s="37">
        <f>SUMIFS(IsQList,IsIList,Table_ExternalData_15[[#This Row],[item_key]],IsITypeList,Table_ExternalData_15[[#This Row],[IType]],IsDList,Table_ExternalData_15[[#Headers],[18]])</f>
        <v>0</v>
      </c>
      <c r="W7" s="37">
        <f>SUMIFS(IsQList,IsIList,Table_ExternalData_15[[#This Row],[item_key]],IsITypeList,Table_ExternalData_15[[#This Row],[IType]],IsDList,Table_ExternalData_15[[#Headers],[19]])</f>
        <v>0</v>
      </c>
      <c r="X7" s="37">
        <f>SUMIFS(IsQList,IsIList,Table_ExternalData_15[[#This Row],[item_key]],IsITypeList,Table_ExternalData_15[[#This Row],[IType]],IsDList,Table_ExternalData_15[[#Headers],[20]])</f>
        <v>0</v>
      </c>
      <c r="Y7" s="37">
        <f>SUMIFS(IsQList,IsIList,Table_ExternalData_15[[#This Row],[item_key]],IsITypeList,Table_ExternalData_15[[#This Row],[IType]],IsDList,Table_ExternalData_15[[#Headers],[21]])</f>
        <v>0</v>
      </c>
      <c r="Z7" s="37">
        <f>SUMIFS(IsQList,IsIList,Table_ExternalData_15[[#This Row],[item_key]],IsITypeList,Table_ExternalData_15[[#This Row],[IType]],IsDList,Table_ExternalData_15[[#Headers],[22]])</f>
        <v>0</v>
      </c>
      <c r="AA7" s="37">
        <f>SUMIFS(IsQList,IsIList,Table_ExternalData_15[[#This Row],[item_key]],IsITypeList,Table_ExternalData_15[[#This Row],[IType]],IsDList,Table_ExternalData_15[[#Headers],[23]])</f>
        <v>0</v>
      </c>
      <c r="AB7" s="37">
        <f>SUMIFS(IsQList,IsIList,Table_ExternalData_15[[#This Row],[item_key]],IsITypeList,Table_ExternalData_15[[#This Row],[IType]],IsDList,Table_ExternalData_15[[#Headers],[24]])</f>
        <v>0</v>
      </c>
      <c r="AC7" s="37">
        <f>SUMIFS(IsQList,IsIList,Table_ExternalData_15[[#This Row],[item_key]],IsITypeList,Table_ExternalData_15[[#This Row],[IType]],IsDList,Table_ExternalData_15[[#Headers],[25]])</f>
        <v>0</v>
      </c>
      <c r="AD7" s="37">
        <f>SUMIFS(IsQList,IsIList,Table_ExternalData_15[[#This Row],[item_key]],IsITypeList,Table_ExternalData_15[[#This Row],[IType]],IsDList,Table_ExternalData_15[[#Headers],[26]])</f>
        <v>0</v>
      </c>
      <c r="AE7" s="37">
        <f>SUMIFS(IsQList,IsIList,Table_ExternalData_15[[#This Row],[item_key]],IsITypeList,Table_ExternalData_15[[#This Row],[IType]],IsDList,Table_ExternalData_15[[#Headers],[27]])</f>
        <v>334</v>
      </c>
      <c r="AF7" s="37">
        <f>SUMIFS(IsQList,IsIList,Table_ExternalData_15[[#This Row],[item_key]],IsITypeList,Table_ExternalData_15[[#This Row],[IType]],IsDList,Table_ExternalData_15[[#Headers],[28]])</f>
        <v>382</v>
      </c>
      <c r="AG7" s="37">
        <f>SUMIFS(IsQList,IsIList,Table_ExternalData_15[[#This Row],[item_key]],IsITypeList,Table_ExternalData_15[[#This Row],[IType]],IsDList,Table_ExternalData_15[[#Headers],[29]])</f>
        <v>364</v>
      </c>
      <c r="AH7" s="37">
        <f>SUMIFS(IsQList,IsIList,Table_ExternalData_15[[#This Row],[item_key]],IsITypeList,Table_ExternalData_15[[#This Row],[IType]],IsDList,Table_ExternalData_15[[#Headers],[30]])</f>
        <v>230</v>
      </c>
      <c r="AI7" s="37">
        <f>SUMIFS(IsQList,IsIList,Table_ExternalData_15[[#This Row],[item_key]],IsITypeList,Table_ExternalData_15[[#This Row],[IType]],IsDList,Table_ExternalData_15[[#Headers],[31]])</f>
        <v>727</v>
      </c>
      <c r="AJ7" s="37">
        <f>SUM(Table_ExternalData_15[[#This Row],[1]:[31]])</f>
        <v>4935</v>
      </c>
    </row>
    <row r="8" spans="1:36">
      <c r="A8" s="35" t="s">
        <v>102</v>
      </c>
      <c r="B8" s="35" t="s">
        <v>110</v>
      </c>
      <c r="C8" s="35" t="s">
        <v>111</v>
      </c>
      <c r="D8" s="36" t="s">
        <v>79</v>
      </c>
      <c r="E8" s="37">
        <f>SUMIFS(IsQList,IsIList,Table_ExternalData_15[[#This Row],[item_key]],IsITypeList,Table_ExternalData_15[[#This Row],[IType]],IsDList,Table_ExternalData_15[[#Headers],[1]])</f>
        <v>0</v>
      </c>
      <c r="F8" s="37">
        <f>SUMIFS(IsQList,IsIList,Table_ExternalData_15[[#This Row],[item_key]],IsITypeList,Table_ExternalData_15[[#This Row],[IType]],IsDList,Table_ExternalData_15[[#Headers],[2]])</f>
        <v>0</v>
      </c>
      <c r="G8" s="37">
        <f>SUMIFS(IsQList,IsIList,Table_ExternalData_15[[#This Row],[item_key]],IsITypeList,Table_ExternalData_15[[#This Row],[IType]],IsDList,Table_ExternalData_15[[#Headers],[3]])</f>
        <v>0</v>
      </c>
      <c r="H8" s="37">
        <f>SUMIFS(IsQList,IsIList,Table_ExternalData_15[[#This Row],[item_key]],IsITypeList,Table_ExternalData_15[[#This Row],[IType]],IsDList,Table_ExternalData_15[[#Headers],[4]])</f>
        <v>0</v>
      </c>
      <c r="I8" s="37">
        <f>SUMIFS(IsQList,IsIList,Table_ExternalData_15[[#This Row],[item_key]],IsITypeList,Table_ExternalData_15[[#This Row],[IType]],IsDList,Table_ExternalData_15[[#Headers],[5]])</f>
        <v>0</v>
      </c>
      <c r="J8" s="37">
        <f>SUMIFS(IsQList,IsIList,Table_ExternalData_15[[#This Row],[item_key]],IsITypeList,Table_ExternalData_15[[#This Row],[IType]],IsDList,Table_ExternalData_15[[#Headers],[6]])</f>
        <v>0</v>
      </c>
      <c r="K8" s="37">
        <f>SUMIFS(IsQList,IsIList,Table_ExternalData_15[[#This Row],[item_key]],IsITypeList,Table_ExternalData_15[[#This Row],[IType]],IsDList,Table_ExternalData_15[[#Headers],[7]])</f>
        <v>0</v>
      </c>
      <c r="L8" s="37">
        <f>SUMIFS(IsQList,IsIList,Table_ExternalData_15[[#This Row],[item_key]],IsITypeList,Table_ExternalData_15[[#This Row],[IType]],IsDList,Table_ExternalData_15[[#Headers],[8]])</f>
        <v>0</v>
      </c>
      <c r="M8" s="37">
        <f>SUMIFS(IsQList,IsIList,Table_ExternalData_15[[#This Row],[item_key]],IsITypeList,Table_ExternalData_15[[#This Row],[IType]],IsDList,Table_ExternalData_15[[#Headers],[9]])</f>
        <v>0</v>
      </c>
      <c r="N8" s="37">
        <f>SUMIFS(IsQList,IsIList,Table_ExternalData_15[[#This Row],[item_key]],IsITypeList,Table_ExternalData_15[[#This Row],[IType]],IsDList,Table_ExternalData_15[[#Headers],[10]])</f>
        <v>0</v>
      </c>
      <c r="O8" s="37">
        <f>SUMIFS(IsQList,IsIList,Table_ExternalData_15[[#This Row],[item_key]],IsITypeList,Table_ExternalData_15[[#This Row],[IType]],IsDList,Table_ExternalData_15[[#Headers],[11]])</f>
        <v>0</v>
      </c>
      <c r="P8" s="37">
        <f>SUMIFS(IsQList,IsIList,Table_ExternalData_15[[#This Row],[item_key]],IsITypeList,Table_ExternalData_15[[#This Row],[IType]],IsDList,Table_ExternalData_15[[#Headers],[12]])</f>
        <v>0</v>
      </c>
      <c r="Q8" s="37">
        <f>SUMIFS(IsQList,IsIList,Table_ExternalData_15[[#This Row],[item_key]],IsITypeList,Table_ExternalData_15[[#This Row],[IType]],IsDList,Table_ExternalData_15[[#Headers],[13]])</f>
        <v>0</v>
      </c>
      <c r="R8" s="37">
        <f>SUMIFS(IsQList,IsIList,Table_ExternalData_15[[#This Row],[item_key]],IsITypeList,Table_ExternalData_15[[#This Row],[IType]],IsDList,Table_ExternalData_15[[#Headers],[14]])</f>
        <v>0</v>
      </c>
      <c r="S8" s="37">
        <f>SUMIFS(IsQList,IsIList,Table_ExternalData_15[[#This Row],[item_key]],IsITypeList,Table_ExternalData_15[[#This Row],[IType]],IsDList,Table_ExternalData_15[[#Headers],[15]])</f>
        <v>0</v>
      </c>
      <c r="T8" s="37">
        <f>SUMIFS(IsQList,IsIList,Table_ExternalData_15[[#This Row],[item_key]],IsITypeList,Table_ExternalData_15[[#This Row],[IType]],IsDList,Table_ExternalData_15[[#Headers],[16]])</f>
        <v>0</v>
      </c>
      <c r="U8" s="37">
        <f>SUMIFS(IsQList,IsIList,Table_ExternalData_15[[#This Row],[item_key]],IsITypeList,Table_ExternalData_15[[#This Row],[IType]],IsDList,Table_ExternalData_15[[#Headers],[17]])</f>
        <v>0</v>
      </c>
      <c r="V8" s="37">
        <f>SUMIFS(IsQList,IsIList,Table_ExternalData_15[[#This Row],[item_key]],IsITypeList,Table_ExternalData_15[[#This Row],[IType]],IsDList,Table_ExternalData_15[[#Headers],[18]])</f>
        <v>0</v>
      </c>
      <c r="W8" s="37">
        <f>SUMIFS(IsQList,IsIList,Table_ExternalData_15[[#This Row],[item_key]],IsITypeList,Table_ExternalData_15[[#This Row],[IType]],IsDList,Table_ExternalData_15[[#Headers],[19]])</f>
        <v>0</v>
      </c>
      <c r="X8" s="37">
        <f>SUMIFS(IsQList,IsIList,Table_ExternalData_15[[#This Row],[item_key]],IsITypeList,Table_ExternalData_15[[#This Row],[IType]],IsDList,Table_ExternalData_15[[#Headers],[20]])</f>
        <v>0</v>
      </c>
      <c r="Y8" s="37">
        <f>SUMIFS(IsQList,IsIList,Table_ExternalData_15[[#This Row],[item_key]],IsITypeList,Table_ExternalData_15[[#This Row],[IType]],IsDList,Table_ExternalData_15[[#Headers],[21]])</f>
        <v>0</v>
      </c>
      <c r="Z8" s="37">
        <f>SUMIFS(IsQList,IsIList,Table_ExternalData_15[[#This Row],[item_key]],IsITypeList,Table_ExternalData_15[[#This Row],[IType]],IsDList,Table_ExternalData_15[[#Headers],[22]])</f>
        <v>0</v>
      </c>
      <c r="AA8" s="37">
        <f>SUMIFS(IsQList,IsIList,Table_ExternalData_15[[#This Row],[item_key]],IsITypeList,Table_ExternalData_15[[#This Row],[IType]],IsDList,Table_ExternalData_15[[#Headers],[23]])</f>
        <v>0</v>
      </c>
      <c r="AB8" s="37">
        <f>SUMIFS(IsQList,IsIList,Table_ExternalData_15[[#This Row],[item_key]],IsITypeList,Table_ExternalData_15[[#This Row],[IType]],IsDList,Table_ExternalData_15[[#Headers],[24]])</f>
        <v>0</v>
      </c>
      <c r="AC8" s="37">
        <f>SUMIFS(IsQList,IsIList,Table_ExternalData_15[[#This Row],[item_key]],IsITypeList,Table_ExternalData_15[[#This Row],[IType]],IsDList,Table_ExternalData_15[[#Headers],[25]])</f>
        <v>0</v>
      </c>
      <c r="AD8" s="37">
        <f>SUMIFS(IsQList,IsIList,Table_ExternalData_15[[#This Row],[item_key]],IsITypeList,Table_ExternalData_15[[#This Row],[IType]],IsDList,Table_ExternalData_15[[#Headers],[26]])</f>
        <v>0</v>
      </c>
      <c r="AE8" s="37">
        <f>SUMIFS(IsQList,IsIList,Table_ExternalData_15[[#This Row],[item_key]],IsITypeList,Table_ExternalData_15[[#This Row],[IType]],IsDList,Table_ExternalData_15[[#Headers],[27]])</f>
        <v>0</v>
      </c>
      <c r="AF8" s="37">
        <f>SUMIFS(IsQList,IsIList,Table_ExternalData_15[[#This Row],[item_key]],IsITypeList,Table_ExternalData_15[[#This Row],[IType]],IsDList,Table_ExternalData_15[[#Headers],[28]])</f>
        <v>0</v>
      </c>
      <c r="AG8" s="37">
        <f>SUMIFS(IsQList,IsIList,Table_ExternalData_15[[#This Row],[item_key]],IsITypeList,Table_ExternalData_15[[#This Row],[IType]],IsDList,Table_ExternalData_15[[#Headers],[29]])</f>
        <v>0</v>
      </c>
      <c r="AH8" s="37">
        <f>SUMIFS(IsQList,IsIList,Table_ExternalData_15[[#This Row],[item_key]],IsITypeList,Table_ExternalData_15[[#This Row],[IType]],IsDList,Table_ExternalData_15[[#Headers],[30]])</f>
        <v>17</v>
      </c>
      <c r="AI8" s="37">
        <f>SUMIFS(IsQList,IsIList,Table_ExternalData_15[[#This Row],[item_key]],IsITypeList,Table_ExternalData_15[[#This Row],[IType]],IsDList,Table_ExternalData_15[[#Headers],[31]])</f>
        <v>0</v>
      </c>
      <c r="AJ8" s="37">
        <f>SUM(Table_ExternalData_15[[#This Row],[1]:[31]])</f>
        <v>17</v>
      </c>
    </row>
    <row r="9" spans="1:36">
      <c r="A9" s="35" t="s">
        <v>102</v>
      </c>
      <c r="B9" s="35" t="s">
        <v>110</v>
      </c>
      <c r="C9" s="35" t="s">
        <v>111</v>
      </c>
      <c r="D9" s="36" t="s">
        <v>83</v>
      </c>
      <c r="E9" s="37">
        <f>SUMIFS(IsQList,IsIList,Table_ExternalData_15[[#This Row],[item_key]],IsITypeList,Table_ExternalData_15[[#This Row],[IType]],IsDList,Table_ExternalData_15[[#Headers],[1]])</f>
        <v>0</v>
      </c>
      <c r="F9" s="37">
        <f>SUMIFS(IsQList,IsIList,Table_ExternalData_15[[#This Row],[item_key]],IsITypeList,Table_ExternalData_15[[#This Row],[IType]],IsDList,Table_ExternalData_15[[#Headers],[2]])</f>
        <v>0</v>
      </c>
      <c r="G9" s="37">
        <f>SUMIFS(IsQList,IsIList,Table_ExternalData_15[[#This Row],[item_key]],IsITypeList,Table_ExternalData_15[[#This Row],[IType]],IsDList,Table_ExternalData_15[[#Headers],[3]])</f>
        <v>0</v>
      </c>
      <c r="H9" s="37">
        <f>SUMIFS(IsQList,IsIList,Table_ExternalData_15[[#This Row],[item_key]],IsITypeList,Table_ExternalData_15[[#This Row],[IType]],IsDList,Table_ExternalData_15[[#Headers],[4]])</f>
        <v>0</v>
      </c>
      <c r="I9" s="37">
        <f>SUMIFS(IsQList,IsIList,Table_ExternalData_15[[#This Row],[item_key]],IsITypeList,Table_ExternalData_15[[#This Row],[IType]],IsDList,Table_ExternalData_15[[#Headers],[5]])</f>
        <v>0</v>
      </c>
      <c r="J9" s="37">
        <f>SUMIFS(IsQList,IsIList,Table_ExternalData_15[[#This Row],[item_key]],IsITypeList,Table_ExternalData_15[[#This Row],[IType]],IsDList,Table_ExternalData_15[[#Headers],[6]])</f>
        <v>0</v>
      </c>
      <c r="K9" s="37">
        <f>SUMIFS(IsQList,IsIList,Table_ExternalData_15[[#This Row],[item_key]],IsITypeList,Table_ExternalData_15[[#This Row],[IType]],IsDList,Table_ExternalData_15[[#Headers],[7]])</f>
        <v>0</v>
      </c>
      <c r="L9" s="37">
        <f>SUMIFS(IsQList,IsIList,Table_ExternalData_15[[#This Row],[item_key]],IsITypeList,Table_ExternalData_15[[#This Row],[IType]],IsDList,Table_ExternalData_15[[#Headers],[8]])</f>
        <v>0</v>
      </c>
      <c r="M9" s="37">
        <f>SUMIFS(IsQList,IsIList,Table_ExternalData_15[[#This Row],[item_key]],IsITypeList,Table_ExternalData_15[[#This Row],[IType]],IsDList,Table_ExternalData_15[[#Headers],[9]])</f>
        <v>0</v>
      </c>
      <c r="N9" s="37">
        <f>SUMIFS(IsQList,IsIList,Table_ExternalData_15[[#This Row],[item_key]],IsITypeList,Table_ExternalData_15[[#This Row],[IType]],IsDList,Table_ExternalData_15[[#Headers],[10]])</f>
        <v>0</v>
      </c>
      <c r="O9" s="37">
        <f>SUMIFS(IsQList,IsIList,Table_ExternalData_15[[#This Row],[item_key]],IsITypeList,Table_ExternalData_15[[#This Row],[IType]],IsDList,Table_ExternalData_15[[#Headers],[11]])</f>
        <v>0</v>
      </c>
      <c r="P9" s="37">
        <f>SUMIFS(IsQList,IsIList,Table_ExternalData_15[[#This Row],[item_key]],IsITypeList,Table_ExternalData_15[[#This Row],[IType]],IsDList,Table_ExternalData_15[[#Headers],[12]])</f>
        <v>0</v>
      </c>
      <c r="Q9" s="37">
        <f>SUMIFS(IsQList,IsIList,Table_ExternalData_15[[#This Row],[item_key]],IsITypeList,Table_ExternalData_15[[#This Row],[IType]],IsDList,Table_ExternalData_15[[#Headers],[13]])</f>
        <v>0</v>
      </c>
      <c r="R9" s="37">
        <f>SUMIFS(IsQList,IsIList,Table_ExternalData_15[[#This Row],[item_key]],IsITypeList,Table_ExternalData_15[[#This Row],[IType]],IsDList,Table_ExternalData_15[[#Headers],[14]])</f>
        <v>0</v>
      </c>
      <c r="S9" s="37">
        <f>SUMIFS(IsQList,IsIList,Table_ExternalData_15[[#This Row],[item_key]],IsITypeList,Table_ExternalData_15[[#This Row],[IType]],IsDList,Table_ExternalData_15[[#Headers],[15]])</f>
        <v>0</v>
      </c>
      <c r="T9" s="37">
        <f>SUMIFS(IsQList,IsIList,Table_ExternalData_15[[#This Row],[item_key]],IsITypeList,Table_ExternalData_15[[#This Row],[IType]],IsDList,Table_ExternalData_15[[#Headers],[16]])</f>
        <v>0</v>
      </c>
      <c r="U9" s="37">
        <f>SUMIFS(IsQList,IsIList,Table_ExternalData_15[[#This Row],[item_key]],IsITypeList,Table_ExternalData_15[[#This Row],[IType]],IsDList,Table_ExternalData_15[[#Headers],[17]])</f>
        <v>0</v>
      </c>
      <c r="V9" s="37">
        <f>SUMIFS(IsQList,IsIList,Table_ExternalData_15[[#This Row],[item_key]],IsITypeList,Table_ExternalData_15[[#This Row],[IType]],IsDList,Table_ExternalData_15[[#Headers],[18]])</f>
        <v>0</v>
      </c>
      <c r="W9" s="37">
        <f>SUMIFS(IsQList,IsIList,Table_ExternalData_15[[#This Row],[item_key]],IsITypeList,Table_ExternalData_15[[#This Row],[IType]],IsDList,Table_ExternalData_15[[#Headers],[19]])</f>
        <v>0</v>
      </c>
      <c r="X9" s="37">
        <f>SUMIFS(IsQList,IsIList,Table_ExternalData_15[[#This Row],[item_key]],IsITypeList,Table_ExternalData_15[[#This Row],[IType]],IsDList,Table_ExternalData_15[[#Headers],[20]])</f>
        <v>0</v>
      </c>
      <c r="Y9" s="37">
        <f>SUMIFS(IsQList,IsIList,Table_ExternalData_15[[#This Row],[item_key]],IsITypeList,Table_ExternalData_15[[#This Row],[IType]],IsDList,Table_ExternalData_15[[#Headers],[21]])</f>
        <v>0</v>
      </c>
      <c r="Z9" s="37">
        <f>SUMIFS(IsQList,IsIList,Table_ExternalData_15[[#This Row],[item_key]],IsITypeList,Table_ExternalData_15[[#This Row],[IType]],IsDList,Table_ExternalData_15[[#Headers],[22]])</f>
        <v>0</v>
      </c>
      <c r="AA9" s="37">
        <f>SUMIFS(IsQList,IsIList,Table_ExternalData_15[[#This Row],[item_key]],IsITypeList,Table_ExternalData_15[[#This Row],[IType]],IsDList,Table_ExternalData_15[[#Headers],[23]])</f>
        <v>0</v>
      </c>
      <c r="AB9" s="37">
        <f>SUMIFS(IsQList,IsIList,Table_ExternalData_15[[#This Row],[item_key]],IsITypeList,Table_ExternalData_15[[#This Row],[IType]],IsDList,Table_ExternalData_15[[#Headers],[24]])</f>
        <v>0</v>
      </c>
      <c r="AC9" s="37">
        <f>SUMIFS(IsQList,IsIList,Table_ExternalData_15[[#This Row],[item_key]],IsITypeList,Table_ExternalData_15[[#This Row],[IType]],IsDList,Table_ExternalData_15[[#Headers],[25]])</f>
        <v>0</v>
      </c>
      <c r="AD9" s="37">
        <f>SUMIFS(IsQList,IsIList,Table_ExternalData_15[[#This Row],[item_key]],IsITypeList,Table_ExternalData_15[[#This Row],[IType]],IsDList,Table_ExternalData_15[[#Headers],[26]])</f>
        <v>0</v>
      </c>
      <c r="AE9" s="37">
        <f>SUMIFS(IsQList,IsIList,Table_ExternalData_15[[#This Row],[item_key]],IsITypeList,Table_ExternalData_15[[#This Row],[IType]],IsDList,Table_ExternalData_15[[#Headers],[27]])</f>
        <v>0</v>
      </c>
      <c r="AF9" s="37">
        <f>SUMIFS(IsQList,IsIList,Table_ExternalData_15[[#This Row],[item_key]],IsITypeList,Table_ExternalData_15[[#This Row],[IType]],IsDList,Table_ExternalData_15[[#Headers],[28]])</f>
        <v>0</v>
      </c>
      <c r="AG9" s="37">
        <f>SUMIFS(IsQList,IsIList,Table_ExternalData_15[[#This Row],[item_key]],IsITypeList,Table_ExternalData_15[[#This Row],[IType]],IsDList,Table_ExternalData_15[[#Headers],[29]])</f>
        <v>0</v>
      </c>
      <c r="AH9" s="37">
        <f>SUMIFS(IsQList,IsIList,Table_ExternalData_15[[#This Row],[item_key]],IsITypeList,Table_ExternalData_15[[#This Row],[IType]],IsDList,Table_ExternalData_15[[#Headers],[30]])</f>
        <v>0</v>
      </c>
      <c r="AI9" s="37">
        <f>SUMIFS(IsQList,IsIList,Table_ExternalData_15[[#This Row],[item_key]],IsITypeList,Table_ExternalData_15[[#This Row],[IType]],IsDList,Table_ExternalData_15[[#Headers],[31]])</f>
        <v>0</v>
      </c>
      <c r="AJ9" s="37">
        <f>SUM(Table_ExternalData_15[[#This Row],[1]:[31]])</f>
        <v>0</v>
      </c>
    </row>
    <row r="10" spans="1:36">
      <c r="A10" s="35" t="s">
        <v>9</v>
      </c>
      <c r="B10" s="35" t="s">
        <v>18</v>
      </c>
      <c r="C10" s="35" t="s">
        <v>19</v>
      </c>
      <c r="D10" s="36" t="s">
        <v>80</v>
      </c>
      <c r="E10" s="37">
        <f>SUMIFS(IsQList,IsIList,Table_ExternalData_15[[#This Row],[item_key]],IsITypeList,Table_ExternalData_15[[#This Row],[IType]],IsDList,Table_ExternalData_15[[#Headers],[1]])</f>
        <v>85</v>
      </c>
      <c r="F10" s="37">
        <f>SUMIFS(IsQList,IsIList,Table_ExternalData_15[[#This Row],[item_key]],IsITypeList,Table_ExternalData_15[[#This Row],[IType]],IsDList,Table_ExternalData_15[[#Headers],[2]])</f>
        <v>188</v>
      </c>
      <c r="G10" s="37">
        <f>SUMIFS(IsQList,IsIList,Table_ExternalData_15[[#This Row],[item_key]],IsITypeList,Table_ExternalData_15[[#This Row],[IType]],IsDList,Table_ExternalData_15[[#Headers],[3]])</f>
        <v>85</v>
      </c>
      <c r="H10" s="37">
        <f>SUMIFS(IsQList,IsIList,Table_ExternalData_15[[#This Row],[item_key]],IsITypeList,Table_ExternalData_15[[#This Row],[IType]],IsDList,Table_ExternalData_15[[#Headers],[4]])</f>
        <v>250</v>
      </c>
      <c r="I10" s="37">
        <f>SUMIFS(IsQList,IsIList,Table_ExternalData_15[[#This Row],[item_key]],IsITypeList,Table_ExternalData_15[[#This Row],[IType]],IsDList,Table_ExternalData_15[[#Headers],[5]])</f>
        <v>100</v>
      </c>
      <c r="J10" s="37">
        <f>SUMIFS(IsQList,IsIList,Table_ExternalData_15[[#This Row],[item_key]],IsITypeList,Table_ExternalData_15[[#This Row],[IType]],IsDList,Table_ExternalData_15[[#Headers],[6]])</f>
        <v>237</v>
      </c>
      <c r="K10" s="37">
        <f>SUMIFS(IsQList,IsIList,Table_ExternalData_15[[#This Row],[item_key]],IsITypeList,Table_ExternalData_15[[#This Row],[IType]],IsDList,Table_ExternalData_15[[#Headers],[7]])</f>
        <v>209</v>
      </c>
      <c r="L10" s="37">
        <f>SUMIFS(IsQList,IsIList,Table_ExternalData_15[[#This Row],[item_key]],IsITypeList,Table_ExternalData_15[[#This Row],[IType]],IsDList,Table_ExternalData_15[[#Headers],[8]])</f>
        <v>139</v>
      </c>
      <c r="M10" s="37">
        <f>SUMIFS(IsQList,IsIList,Table_ExternalData_15[[#This Row],[item_key]],IsITypeList,Table_ExternalData_15[[#This Row],[IType]],IsDList,Table_ExternalData_15[[#Headers],[9]])</f>
        <v>317</v>
      </c>
      <c r="N10" s="37">
        <f>SUMIFS(IsQList,IsIList,Table_ExternalData_15[[#This Row],[item_key]],IsITypeList,Table_ExternalData_15[[#This Row],[IType]],IsDList,Table_ExternalData_15[[#Headers],[10]])</f>
        <v>207</v>
      </c>
      <c r="O10" s="37">
        <f>SUMIFS(IsQList,IsIList,Table_ExternalData_15[[#This Row],[item_key]],IsITypeList,Table_ExternalData_15[[#This Row],[IType]],IsDList,Table_ExternalData_15[[#Headers],[11]])</f>
        <v>150</v>
      </c>
      <c r="P10" s="37">
        <f>SUMIFS(IsQList,IsIList,Table_ExternalData_15[[#This Row],[item_key]],IsITypeList,Table_ExternalData_15[[#This Row],[IType]],IsDList,Table_ExternalData_15[[#Headers],[12]])</f>
        <v>0</v>
      </c>
      <c r="Q10" s="37">
        <f>SUMIFS(IsQList,IsIList,Table_ExternalData_15[[#This Row],[item_key]],IsITypeList,Table_ExternalData_15[[#This Row],[IType]],IsDList,Table_ExternalData_15[[#Headers],[13]])</f>
        <v>184</v>
      </c>
      <c r="R10" s="37">
        <f>SUMIFS(IsQList,IsIList,Table_ExternalData_15[[#This Row],[item_key]],IsITypeList,Table_ExternalData_15[[#This Row],[IType]],IsDList,Table_ExternalData_15[[#Headers],[14]])</f>
        <v>312</v>
      </c>
      <c r="S10" s="37">
        <f>SUMIFS(IsQList,IsIList,Table_ExternalData_15[[#This Row],[item_key]],IsITypeList,Table_ExternalData_15[[#This Row],[IType]],IsDList,Table_ExternalData_15[[#Headers],[15]])</f>
        <v>186</v>
      </c>
      <c r="T10" s="37">
        <f>SUMIFS(IsQList,IsIList,Table_ExternalData_15[[#This Row],[item_key]],IsITypeList,Table_ExternalData_15[[#This Row],[IType]],IsDList,Table_ExternalData_15[[#Headers],[16]])</f>
        <v>164</v>
      </c>
      <c r="U10" s="37">
        <f>SUMIFS(IsQList,IsIList,Table_ExternalData_15[[#This Row],[item_key]],IsITypeList,Table_ExternalData_15[[#This Row],[IType]],IsDList,Table_ExternalData_15[[#Headers],[17]])</f>
        <v>85</v>
      </c>
      <c r="V10" s="37">
        <f>SUMIFS(IsQList,IsIList,Table_ExternalData_15[[#This Row],[item_key]],IsITypeList,Table_ExternalData_15[[#This Row],[IType]],IsDList,Table_ExternalData_15[[#Headers],[18]])</f>
        <v>0</v>
      </c>
      <c r="W10" s="37">
        <f>SUMIFS(IsQList,IsIList,Table_ExternalData_15[[#This Row],[item_key]],IsITypeList,Table_ExternalData_15[[#This Row],[IType]],IsDList,Table_ExternalData_15[[#Headers],[19]])</f>
        <v>0</v>
      </c>
      <c r="X10" s="37">
        <f>SUMIFS(IsQList,IsIList,Table_ExternalData_15[[#This Row],[item_key]],IsITypeList,Table_ExternalData_15[[#This Row],[IType]],IsDList,Table_ExternalData_15[[#Headers],[20]])</f>
        <v>0</v>
      </c>
      <c r="Y10" s="37">
        <f>SUMIFS(IsQList,IsIList,Table_ExternalData_15[[#This Row],[item_key]],IsITypeList,Table_ExternalData_15[[#This Row],[IType]],IsDList,Table_ExternalData_15[[#Headers],[21]])</f>
        <v>0</v>
      </c>
      <c r="Z10" s="37">
        <f>SUMIFS(IsQList,IsIList,Table_ExternalData_15[[#This Row],[item_key]],IsITypeList,Table_ExternalData_15[[#This Row],[IType]],IsDList,Table_ExternalData_15[[#Headers],[22]])</f>
        <v>0</v>
      </c>
      <c r="AA10" s="37">
        <f>SUMIFS(IsQList,IsIList,Table_ExternalData_15[[#This Row],[item_key]],IsITypeList,Table_ExternalData_15[[#This Row],[IType]],IsDList,Table_ExternalData_15[[#Headers],[23]])</f>
        <v>0</v>
      </c>
      <c r="AB10" s="37">
        <f>SUMIFS(IsQList,IsIList,Table_ExternalData_15[[#This Row],[item_key]],IsITypeList,Table_ExternalData_15[[#This Row],[IType]],IsDList,Table_ExternalData_15[[#Headers],[24]])</f>
        <v>0</v>
      </c>
      <c r="AC10" s="37">
        <f>SUMIFS(IsQList,IsIList,Table_ExternalData_15[[#This Row],[item_key]],IsITypeList,Table_ExternalData_15[[#This Row],[IType]],IsDList,Table_ExternalData_15[[#Headers],[25]])</f>
        <v>0</v>
      </c>
      <c r="AD10" s="37">
        <f>SUMIFS(IsQList,IsIList,Table_ExternalData_15[[#This Row],[item_key]],IsITypeList,Table_ExternalData_15[[#This Row],[IType]],IsDList,Table_ExternalData_15[[#Headers],[26]])</f>
        <v>0</v>
      </c>
      <c r="AE10" s="37">
        <f>SUMIFS(IsQList,IsIList,Table_ExternalData_15[[#This Row],[item_key]],IsITypeList,Table_ExternalData_15[[#This Row],[IType]],IsDList,Table_ExternalData_15[[#Headers],[27]])</f>
        <v>334</v>
      </c>
      <c r="AF10" s="37">
        <f>SUMIFS(IsQList,IsIList,Table_ExternalData_15[[#This Row],[item_key]],IsITypeList,Table_ExternalData_15[[#This Row],[IType]],IsDList,Table_ExternalData_15[[#Headers],[28]])</f>
        <v>382</v>
      </c>
      <c r="AG10" s="37">
        <f>SUMIFS(IsQList,IsIList,Table_ExternalData_15[[#This Row],[item_key]],IsITypeList,Table_ExternalData_15[[#This Row],[IType]],IsDList,Table_ExternalData_15[[#Headers],[29]])</f>
        <v>364</v>
      </c>
      <c r="AH10" s="37">
        <f>SUMIFS(IsQList,IsIList,Table_ExternalData_15[[#This Row],[item_key]],IsITypeList,Table_ExternalData_15[[#This Row],[IType]],IsDList,Table_ExternalData_15[[#Headers],[30]])</f>
        <v>230</v>
      </c>
      <c r="AI10" s="37">
        <f>SUMIFS(IsQList,IsIList,Table_ExternalData_15[[#This Row],[item_key]],IsITypeList,Table_ExternalData_15[[#This Row],[IType]],IsDList,Table_ExternalData_15[[#Headers],[31]])</f>
        <v>727</v>
      </c>
      <c r="AJ10" s="37">
        <f>SUM(Table_ExternalData_15[[#This Row],[1]:[31]])</f>
        <v>4935</v>
      </c>
    </row>
    <row r="11" spans="1:36">
      <c r="A11" s="35" t="s">
        <v>9</v>
      </c>
      <c r="B11" s="35" t="s">
        <v>18</v>
      </c>
      <c r="C11" s="35" t="s">
        <v>19</v>
      </c>
      <c r="D11" s="36" t="s">
        <v>79</v>
      </c>
      <c r="E11" s="37">
        <f>SUMIFS(IsQList,IsIList,Table_ExternalData_15[[#This Row],[item_key]],IsITypeList,Table_ExternalData_15[[#This Row],[IType]],IsDList,Table_ExternalData_15[[#Headers],[1]])</f>
        <v>0</v>
      </c>
      <c r="F11" s="37">
        <f>SUMIFS(IsQList,IsIList,Table_ExternalData_15[[#This Row],[item_key]],IsITypeList,Table_ExternalData_15[[#This Row],[IType]],IsDList,Table_ExternalData_15[[#Headers],[2]])</f>
        <v>0</v>
      </c>
      <c r="G11" s="37">
        <f>SUMIFS(IsQList,IsIList,Table_ExternalData_15[[#This Row],[item_key]],IsITypeList,Table_ExternalData_15[[#This Row],[IType]],IsDList,Table_ExternalData_15[[#Headers],[3]])</f>
        <v>0</v>
      </c>
      <c r="H11" s="37">
        <f>SUMIFS(IsQList,IsIList,Table_ExternalData_15[[#This Row],[item_key]],IsITypeList,Table_ExternalData_15[[#This Row],[IType]],IsDList,Table_ExternalData_15[[#Headers],[4]])</f>
        <v>0</v>
      </c>
      <c r="I11" s="37">
        <f>SUMIFS(IsQList,IsIList,Table_ExternalData_15[[#This Row],[item_key]],IsITypeList,Table_ExternalData_15[[#This Row],[IType]],IsDList,Table_ExternalData_15[[#Headers],[5]])</f>
        <v>0</v>
      </c>
      <c r="J11" s="37">
        <f>SUMIFS(IsQList,IsIList,Table_ExternalData_15[[#This Row],[item_key]],IsITypeList,Table_ExternalData_15[[#This Row],[IType]],IsDList,Table_ExternalData_15[[#Headers],[6]])</f>
        <v>0</v>
      </c>
      <c r="K11" s="37">
        <f>SUMIFS(IsQList,IsIList,Table_ExternalData_15[[#This Row],[item_key]],IsITypeList,Table_ExternalData_15[[#This Row],[IType]],IsDList,Table_ExternalData_15[[#Headers],[7]])</f>
        <v>0</v>
      </c>
      <c r="L11" s="37">
        <f>SUMIFS(IsQList,IsIList,Table_ExternalData_15[[#This Row],[item_key]],IsITypeList,Table_ExternalData_15[[#This Row],[IType]],IsDList,Table_ExternalData_15[[#Headers],[8]])</f>
        <v>0</v>
      </c>
      <c r="M11" s="37">
        <f>SUMIFS(IsQList,IsIList,Table_ExternalData_15[[#This Row],[item_key]],IsITypeList,Table_ExternalData_15[[#This Row],[IType]],IsDList,Table_ExternalData_15[[#Headers],[9]])</f>
        <v>2</v>
      </c>
      <c r="N11" s="37">
        <f>SUMIFS(IsQList,IsIList,Table_ExternalData_15[[#This Row],[item_key]],IsITypeList,Table_ExternalData_15[[#This Row],[IType]],IsDList,Table_ExternalData_15[[#Headers],[10]])</f>
        <v>0</v>
      </c>
      <c r="O11" s="37">
        <f>SUMIFS(IsQList,IsIList,Table_ExternalData_15[[#This Row],[item_key]],IsITypeList,Table_ExternalData_15[[#This Row],[IType]],IsDList,Table_ExternalData_15[[#Headers],[11]])</f>
        <v>0</v>
      </c>
      <c r="P11" s="37">
        <f>SUMIFS(IsQList,IsIList,Table_ExternalData_15[[#This Row],[item_key]],IsITypeList,Table_ExternalData_15[[#This Row],[IType]],IsDList,Table_ExternalData_15[[#Headers],[12]])</f>
        <v>0</v>
      </c>
      <c r="Q11" s="37">
        <f>SUMIFS(IsQList,IsIList,Table_ExternalData_15[[#This Row],[item_key]],IsITypeList,Table_ExternalData_15[[#This Row],[IType]],IsDList,Table_ExternalData_15[[#Headers],[13]])</f>
        <v>0</v>
      </c>
      <c r="R11" s="37">
        <f>SUMIFS(IsQList,IsIList,Table_ExternalData_15[[#This Row],[item_key]],IsITypeList,Table_ExternalData_15[[#This Row],[IType]],IsDList,Table_ExternalData_15[[#Headers],[14]])</f>
        <v>0</v>
      </c>
      <c r="S11" s="37">
        <f>SUMIFS(IsQList,IsIList,Table_ExternalData_15[[#This Row],[item_key]],IsITypeList,Table_ExternalData_15[[#This Row],[IType]],IsDList,Table_ExternalData_15[[#Headers],[15]])</f>
        <v>0</v>
      </c>
      <c r="T11" s="37">
        <f>SUMIFS(IsQList,IsIList,Table_ExternalData_15[[#This Row],[item_key]],IsITypeList,Table_ExternalData_15[[#This Row],[IType]],IsDList,Table_ExternalData_15[[#Headers],[16]])</f>
        <v>0</v>
      </c>
      <c r="U11" s="37">
        <f>SUMIFS(IsQList,IsIList,Table_ExternalData_15[[#This Row],[item_key]],IsITypeList,Table_ExternalData_15[[#This Row],[IType]],IsDList,Table_ExternalData_15[[#Headers],[17]])</f>
        <v>0</v>
      </c>
      <c r="V11" s="37">
        <f>SUMIFS(IsQList,IsIList,Table_ExternalData_15[[#This Row],[item_key]],IsITypeList,Table_ExternalData_15[[#This Row],[IType]],IsDList,Table_ExternalData_15[[#Headers],[18]])</f>
        <v>0</v>
      </c>
      <c r="W11" s="37">
        <f>SUMIFS(IsQList,IsIList,Table_ExternalData_15[[#This Row],[item_key]],IsITypeList,Table_ExternalData_15[[#This Row],[IType]],IsDList,Table_ExternalData_15[[#Headers],[19]])</f>
        <v>0</v>
      </c>
      <c r="X11" s="37">
        <f>SUMIFS(IsQList,IsIList,Table_ExternalData_15[[#This Row],[item_key]],IsITypeList,Table_ExternalData_15[[#This Row],[IType]],IsDList,Table_ExternalData_15[[#Headers],[20]])</f>
        <v>0</v>
      </c>
      <c r="Y11" s="37">
        <f>SUMIFS(IsQList,IsIList,Table_ExternalData_15[[#This Row],[item_key]],IsITypeList,Table_ExternalData_15[[#This Row],[IType]],IsDList,Table_ExternalData_15[[#Headers],[21]])</f>
        <v>0</v>
      </c>
      <c r="Z11" s="37">
        <f>SUMIFS(IsQList,IsIList,Table_ExternalData_15[[#This Row],[item_key]],IsITypeList,Table_ExternalData_15[[#This Row],[IType]],IsDList,Table_ExternalData_15[[#Headers],[22]])</f>
        <v>0</v>
      </c>
      <c r="AA11" s="37">
        <f>SUMIFS(IsQList,IsIList,Table_ExternalData_15[[#This Row],[item_key]],IsITypeList,Table_ExternalData_15[[#This Row],[IType]],IsDList,Table_ExternalData_15[[#Headers],[23]])</f>
        <v>0</v>
      </c>
      <c r="AB11" s="37">
        <f>SUMIFS(IsQList,IsIList,Table_ExternalData_15[[#This Row],[item_key]],IsITypeList,Table_ExternalData_15[[#This Row],[IType]],IsDList,Table_ExternalData_15[[#Headers],[24]])</f>
        <v>0</v>
      </c>
      <c r="AC11" s="37">
        <f>SUMIFS(IsQList,IsIList,Table_ExternalData_15[[#This Row],[item_key]],IsITypeList,Table_ExternalData_15[[#This Row],[IType]],IsDList,Table_ExternalData_15[[#Headers],[25]])</f>
        <v>0</v>
      </c>
      <c r="AD11" s="37">
        <f>SUMIFS(IsQList,IsIList,Table_ExternalData_15[[#This Row],[item_key]],IsITypeList,Table_ExternalData_15[[#This Row],[IType]],IsDList,Table_ExternalData_15[[#Headers],[26]])</f>
        <v>0</v>
      </c>
      <c r="AE11" s="37">
        <f>SUMIFS(IsQList,IsIList,Table_ExternalData_15[[#This Row],[item_key]],IsITypeList,Table_ExternalData_15[[#This Row],[IType]],IsDList,Table_ExternalData_15[[#Headers],[27]])</f>
        <v>0</v>
      </c>
      <c r="AF11" s="37">
        <f>SUMIFS(IsQList,IsIList,Table_ExternalData_15[[#This Row],[item_key]],IsITypeList,Table_ExternalData_15[[#This Row],[IType]],IsDList,Table_ExternalData_15[[#Headers],[28]])</f>
        <v>0</v>
      </c>
      <c r="AG11" s="37">
        <f>SUMIFS(IsQList,IsIList,Table_ExternalData_15[[#This Row],[item_key]],IsITypeList,Table_ExternalData_15[[#This Row],[IType]],IsDList,Table_ExternalData_15[[#Headers],[29]])</f>
        <v>0</v>
      </c>
      <c r="AH11" s="37">
        <f>SUMIFS(IsQList,IsIList,Table_ExternalData_15[[#This Row],[item_key]],IsITypeList,Table_ExternalData_15[[#This Row],[IType]],IsDList,Table_ExternalData_15[[#Headers],[30]])</f>
        <v>0</v>
      </c>
      <c r="AI11" s="37">
        <f>SUMIFS(IsQList,IsIList,Table_ExternalData_15[[#This Row],[item_key]],IsITypeList,Table_ExternalData_15[[#This Row],[IType]],IsDList,Table_ExternalData_15[[#Headers],[31]])</f>
        <v>0</v>
      </c>
      <c r="AJ11" s="37">
        <f>SUM(Table_ExternalData_15[[#This Row],[1]:[31]])</f>
        <v>2</v>
      </c>
    </row>
    <row r="12" spans="1:36">
      <c r="A12" s="35" t="s">
        <v>6</v>
      </c>
      <c r="B12" s="35" t="s">
        <v>20</v>
      </c>
      <c r="C12" s="35" t="s">
        <v>21</v>
      </c>
      <c r="D12" s="36" t="s">
        <v>77</v>
      </c>
      <c r="E12" s="37">
        <f>SUMIFS(IsQList,IsIList,Table_ExternalData_15[[#This Row],[item_key]],IsITypeList,Table_ExternalData_15[[#This Row],[IType]],IsDList,Table_ExternalData_15[[#Headers],[1]])</f>
        <v>0</v>
      </c>
      <c r="F12" s="37">
        <f>SUMIFS(IsQList,IsIList,Table_ExternalData_15[[#This Row],[item_key]],IsITypeList,Table_ExternalData_15[[#This Row],[IType]],IsDList,Table_ExternalData_15[[#Headers],[2]])</f>
        <v>0</v>
      </c>
      <c r="G12" s="37">
        <f>SUMIFS(IsQList,IsIList,Table_ExternalData_15[[#This Row],[item_key]],IsITypeList,Table_ExternalData_15[[#This Row],[IType]],IsDList,Table_ExternalData_15[[#Headers],[3]])</f>
        <v>0</v>
      </c>
      <c r="H12" s="37">
        <f>SUMIFS(IsQList,IsIList,Table_ExternalData_15[[#This Row],[item_key]],IsITypeList,Table_ExternalData_15[[#This Row],[IType]],IsDList,Table_ExternalData_15[[#Headers],[4]])</f>
        <v>0</v>
      </c>
      <c r="I12" s="37">
        <f>SUMIFS(IsQList,IsIList,Table_ExternalData_15[[#This Row],[item_key]],IsITypeList,Table_ExternalData_15[[#This Row],[IType]],IsDList,Table_ExternalData_15[[#Headers],[5]])</f>
        <v>0</v>
      </c>
      <c r="J12" s="37">
        <f>SUMIFS(IsQList,IsIList,Table_ExternalData_15[[#This Row],[item_key]],IsITypeList,Table_ExternalData_15[[#This Row],[IType]],IsDList,Table_ExternalData_15[[#Headers],[6]])</f>
        <v>0</v>
      </c>
      <c r="K12" s="37">
        <f>SUMIFS(IsQList,IsIList,Table_ExternalData_15[[#This Row],[item_key]],IsITypeList,Table_ExternalData_15[[#This Row],[IType]],IsDList,Table_ExternalData_15[[#Headers],[7]])</f>
        <v>0</v>
      </c>
      <c r="L12" s="37">
        <f>SUMIFS(IsQList,IsIList,Table_ExternalData_15[[#This Row],[item_key]],IsITypeList,Table_ExternalData_15[[#This Row],[IType]],IsDList,Table_ExternalData_15[[#Headers],[8]])</f>
        <v>0</v>
      </c>
      <c r="M12" s="37">
        <f>SUMIFS(IsQList,IsIList,Table_ExternalData_15[[#This Row],[item_key]],IsITypeList,Table_ExternalData_15[[#This Row],[IType]],IsDList,Table_ExternalData_15[[#Headers],[9]])</f>
        <v>0</v>
      </c>
      <c r="N12" s="37">
        <f>SUMIFS(IsQList,IsIList,Table_ExternalData_15[[#This Row],[item_key]],IsITypeList,Table_ExternalData_15[[#This Row],[IType]],IsDList,Table_ExternalData_15[[#Headers],[10]])</f>
        <v>0</v>
      </c>
      <c r="O12" s="37">
        <f>SUMIFS(IsQList,IsIList,Table_ExternalData_15[[#This Row],[item_key]],IsITypeList,Table_ExternalData_15[[#This Row],[IType]],IsDList,Table_ExternalData_15[[#Headers],[11]])</f>
        <v>0</v>
      </c>
      <c r="P12" s="37">
        <f>SUMIFS(IsQList,IsIList,Table_ExternalData_15[[#This Row],[item_key]],IsITypeList,Table_ExternalData_15[[#This Row],[IType]],IsDList,Table_ExternalData_15[[#Headers],[12]])</f>
        <v>0</v>
      </c>
      <c r="Q12" s="37">
        <f>SUMIFS(IsQList,IsIList,Table_ExternalData_15[[#This Row],[item_key]],IsITypeList,Table_ExternalData_15[[#This Row],[IType]],IsDList,Table_ExternalData_15[[#Headers],[13]])</f>
        <v>0</v>
      </c>
      <c r="R12" s="37">
        <f>SUMIFS(IsQList,IsIList,Table_ExternalData_15[[#This Row],[item_key]],IsITypeList,Table_ExternalData_15[[#This Row],[IType]],IsDList,Table_ExternalData_15[[#Headers],[14]])</f>
        <v>0</v>
      </c>
      <c r="S12" s="37">
        <f>SUMIFS(IsQList,IsIList,Table_ExternalData_15[[#This Row],[item_key]],IsITypeList,Table_ExternalData_15[[#This Row],[IType]],IsDList,Table_ExternalData_15[[#Headers],[15]])</f>
        <v>0</v>
      </c>
      <c r="T12" s="37">
        <f>SUMIFS(IsQList,IsIList,Table_ExternalData_15[[#This Row],[item_key]],IsITypeList,Table_ExternalData_15[[#This Row],[IType]],IsDList,Table_ExternalData_15[[#Headers],[16]])</f>
        <v>0</v>
      </c>
      <c r="U12" s="37">
        <f>SUMIFS(IsQList,IsIList,Table_ExternalData_15[[#This Row],[item_key]],IsITypeList,Table_ExternalData_15[[#This Row],[IType]],IsDList,Table_ExternalData_15[[#Headers],[17]])</f>
        <v>0</v>
      </c>
      <c r="V12" s="37">
        <f>SUMIFS(IsQList,IsIList,Table_ExternalData_15[[#This Row],[item_key]],IsITypeList,Table_ExternalData_15[[#This Row],[IType]],IsDList,Table_ExternalData_15[[#Headers],[18]])</f>
        <v>0</v>
      </c>
      <c r="W12" s="37">
        <f>SUMIFS(IsQList,IsIList,Table_ExternalData_15[[#This Row],[item_key]],IsITypeList,Table_ExternalData_15[[#This Row],[IType]],IsDList,Table_ExternalData_15[[#Headers],[19]])</f>
        <v>0</v>
      </c>
      <c r="X12" s="37">
        <f>SUMIFS(IsQList,IsIList,Table_ExternalData_15[[#This Row],[item_key]],IsITypeList,Table_ExternalData_15[[#This Row],[IType]],IsDList,Table_ExternalData_15[[#Headers],[20]])</f>
        <v>0</v>
      </c>
      <c r="Y12" s="37">
        <f>SUMIFS(IsQList,IsIList,Table_ExternalData_15[[#This Row],[item_key]],IsITypeList,Table_ExternalData_15[[#This Row],[IType]],IsDList,Table_ExternalData_15[[#Headers],[21]])</f>
        <v>0</v>
      </c>
      <c r="Z12" s="37">
        <f>SUMIFS(IsQList,IsIList,Table_ExternalData_15[[#This Row],[item_key]],IsITypeList,Table_ExternalData_15[[#This Row],[IType]],IsDList,Table_ExternalData_15[[#Headers],[22]])</f>
        <v>0</v>
      </c>
      <c r="AA12" s="37">
        <f>SUMIFS(IsQList,IsIList,Table_ExternalData_15[[#This Row],[item_key]],IsITypeList,Table_ExternalData_15[[#This Row],[IType]],IsDList,Table_ExternalData_15[[#Headers],[23]])</f>
        <v>0</v>
      </c>
      <c r="AB12" s="37">
        <f>SUMIFS(IsQList,IsIList,Table_ExternalData_15[[#This Row],[item_key]],IsITypeList,Table_ExternalData_15[[#This Row],[IType]],IsDList,Table_ExternalData_15[[#Headers],[24]])</f>
        <v>0</v>
      </c>
      <c r="AC12" s="37">
        <f>SUMIFS(IsQList,IsIList,Table_ExternalData_15[[#This Row],[item_key]],IsITypeList,Table_ExternalData_15[[#This Row],[IType]],IsDList,Table_ExternalData_15[[#Headers],[25]])</f>
        <v>0</v>
      </c>
      <c r="AD12" s="37">
        <f>SUMIFS(IsQList,IsIList,Table_ExternalData_15[[#This Row],[item_key]],IsITypeList,Table_ExternalData_15[[#This Row],[IType]],IsDList,Table_ExternalData_15[[#Headers],[26]])</f>
        <v>0</v>
      </c>
      <c r="AE12" s="37">
        <f>SUMIFS(IsQList,IsIList,Table_ExternalData_15[[#This Row],[item_key]],IsITypeList,Table_ExternalData_15[[#This Row],[IType]],IsDList,Table_ExternalData_15[[#Headers],[27]])</f>
        <v>0</v>
      </c>
      <c r="AF12" s="37">
        <f>SUMIFS(IsQList,IsIList,Table_ExternalData_15[[#This Row],[item_key]],IsITypeList,Table_ExternalData_15[[#This Row],[IType]],IsDList,Table_ExternalData_15[[#Headers],[28]])</f>
        <v>0</v>
      </c>
      <c r="AG12" s="37">
        <f>SUMIFS(IsQList,IsIList,Table_ExternalData_15[[#This Row],[item_key]],IsITypeList,Table_ExternalData_15[[#This Row],[IType]],IsDList,Table_ExternalData_15[[#Headers],[29]])</f>
        <v>0</v>
      </c>
      <c r="AH12" s="37">
        <f>SUMIFS(IsQList,IsIList,Table_ExternalData_15[[#This Row],[item_key]],IsITypeList,Table_ExternalData_15[[#This Row],[IType]],IsDList,Table_ExternalData_15[[#Headers],[30]])</f>
        <v>0</v>
      </c>
      <c r="AI12" s="37">
        <f>SUMIFS(IsQList,IsIList,Table_ExternalData_15[[#This Row],[item_key]],IsITypeList,Table_ExternalData_15[[#This Row],[IType]],IsDList,Table_ExternalData_15[[#Headers],[31]])</f>
        <v>0</v>
      </c>
      <c r="AJ12" s="37">
        <f>SUM(Table_ExternalData_15[[#This Row],[1]:[31]])</f>
        <v>0</v>
      </c>
    </row>
    <row r="13" spans="1:36">
      <c r="A13" s="35" t="s">
        <v>6</v>
      </c>
      <c r="B13" s="35" t="s">
        <v>20</v>
      </c>
      <c r="C13" s="35" t="s">
        <v>21</v>
      </c>
      <c r="D13" s="36" t="s">
        <v>80</v>
      </c>
      <c r="E13" s="37">
        <f>SUMIFS(IsQList,IsIList,Table_ExternalData_15[[#This Row],[item_key]],IsITypeList,Table_ExternalData_15[[#This Row],[IType]],IsDList,Table_ExternalData_15[[#Headers],[1]])</f>
        <v>85</v>
      </c>
      <c r="F13" s="37">
        <f>SUMIFS(IsQList,IsIList,Table_ExternalData_15[[#This Row],[item_key]],IsITypeList,Table_ExternalData_15[[#This Row],[IType]],IsDList,Table_ExternalData_15[[#Headers],[2]])</f>
        <v>136</v>
      </c>
      <c r="G13" s="37">
        <f>SUMIFS(IsQList,IsIList,Table_ExternalData_15[[#This Row],[item_key]],IsITypeList,Table_ExternalData_15[[#This Row],[IType]],IsDList,Table_ExternalData_15[[#Headers],[3]])</f>
        <v>35</v>
      </c>
      <c r="H13" s="37">
        <f>SUMIFS(IsQList,IsIList,Table_ExternalData_15[[#This Row],[item_key]],IsITypeList,Table_ExternalData_15[[#This Row],[IType]],IsDList,Table_ExternalData_15[[#Headers],[4]])</f>
        <v>200</v>
      </c>
      <c r="I13" s="37">
        <f>SUMIFS(IsQList,IsIList,Table_ExternalData_15[[#This Row],[item_key]],IsITypeList,Table_ExternalData_15[[#This Row],[IType]],IsDList,Table_ExternalData_15[[#Headers],[5]])</f>
        <v>56</v>
      </c>
      <c r="J13" s="37">
        <f>SUMIFS(IsQList,IsIList,Table_ExternalData_15[[#This Row],[item_key]],IsITypeList,Table_ExternalData_15[[#This Row],[IType]],IsDList,Table_ExternalData_15[[#Headers],[6]])</f>
        <v>237</v>
      </c>
      <c r="K13" s="37">
        <f>SUMIFS(IsQList,IsIList,Table_ExternalData_15[[#This Row],[item_key]],IsITypeList,Table_ExternalData_15[[#This Row],[IType]],IsDList,Table_ExternalData_15[[#Headers],[7]])</f>
        <v>205</v>
      </c>
      <c r="L13" s="37">
        <f>SUMIFS(IsQList,IsIList,Table_ExternalData_15[[#This Row],[item_key]],IsITypeList,Table_ExternalData_15[[#This Row],[IType]],IsDList,Table_ExternalData_15[[#Headers],[8]])</f>
        <v>139</v>
      </c>
      <c r="M13" s="37">
        <f>SUMIFS(IsQList,IsIList,Table_ExternalData_15[[#This Row],[item_key]],IsITypeList,Table_ExternalData_15[[#This Row],[IType]],IsDList,Table_ExternalData_15[[#Headers],[9]])</f>
        <v>307</v>
      </c>
      <c r="N13" s="37">
        <f>SUMIFS(IsQList,IsIList,Table_ExternalData_15[[#This Row],[item_key]],IsITypeList,Table_ExternalData_15[[#This Row],[IType]],IsDList,Table_ExternalData_15[[#Headers],[10]])</f>
        <v>205</v>
      </c>
      <c r="O13" s="37">
        <f>SUMIFS(IsQList,IsIList,Table_ExternalData_15[[#This Row],[item_key]],IsITypeList,Table_ExternalData_15[[#This Row],[IType]],IsDList,Table_ExternalData_15[[#Headers],[11]])</f>
        <v>150</v>
      </c>
      <c r="P13" s="37">
        <f>SUMIFS(IsQList,IsIList,Table_ExternalData_15[[#This Row],[item_key]],IsITypeList,Table_ExternalData_15[[#This Row],[IType]],IsDList,Table_ExternalData_15[[#Headers],[12]])</f>
        <v>0</v>
      </c>
      <c r="Q13" s="37">
        <f>SUMIFS(IsQList,IsIList,Table_ExternalData_15[[#This Row],[item_key]],IsITypeList,Table_ExternalData_15[[#This Row],[IType]],IsDList,Table_ExternalData_15[[#Headers],[13]])</f>
        <v>184</v>
      </c>
      <c r="R13" s="37">
        <f>SUMIFS(IsQList,IsIList,Table_ExternalData_15[[#This Row],[item_key]],IsITypeList,Table_ExternalData_15[[#This Row],[IType]],IsDList,Table_ExternalData_15[[#Headers],[14]])</f>
        <v>312</v>
      </c>
      <c r="S13" s="37">
        <f>SUMIFS(IsQList,IsIList,Table_ExternalData_15[[#This Row],[item_key]],IsITypeList,Table_ExternalData_15[[#This Row],[IType]],IsDList,Table_ExternalData_15[[#Headers],[15]])</f>
        <v>186</v>
      </c>
      <c r="T13" s="37">
        <f>SUMIFS(IsQList,IsIList,Table_ExternalData_15[[#This Row],[item_key]],IsITypeList,Table_ExternalData_15[[#This Row],[IType]],IsDList,Table_ExternalData_15[[#Headers],[16]])</f>
        <v>125</v>
      </c>
      <c r="U13" s="37">
        <f>SUMIFS(IsQList,IsIList,Table_ExternalData_15[[#This Row],[item_key]],IsITypeList,Table_ExternalData_15[[#This Row],[IType]],IsDList,Table_ExternalData_15[[#Headers],[17]])</f>
        <v>40</v>
      </c>
      <c r="V13" s="37">
        <f>SUMIFS(IsQList,IsIList,Table_ExternalData_15[[#This Row],[item_key]],IsITypeList,Table_ExternalData_15[[#This Row],[IType]],IsDList,Table_ExternalData_15[[#Headers],[18]])</f>
        <v>0</v>
      </c>
      <c r="W13" s="37">
        <f>SUMIFS(IsQList,IsIList,Table_ExternalData_15[[#This Row],[item_key]],IsITypeList,Table_ExternalData_15[[#This Row],[IType]],IsDList,Table_ExternalData_15[[#Headers],[19]])</f>
        <v>0</v>
      </c>
      <c r="X13" s="37">
        <f>SUMIFS(IsQList,IsIList,Table_ExternalData_15[[#This Row],[item_key]],IsITypeList,Table_ExternalData_15[[#This Row],[IType]],IsDList,Table_ExternalData_15[[#Headers],[20]])</f>
        <v>0</v>
      </c>
      <c r="Y13" s="37">
        <f>SUMIFS(IsQList,IsIList,Table_ExternalData_15[[#This Row],[item_key]],IsITypeList,Table_ExternalData_15[[#This Row],[IType]],IsDList,Table_ExternalData_15[[#Headers],[21]])</f>
        <v>0</v>
      </c>
      <c r="Z13" s="37">
        <f>SUMIFS(IsQList,IsIList,Table_ExternalData_15[[#This Row],[item_key]],IsITypeList,Table_ExternalData_15[[#This Row],[IType]],IsDList,Table_ExternalData_15[[#Headers],[22]])</f>
        <v>0</v>
      </c>
      <c r="AA13" s="37">
        <f>SUMIFS(IsQList,IsIList,Table_ExternalData_15[[#This Row],[item_key]],IsITypeList,Table_ExternalData_15[[#This Row],[IType]],IsDList,Table_ExternalData_15[[#Headers],[23]])</f>
        <v>0</v>
      </c>
      <c r="AB13" s="37">
        <f>SUMIFS(IsQList,IsIList,Table_ExternalData_15[[#This Row],[item_key]],IsITypeList,Table_ExternalData_15[[#This Row],[IType]],IsDList,Table_ExternalData_15[[#Headers],[24]])</f>
        <v>0</v>
      </c>
      <c r="AC13" s="37">
        <f>SUMIFS(IsQList,IsIList,Table_ExternalData_15[[#This Row],[item_key]],IsITypeList,Table_ExternalData_15[[#This Row],[IType]],IsDList,Table_ExternalData_15[[#Headers],[25]])</f>
        <v>0</v>
      </c>
      <c r="AD13" s="37">
        <f>SUMIFS(IsQList,IsIList,Table_ExternalData_15[[#This Row],[item_key]],IsITypeList,Table_ExternalData_15[[#This Row],[IType]],IsDList,Table_ExternalData_15[[#Headers],[26]])</f>
        <v>0</v>
      </c>
      <c r="AE13" s="37">
        <f>SUMIFS(IsQList,IsIList,Table_ExternalData_15[[#This Row],[item_key]],IsITypeList,Table_ExternalData_15[[#This Row],[IType]],IsDList,Table_ExternalData_15[[#Headers],[27]])</f>
        <v>334</v>
      </c>
      <c r="AF13" s="37">
        <f>SUMIFS(IsQList,IsIList,Table_ExternalData_15[[#This Row],[item_key]],IsITypeList,Table_ExternalData_15[[#This Row],[IType]],IsDList,Table_ExternalData_15[[#Headers],[28]])</f>
        <v>382</v>
      </c>
      <c r="AG13" s="37">
        <f>SUMIFS(IsQList,IsIList,Table_ExternalData_15[[#This Row],[item_key]],IsITypeList,Table_ExternalData_15[[#This Row],[IType]],IsDList,Table_ExternalData_15[[#Headers],[29]])</f>
        <v>304</v>
      </c>
      <c r="AH13" s="37">
        <f>SUMIFS(IsQList,IsIList,Table_ExternalData_15[[#This Row],[item_key]],IsITypeList,Table_ExternalData_15[[#This Row],[IType]],IsDList,Table_ExternalData_15[[#Headers],[30]])</f>
        <v>230</v>
      </c>
      <c r="AI13" s="37">
        <f>SUMIFS(IsQList,IsIList,Table_ExternalData_15[[#This Row],[item_key]],IsITypeList,Table_ExternalData_15[[#This Row],[IType]],IsDList,Table_ExternalData_15[[#Headers],[31]])</f>
        <v>645</v>
      </c>
      <c r="AJ13" s="37">
        <f>SUM(Table_ExternalData_15[[#This Row],[1]:[31]])</f>
        <v>4497</v>
      </c>
    </row>
    <row r="14" spans="1:36">
      <c r="A14" s="35" t="s">
        <v>6</v>
      </c>
      <c r="B14" s="35" t="s">
        <v>20</v>
      </c>
      <c r="C14" s="35" t="s">
        <v>21</v>
      </c>
      <c r="D14" s="36" t="s">
        <v>79</v>
      </c>
      <c r="E14" s="37">
        <f>SUMIFS(IsQList,IsIList,Table_ExternalData_15[[#This Row],[item_key]],IsITypeList,Table_ExternalData_15[[#This Row],[IType]],IsDList,Table_ExternalData_15[[#Headers],[1]])</f>
        <v>0</v>
      </c>
      <c r="F14" s="37">
        <f>SUMIFS(IsQList,IsIList,Table_ExternalData_15[[#This Row],[item_key]],IsITypeList,Table_ExternalData_15[[#This Row],[IType]],IsDList,Table_ExternalData_15[[#Headers],[2]])</f>
        <v>0</v>
      </c>
      <c r="G14" s="37">
        <f>SUMIFS(IsQList,IsIList,Table_ExternalData_15[[#This Row],[item_key]],IsITypeList,Table_ExternalData_15[[#This Row],[IType]],IsDList,Table_ExternalData_15[[#Headers],[3]])</f>
        <v>140</v>
      </c>
      <c r="H14" s="37">
        <f>SUMIFS(IsQList,IsIList,Table_ExternalData_15[[#This Row],[item_key]],IsITypeList,Table_ExternalData_15[[#This Row],[IType]],IsDList,Table_ExternalData_15[[#Headers],[4]])</f>
        <v>0</v>
      </c>
      <c r="I14" s="37">
        <f>SUMIFS(IsQList,IsIList,Table_ExternalData_15[[#This Row],[item_key]],IsITypeList,Table_ExternalData_15[[#This Row],[IType]],IsDList,Table_ExternalData_15[[#Headers],[5]])</f>
        <v>0</v>
      </c>
      <c r="J14" s="37">
        <f>SUMIFS(IsQList,IsIList,Table_ExternalData_15[[#This Row],[item_key]],IsITypeList,Table_ExternalData_15[[#This Row],[IType]],IsDList,Table_ExternalData_15[[#Headers],[6]])</f>
        <v>0</v>
      </c>
      <c r="K14" s="37">
        <f>SUMIFS(IsQList,IsIList,Table_ExternalData_15[[#This Row],[item_key]],IsITypeList,Table_ExternalData_15[[#This Row],[IType]],IsDList,Table_ExternalData_15[[#Headers],[7]])</f>
        <v>67</v>
      </c>
      <c r="L14" s="37">
        <f>SUMIFS(IsQList,IsIList,Table_ExternalData_15[[#This Row],[item_key]],IsITypeList,Table_ExternalData_15[[#This Row],[IType]],IsDList,Table_ExternalData_15[[#Headers],[8]])</f>
        <v>0</v>
      </c>
      <c r="M14" s="37">
        <f>SUMIFS(IsQList,IsIList,Table_ExternalData_15[[#This Row],[item_key]],IsITypeList,Table_ExternalData_15[[#This Row],[IType]],IsDList,Table_ExternalData_15[[#Headers],[9]])</f>
        <v>25</v>
      </c>
      <c r="N14" s="37">
        <f>SUMIFS(IsQList,IsIList,Table_ExternalData_15[[#This Row],[item_key]],IsITypeList,Table_ExternalData_15[[#This Row],[IType]],IsDList,Table_ExternalData_15[[#Headers],[10]])</f>
        <v>0</v>
      </c>
      <c r="O14" s="37">
        <f>SUMIFS(IsQList,IsIList,Table_ExternalData_15[[#This Row],[item_key]],IsITypeList,Table_ExternalData_15[[#This Row],[IType]],IsDList,Table_ExternalData_15[[#Headers],[11]])</f>
        <v>0</v>
      </c>
      <c r="P14" s="37">
        <f>SUMIFS(IsQList,IsIList,Table_ExternalData_15[[#This Row],[item_key]],IsITypeList,Table_ExternalData_15[[#This Row],[IType]],IsDList,Table_ExternalData_15[[#Headers],[12]])</f>
        <v>0</v>
      </c>
      <c r="Q14" s="37">
        <f>SUMIFS(IsQList,IsIList,Table_ExternalData_15[[#This Row],[item_key]],IsITypeList,Table_ExternalData_15[[#This Row],[IType]],IsDList,Table_ExternalData_15[[#Headers],[13]])</f>
        <v>203</v>
      </c>
      <c r="R14" s="37">
        <f>SUMIFS(IsQList,IsIList,Table_ExternalData_15[[#This Row],[item_key]],IsITypeList,Table_ExternalData_15[[#This Row],[IType]],IsDList,Table_ExternalData_15[[#Headers],[14]])</f>
        <v>74</v>
      </c>
      <c r="S14" s="37">
        <f>SUMIFS(IsQList,IsIList,Table_ExternalData_15[[#This Row],[item_key]],IsITypeList,Table_ExternalData_15[[#This Row],[IType]],IsDList,Table_ExternalData_15[[#Headers],[15]])</f>
        <v>56</v>
      </c>
      <c r="T14" s="37">
        <f>SUMIFS(IsQList,IsIList,Table_ExternalData_15[[#This Row],[item_key]],IsITypeList,Table_ExternalData_15[[#This Row],[IType]],IsDList,Table_ExternalData_15[[#Headers],[16]])</f>
        <v>0</v>
      </c>
      <c r="U14" s="37">
        <f>SUMIFS(IsQList,IsIList,Table_ExternalData_15[[#This Row],[item_key]],IsITypeList,Table_ExternalData_15[[#This Row],[IType]],IsDList,Table_ExternalData_15[[#Headers],[17]])</f>
        <v>0</v>
      </c>
      <c r="V14" s="37">
        <f>SUMIFS(IsQList,IsIList,Table_ExternalData_15[[#This Row],[item_key]],IsITypeList,Table_ExternalData_15[[#This Row],[IType]],IsDList,Table_ExternalData_15[[#Headers],[18]])</f>
        <v>0</v>
      </c>
      <c r="W14" s="37">
        <f>SUMIFS(IsQList,IsIList,Table_ExternalData_15[[#This Row],[item_key]],IsITypeList,Table_ExternalData_15[[#This Row],[IType]],IsDList,Table_ExternalData_15[[#Headers],[19]])</f>
        <v>0</v>
      </c>
      <c r="X14" s="37">
        <f>SUMIFS(IsQList,IsIList,Table_ExternalData_15[[#This Row],[item_key]],IsITypeList,Table_ExternalData_15[[#This Row],[IType]],IsDList,Table_ExternalData_15[[#Headers],[20]])</f>
        <v>0</v>
      </c>
      <c r="Y14" s="37">
        <f>SUMIFS(IsQList,IsIList,Table_ExternalData_15[[#This Row],[item_key]],IsITypeList,Table_ExternalData_15[[#This Row],[IType]],IsDList,Table_ExternalData_15[[#Headers],[21]])</f>
        <v>0</v>
      </c>
      <c r="Z14" s="37">
        <f>SUMIFS(IsQList,IsIList,Table_ExternalData_15[[#This Row],[item_key]],IsITypeList,Table_ExternalData_15[[#This Row],[IType]],IsDList,Table_ExternalData_15[[#Headers],[22]])</f>
        <v>0</v>
      </c>
      <c r="AA14" s="37">
        <f>SUMIFS(IsQList,IsIList,Table_ExternalData_15[[#This Row],[item_key]],IsITypeList,Table_ExternalData_15[[#This Row],[IType]],IsDList,Table_ExternalData_15[[#Headers],[23]])</f>
        <v>0</v>
      </c>
      <c r="AB14" s="37">
        <f>SUMIFS(IsQList,IsIList,Table_ExternalData_15[[#This Row],[item_key]],IsITypeList,Table_ExternalData_15[[#This Row],[IType]],IsDList,Table_ExternalData_15[[#Headers],[24]])</f>
        <v>0</v>
      </c>
      <c r="AC14" s="37">
        <f>SUMIFS(IsQList,IsIList,Table_ExternalData_15[[#This Row],[item_key]],IsITypeList,Table_ExternalData_15[[#This Row],[IType]],IsDList,Table_ExternalData_15[[#Headers],[25]])</f>
        <v>0</v>
      </c>
      <c r="AD14" s="37">
        <f>SUMIFS(IsQList,IsIList,Table_ExternalData_15[[#This Row],[item_key]],IsITypeList,Table_ExternalData_15[[#This Row],[IType]],IsDList,Table_ExternalData_15[[#Headers],[26]])</f>
        <v>0</v>
      </c>
      <c r="AE14" s="37">
        <f>SUMIFS(IsQList,IsIList,Table_ExternalData_15[[#This Row],[item_key]],IsITypeList,Table_ExternalData_15[[#This Row],[IType]],IsDList,Table_ExternalData_15[[#Headers],[27]])</f>
        <v>38</v>
      </c>
      <c r="AF14" s="37">
        <f>SUMIFS(IsQList,IsIList,Table_ExternalData_15[[#This Row],[item_key]],IsITypeList,Table_ExternalData_15[[#This Row],[IType]],IsDList,Table_ExternalData_15[[#Headers],[28]])</f>
        <v>0</v>
      </c>
      <c r="AG14" s="37">
        <f>SUMIFS(IsQList,IsIList,Table_ExternalData_15[[#This Row],[item_key]],IsITypeList,Table_ExternalData_15[[#This Row],[IType]],IsDList,Table_ExternalData_15[[#Headers],[29]])</f>
        <v>37</v>
      </c>
      <c r="AH14" s="37">
        <f>SUMIFS(IsQList,IsIList,Table_ExternalData_15[[#This Row],[item_key]],IsITypeList,Table_ExternalData_15[[#This Row],[IType]],IsDList,Table_ExternalData_15[[#Headers],[30]])</f>
        <v>76</v>
      </c>
      <c r="AI14" s="37">
        <f>SUMIFS(IsQList,IsIList,Table_ExternalData_15[[#This Row],[item_key]],IsITypeList,Table_ExternalData_15[[#This Row],[IType]],IsDList,Table_ExternalData_15[[#Headers],[31]])</f>
        <v>141</v>
      </c>
      <c r="AJ14" s="37">
        <f>SUM(Table_ExternalData_15[[#This Row],[1]:[31]])</f>
        <v>857</v>
      </c>
    </row>
    <row r="15" spans="1:36">
      <c r="A15" s="35" t="s">
        <v>103</v>
      </c>
      <c r="B15" s="35" t="s">
        <v>112</v>
      </c>
      <c r="C15" s="35" t="s">
        <v>113</v>
      </c>
      <c r="D15" s="36" t="s">
        <v>80</v>
      </c>
      <c r="E15" s="37">
        <f>SUMIFS(IsQList,IsIList,Table_ExternalData_15[[#This Row],[item_key]],IsITypeList,Table_ExternalData_15[[#This Row],[IType]],IsDList,Table_ExternalData_15[[#Headers],[1]])</f>
        <v>85</v>
      </c>
      <c r="F15" s="37">
        <f>SUMIFS(IsQList,IsIList,Table_ExternalData_15[[#This Row],[item_key]],IsITypeList,Table_ExternalData_15[[#This Row],[IType]],IsDList,Table_ExternalData_15[[#Headers],[2]])</f>
        <v>188</v>
      </c>
      <c r="G15" s="37">
        <f>SUMIFS(IsQList,IsIList,Table_ExternalData_15[[#This Row],[item_key]],IsITypeList,Table_ExternalData_15[[#This Row],[IType]],IsDList,Table_ExternalData_15[[#Headers],[3]])</f>
        <v>85</v>
      </c>
      <c r="H15" s="37">
        <f>SUMIFS(IsQList,IsIList,Table_ExternalData_15[[#This Row],[item_key]],IsITypeList,Table_ExternalData_15[[#This Row],[IType]],IsDList,Table_ExternalData_15[[#Headers],[4]])</f>
        <v>250</v>
      </c>
      <c r="I15" s="37">
        <f>SUMIFS(IsQList,IsIList,Table_ExternalData_15[[#This Row],[item_key]],IsITypeList,Table_ExternalData_15[[#This Row],[IType]],IsDList,Table_ExternalData_15[[#Headers],[5]])</f>
        <v>100</v>
      </c>
      <c r="J15" s="37">
        <f>SUMIFS(IsQList,IsIList,Table_ExternalData_15[[#This Row],[item_key]],IsITypeList,Table_ExternalData_15[[#This Row],[IType]],IsDList,Table_ExternalData_15[[#Headers],[6]])</f>
        <v>237</v>
      </c>
      <c r="K15" s="37">
        <f>SUMIFS(IsQList,IsIList,Table_ExternalData_15[[#This Row],[item_key]],IsITypeList,Table_ExternalData_15[[#This Row],[IType]],IsDList,Table_ExternalData_15[[#Headers],[7]])</f>
        <v>209</v>
      </c>
      <c r="L15" s="37">
        <f>SUMIFS(IsQList,IsIList,Table_ExternalData_15[[#This Row],[item_key]],IsITypeList,Table_ExternalData_15[[#This Row],[IType]],IsDList,Table_ExternalData_15[[#Headers],[8]])</f>
        <v>139</v>
      </c>
      <c r="M15" s="37">
        <f>SUMIFS(IsQList,IsIList,Table_ExternalData_15[[#This Row],[item_key]],IsITypeList,Table_ExternalData_15[[#This Row],[IType]],IsDList,Table_ExternalData_15[[#Headers],[9]])</f>
        <v>317</v>
      </c>
      <c r="N15" s="37">
        <f>SUMIFS(IsQList,IsIList,Table_ExternalData_15[[#This Row],[item_key]],IsITypeList,Table_ExternalData_15[[#This Row],[IType]],IsDList,Table_ExternalData_15[[#Headers],[10]])</f>
        <v>207</v>
      </c>
      <c r="O15" s="37">
        <f>SUMIFS(IsQList,IsIList,Table_ExternalData_15[[#This Row],[item_key]],IsITypeList,Table_ExternalData_15[[#This Row],[IType]],IsDList,Table_ExternalData_15[[#Headers],[11]])</f>
        <v>150</v>
      </c>
      <c r="P15" s="37">
        <f>SUMIFS(IsQList,IsIList,Table_ExternalData_15[[#This Row],[item_key]],IsITypeList,Table_ExternalData_15[[#This Row],[IType]],IsDList,Table_ExternalData_15[[#Headers],[12]])</f>
        <v>0</v>
      </c>
      <c r="Q15" s="37">
        <f>SUMIFS(IsQList,IsIList,Table_ExternalData_15[[#This Row],[item_key]],IsITypeList,Table_ExternalData_15[[#This Row],[IType]],IsDList,Table_ExternalData_15[[#Headers],[13]])</f>
        <v>184</v>
      </c>
      <c r="R15" s="37">
        <f>SUMIFS(IsQList,IsIList,Table_ExternalData_15[[#This Row],[item_key]],IsITypeList,Table_ExternalData_15[[#This Row],[IType]],IsDList,Table_ExternalData_15[[#Headers],[14]])</f>
        <v>312</v>
      </c>
      <c r="S15" s="37">
        <f>SUMIFS(IsQList,IsIList,Table_ExternalData_15[[#This Row],[item_key]],IsITypeList,Table_ExternalData_15[[#This Row],[IType]],IsDList,Table_ExternalData_15[[#Headers],[15]])</f>
        <v>186</v>
      </c>
      <c r="T15" s="37">
        <f>SUMIFS(IsQList,IsIList,Table_ExternalData_15[[#This Row],[item_key]],IsITypeList,Table_ExternalData_15[[#This Row],[IType]],IsDList,Table_ExternalData_15[[#Headers],[16]])</f>
        <v>164</v>
      </c>
      <c r="U15" s="37">
        <f>SUMIFS(IsQList,IsIList,Table_ExternalData_15[[#This Row],[item_key]],IsITypeList,Table_ExternalData_15[[#This Row],[IType]],IsDList,Table_ExternalData_15[[#Headers],[17]])</f>
        <v>85</v>
      </c>
      <c r="V15" s="37">
        <f>SUMIFS(IsQList,IsIList,Table_ExternalData_15[[#This Row],[item_key]],IsITypeList,Table_ExternalData_15[[#This Row],[IType]],IsDList,Table_ExternalData_15[[#Headers],[18]])</f>
        <v>0</v>
      </c>
      <c r="W15" s="37">
        <f>SUMIFS(IsQList,IsIList,Table_ExternalData_15[[#This Row],[item_key]],IsITypeList,Table_ExternalData_15[[#This Row],[IType]],IsDList,Table_ExternalData_15[[#Headers],[19]])</f>
        <v>0</v>
      </c>
      <c r="X15" s="37">
        <f>SUMIFS(IsQList,IsIList,Table_ExternalData_15[[#This Row],[item_key]],IsITypeList,Table_ExternalData_15[[#This Row],[IType]],IsDList,Table_ExternalData_15[[#Headers],[20]])</f>
        <v>0</v>
      </c>
      <c r="Y15" s="37">
        <f>SUMIFS(IsQList,IsIList,Table_ExternalData_15[[#This Row],[item_key]],IsITypeList,Table_ExternalData_15[[#This Row],[IType]],IsDList,Table_ExternalData_15[[#Headers],[21]])</f>
        <v>0</v>
      </c>
      <c r="Z15" s="37">
        <f>SUMIFS(IsQList,IsIList,Table_ExternalData_15[[#This Row],[item_key]],IsITypeList,Table_ExternalData_15[[#This Row],[IType]],IsDList,Table_ExternalData_15[[#Headers],[22]])</f>
        <v>0</v>
      </c>
      <c r="AA15" s="37">
        <f>SUMIFS(IsQList,IsIList,Table_ExternalData_15[[#This Row],[item_key]],IsITypeList,Table_ExternalData_15[[#This Row],[IType]],IsDList,Table_ExternalData_15[[#Headers],[23]])</f>
        <v>0</v>
      </c>
      <c r="AB15" s="37">
        <f>SUMIFS(IsQList,IsIList,Table_ExternalData_15[[#This Row],[item_key]],IsITypeList,Table_ExternalData_15[[#This Row],[IType]],IsDList,Table_ExternalData_15[[#Headers],[24]])</f>
        <v>0</v>
      </c>
      <c r="AC15" s="37">
        <f>SUMIFS(IsQList,IsIList,Table_ExternalData_15[[#This Row],[item_key]],IsITypeList,Table_ExternalData_15[[#This Row],[IType]],IsDList,Table_ExternalData_15[[#Headers],[25]])</f>
        <v>0</v>
      </c>
      <c r="AD15" s="37">
        <f>SUMIFS(IsQList,IsIList,Table_ExternalData_15[[#This Row],[item_key]],IsITypeList,Table_ExternalData_15[[#This Row],[IType]],IsDList,Table_ExternalData_15[[#Headers],[26]])</f>
        <v>0</v>
      </c>
      <c r="AE15" s="37">
        <f>SUMIFS(IsQList,IsIList,Table_ExternalData_15[[#This Row],[item_key]],IsITypeList,Table_ExternalData_15[[#This Row],[IType]],IsDList,Table_ExternalData_15[[#Headers],[27]])</f>
        <v>334</v>
      </c>
      <c r="AF15" s="37">
        <f>SUMIFS(IsQList,IsIList,Table_ExternalData_15[[#This Row],[item_key]],IsITypeList,Table_ExternalData_15[[#This Row],[IType]],IsDList,Table_ExternalData_15[[#Headers],[28]])</f>
        <v>382</v>
      </c>
      <c r="AG15" s="37">
        <f>SUMIFS(IsQList,IsIList,Table_ExternalData_15[[#This Row],[item_key]],IsITypeList,Table_ExternalData_15[[#This Row],[IType]],IsDList,Table_ExternalData_15[[#Headers],[29]])</f>
        <v>364</v>
      </c>
      <c r="AH15" s="37">
        <f>SUMIFS(IsQList,IsIList,Table_ExternalData_15[[#This Row],[item_key]],IsITypeList,Table_ExternalData_15[[#This Row],[IType]],IsDList,Table_ExternalData_15[[#Headers],[30]])</f>
        <v>230</v>
      </c>
      <c r="AI15" s="37">
        <f>SUMIFS(IsQList,IsIList,Table_ExternalData_15[[#This Row],[item_key]],IsITypeList,Table_ExternalData_15[[#This Row],[IType]],IsDList,Table_ExternalData_15[[#Headers],[31]])</f>
        <v>727</v>
      </c>
      <c r="AJ15" s="37">
        <f>SUM(Table_ExternalData_15[[#This Row],[1]:[31]])</f>
        <v>4935</v>
      </c>
    </row>
    <row r="16" spans="1:36">
      <c r="A16" s="35" t="s">
        <v>103</v>
      </c>
      <c r="B16" s="35" t="s">
        <v>112</v>
      </c>
      <c r="C16" s="35" t="s">
        <v>113</v>
      </c>
      <c r="D16" s="36" t="s">
        <v>79</v>
      </c>
      <c r="E16" s="37">
        <f>SUMIFS(IsQList,IsIList,Table_ExternalData_15[[#This Row],[item_key]],IsITypeList,Table_ExternalData_15[[#This Row],[IType]],IsDList,Table_ExternalData_15[[#Headers],[1]])</f>
        <v>0</v>
      </c>
      <c r="F16" s="37">
        <f>SUMIFS(IsQList,IsIList,Table_ExternalData_15[[#This Row],[item_key]],IsITypeList,Table_ExternalData_15[[#This Row],[IType]],IsDList,Table_ExternalData_15[[#Headers],[2]])</f>
        <v>0</v>
      </c>
      <c r="G16" s="37">
        <f>SUMIFS(IsQList,IsIList,Table_ExternalData_15[[#This Row],[item_key]],IsITypeList,Table_ExternalData_15[[#This Row],[IType]],IsDList,Table_ExternalData_15[[#Headers],[3]])</f>
        <v>0</v>
      </c>
      <c r="H16" s="37">
        <f>SUMIFS(IsQList,IsIList,Table_ExternalData_15[[#This Row],[item_key]],IsITypeList,Table_ExternalData_15[[#This Row],[IType]],IsDList,Table_ExternalData_15[[#Headers],[4]])</f>
        <v>0</v>
      </c>
      <c r="I16" s="37">
        <f>SUMIFS(IsQList,IsIList,Table_ExternalData_15[[#This Row],[item_key]],IsITypeList,Table_ExternalData_15[[#This Row],[IType]],IsDList,Table_ExternalData_15[[#Headers],[5]])</f>
        <v>0</v>
      </c>
      <c r="J16" s="37">
        <f>SUMIFS(IsQList,IsIList,Table_ExternalData_15[[#This Row],[item_key]],IsITypeList,Table_ExternalData_15[[#This Row],[IType]],IsDList,Table_ExternalData_15[[#Headers],[6]])</f>
        <v>0</v>
      </c>
      <c r="K16" s="37">
        <f>SUMIFS(IsQList,IsIList,Table_ExternalData_15[[#This Row],[item_key]],IsITypeList,Table_ExternalData_15[[#This Row],[IType]],IsDList,Table_ExternalData_15[[#Headers],[7]])</f>
        <v>0</v>
      </c>
      <c r="L16" s="37">
        <f>SUMIFS(IsQList,IsIList,Table_ExternalData_15[[#This Row],[item_key]],IsITypeList,Table_ExternalData_15[[#This Row],[IType]],IsDList,Table_ExternalData_15[[#Headers],[8]])</f>
        <v>10</v>
      </c>
      <c r="M16" s="37">
        <f>SUMIFS(IsQList,IsIList,Table_ExternalData_15[[#This Row],[item_key]],IsITypeList,Table_ExternalData_15[[#This Row],[IType]],IsDList,Table_ExternalData_15[[#Headers],[9]])</f>
        <v>0</v>
      </c>
      <c r="N16" s="37">
        <f>SUMIFS(IsQList,IsIList,Table_ExternalData_15[[#This Row],[item_key]],IsITypeList,Table_ExternalData_15[[#This Row],[IType]],IsDList,Table_ExternalData_15[[#Headers],[10]])</f>
        <v>0</v>
      </c>
      <c r="O16" s="37">
        <f>SUMIFS(IsQList,IsIList,Table_ExternalData_15[[#This Row],[item_key]],IsITypeList,Table_ExternalData_15[[#This Row],[IType]],IsDList,Table_ExternalData_15[[#Headers],[11]])</f>
        <v>0</v>
      </c>
      <c r="P16" s="37">
        <f>SUMIFS(IsQList,IsIList,Table_ExternalData_15[[#This Row],[item_key]],IsITypeList,Table_ExternalData_15[[#This Row],[IType]],IsDList,Table_ExternalData_15[[#Headers],[12]])</f>
        <v>0</v>
      </c>
      <c r="Q16" s="37">
        <f>SUMIFS(IsQList,IsIList,Table_ExternalData_15[[#This Row],[item_key]],IsITypeList,Table_ExternalData_15[[#This Row],[IType]],IsDList,Table_ExternalData_15[[#Headers],[13]])</f>
        <v>0</v>
      </c>
      <c r="R16" s="37">
        <f>SUMIFS(IsQList,IsIList,Table_ExternalData_15[[#This Row],[item_key]],IsITypeList,Table_ExternalData_15[[#This Row],[IType]],IsDList,Table_ExternalData_15[[#Headers],[14]])</f>
        <v>0</v>
      </c>
      <c r="S16" s="37">
        <f>SUMIFS(IsQList,IsIList,Table_ExternalData_15[[#This Row],[item_key]],IsITypeList,Table_ExternalData_15[[#This Row],[IType]],IsDList,Table_ExternalData_15[[#Headers],[15]])</f>
        <v>0</v>
      </c>
      <c r="T16" s="37">
        <f>SUMIFS(IsQList,IsIList,Table_ExternalData_15[[#This Row],[item_key]],IsITypeList,Table_ExternalData_15[[#This Row],[IType]],IsDList,Table_ExternalData_15[[#Headers],[16]])</f>
        <v>0</v>
      </c>
      <c r="U16" s="37">
        <f>SUMIFS(IsQList,IsIList,Table_ExternalData_15[[#This Row],[item_key]],IsITypeList,Table_ExternalData_15[[#This Row],[IType]],IsDList,Table_ExternalData_15[[#Headers],[17]])</f>
        <v>0</v>
      </c>
      <c r="V16" s="37">
        <f>SUMIFS(IsQList,IsIList,Table_ExternalData_15[[#This Row],[item_key]],IsITypeList,Table_ExternalData_15[[#This Row],[IType]],IsDList,Table_ExternalData_15[[#Headers],[18]])</f>
        <v>0</v>
      </c>
      <c r="W16" s="37">
        <f>SUMIFS(IsQList,IsIList,Table_ExternalData_15[[#This Row],[item_key]],IsITypeList,Table_ExternalData_15[[#This Row],[IType]],IsDList,Table_ExternalData_15[[#Headers],[19]])</f>
        <v>0</v>
      </c>
      <c r="X16" s="37">
        <f>SUMIFS(IsQList,IsIList,Table_ExternalData_15[[#This Row],[item_key]],IsITypeList,Table_ExternalData_15[[#This Row],[IType]],IsDList,Table_ExternalData_15[[#Headers],[20]])</f>
        <v>0</v>
      </c>
      <c r="Y16" s="37">
        <f>SUMIFS(IsQList,IsIList,Table_ExternalData_15[[#This Row],[item_key]],IsITypeList,Table_ExternalData_15[[#This Row],[IType]],IsDList,Table_ExternalData_15[[#Headers],[21]])</f>
        <v>0</v>
      </c>
      <c r="Z16" s="37">
        <f>SUMIFS(IsQList,IsIList,Table_ExternalData_15[[#This Row],[item_key]],IsITypeList,Table_ExternalData_15[[#This Row],[IType]],IsDList,Table_ExternalData_15[[#Headers],[22]])</f>
        <v>0</v>
      </c>
      <c r="AA16" s="37">
        <f>SUMIFS(IsQList,IsIList,Table_ExternalData_15[[#This Row],[item_key]],IsITypeList,Table_ExternalData_15[[#This Row],[IType]],IsDList,Table_ExternalData_15[[#Headers],[23]])</f>
        <v>0</v>
      </c>
      <c r="AB16" s="37">
        <f>SUMIFS(IsQList,IsIList,Table_ExternalData_15[[#This Row],[item_key]],IsITypeList,Table_ExternalData_15[[#This Row],[IType]],IsDList,Table_ExternalData_15[[#Headers],[24]])</f>
        <v>0</v>
      </c>
      <c r="AC16" s="37">
        <f>SUMIFS(IsQList,IsIList,Table_ExternalData_15[[#This Row],[item_key]],IsITypeList,Table_ExternalData_15[[#This Row],[IType]],IsDList,Table_ExternalData_15[[#Headers],[25]])</f>
        <v>0</v>
      </c>
      <c r="AD16" s="37">
        <f>SUMIFS(IsQList,IsIList,Table_ExternalData_15[[#This Row],[item_key]],IsITypeList,Table_ExternalData_15[[#This Row],[IType]],IsDList,Table_ExternalData_15[[#Headers],[26]])</f>
        <v>0</v>
      </c>
      <c r="AE16" s="37">
        <f>SUMIFS(IsQList,IsIList,Table_ExternalData_15[[#This Row],[item_key]],IsITypeList,Table_ExternalData_15[[#This Row],[IType]],IsDList,Table_ExternalData_15[[#Headers],[27]])</f>
        <v>0</v>
      </c>
      <c r="AF16" s="37">
        <f>SUMIFS(IsQList,IsIList,Table_ExternalData_15[[#This Row],[item_key]],IsITypeList,Table_ExternalData_15[[#This Row],[IType]],IsDList,Table_ExternalData_15[[#Headers],[28]])</f>
        <v>0</v>
      </c>
      <c r="AG16" s="37">
        <f>SUMIFS(IsQList,IsIList,Table_ExternalData_15[[#This Row],[item_key]],IsITypeList,Table_ExternalData_15[[#This Row],[IType]],IsDList,Table_ExternalData_15[[#Headers],[29]])</f>
        <v>0</v>
      </c>
      <c r="AH16" s="37">
        <f>SUMIFS(IsQList,IsIList,Table_ExternalData_15[[#This Row],[item_key]],IsITypeList,Table_ExternalData_15[[#This Row],[IType]],IsDList,Table_ExternalData_15[[#Headers],[30]])</f>
        <v>0</v>
      </c>
      <c r="AI16" s="37">
        <f>SUMIFS(IsQList,IsIList,Table_ExternalData_15[[#This Row],[item_key]],IsITypeList,Table_ExternalData_15[[#This Row],[IType]],IsDList,Table_ExternalData_15[[#Headers],[31]])</f>
        <v>0</v>
      </c>
      <c r="AJ16" s="37">
        <f>SUM(Table_ExternalData_15[[#This Row],[1]:[31]])</f>
        <v>10</v>
      </c>
    </row>
    <row r="17" spans="1:36">
      <c r="A17" s="35" t="s">
        <v>104</v>
      </c>
      <c r="B17" s="35" t="s">
        <v>114</v>
      </c>
      <c r="C17" s="35" t="s">
        <v>115</v>
      </c>
      <c r="D17" s="36" t="s">
        <v>80</v>
      </c>
      <c r="E17" s="37">
        <f>SUMIFS(IsQList,IsIList,Table_ExternalData_15[[#This Row],[item_key]],IsITypeList,Table_ExternalData_15[[#This Row],[IType]],IsDList,Table_ExternalData_15[[#Headers],[1]])</f>
        <v>85</v>
      </c>
      <c r="F17" s="37">
        <f>SUMIFS(IsQList,IsIList,Table_ExternalData_15[[#This Row],[item_key]],IsITypeList,Table_ExternalData_15[[#This Row],[IType]],IsDList,Table_ExternalData_15[[#Headers],[2]])</f>
        <v>188</v>
      </c>
      <c r="G17" s="37">
        <f>SUMIFS(IsQList,IsIList,Table_ExternalData_15[[#This Row],[item_key]],IsITypeList,Table_ExternalData_15[[#This Row],[IType]],IsDList,Table_ExternalData_15[[#Headers],[3]])</f>
        <v>85</v>
      </c>
      <c r="H17" s="37">
        <f>SUMIFS(IsQList,IsIList,Table_ExternalData_15[[#This Row],[item_key]],IsITypeList,Table_ExternalData_15[[#This Row],[IType]],IsDList,Table_ExternalData_15[[#Headers],[4]])</f>
        <v>250</v>
      </c>
      <c r="I17" s="37">
        <f>SUMIFS(IsQList,IsIList,Table_ExternalData_15[[#This Row],[item_key]],IsITypeList,Table_ExternalData_15[[#This Row],[IType]],IsDList,Table_ExternalData_15[[#Headers],[5]])</f>
        <v>100</v>
      </c>
      <c r="J17" s="37">
        <f>SUMIFS(IsQList,IsIList,Table_ExternalData_15[[#This Row],[item_key]],IsITypeList,Table_ExternalData_15[[#This Row],[IType]],IsDList,Table_ExternalData_15[[#Headers],[6]])</f>
        <v>237</v>
      </c>
      <c r="K17" s="37">
        <f>SUMIFS(IsQList,IsIList,Table_ExternalData_15[[#This Row],[item_key]],IsITypeList,Table_ExternalData_15[[#This Row],[IType]],IsDList,Table_ExternalData_15[[#Headers],[7]])</f>
        <v>209</v>
      </c>
      <c r="L17" s="37">
        <f>SUMIFS(IsQList,IsIList,Table_ExternalData_15[[#This Row],[item_key]],IsITypeList,Table_ExternalData_15[[#This Row],[IType]],IsDList,Table_ExternalData_15[[#Headers],[8]])</f>
        <v>139</v>
      </c>
      <c r="M17" s="37">
        <f>SUMIFS(IsQList,IsIList,Table_ExternalData_15[[#This Row],[item_key]],IsITypeList,Table_ExternalData_15[[#This Row],[IType]],IsDList,Table_ExternalData_15[[#Headers],[9]])</f>
        <v>317</v>
      </c>
      <c r="N17" s="37">
        <f>SUMIFS(IsQList,IsIList,Table_ExternalData_15[[#This Row],[item_key]],IsITypeList,Table_ExternalData_15[[#This Row],[IType]],IsDList,Table_ExternalData_15[[#Headers],[10]])</f>
        <v>207</v>
      </c>
      <c r="O17" s="37">
        <f>SUMIFS(IsQList,IsIList,Table_ExternalData_15[[#This Row],[item_key]],IsITypeList,Table_ExternalData_15[[#This Row],[IType]],IsDList,Table_ExternalData_15[[#Headers],[11]])</f>
        <v>150</v>
      </c>
      <c r="P17" s="37">
        <f>SUMIFS(IsQList,IsIList,Table_ExternalData_15[[#This Row],[item_key]],IsITypeList,Table_ExternalData_15[[#This Row],[IType]],IsDList,Table_ExternalData_15[[#Headers],[12]])</f>
        <v>0</v>
      </c>
      <c r="Q17" s="37">
        <f>SUMIFS(IsQList,IsIList,Table_ExternalData_15[[#This Row],[item_key]],IsITypeList,Table_ExternalData_15[[#This Row],[IType]],IsDList,Table_ExternalData_15[[#Headers],[13]])</f>
        <v>184</v>
      </c>
      <c r="R17" s="37">
        <f>SUMIFS(IsQList,IsIList,Table_ExternalData_15[[#This Row],[item_key]],IsITypeList,Table_ExternalData_15[[#This Row],[IType]],IsDList,Table_ExternalData_15[[#Headers],[14]])</f>
        <v>312</v>
      </c>
      <c r="S17" s="37">
        <f>SUMIFS(IsQList,IsIList,Table_ExternalData_15[[#This Row],[item_key]],IsITypeList,Table_ExternalData_15[[#This Row],[IType]],IsDList,Table_ExternalData_15[[#Headers],[15]])</f>
        <v>186</v>
      </c>
      <c r="T17" s="37">
        <f>SUMIFS(IsQList,IsIList,Table_ExternalData_15[[#This Row],[item_key]],IsITypeList,Table_ExternalData_15[[#This Row],[IType]],IsDList,Table_ExternalData_15[[#Headers],[16]])</f>
        <v>164</v>
      </c>
      <c r="U17" s="37">
        <f>SUMIFS(IsQList,IsIList,Table_ExternalData_15[[#This Row],[item_key]],IsITypeList,Table_ExternalData_15[[#This Row],[IType]],IsDList,Table_ExternalData_15[[#Headers],[17]])</f>
        <v>85</v>
      </c>
      <c r="V17" s="37">
        <f>SUMIFS(IsQList,IsIList,Table_ExternalData_15[[#This Row],[item_key]],IsITypeList,Table_ExternalData_15[[#This Row],[IType]],IsDList,Table_ExternalData_15[[#Headers],[18]])</f>
        <v>0</v>
      </c>
      <c r="W17" s="37">
        <f>SUMIFS(IsQList,IsIList,Table_ExternalData_15[[#This Row],[item_key]],IsITypeList,Table_ExternalData_15[[#This Row],[IType]],IsDList,Table_ExternalData_15[[#Headers],[19]])</f>
        <v>0</v>
      </c>
      <c r="X17" s="37">
        <f>SUMIFS(IsQList,IsIList,Table_ExternalData_15[[#This Row],[item_key]],IsITypeList,Table_ExternalData_15[[#This Row],[IType]],IsDList,Table_ExternalData_15[[#Headers],[20]])</f>
        <v>0</v>
      </c>
      <c r="Y17" s="37">
        <f>SUMIFS(IsQList,IsIList,Table_ExternalData_15[[#This Row],[item_key]],IsITypeList,Table_ExternalData_15[[#This Row],[IType]],IsDList,Table_ExternalData_15[[#Headers],[21]])</f>
        <v>0</v>
      </c>
      <c r="Z17" s="37">
        <f>SUMIFS(IsQList,IsIList,Table_ExternalData_15[[#This Row],[item_key]],IsITypeList,Table_ExternalData_15[[#This Row],[IType]],IsDList,Table_ExternalData_15[[#Headers],[22]])</f>
        <v>0</v>
      </c>
      <c r="AA17" s="37">
        <f>SUMIFS(IsQList,IsIList,Table_ExternalData_15[[#This Row],[item_key]],IsITypeList,Table_ExternalData_15[[#This Row],[IType]],IsDList,Table_ExternalData_15[[#Headers],[23]])</f>
        <v>0</v>
      </c>
      <c r="AB17" s="37">
        <f>SUMIFS(IsQList,IsIList,Table_ExternalData_15[[#This Row],[item_key]],IsITypeList,Table_ExternalData_15[[#This Row],[IType]],IsDList,Table_ExternalData_15[[#Headers],[24]])</f>
        <v>0</v>
      </c>
      <c r="AC17" s="37">
        <f>SUMIFS(IsQList,IsIList,Table_ExternalData_15[[#This Row],[item_key]],IsITypeList,Table_ExternalData_15[[#This Row],[IType]],IsDList,Table_ExternalData_15[[#Headers],[25]])</f>
        <v>0</v>
      </c>
      <c r="AD17" s="37">
        <f>SUMIFS(IsQList,IsIList,Table_ExternalData_15[[#This Row],[item_key]],IsITypeList,Table_ExternalData_15[[#This Row],[IType]],IsDList,Table_ExternalData_15[[#Headers],[26]])</f>
        <v>0</v>
      </c>
      <c r="AE17" s="37">
        <f>SUMIFS(IsQList,IsIList,Table_ExternalData_15[[#This Row],[item_key]],IsITypeList,Table_ExternalData_15[[#This Row],[IType]],IsDList,Table_ExternalData_15[[#Headers],[27]])</f>
        <v>334</v>
      </c>
      <c r="AF17" s="37">
        <f>SUMIFS(IsQList,IsIList,Table_ExternalData_15[[#This Row],[item_key]],IsITypeList,Table_ExternalData_15[[#This Row],[IType]],IsDList,Table_ExternalData_15[[#Headers],[28]])</f>
        <v>382</v>
      </c>
      <c r="AG17" s="37">
        <f>SUMIFS(IsQList,IsIList,Table_ExternalData_15[[#This Row],[item_key]],IsITypeList,Table_ExternalData_15[[#This Row],[IType]],IsDList,Table_ExternalData_15[[#Headers],[29]])</f>
        <v>364</v>
      </c>
      <c r="AH17" s="37">
        <f>SUMIFS(IsQList,IsIList,Table_ExternalData_15[[#This Row],[item_key]],IsITypeList,Table_ExternalData_15[[#This Row],[IType]],IsDList,Table_ExternalData_15[[#Headers],[30]])</f>
        <v>230</v>
      </c>
      <c r="AI17" s="37">
        <f>SUMIFS(IsQList,IsIList,Table_ExternalData_15[[#This Row],[item_key]],IsITypeList,Table_ExternalData_15[[#This Row],[IType]],IsDList,Table_ExternalData_15[[#Headers],[31]])</f>
        <v>727</v>
      </c>
      <c r="AJ17" s="37">
        <f>SUM(Table_ExternalData_15[[#This Row],[1]:[31]])</f>
        <v>4935</v>
      </c>
    </row>
    <row r="18" spans="1:36">
      <c r="A18" s="35" t="s">
        <v>104</v>
      </c>
      <c r="B18" s="35" t="s">
        <v>114</v>
      </c>
      <c r="C18" s="35" t="s">
        <v>115</v>
      </c>
      <c r="D18" s="36" t="s">
        <v>79</v>
      </c>
      <c r="E18" s="37">
        <f>SUMIFS(IsQList,IsIList,Table_ExternalData_15[[#This Row],[item_key]],IsITypeList,Table_ExternalData_15[[#This Row],[IType]],IsDList,Table_ExternalData_15[[#Headers],[1]])</f>
        <v>1</v>
      </c>
      <c r="F18" s="37">
        <f>SUMIFS(IsQList,IsIList,Table_ExternalData_15[[#This Row],[item_key]],IsITypeList,Table_ExternalData_15[[#This Row],[IType]],IsDList,Table_ExternalData_15[[#Headers],[2]])</f>
        <v>3</v>
      </c>
      <c r="G18" s="37">
        <f>SUMIFS(IsQList,IsIList,Table_ExternalData_15[[#This Row],[item_key]],IsITypeList,Table_ExternalData_15[[#This Row],[IType]],IsDList,Table_ExternalData_15[[#Headers],[3]])</f>
        <v>0</v>
      </c>
      <c r="H18" s="37">
        <f>SUMIFS(IsQList,IsIList,Table_ExternalData_15[[#This Row],[item_key]],IsITypeList,Table_ExternalData_15[[#This Row],[IType]],IsDList,Table_ExternalData_15[[#Headers],[4]])</f>
        <v>0</v>
      </c>
      <c r="I18" s="37">
        <f>SUMIFS(IsQList,IsIList,Table_ExternalData_15[[#This Row],[item_key]],IsITypeList,Table_ExternalData_15[[#This Row],[IType]],IsDList,Table_ExternalData_15[[#Headers],[5]])</f>
        <v>0</v>
      </c>
      <c r="J18" s="37">
        <f>SUMIFS(IsQList,IsIList,Table_ExternalData_15[[#This Row],[item_key]],IsITypeList,Table_ExternalData_15[[#This Row],[IType]],IsDList,Table_ExternalData_15[[#Headers],[6]])</f>
        <v>0</v>
      </c>
      <c r="K18" s="37">
        <f>SUMIFS(IsQList,IsIList,Table_ExternalData_15[[#This Row],[item_key]],IsITypeList,Table_ExternalData_15[[#This Row],[IType]],IsDList,Table_ExternalData_15[[#Headers],[7]])</f>
        <v>0</v>
      </c>
      <c r="L18" s="37">
        <f>SUMIFS(IsQList,IsIList,Table_ExternalData_15[[#This Row],[item_key]],IsITypeList,Table_ExternalData_15[[#This Row],[IType]],IsDList,Table_ExternalData_15[[#Headers],[8]])</f>
        <v>8</v>
      </c>
      <c r="M18" s="37">
        <f>SUMIFS(IsQList,IsIList,Table_ExternalData_15[[#This Row],[item_key]],IsITypeList,Table_ExternalData_15[[#This Row],[IType]],IsDList,Table_ExternalData_15[[#Headers],[9]])</f>
        <v>0</v>
      </c>
      <c r="N18" s="37">
        <f>SUMIFS(IsQList,IsIList,Table_ExternalData_15[[#This Row],[item_key]],IsITypeList,Table_ExternalData_15[[#This Row],[IType]],IsDList,Table_ExternalData_15[[#Headers],[10]])</f>
        <v>0</v>
      </c>
      <c r="O18" s="37">
        <f>SUMIFS(IsQList,IsIList,Table_ExternalData_15[[#This Row],[item_key]],IsITypeList,Table_ExternalData_15[[#This Row],[IType]],IsDList,Table_ExternalData_15[[#Headers],[11]])</f>
        <v>0</v>
      </c>
      <c r="P18" s="37">
        <f>SUMIFS(IsQList,IsIList,Table_ExternalData_15[[#This Row],[item_key]],IsITypeList,Table_ExternalData_15[[#This Row],[IType]],IsDList,Table_ExternalData_15[[#Headers],[12]])</f>
        <v>0</v>
      </c>
      <c r="Q18" s="37">
        <f>SUMIFS(IsQList,IsIList,Table_ExternalData_15[[#This Row],[item_key]],IsITypeList,Table_ExternalData_15[[#This Row],[IType]],IsDList,Table_ExternalData_15[[#Headers],[13]])</f>
        <v>0</v>
      </c>
      <c r="R18" s="37">
        <f>SUMIFS(IsQList,IsIList,Table_ExternalData_15[[#This Row],[item_key]],IsITypeList,Table_ExternalData_15[[#This Row],[IType]],IsDList,Table_ExternalData_15[[#Headers],[14]])</f>
        <v>0</v>
      </c>
      <c r="S18" s="37">
        <f>SUMIFS(IsQList,IsIList,Table_ExternalData_15[[#This Row],[item_key]],IsITypeList,Table_ExternalData_15[[#This Row],[IType]],IsDList,Table_ExternalData_15[[#Headers],[15]])</f>
        <v>0</v>
      </c>
      <c r="T18" s="37">
        <f>SUMIFS(IsQList,IsIList,Table_ExternalData_15[[#This Row],[item_key]],IsITypeList,Table_ExternalData_15[[#This Row],[IType]],IsDList,Table_ExternalData_15[[#Headers],[16]])</f>
        <v>0</v>
      </c>
      <c r="U18" s="37">
        <f>SUMIFS(IsQList,IsIList,Table_ExternalData_15[[#This Row],[item_key]],IsITypeList,Table_ExternalData_15[[#This Row],[IType]],IsDList,Table_ExternalData_15[[#Headers],[17]])</f>
        <v>0</v>
      </c>
      <c r="V18" s="37">
        <f>SUMIFS(IsQList,IsIList,Table_ExternalData_15[[#This Row],[item_key]],IsITypeList,Table_ExternalData_15[[#This Row],[IType]],IsDList,Table_ExternalData_15[[#Headers],[18]])</f>
        <v>0</v>
      </c>
      <c r="W18" s="37">
        <f>SUMIFS(IsQList,IsIList,Table_ExternalData_15[[#This Row],[item_key]],IsITypeList,Table_ExternalData_15[[#This Row],[IType]],IsDList,Table_ExternalData_15[[#Headers],[19]])</f>
        <v>0</v>
      </c>
      <c r="X18" s="37">
        <f>SUMIFS(IsQList,IsIList,Table_ExternalData_15[[#This Row],[item_key]],IsITypeList,Table_ExternalData_15[[#This Row],[IType]],IsDList,Table_ExternalData_15[[#Headers],[20]])</f>
        <v>0</v>
      </c>
      <c r="Y18" s="37">
        <f>SUMIFS(IsQList,IsIList,Table_ExternalData_15[[#This Row],[item_key]],IsITypeList,Table_ExternalData_15[[#This Row],[IType]],IsDList,Table_ExternalData_15[[#Headers],[21]])</f>
        <v>0</v>
      </c>
      <c r="Z18" s="37">
        <f>SUMIFS(IsQList,IsIList,Table_ExternalData_15[[#This Row],[item_key]],IsITypeList,Table_ExternalData_15[[#This Row],[IType]],IsDList,Table_ExternalData_15[[#Headers],[22]])</f>
        <v>0</v>
      </c>
      <c r="AA18" s="37">
        <f>SUMIFS(IsQList,IsIList,Table_ExternalData_15[[#This Row],[item_key]],IsITypeList,Table_ExternalData_15[[#This Row],[IType]],IsDList,Table_ExternalData_15[[#Headers],[23]])</f>
        <v>0</v>
      </c>
      <c r="AB18" s="37">
        <f>SUMIFS(IsQList,IsIList,Table_ExternalData_15[[#This Row],[item_key]],IsITypeList,Table_ExternalData_15[[#This Row],[IType]],IsDList,Table_ExternalData_15[[#Headers],[24]])</f>
        <v>0</v>
      </c>
      <c r="AC18" s="37">
        <f>SUMIFS(IsQList,IsIList,Table_ExternalData_15[[#This Row],[item_key]],IsITypeList,Table_ExternalData_15[[#This Row],[IType]],IsDList,Table_ExternalData_15[[#Headers],[25]])</f>
        <v>0</v>
      </c>
      <c r="AD18" s="37">
        <f>SUMIFS(IsQList,IsIList,Table_ExternalData_15[[#This Row],[item_key]],IsITypeList,Table_ExternalData_15[[#This Row],[IType]],IsDList,Table_ExternalData_15[[#Headers],[26]])</f>
        <v>0</v>
      </c>
      <c r="AE18" s="37">
        <f>SUMIFS(IsQList,IsIList,Table_ExternalData_15[[#This Row],[item_key]],IsITypeList,Table_ExternalData_15[[#This Row],[IType]],IsDList,Table_ExternalData_15[[#Headers],[27]])</f>
        <v>0</v>
      </c>
      <c r="AF18" s="37">
        <f>SUMIFS(IsQList,IsIList,Table_ExternalData_15[[#This Row],[item_key]],IsITypeList,Table_ExternalData_15[[#This Row],[IType]],IsDList,Table_ExternalData_15[[#Headers],[28]])</f>
        <v>0</v>
      </c>
      <c r="AG18" s="37">
        <f>SUMIFS(IsQList,IsIList,Table_ExternalData_15[[#This Row],[item_key]],IsITypeList,Table_ExternalData_15[[#This Row],[IType]],IsDList,Table_ExternalData_15[[#Headers],[29]])</f>
        <v>0</v>
      </c>
      <c r="AH18" s="37">
        <f>SUMIFS(IsQList,IsIList,Table_ExternalData_15[[#This Row],[item_key]],IsITypeList,Table_ExternalData_15[[#This Row],[IType]],IsDList,Table_ExternalData_15[[#Headers],[30]])</f>
        <v>39</v>
      </c>
      <c r="AI18" s="37">
        <f>SUMIFS(IsQList,IsIList,Table_ExternalData_15[[#This Row],[item_key]],IsITypeList,Table_ExternalData_15[[#This Row],[IType]],IsDList,Table_ExternalData_15[[#Headers],[31]])</f>
        <v>0</v>
      </c>
      <c r="AJ18" s="37">
        <f>SUM(Table_ExternalData_15[[#This Row],[1]:[31]])</f>
        <v>51</v>
      </c>
    </row>
    <row r="19" spans="1:36">
      <c r="A19" s="35" t="s">
        <v>82</v>
      </c>
      <c r="B19" s="35" t="s">
        <v>85</v>
      </c>
      <c r="C19" s="35" t="s">
        <v>86</v>
      </c>
      <c r="D19" s="36" t="s">
        <v>80</v>
      </c>
      <c r="E19" s="37">
        <f>SUMIFS(IsQList,IsIList,Table_ExternalData_15[[#This Row],[item_key]],IsITypeList,Table_ExternalData_15[[#This Row],[IType]],IsDList,Table_ExternalData_15[[#Headers],[1]])</f>
        <v>85</v>
      </c>
      <c r="F19" s="37">
        <f>SUMIFS(IsQList,IsIList,Table_ExternalData_15[[#This Row],[item_key]],IsITypeList,Table_ExternalData_15[[#This Row],[IType]],IsDList,Table_ExternalData_15[[#Headers],[2]])</f>
        <v>188</v>
      </c>
      <c r="G19" s="37">
        <f>SUMIFS(IsQList,IsIList,Table_ExternalData_15[[#This Row],[item_key]],IsITypeList,Table_ExternalData_15[[#This Row],[IType]],IsDList,Table_ExternalData_15[[#Headers],[3]])</f>
        <v>85</v>
      </c>
      <c r="H19" s="37">
        <f>SUMIFS(IsQList,IsIList,Table_ExternalData_15[[#This Row],[item_key]],IsITypeList,Table_ExternalData_15[[#This Row],[IType]],IsDList,Table_ExternalData_15[[#Headers],[4]])</f>
        <v>250</v>
      </c>
      <c r="I19" s="37">
        <f>SUMIFS(IsQList,IsIList,Table_ExternalData_15[[#This Row],[item_key]],IsITypeList,Table_ExternalData_15[[#This Row],[IType]],IsDList,Table_ExternalData_15[[#Headers],[5]])</f>
        <v>100</v>
      </c>
      <c r="J19" s="37">
        <f>SUMIFS(IsQList,IsIList,Table_ExternalData_15[[#This Row],[item_key]],IsITypeList,Table_ExternalData_15[[#This Row],[IType]],IsDList,Table_ExternalData_15[[#Headers],[6]])</f>
        <v>237</v>
      </c>
      <c r="K19" s="37">
        <f>SUMIFS(IsQList,IsIList,Table_ExternalData_15[[#This Row],[item_key]],IsITypeList,Table_ExternalData_15[[#This Row],[IType]],IsDList,Table_ExternalData_15[[#Headers],[7]])</f>
        <v>209</v>
      </c>
      <c r="L19" s="37">
        <f>SUMIFS(IsQList,IsIList,Table_ExternalData_15[[#This Row],[item_key]],IsITypeList,Table_ExternalData_15[[#This Row],[IType]],IsDList,Table_ExternalData_15[[#Headers],[8]])</f>
        <v>139</v>
      </c>
      <c r="M19" s="37">
        <f>SUMIFS(IsQList,IsIList,Table_ExternalData_15[[#This Row],[item_key]],IsITypeList,Table_ExternalData_15[[#This Row],[IType]],IsDList,Table_ExternalData_15[[#Headers],[9]])</f>
        <v>317</v>
      </c>
      <c r="N19" s="37">
        <f>SUMIFS(IsQList,IsIList,Table_ExternalData_15[[#This Row],[item_key]],IsITypeList,Table_ExternalData_15[[#This Row],[IType]],IsDList,Table_ExternalData_15[[#Headers],[10]])</f>
        <v>207</v>
      </c>
      <c r="O19" s="37">
        <f>SUMIFS(IsQList,IsIList,Table_ExternalData_15[[#This Row],[item_key]],IsITypeList,Table_ExternalData_15[[#This Row],[IType]],IsDList,Table_ExternalData_15[[#Headers],[11]])</f>
        <v>150</v>
      </c>
      <c r="P19" s="37">
        <f>SUMIFS(IsQList,IsIList,Table_ExternalData_15[[#This Row],[item_key]],IsITypeList,Table_ExternalData_15[[#This Row],[IType]],IsDList,Table_ExternalData_15[[#Headers],[12]])</f>
        <v>0</v>
      </c>
      <c r="Q19" s="37">
        <f>SUMIFS(IsQList,IsIList,Table_ExternalData_15[[#This Row],[item_key]],IsITypeList,Table_ExternalData_15[[#This Row],[IType]],IsDList,Table_ExternalData_15[[#Headers],[13]])</f>
        <v>184</v>
      </c>
      <c r="R19" s="37">
        <f>SUMIFS(IsQList,IsIList,Table_ExternalData_15[[#This Row],[item_key]],IsITypeList,Table_ExternalData_15[[#This Row],[IType]],IsDList,Table_ExternalData_15[[#Headers],[14]])</f>
        <v>312</v>
      </c>
      <c r="S19" s="37">
        <f>SUMIFS(IsQList,IsIList,Table_ExternalData_15[[#This Row],[item_key]],IsITypeList,Table_ExternalData_15[[#This Row],[IType]],IsDList,Table_ExternalData_15[[#Headers],[15]])</f>
        <v>186</v>
      </c>
      <c r="T19" s="37">
        <f>SUMIFS(IsQList,IsIList,Table_ExternalData_15[[#This Row],[item_key]],IsITypeList,Table_ExternalData_15[[#This Row],[IType]],IsDList,Table_ExternalData_15[[#Headers],[16]])</f>
        <v>164</v>
      </c>
      <c r="U19" s="37">
        <f>SUMIFS(IsQList,IsIList,Table_ExternalData_15[[#This Row],[item_key]],IsITypeList,Table_ExternalData_15[[#This Row],[IType]],IsDList,Table_ExternalData_15[[#Headers],[17]])</f>
        <v>85</v>
      </c>
      <c r="V19" s="37">
        <f>SUMIFS(IsQList,IsIList,Table_ExternalData_15[[#This Row],[item_key]],IsITypeList,Table_ExternalData_15[[#This Row],[IType]],IsDList,Table_ExternalData_15[[#Headers],[18]])</f>
        <v>0</v>
      </c>
      <c r="W19" s="37">
        <f>SUMIFS(IsQList,IsIList,Table_ExternalData_15[[#This Row],[item_key]],IsITypeList,Table_ExternalData_15[[#This Row],[IType]],IsDList,Table_ExternalData_15[[#Headers],[19]])</f>
        <v>0</v>
      </c>
      <c r="X19" s="37">
        <f>SUMIFS(IsQList,IsIList,Table_ExternalData_15[[#This Row],[item_key]],IsITypeList,Table_ExternalData_15[[#This Row],[IType]],IsDList,Table_ExternalData_15[[#Headers],[20]])</f>
        <v>0</v>
      </c>
      <c r="Y19" s="37">
        <f>SUMIFS(IsQList,IsIList,Table_ExternalData_15[[#This Row],[item_key]],IsITypeList,Table_ExternalData_15[[#This Row],[IType]],IsDList,Table_ExternalData_15[[#Headers],[21]])</f>
        <v>0</v>
      </c>
      <c r="Z19" s="37">
        <f>SUMIFS(IsQList,IsIList,Table_ExternalData_15[[#This Row],[item_key]],IsITypeList,Table_ExternalData_15[[#This Row],[IType]],IsDList,Table_ExternalData_15[[#Headers],[22]])</f>
        <v>0</v>
      </c>
      <c r="AA19" s="37">
        <f>SUMIFS(IsQList,IsIList,Table_ExternalData_15[[#This Row],[item_key]],IsITypeList,Table_ExternalData_15[[#This Row],[IType]],IsDList,Table_ExternalData_15[[#Headers],[23]])</f>
        <v>0</v>
      </c>
      <c r="AB19" s="37">
        <f>SUMIFS(IsQList,IsIList,Table_ExternalData_15[[#This Row],[item_key]],IsITypeList,Table_ExternalData_15[[#This Row],[IType]],IsDList,Table_ExternalData_15[[#Headers],[24]])</f>
        <v>0</v>
      </c>
      <c r="AC19" s="37">
        <f>SUMIFS(IsQList,IsIList,Table_ExternalData_15[[#This Row],[item_key]],IsITypeList,Table_ExternalData_15[[#This Row],[IType]],IsDList,Table_ExternalData_15[[#Headers],[25]])</f>
        <v>0</v>
      </c>
      <c r="AD19" s="37">
        <f>SUMIFS(IsQList,IsIList,Table_ExternalData_15[[#This Row],[item_key]],IsITypeList,Table_ExternalData_15[[#This Row],[IType]],IsDList,Table_ExternalData_15[[#Headers],[26]])</f>
        <v>0</v>
      </c>
      <c r="AE19" s="37">
        <f>SUMIFS(IsQList,IsIList,Table_ExternalData_15[[#This Row],[item_key]],IsITypeList,Table_ExternalData_15[[#This Row],[IType]],IsDList,Table_ExternalData_15[[#Headers],[27]])</f>
        <v>334</v>
      </c>
      <c r="AF19" s="37">
        <f>SUMIFS(IsQList,IsIList,Table_ExternalData_15[[#This Row],[item_key]],IsITypeList,Table_ExternalData_15[[#This Row],[IType]],IsDList,Table_ExternalData_15[[#Headers],[28]])</f>
        <v>382</v>
      </c>
      <c r="AG19" s="37">
        <f>SUMIFS(IsQList,IsIList,Table_ExternalData_15[[#This Row],[item_key]],IsITypeList,Table_ExternalData_15[[#This Row],[IType]],IsDList,Table_ExternalData_15[[#Headers],[29]])</f>
        <v>364</v>
      </c>
      <c r="AH19" s="37">
        <f>SUMIFS(IsQList,IsIList,Table_ExternalData_15[[#This Row],[item_key]],IsITypeList,Table_ExternalData_15[[#This Row],[IType]],IsDList,Table_ExternalData_15[[#Headers],[30]])</f>
        <v>230</v>
      </c>
      <c r="AI19" s="37">
        <f>SUMIFS(IsQList,IsIList,Table_ExternalData_15[[#This Row],[item_key]],IsITypeList,Table_ExternalData_15[[#This Row],[IType]],IsDList,Table_ExternalData_15[[#Headers],[31]])</f>
        <v>727</v>
      </c>
      <c r="AJ19" s="37">
        <f>SUM(Table_ExternalData_15[[#This Row],[1]:[31]])</f>
        <v>4935</v>
      </c>
    </row>
  </sheetData>
  <mergeCells count="2">
    <mergeCell ref="A1:B1"/>
    <mergeCell ref="E1:I1"/>
  </mergeCells>
  <conditionalFormatting sqref="D5:D19">
    <cfRule type="cellIs" dxfId="107" priority="1" operator="equal">
      <formula>"VST"</formula>
    </cfRule>
    <cfRule type="cellIs" dxfId="106" priority="2" operator="equal">
      <formula>"RTN"</formula>
    </cfRule>
    <cfRule type="cellIs" dxfId="105" priority="3" operator="equal">
      <formula>"S/I"</formula>
    </cfRule>
    <cfRule type="cellIs" dxfId="104" priority="4" operator="equal">
      <formula>"I/S"</formula>
    </cfRule>
    <cfRule type="cellIs" dxfId="103" priority="5" operator="equal">
      <formula>"CST"</formula>
    </cfRule>
    <cfRule type="cellIs" dxfId="102" priority="7" operator="equal">
      <formula>"RTN"</formula>
    </cfRule>
    <cfRule type="cellIs" dxfId="101" priority="8" operator="equal">
      <formula>"R/P"</formula>
    </cfRule>
  </conditionalFormatting>
  <conditionalFormatting sqref="D4:D19">
    <cfRule type="cellIs" dxfId="100" priority="6" operator="equal">
      <formula>"RTN"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Q12"/>
  <sheetViews>
    <sheetView tabSelected="1" workbookViewId="0">
      <pane xSplit="17" ySplit="4" topLeftCell="R5" activePane="bottomRight" state="frozen"/>
      <selection pane="topRight" activeCell="P1" sqref="P1"/>
      <selection pane="bottomLeft" activeCell="A5" sqref="A5"/>
      <selection pane="bottomRight" activeCell="D19" sqref="D19"/>
    </sheetView>
  </sheetViews>
  <sheetFormatPr defaultRowHeight="12" outlineLevelCol="1"/>
  <cols>
    <col min="1" max="1" width="12.28515625" style="1" bestFit="1" customWidth="1"/>
    <col min="2" max="2" width="20.7109375" style="1" customWidth="1"/>
    <col min="3" max="3" width="32.140625" style="1" customWidth="1"/>
    <col min="4" max="4" width="11.5703125" style="1" bestFit="1" customWidth="1"/>
    <col min="5" max="5" width="7.5703125" style="1" hidden="1" customWidth="1" outlineLevel="1"/>
    <col min="6" max="6" width="8.140625" style="1" hidden="1" customWidth="1" outlineLevel="1"/>
    <col min="7" max="8" width="5.7109375" style="1" hidden="1" customWidth="1" outlineLevel="1"/>
    <col min="9" max="9" width="7.140625" style="1" hidden="1" customWidth="1" outlineLevel="1"/>
    <col min="10" max="10" width="16.28515625" style="1" bestFit="1" customWidth="1" collapsed="1"/>
    <col min="11" max="11" width="6.85546875" style="1" customWidth="1" outlineLevel="1"/>
    <col min="12" max="12" width="6.7109375" style="1" customWidth="1" outlineLevel="1"/>
    <col min="13" max="13" width="6" style="1" customWidth="1" outlineLevel="1"/>
    <col min="14" max="14" width="6.85546875" style="1" customWidth="1" outlineLevel="1"/>
    <col min="15" max="15" width="7.28515625" style="1" customWidth="1" outlineLevel="1"/>
    <col min="16" max="16" width="13.5703125" style="1" bestFit="1" customWidth="1"/>
    <col min="17" max="17" width="18.42578125" style="1" bestFit="1" customWidth="1"/>
    <col min="18" max="16384" width="9.140625" style="1"/>
  </cols>
  <sheetData>
    <row r="1" spans="1:17" s="23" customFormat="1" ht="22.5">
      <c r="A1" s="55">
        <v>8</v>
      </c>
      <c r="B1" s="26">
        <v>2012</v>
      </c>
      <c r="C1" s="29" t="s">
        <v>99</v>
      </c>
      <c r="D1" s="28"/>
      <c r="E1" s="28"/>
      <c r="J1" s="28"/>
    </row>
    <row r="2" spans="1:17" s="24" customFormat="1" ht="25.5" customHeight="1" thickBot="1">
      <c r="A2" s="27" t="s">
        <v>98</v>
      </c>
      <c r="B2" s="25">
        <v>2012</v>
      </c>
      <c r="M2" s="30"/>
    </row>
    <row r="4" spans="1:17" s="22" customFormat="1" ht="15.75">
      <c r="A4" s="22" t="s">
        <v>2</v>
      </c>
      <c r="B4" s="22" t="s">
        <v>12</v>
      </c>
      <c r="C4" s="22" t="s">
        <v>13</v>
      </c>
      <c r="D4" s="22" t="s">
        <v>92</v>
      </c>
      <c r="E4" s="22" t="s">
        <v>25</v>
      </c>
      <c r="F4" s="22" t="s">
        <v>88</v>
      </c>
      <c r="G4" s="22" t="s">
        <v>90</v>
      </c>
      <c r="H4" s="22" t="s">
        <v>71</v>
      </c>
      <c r="I4" s="22" t="s">
        <v>26</v>
      </c>
      <c r="J4" s="22" t="s">
        <v>93</v>
      </c>
      <c r="K4" s="22" t="s">
        <v>80</v>
      </c>
      <c r="L4" s="22" t="s">
        <v>77</v>
      </c>
      <c r="M4" s="22" t="s">
        <v>83</v>
      </c>
      <c r="N4" s="22" t="s">
        <v>78</v>
      </c>
      <c r="O4" s="22" t="s">
        <v>79</v>
      </c>
      <c r="P4" s="22" t="s">
        <v>94</v>
      </c>
      <c r="Q4" s="22" t="s">
        <v>91</v>
      </c>
    </row>
    <row r="5" spans="1:17">
      <c r="A5" s="1" t="s">
        <v>8</v>
      </c>
      <c r="B5" s="1" t="s">
        <v>14</v>
      </c>
      <c r="C5" s="1" t="s">
        <v>15</v>
      </c>
      <c r="D5" s="10">
        <f>SUMIFS(OPBQList,OPBIList,Table_ExternalData_17[[#This Row],[item_key]])+SUMIFS(GQList,GIList,Table_ExternalData_17[[#This Row],[item_key]],GDList,0)-ABS(SUMIFS(IsQList,IsIList,Table_ExternalData_17[[#This Row],[item_key]],IsDList,0))</f>
        <v>3330</v>
      </c>
      <c r="E5" s="10">
        <f>SUMIFS(GQList,GIList,Table_ExternalData_17[[#This Row],[item_key]],GTList,Table_ExternalData_17[[#Headers],[GRN]],GDList,"&lt;&gt;"&amp;0)</f>
        <v>529</v>
      </c>
      <c r="F5" s="10">
        <f>SUMIFS(GQList,GIList,Table_ExternalData_17[[#This Row],[item_key]],GTList,Table_ExternalData_17[[#Headers],[VSTR]],GDList,"&lt;&gt;"&amp;0)</f>
        <v>0</v>
      </c>
      <c r="G5" s="10">
        <f>SUMIFS(GQList,GIList,Table_ExternalData_17[[#This Row],[item_key]],GTList,Table_ExternalData_17[[#Headers],[SR]],GDList,"&lt;&gt;"&amp;0)</f>
        <v>0</v>
      </c>
      <c r="H5" s="10">
        <f>SUMIFS(GQList,GIList,Table_ExternalData_17[[#This Row],[item_key]],GTList,Table_ExternalData_17[[#Headers],[TR]],GDList,"&lt;&gt;"&amp;0)</f>
        <v>0</v>
      </c>
      <c r="I5" s="10">
        <f>SUMIFS(GQList,GIList,Table_ExternalData_17[[#This Row],[item_key]],GTList,Table_ExternalData_17[[#Headers],[RCA]],GDList,"&lt;&gt;"&amp;0)</f>
        <v>0</v>
      </c>
      <c r="J5" s="10">
        <f>SUM(Table_ExternalData_17[[#This Row],[GRN]]+Table_ExternalData_17[[#This Row],[VSTR]]+Table_ExternalData_17[[#This Row],[SR]]+Table_ExternalData_17[[#This Row],[TR]]+Table_ExternalData_17[[#This Row],[RCA]])</f>
        <v>529</v>
      </c>
      <c r="K5" s="10">
        <f>SUMIFS(IsQList,IsIList,Table_ExternalData_17[[#This Row],[item_key]],IsITypeList,Table_ExternalData_17[[#Headers],[R/P]],IsDList,"&lt;&gt;"&amp;0)</f>
        <v>0</v>
      </c>
      <c r="L5" s="10">
        <f>SUMIFS(IsQList,IsIList,Table_ExternalData_15[[#This Row],[item_key]],IsITypeList,Table_ExternalData_17[[#Headers],[CST]],IsDList,"&lt;&gt;"&amp;0)</f>
        <v>0</v>
      </c>
      <c r="M5" s="10">
        <f>SUMIFS(IsQList,IsIList,Table_ExternalData_15[[#This Row],[item_key]],IsITypeList,Table_ExternalData_17[[#Headers],[S/I]],IsDList,"&lt;&gt;"&amp;0)</f>
        <v>0</v>
      </c>
      <c r="N5" s="10">
        <f>SUMIFS(IsQList,IsIList,Table_ExternalData_15[[#This Row],[item_key]],IsITypeList,Table_ExternalData_17[[#Headers],[VST]],IsDList,"&lt;&gt;"&amp;0)</f>
        <v>0</v>
      </c>
      <c r="O5" s="10">
        <f>ABS(SUMIFS(IsQList,IsIList,Table_ExternalData_17[[#This Row],[item_key]],IsITypeList,Table_ExternalData_17[[#Headers],[RTN]],IsDList,"&lt;&gt;"&amp;0))</f>
        <v>6</v>
      </c>
      <c r="P5" s="10">
        <f>SUM(Table_ExternalData_17[[#This Row],[R/P]:[RTN]])</f>
        <v>6</v>
      </c>
      <c r="Q5" s="10">
        <f>SUM((Table_ExternalData_17[[#This Row],[Opening]]+Table_ExternalData_17[[#This Row],[Total Receipt]])-ABS(Table_ExternalData_17[[#This Row],[Total Issue]]))</f>
        <v>3853</v>
      </c>
    </row>
    <row r="6" spans="1:17">
      <c r="A6" s="1" t="s">
        <v>81</v>
      </c>
      <c r="B6" s="1" t="s">
        <v>84</v>
      </c>
      <c r="C6" s="1" t="s">
        <v>16</v>
      </c>
      <c r="D6" s="10">
        <f>SUMIFS(OPBQList,OPBIList,Table_ExternalData_17[[#This Row],[item_key]])+SUMIFS(GQList,GIList,Table_ExternalData_17[[#This Row],[item_key]],GDList,0)-ABS(SUMIFS(IsQList,IsIList,Table_ExternalData_17[[#This Row],[item_key]],IsDList,0))</f>
        <v>26422</v>
      </c>
      <c r="E6" s="10">
        <f>SUMIFS(GQList,GIList,Table_ExternalData_17[[#This Row],[item_key]],GTList,Table_ExternalData_17[[#Headers],[GRN]],GDList,"&lt;&gt;"&amp;0)</f>
        <v>0</v>
      </c>
      <c r="F6" s="10">
        <f>SUMIFS(GQList,GIList,Table_ExternalData_17[[#This Row],[item_key]],GTList,Table_ExternalData_17[[#Headers],[VSTR]],GDList,"&lt;&gt;"&amp;0)</f>
        <v>0</v>
      </c>
      <c r="G6" s="10">
        <f>SUMIFS(GQList,GIList,Table_ExternalData_17[[#This Row],[item_key]],GTList,Table_ExternalData_17[[#Headers],[SR]],GDList,"&lt;&gt;"&amp;0)</f>
        <v>0</v>
      </c>
      <c r="H6" s="10">
        <f>SUMIFS(GQList,GIList,Table_ExternalData_17[[#This Row],[item_key]],GTList,Table_ExternalData_17[[#Headers],[TR]],GDList,"&lt;&gt;"&amp;0)</f>
        <v>0</v>
      </c>
      <c r="I6" s="10">
        <f>SUMIFS(GQList,GIList,Table_ExternalData_17[[#This Row],[item_key]],GTList,Table_ExternalData_17[[#Headers],[RCA]],GDList,"&lt;&gt;"&amp;0)</f>
        <v>0</v>
      </c>
      <c r="J6" s="10">
        <f>SUM(Table_ExternalData_17[[#This Row],[GRN]]+Table_ExternalData_17[[#This Row],[VSTR]]+Table_ExternalData_17[[#This Row],[SR]]+Table_ExternalData_17[[#This Row],[TR]]+Table_ExternalData_17[[#This Row],[RCA]])</f>
        <v>0</v>
      </c>
      <c r="K6" s="10">
        <f>SUMIFS(IsQList,IsIList,Table_ExternalData_17[[#This Row],[item_key]],IsITypeList,Table_ExternalData_17[[#Headers],[R/P]],IsDList,"&lt;&gt;"&amp;0)</f>
        <v>1448</v>
      </c>
      <c r="L6" s="10">
        <f>SUMIFS(IsQList,IsIList,Table_ExternalData_15[[#This Row],[item_key]],IsITypeList,Table_ExternalData_17[[#Headers],[CST]],IsDList,"&lt;&gt;"&amp;0)</f>
        <v>0</v>
      </c>
      <c r="M6" s="10">
        <f>SUMIFS(IsQList,IsIList,Table_ExternalData_15[[#This Row],[item_key]],IsITypeList,Table_ExternalData_17[[#Headers],[S/I]],IsDList,"&lt;&gt;"&amp;0)</f>
        <v>0</v>
      </c>
      <c r="N6" s="10">
        <f>SUMIFS(IsQList,IsIList,Table_ExternalData_15[[#This Row],[item_key]],IsITypeList,Table_ExternalData_17[[#Headers],[VST]],IsDList,"&lt;&gt;"&amp;0)</f>
        <v>0</v>
      </c>
      <c r="O6" s="10">
        <f>ABS(SUMIFS(IsQList,IsIList,Table_ExternalData_17[[#This Row],[item_key]],IsITypeList,Table_ExternalData_17[[#Headers],[RTN]],IsDList,"&lt;&gt;"&amp;0))</f>
        <v>0</v>
      </c>
      <c r="P6" s="10">
        <f>SUM(Table_ExternalData_17[[#This Row],[R/P]:[RTN]])</f>
        <v>1448</v>
      </c>
      <c r="Q6" s="10">
        <f>SUM((Table_ExternalData_17[[#This Row],[Opening]]+Table_ExternalData_17[[#This Row],[Total Receipt]])-ABS(Table_ExternalData_17[[#This Row],[Total Issue]]))</f>
        <v>24974</v>
      </c>
    </row>
    <row r="7" spans="1:17">
      <c r="A7" s="35" t="s">
        <v>102</v>
      </c>
      <c r="B7" s="35" t="s">
        <v>110</v>
      </c>
      <c r="C7" s="35" t="s">
        <v>111</v>
      </c>
      <c r="D7" s="37">
        <f>SUMIFS(OPBQList,OPBIList,Table_ExternalData_17[[#This Row],[item_key]])+SUMIFS(GQList,GIList,Table_ExternalData_17[[#This Row],[item_key]],GDList,0)-ABS(SUMIFS(IsQList,IsIList,Table_ExternalData_17[[#This Row],[item_key]],IsDList,0))</f>
        <v>9845</v>
      </c>
      <c r="E7" s="37">
        <f>SUMIFS(GQList,GIList,Table_ExternalData_17[[#This Row],[item_key]],GTList,Table_ExternalData_17[[#Headers],[GRN]],GDList,"&lt;&gt;"&amp;0)</f>
        <v>6065</v>
      </c>
      <c r="F7" s="37">
        <f>SUMIFS(GQList,GIList,Table_ExternalData_17[[#This Row],[item_key]],GTList,Table_ExternalData_17[[#Headers],[VSTR]],GDList,"&lt;&gt;"&amp;0)</f>
        <v>0</v>
      </c>
      <c r="G7" s="37">
        <f>SUMIFS(GQList,GIList,Table_ExternalData_17[[#This Row],[item_key]],GTList,Table_ExternalData_17[[#Headers],[SR]],GDList,"&lt;&gt;"&amp;0)</f>
        <v>0</v>
      </c>
      <c r="H7" s="37">
        <f>SUMIFS(GQList,GIList,Table_ExternalData_17[[#This Row],[item_key]],GTList,Table_ExternalData_17[[#Headers],[TR]],GDList,"&lt;&gt;"&amp;0)</f>
        <v>0</v>
      </c>
      <c r="I7" s="37">
        <f>SUMIFS(GQList,GIList,Table_ExternalData_17[[#This Row],[item_key]],GTList,Table_ExternalData_17[[#Headers],[RCA]],GDList,"&lt;&gt;"&amp;0)</f>
        <v>0</v>
      </c>
      <c r="J7" s="37">
        <f>SUM(Table_ExternalData_17[[#This Row],[GRN]]+Table_ExternalData_17[[#This Row],[VSTR]]+Table_ExternalData_17[[#This Row],[SR]]+Table_ExternalData_17[[#This Row],[TR]]+Table_ExternalData_17[[#This Row],[RCA]])</f>
        <v>6065</v>
      </c>
      <c r="K7" s="37">
        <f>SUMIFS(IsQList,IsIList,Table_ExternalData_17[[#This Row],[item_key]],IsITypeList,Table_ExternalData_17[[#Headers],[R/P]],IsDList,"&lt;&gt;"&amp;0)</f>
        <v>4935</v>
      </c>
      <c r="L7" s="37">
        <f>SUMIFS(IsQList,IsIList,Table_ExternalData_15[[#This Row],[item_key]],IsITypeList,Table_ExternalData_17[[#Headers],[CST]],IsDList,"&lt;&gt;"&amp;0)</f>
        <v>0</v>
      </c>
      <c r="M7" s="37">
        <f>SUMIFS(IsQList,IsIList,Table_ExternalData_15[[#This Row],[item_key]],IsITypeList,Table_ExternalData_17[[#Headers],[S/I]],IsDList,"&lt;&gt;"&amp;0)</f>
        <v>0</v>
      </c>
      <c r="N7" s="37">
        <f>SUMIFS(IsQList,IsIList,Table_ExternalData_15[[#This Row],[item_key]],IsITypeList,Table_ExternalData_17[[#Headers],[VST]],IsDList,"&lt;&gt;"&amp;0)</f>
        <v>0</v>
      </c>
      <c r="O7" s="37">
        <f>ABS(SUMIFS(IsQList,IsIList,Table_ExternalData_17[[#This Row],[item_key]],IsITypeList,Table_ExternalData_17[[#Headers],[RTN]],IsDList,"&lt;&gt;"&amp;0))</f>
        <v>17</v>
      </c>
      <c r="P7" s="37">
        <f>SUM(Table_ExternalData_17[[#This Row],[R/P]:[RTN]])</f>
        <v>4952</v>
      </c>
      <c r="Q7" s="37">
        <f>SUM((Table_ExternalData_17[[#This Row],[Opening]]+Table_ExternalData_17[[#This Row],[Total Receipt]])-ABS(Table_ExternalData_17[[#This Row],[Total Issue]]))</f>
        <v>10958</v>
      </c>
    </row>
    <row r="8" spans="1:17">
      <c r="A8" s="35" t="s">
        <v>9</v>
      </c>
      <c r="B8" s="35" t="s">
        <v>18</v>
      </c>
      <c r="C8" s="35" t="s">
        <v>19</v>
      </c>
      <c r="D8" s="37">
        <f>SUMIFS(OPBQList,OPBIList,Table_ExternalData_17[[#This Row],[item_key]])+SUMIFS(GQList,GIList,Table_ExternalData_17[[#This Row],[item_key]],GDList,0)-ABS(SUMIFS(IsQList,IsIList,Table_ExternalData_17[[#This Row],[item_key]],IsDList,0))</f>
        <v>-2723</v>
      </c>
      <c r="E8" s="37">
        <f>SUMIFS(GQList,GIList,Table_ExternalData_17[[#This Row],[item_key]],GTList,Table_ExternalData_17[[#Headers],[GRN]],GDList,"&lt;&gt;"&amp;0)</f>
        <v>4070</v>
      </c>
      <c r="F8" s="37">
        <f>SUMIFS(GQList,GIList,Table_ExternalData_17[[#This Row],[item_key]],GTList,Table_ExternalData_17[[#Headers],[VSTR]],GDList,"&lt;&gt;"&amp;0)</f>
        <v>0</v>
      </c>
      <c r="G8" s="37">
        <f>SUMIFS(GQList,GIList,Table_ExternalData_17[[#This Row],[item_key]],GTList,Table_ExternalData_17[[#Headers],[SR]],GDList,"&lt;&gt;"&amp;0)</f>
        <v>0</v>
      </c>
      <c r="H8" s="37">
        <f>SUMIFS(GQList,GIList,Table_ExternalData_17[[#This Row],[item_key]],GTList,Table_ExternalData_17[[#Headers],[TR]],GDList,"&lt;&gt;"&amp;0)</f>
        <v>0</v>
      </c>
      <c r="I8" s="37">
        <f>SUMIFS(GQList,GIList,Table_ExternalData_17[[#This Row],[item_key]],GTList,Table_ExternalData_17[[#Headers],[RCA]],GDList,"&lt;&gt;"&amp;0)</f>
        <v>0</v>
      </c>
      <c r="J8" s="37">
        <f>SUM(Table_ExternalData_17[[#This Row],[GRN]]+Table_ExternalData_17[[#This Row],[VSTR]]+Table_ExternalData_17[[#This Row],[SR]]+Table_ExternalData_17[[#This Row],[TR]]+Table_ExternalData_17[[#This Row],[RCA]])</f>
        <v>4070</v>
      </c>
      <c r="K8" s="37">
        <f>SUMIFS(IsQList,IsIList,Table_ExternalData_17[[#This Row],[item_key]],IsITypeList,Table_ExternalData_17[[#Headers],[R/P]],IsDList,"&lt;&gt;"&amp;0)</f>
        <v>4935</v>
      </c>
      <c r="L8" s="37">
        <f>SUMIFS(IsQList,IsIList,Table_ExternalData_15[[#This Row],[item_key]],IsITypeList,Table_ExternalData_17[[#Headers],[CST]],IsDList,"&lt;&gt;"&amp;0)</f>
        <v>0</v>
      </c>
      <c r="M8" s="37">
        <f>SUMIFS(IsQList,IsIList,Table_ExternalData_15[[#This Row],[item_key]],IsITypeList,Table_ExternalData_17[[#Headers],[S/I]],IsDList,"&lt;&gt;"&amp;0)</f>
        <v>0</v>
      </c>
      <c r="N8" s="37">
        <f>SUMIFS(IsQList,IsIList,Table_ExternalData_15[[#This Row],[item_key]],IsITypeList,Table_ExternalData_17[[#Headers],[VST]],IsDList,"&lt;&gt;"&amp;0)</f>
        <v>0</v>
      </c>
      <c r="O8" s="37">
        <f>ABS(SUMIFS(IsQList,IsIList,Table_ExternalData_17[[#This Row],[item_key]],IsITypeList,Table_ExternalData_17[[#Headers],[RTN]],IsDList,"&lt;&gt;"&amp;0))</f>
        <v>2</v>
      </c>
      <c r="P8" s="37">
        <f>SUM(Table_ExternalData_17[[#This Row],[R/P]:[RTN]])</f>
        <v>4937</v>
      </c>
      <c r="Q8" s="37">
        <f>SUM((Table_ExternalData_17[[#This Row],[Opening]]+Table_ExternalData_17[[#This Row],[Total Receipt]])-ABS(Table_ExternalData_17[[#This Row],[Total Issue]]))</f>
        <v>-3590</v>
      </c>
    </row>
    <row r="9" spans="1:17">
      <c r="A9" s="35" t="s">
        <v>6</v>
      </c>
      <c r="B9" s="35" t="s">
        <v>20</v>
      </c>
      <c r="C9" s="35" t="s">
        <v>21</v>
      </c>
      <c r="D9" s="37">
        <f>SUMIFS(OPBQList,OPBIList,Table_ExternalData_17[[#This Row],[item_key]])+SUMIFS(GQList,GIList,Table_ExternalData_17[[#This Row],[item_key]],GDList,0)-ABS(SUMIFS(IsQList,IsIList,Table_ExternalData_17[[#This Row],[item_key]],IsDList,0))</f>
        <v>345</v>
      </c>
      <c r="E9" s="37">
        <f>SUMIFS(GQList,GIList,Table_ExternalData_17[[#This Row],[item_key]],GTList,Table_ExternalData_17[[#Headers],[GRN]],GDList,"&lt;&gt;"&amp;0)</f>
        <v>4552</v>
      </c>
      <c r="F9" s="37">
        <f>SUMIFS(GQList,GIList,Table_ExternalData_17[[#This Row],[item_key]],GTList,Table_ExternalData_17[[#Headers],[VSTR]],GDList,"&lt;&gt;"&amp;0)</f>
        <v>0</v>
      </c>
      <c r="G9" s="37">
        <f>SUMIFS(GQList,GIList,Table_ExternalData_17[[#This Row],[item_key]],GTList,Table_ExternalData_17[[#Headers],[SR]],GDList,"&lt;&gt;"&amp;0)</f>
        <v>0</v>
      </c>
      <c r="H9" s="37">
        <f>SUMIFS(GQList,GIList,Table_ExternalData_17[[#This Row],[item_key]],GTList,Table_ExternalData_17[[#Headers],[TR]],GDList,"&lt;&gt;"&amp;0)</f>
        <v>0</v>
      </c>
      <c r="I9" s="37">
        <f>SUMIFS(GQList,GIList,Table_ExternalData_17[[#This Row],[item_key]],GTList,Table_ExternalData_17[[#Headers],[RCA]],GDList,"&lt;&gt;"&amp;0)</f>
        <v>-44</v>
      </c>
      <c r="J9" s="37">
        <f>SUM(Table_ExternalData_17[[#This Row],[GRN]]+Table_ExternalData_17[[#This Row],[VSTR]]+Table_ExternalData_17[[#This Row],[SR]]+Table_ExternalData_17[[#This Row],[TR]]+Table_ExternalData_17[[#This Row],[RCA]])</f>
        <v>4508</v>
      </c>
      <c r="K9" s="37">
        <f>SUMIFS(IsQList,IsIList,Table_ExternalData_17[[#This Row],[item_key]],IsITypeList,Table_ExternalData_17[[#Headers],[R/P]],IsDList,"&lt;&gt;"&amp;0)</f>
        <v>4497</v>
      </c>
      <c r="L9" s="37">
        <f>SUMIFS(IsQList,IsIList,Table_ExternalData_15[[#This Row],[item_key]],IsITypeList,Table_ExternalData_17[[#Headers],[CST]],IsDList,"&lt;&gt;"&amp;0)</f>
        <v>0</v>
      </c>
      <c r="M9" s="37">
        <f>SUMIFS(IsQList,IsIList,Table_ExternalData_15[[#This Row],[item_key]],IsITypeList,Table_ExternalData_17[[#Headers],[S/I]],IsDList,"&lt;&gt;"&amp;0)</f>
        <v>0</v>
      </c>
      <c r="N9" s="37">
        <f>SUMIFS(IsQList,IsIList,Table_ExternalData_15[[#This Row],[item_key]],IsITypeList,Table_ExternalData_17[[#Headers],[VST]],IsDList,"&lt;&gt;"&amp;0)</f>
        <v>0</v>
      </c>
      <c r="O9" s="37">
        <f>ABS(SUMIFS(IsQList,IsIList,Table_ExternalData_17[[#This Row],[item_key]],IsITypeList,Table_ExternalData_17[[#Headers],[RTN]],IsDList,"&lt;&gt;"&amp;0))</f>
        <v>857</v>
      </c>
      <c r="P9" s="37">
        <f>SUM(Table_ExternalData_17[[#This Row],[R/P]:[RTN]])</f>
        <v>5354</v>
      </c>
      <c r="Q9" s="37">
        <f>SUM((Table_ExternalData_17[[#This Row],[Opening]]+Table_ExternalData_17[[#This Row],[Total Receipt]])-ABS(Table_ExternalData_17[[#This Row],[Total Issue]]))</f>
        <v>-501</v>
      </c>
    </row>
    <row r="10" spans="1:17">
      <c r="A10" s="1" t="s">
        <v>103</v>
      </c>
      <c r="B10" s="1" t="s">
        <v>112</v>
      </c>
      <c r="C10" s="1" t="s">
        <v>113</v>
      </c>
      <c r="D10" s="10">
        <f>SUMIFS(OPBQList,OPBIList,Table_ExternalData_17[[#This Row],[item_key]])+SUMIFS(GQList,GIList,Table_ExternalData_17[[#This Row],[item_key]],GDList,0)-ABS(SUMIFS(IsQList,IsIList,Table_ExternalData_17[[#This Row],[item_key]],IsDList,0))</f>
        <v>5810</v>
      </c>
      <c r="E10" s="10">
        <f>SUMIFS(GQList,GIList,Table_ExternalData_17[[#This Row],[item_key]],GTList,Table_ExternalData_17[[#Headers],[GRN]],GDList,"&lt;&gt;"&amp;0)</f>
        <v>5800</v>
      </c>
      <c r="F10" s="10">
        <f>SUMIFS(GQList,GIList,Table_ExternalData_17[[#This Row],[item_key]],GTList,Table_ExternalData_17[[#Headers],[VSTR]],GDList,"&lt;&gt;"&amp;0)</f>
        <v>0</v>
      </c>
      <c r="G10" s="10">
        <f>SUMIFS(GQList,GIList,Table_ExternalData_17[[#This Row],[item_key]],GTList,Table_ExternalData_17[[#Headers],[SR]],GDList,"&lt;&gt;"&amp;0)</f>
        <v>0</v>
      </c>
      <c r="H10" s="10">
        <f>SUMIFS(GQList,GIList,Table_ExternalData_17[[#This Row],[item_key]],GTList,Table_ExternalData_17[[#Headers],[TR]],GDList,"&lt;&gt;"&amp;0)</f>
        <v>0</v>
      </c>
      <c r="I10" s="10">
        <f>SUMIFS(GQList,GIList,Table_ExternalData_17[[#This Row],[item_key]],GTList,Table_ExternalData_17[[#Headers],[RCA]],GDList,"&lt;&gt;"&amp;0)</f>
        <v>0</v>
      </c>
      <c r="J10" s="10">
        <f>SUM(Table_ExternalData_17[[#This Row],[GRN]]+Table_ExternalData_17[[#This Row],[VSTR]]+Table_ExternalData_17[[#This Row],[SR]]+Table_ExternalData_17[[#This Row],[TR]]+Table_ExternalData_17[[#This Row],[RCA]])</f>
        <v>5800</v>
      </c>
      <c r="K10" s="10">
        <f>SUMIFS(IsQList,IsIList,Table_ExternalData_17[[#This Row],[item_key]],IsITypeList,Table_ExternalData_17[[#Headers],[R/P]],IsDList,"&lt;&gt;"&amp;0)</f>
        <v>4935</v>
      </c>
      <c r="L10" s="10">
        <f>SUMIFS(IsQList,IsIList,Table_ExternalData_15[[#This Row],[item_key]],IsITypeList,Table_ExternalData_17[[#Headers],[CST]],IsDList,"&lt;&gt;"&amp;0)</f>
        <v>0</v>
      </c>
      <c r="M10" s="10">
        <f>SUMIFS(IsQList,IsIList,Table_ExternalData_15[[#This Row],[item_key]],IsITypeList,Table_ExternalData_17[[#Headers],[S/I]],IsDList,"&lt;&gt;"&amp;0)</f>
        <v>0</v>
      </c>
      <c r="N10" s="10">
        <f>SUMIFS(IsQList,IsIList,Table_ExternalData_15[[#This Row],[item_key]],IsITypeList,Table_ExternalData_17[[#Headers],[VST]],IsDList,"&lt;&gt;"&amp;0)</f>
        <v>0</v>
      </c>
      <c r="O10" s="10">
        <f>ABS(SUMIFS(IsQList,IsIList,Table_ExternalData_17[[#This Row],[item_key]],IsITypeList,Table_ExternalData_17[[#Headers],[RTN]],IsDList,"&lt;&gt;"&amp;0))</f>
        <v>10</v>
      </c>
      <c r="P10" s="10">
        <f>SUM(Table_ExternalData_17[[#This Row],[R/P]:[RTN]])</f>
        <v>4945</v>
      </c>
      <c r="Q10" s="10">
        <f>SUM((Table_ExternalData_17[[#This Row],[Opening]]+Table_ExternalData_17[[#This Row],[Total Receipt]])-ABS(Table_ExternalData_17[[#This Row],[Total Issue]]))</f>
        <v>6665</v>
      </c>
    </row>
    <row r="11" spans="1:17">
      <c r="A11" s="1" t="s">
        <v>104</v>
      </c>
      <c r="B11" s="1" t="s">
        <v>114</v>
      </c>
      <c r="C11" s="1" t="s">
        <v>115</v>
      </c>
      <c r="D11" s="10">
        <f>SUMIFS(OPBQList,OPBIList,Table_ExternalData_17[[#This Row],[item_key]])+SUMIFS(GQList,GIList,Table_ExternalData_17[[#This Row],[item_key]],GDList,0)-ABS(SUMIFS(IsQList,IsIList,Table_ExternalData_17[[#This Row],[item_key]],IsDList,0))</f>
        <v>5904</v>
      </c>
      <c r="E11" s="10">
        <f>SUMIFS(GQList,GIList,Table_ExternalData_17[[#This Row],[item_key]],GTList,Table_ExternalData_17[[#Headers],[GRN]],GDList,"&lt;&gt;"&amp;0)</f>
        <v>5700</v>
      </c>
      <c r="F11" s="10">
        <f>SUMIFS(GQList,GIList,Table_ExternalData_17[[#This Row],[item_key]],GTList,Table_ExternalData_17[[#Headers],[VSTR]],GDList,"&lt;&gt;"&amp;0)</f>
        <v>0</v>
      </c>
      <c r="G11" s="10">
        <f>SUMIFS(GQList,GIList,Table_ExternalData_17[[#This Row],[item_key]],GTList,Table_ExternalData_17[[#Headers],[SR]],GDList,"&lt;&gt;"&amp;0)</f>
        <v>0</v>
      </c>
      <c r="H11" s="10">
        <f>SUMIFS(GQList,GIList,Table_ExternalData_17[[#This Row],[item_key]],GTList,Table_ExternalData_17[[#Headers],[TR]],GDList,"&lt;&gt;"&amp;0)</f>
        <v>0</v>
      </c>
      <c r="I11" s="10">
        <f>SUMIFS(GQList,GIList,Table_ExternalData_17[[#This Row],[item_key]],GTList,Table_ExternalData_17[[#Headers],[RCA]],GDList,"&lt;&gt;"&amp;0)</f>
        <v>0</v>
      </c>
      <c r="J11" s="10">
        <f>SUM(Table_ExternalData_17[[#This Row],[GRN]]+Table_ExternalData_17[[#This Row],[VSTR]]+Table_ExternalData_17[[#This Row],[SR]]+Table_ExternalData_17[[#This Row],[TR]]+Table_ExternalData_17[[#This Row],[RCA]])</f>
        <v>5700</v>
      </c>
      <c r="K11" s="10">
        <f>SUMIFS(IsQList,IsIList,Table_ExternalData_17[[#This Row],[item_key]],IsITypeList,Table_ExternalData_17[[#Headers],[R/P]],IsDList,"&lt;&gt;"&amp;0)</f>
        <v>4935</v>
      </c>
      <c r="L11" s="10">
        <f>SUMIFS(IsQList,IsIList,Table_ExternalData_15[[#This Row],[item_key]],IsITypeList,Table_ExternalData_17[[#Headers],[CST]],IsDList,"&lt;&gt;"&amp;0)</f>
        <v>0</v>
      </c>
      <c r="M11" s="10">
        <f>SUMIFS(IsQList,IsIList,Table_ExternalData_15[[#This Row],[item_key]],IsITypeList,Table_ExternalData_17[[#Headers],[S/I]],IsDList,"&lt;&gt;"&amp;0)</f>
        <v>0</v>
      </c>
      <c r="N11" s="10">
        <f>SUMIFS(IsQList,IsIList,Table_ExternalData_15[[#This Row],[item_key]],IsITypeList,Table_ExternalData_17[[#Headers],[VST]],IsDList,"&lt;&gt;"&amp;0)</f>
        <v>0</v>
      </c>
      <c r="O11" s="10">
        <f>ABS(SUMIFS(IsQList,IsIList,Table_ExternalData_17[[#This Row],[item_key]],IsITypeList,Table_ExternalData_17[[#Headers],[RTN]],IsDList,"&lt;&gt;"&amp;0))</f>
        <v>51</v>
      </c>
      <c r="P11" s="10">
        <f>SUM(Table_ExternalData_17[[#This Row],[R/P]:[RTN]])</f>
        <v>4986</v>
      </c>
      <c r="Q11" s="10">
        <f>SUM((Table_ExternalData_17[[#This Row],[Opening]]+Table_ExternalData_17[[#This Row],[Total Receipt]])-ABS(Table_ExternalData_17[[#This Row],[Total Issue]]))</f>
        <v>6618</v>
      </c>
    </row>
    <row r="12" spans="1:17">
      <c r="A12" s="1" t="s">
        <v>82</v>
      </c>
      <c r="B12" s="1" t="s">
        <v>85</v>
      </c>
      <c r="C12" s="1" t="s">
        <v>86</v>
      </c>
      <c r="D12" s="10">
        <f>SUMIFS(OPBQList,OPBIList,Table_ExternalData_17[[#This Row],[item_key]])+SUMIFS(GQList,GIList,Table_ExternalData_17[[#This Row],[item_key]],GDList,0)-ABS(SUMIFS(IsQList,IsIList,Table_ExternalData_17[[#This Row],[item_key]],IsDList,0))</f>
        <v>-4330</v>
      </c>
      <c r="E12" s="10">
        <f>SUMIFS(GQList,GIList,Table_ExternalData_17[[#This Row],[item_key]],GTList,Table_ExternalData_17[[#Headers],[GRN]],GDList,"&lt;&gt;"&amp;0)</f>
        <v>9649</v>
      </c>
      <c r="F12" s="10">
        <f>SUMIFS(GQList,GIList,Table_ExternalData_17[[#This Row],[item_key]],GTList,Table_ExternalData_17[[#Headers],[VSTR]],GDList,"&lt;&gt;"&amp;0)</f>
        <v>0</v>
      </c>
      <c r="G12" s="10">
        <f>SUMIFS(GQList,GIList,Table_ExternalData_17[[#This Row],[item_key]],GTList,Table_ExternalData_17[[#Headers],[SR]],GDList,"&lt;&gt;"&amp;0)</f>
        <v>0</v>
      </c>
      <c r="H12" s="10">
        <f>SUMIFS(GQList,GIList,Table_ExternalData_17[[#This Row],[item_key]],GTList,Table_ExternalData_17[[#Headers],[TR]],GDList,"&lt;&gt;"&amp;0)</f>
        <v>0</v>
      </c>
      <c r="I12" s="10">
        <f>SUMIFS(GQList,GIList,Table_ExternalData_17[[#This Row],[item_key]],GTList,Table_ExternalData_17[[#Headers],[RCA]],GDList,"&lt;&gt;"&amp;0)</f>
        <v>0</v>
      </c>
      <c r="J12" s="10">
        <f>SUM(Table_ExternalData_17[[#This Row],[GRN]]+Table_ExternalData_17[[#This Row],[VSTR]]+Table_ExternalData_17[[#This Row],[SR]]+Table_ExternalData_17[[#This Row],[TR]]+Table_ExternalData_17[[#This Row],[RCA]])</f>
        <v>9649</v>
      </c>
      <c r="K12" s="10">
        <f>SUMIFS(IsQList,IsIList,Table_ExternalData_17[[#This Row],[item_key]],IsITypeList,Table_ExternalData_17[[#Headers],[R/P]],IsDList,"&lt;&gt;"&amp;0)</f>
        <v>4935</v>
      </c>
      <c r="L12" s="10">
        <f>SUMIFS(IsQList,IsIList,Table_ExternalData_15[[#This Row],[item_key]],IsITypeList,Table_ExternalData_17[[#Headers],[CST]],IsDList,"&lt;&gt;"&amp;0)</f>
        <v>0</v>
      </c>
      <c r="M12" s="10">
        <f>SUMIFS(IsQList,IsIList,Table_ExternalData_15[[#This Row],[item_key]],IsITypeList,Table_ExternalData_17[[#Headers],[S/I]],IsDList,"&lt;&gt;"&amp;0)</f>
        <v>0</v>
      </c>
      <c r="N12" s="10">
        <f>SUMIFS(IsQList,IsIList,Table_ExternalData_15[[#This Row],[item_key]],IsITypeList,Table_ExternalData_17[[#Headers],[VST]],IsDList,"&lt;&gt;"&amp;0)</f>
        <v>0</v>
      </c>
      <c r="O12" s="10">
        <f>ABS(SUMIFS(IsQList,IsIList,Table_ExternalData_17[[#This Row],[item_key]],IsITypeList,Table_ExternalData_17[[#Headers],[RTN]],IsDList,"&lt;&gt;"&amp;0))</f>
        <v>0</v>
      </c>
      <c r="P12" s="10">
        <f>SUM(Table_ExternalData_17[[#This Row],[R/P]:[RTN]])</f>
        <v>4935</v>
      </c>
      <c r="Q12" s="10">
        <f>SUM((Table_ExternalData_17[[#This Row],[Opening]]+Table_ExternalData_17[[#This Row],[Total Receipt]])-ABS(Table_ExternalData_17[[#This Row],[Total Issue]]))</f>
        <v>384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B2115"/>
  <sheetViews>
    <sheetView workbookViewId="0">
      <selection activeCell="A5" sqref="A5"/>
    </sheetView>
  </sheetViews>
  <sheetFormatPr defaultRowHeight="15"/>
  <cols>
    <col min="1" max="1" width="11.5703125" bestFit="1" customWidth="1"/>
    <col min="2" max="2" width="9" bestFit="1" customWidth="1"/>
  </cols>
  <sheetData>
    <row r="1" spans="1:2">
      <c r="A1" t="s">
        <v>2</v>
      </c>
      <c r="B1" t="s">
        <v>97</v>
      </c>
    </row>
    <row r="2" spans="1:2">
      <c r="A2" t="s">
        <v>8</v>
      </c>
      <c r="B2">
        <v>2039</v>
      </c>
    </row>
    <row r="3" spans="1:2">
      <c r="A3" t="s">
        <v>81</v>
      </c>
      <c r="B3">
        <v>28886</v>
      </c>
    </row>
    <row r="4" spans="1:2">
      <c r="A4" t="s">
        <v>102</v>
      </c>
      <c r="B4">
        <v>8959</v>
      </c>
    </row>
    <row r="5" spans="1:2">
      <c r="A5" t="s">
        <v>9</v>
      </c>
      <c r="B5">
        <v>1166</v>
      </c>
    </row>
    <row r="6" spans="1:2">
      <c r="A6" t="s">
        <v>6</v>
      </c>
      <c r="B6">
        <v>2372</v>
      </c>
    </row>
    <row r="7" spans="1:2">
      <c r="A7" t="s">
        <v>103</v>
      </c>
      <c r="B7">
        <v>3299</v>
      </c>
    </row>
    <row r="8" spans="1:2">
      <c r="A8" t="s">
        <v>104</v>
      </c>
      <c r="B8">
        <v>3563</v>
      </c>
    </row>
    <row r="9" spans="1:2">
      <c r="A9" t="s">
        <v>82</v>
      </c>
      <c r="B9">
        <v>659</v>
      </c>
    </row>
    <row r="10" spans="1:2" hidden="1"/>
    <row r="11" spans="1:2" hidden="1"/>
    <row r="12" spans="1:2" hidden="1"/>
    <row r="13" spans="1:2" hidden="1"/>
    <row r="14" spans="1:2" hidden="1"/>
    <row r="15" spans="1:2" hidden="1"/>
    <row r="16" spans="1:2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D5:P28"/>
  <sheetViews>
    <sheetView topLeftCell="A7" workbookViewId="0">
      <selection activeCell="P24" sqref="P24"/>
    </sheetView>
  </sheetViews>
  <sheetFormatPr defaultRowHeight="15"/>
  <sheetData>
    <row r="5" spans="4:16">
      <c r="D5">
        <v>1</v>
      </c>
      <c r="I5">
        <f>SUMIFS(GQList,GDList,"&lt;&gt;"&amp;0)</f>
        <v>36321</v>
      </c>
    </row>
    <row r="6" spans="4:16">
      <c r="D6">
        <v>2</v>
      </c>
    </row>
    <row r="7" spans="4:16">
      <c r="D7">
        <v>3</v>
      </c>
      <c r="L7" s="38">
        <v>85</v>
      </c>
    </row>
    <row r="8" spans="4:16">
      <c r="D8">
        <v>4</v>
      </c>
      <c r="L8" s="39">
        <v>188</v>
      </c>
    </row>
    <row r="9" spans="4:16">
      <c r="D9">
        <v>6</v>
      </c>
      <c r="L9" s="38">
        <v>85</v>
      </c>
      <c r="O9" s="38">
        <v>-6</v>
      </c>
      <c r="P9" s="38">
        <v>-6</v>
      </c>
    </row>
    <row r="10" spans="4:16">
      <c r="L10" s="39">
        <v>250</v>
      </c>
      <c r="O10" s="40">
        <v>-2</v>
      </c>
      <c r="P10" s="40">
        <v>-2</v>
      </c>
    </row>
    <row r="11" spans="4:16">
      <c r="L11" s="38">
        <v>100</v>
      </c>
      <c r="O11" s="41">
        <v>-140</v>
      </c>
      <c r="P11" s="41">
        <v>-140</v>
      </c>
    </row>
    <row r="12" spans="4:16">
      <c r="L12" s="39">
        <v>237</v>
      </c>
      <c r="O12" s="40">
        <v>-67</v>
      </c>
      <c r="P12" s="40">
        <v>-67</v>
      </c>
    </row>
    <row r="13" spans="4:16">
      <c r="L13" s="38">
        <v>209</v>
      </c>
      <c r="O13" s="41">
        <v>-25</v>
      </c>
      <c r="P13" s="41">
        <v>-25</v>
      </c>
    </row>
    <row r="14" spans="4:16">
      <c r="L14" s="39">
        <v>139</v>
      </c>
      <c r="O14" s="40">
        <v>-203</v>
      </c>
      <c r="P14" s="40">
        <v>-203</v>
      </c>
    </row>
    <row r="15" spans="4:16">
      <c r="L15" s="38">
        <v>317</v>
      </c>
      <c r="O15" s="41">
        <v>-74</v>
      </c>
      <c r="P15" s="41">
        <v>-74</v>
      </c>
    </row>
    <row r="16" spans="4:16">
      <c r="L16" s="39">
        <v>207</v>
      </c>
      <c r="O16" s="40">
        <v>-56</v>
      </c>
      <c r="P16" s="40">
        <v>-56</v>
      </c>
    </row>
    <row r="17" spans="12:16">
      <c r="L17" s="38">
        <v>150</v>
      </c>
      <c r="O17" s="41">
        <v>-38</v>
      </c>
      <c r="P17" s="41">
        <v>-38</v>
      </c>
    </row>
    <row r="18" spans="12:16">
      <c r="L18" s="39">
        <v>184</v>
      </c>
      <c r="O18" s="40">
        <v>-37</v>
      </c>
      <c r="P18" s="40">
        <v>-37</v>
      </c>
    </row>
    <row r="19" spans="12:16">
      <c r="L19" s="38">
        <v>312</v>
      </c>
      <c r="O19" s="41">
        <v>-76</v>
      </c>
      <c r="P19" s="41">
        <v>-76</v>
      </c>
    </row>
    <row r="20" spans="12:16">
      <c r="L20" s="39">
        <v>186</v>
      </c>
      <c r="O20" s="40">
        <v>-141</v>
      </c>
      <c r="P20" s="40">
        <v>-141</v>
      </c>
    </row>
    <row r="21" spans="12:16">
      <c r="L21" s="38">
        <v>164</v>
      </c>
      <c r="O21">
        <f>SUM(O9:O20)</f>
        <v>-865</v>
      </c>
      <c r="P21" s="41">
        <v>-9</v>
      </c>
    </row>
    <row r="22" spans="12:16">
      <c r="L22" s="39">
        <v>85</v>
      </c>
      <c r="P22" s="40">
        <v>-1507</v>
      </c>
    </row>
    <row r="23" spans="12:16">
      <c r="L23" s="38">
        <v>334</v>
      </c>
      <c r="P23">
        <f>SUM(P9:P22)</f>
        <v>-2381</v>
      </c>
    </row>
    <row r="24" spans="12:16">
      <c r="L24" s="39">
        <v>382</v>
      </c>
    </row>
    <row r="25" spans="12:16">
      <c r="L25" s="38">
        <v>364</v>
      </c>
    </row>
    <row r="26" spans="12:16">
      <c r="L26" s="39">
        <v>230</v>
      </c>
    </row>
    <row r="27" spans="12:16">
      <c r="L27" s="38">
        <v>727</v>
      </c>
    </row>
    <row r="28" spans="12:16">
      <c r="L28">
        <f>SUM(L7:L27)</f>
        <v>4935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RawData_GRN_Detail</vt:lpstr>
      <vt:lpstr>Report Criteria</vt:lpstr>
      <vt:lpstr>GRN</vt:lpstr>
      <vt:lpstr>MonthList</vt:lpstr>
      <vt:lpstr>RawIssue</vt:lpstr>
      <vt:lpstr>Issue</vt:lpstr>
      <vt:lpstr>MasterSheet</vt:lpstr>
      <vt:lpstr>RawOpening</vt:lpstr>
      <vt:lpstr>Sheet1</vt:lpstr>
      <vt:lpstr>GDList</vt:lpstr>
      <vt:lpstr>GIList</vt:lpstr>
      <vt:lpstr>GQList</vt:lpstr>
      <vt:lpstr>GTList</vt:lpstr>
      <vt:lpstr>IsDList</vt:lpstr>
      <vt:lpstr>IsIList</vt:lpstr>
      <vt:lpstr>IsITypeList</vt:lpstr>
      <vt:lpstr>IsQList</vt:lpstr>
      <vt:lpstr>OPBIList</vt:lpstr>
      <vt:lpstr>OPBQList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2012-10-03T08:57:16Z</dcterms:modified>
</cp:coreProperties>
</file>