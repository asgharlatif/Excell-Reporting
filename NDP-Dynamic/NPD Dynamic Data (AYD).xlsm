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1355" windowHeight="6150" tabRatio="823" activeTab="1"/>
  </bookViews>
  <sheets>
    <sheet name="Dealer Balances" sheetId="6" r:id="rId1"/>
    <sheet name="SaleData" sheetId="7" r:id="rId2"/>
    <sheet name="FinanceData" sheetId="8" r:id="rId3"/>
    <sheet name="Payment Based NDP (Array Based)" sheetId="10" r:id="rId4"/>
  </sheets>
  <definedNames>
    <definedName name="_192.168.3.138_DYL" localSheetId="0" hidden="1">'Dealer Balances'!$B$5:$G$812</definedName>
    <definedName name="_192.168.3.138DYLNDPFinanaceData" localSheetId="2" hidden="1">FinanceData!$A$1:$I$586</definedName>
    <definedName name="_192.168.3.138DYLNDPSaleData" localSheetId="1" hidden="1">SaleData!$A$1:$G$280</definedName>
    <definedName name="ApValues">'Dealer Balances'!$G$6:$G$812</definedName>
    <definedName name="DealerList">'Dealer Balances'!$B$6:$B$812</definedName>
    <definedName name="_xlnm.Print_Area" localSheetId="3">'Payment Based NDP (Array Based)'!$A$1:$W$36</definedName>
  </definedNames>
  <calcPr calcId="125725"/>
</workbook>
</file>

<file path=xl/calcChain.xml><?xml version="1.0" encoding="utf-8"?>
<calcChain xmlns="http://schemas.openxmlformats.org/spreadsheetml/2006/main">
  <c r="B7" i="10" a="1"/>
  <c r="B7" s="1"/>
  <c r="B8" a="1"/>
  <c r="B8" s="1"/>
  <c r="B9" a="1"/>
  <c r="B9" s="1"/>
  <c r="B10" a="1"/>
  <c r="B10" s="1"/>
  <c r="B11" a="1"/>
  <c r="B11" s="1"/>
  <c r="B12" a="1"/>
  <c r="B12" s="1"/>
  <c r="B13" a="1"/>
  <c r="B13" s="1"/>
  <c r="B14" a="1"/>
  <c r="B14" s="1"/>
  <c r="B15" a="1"/>
  <c r="B15" s="1"/>
  <c r="B6" a="1"/>
  <c r="B6" s="1"/>
  <c r="C7" a="1"/>
  <c r="C7" s="1"/>
  <c r="D7" s="1"/>
  <c r="C8" a="1"/>
  <c r="C8" s="1"/>
  <c r="D8" s="1"/>
  <c r="C9" a="1"/>
  <c r="C9" s="1"/>
  <c r="D9" s="1"/>
  <c r="C10" a="1"/>
  <c r="C10" s="1"/>
  <c r="D10" s="1"/>
  <c r="C11" a="1"/>
  <c r="C11" s="1"/>
  <c r="D11" s="1"/>
  <c r="C12" a="1"/>
  <c r="C12" s="1"/>
  <c r="D12" s="1"/>
  <c r="C13" a="1"/>
  <c r="C13" s="1"/>
  <c r="D13" s="1"/>
  <c r="C14" a="1"/>
  <c r="C14" s="1"/>
  <c r="D14" s="1"/>
  <c r="C15" a="1"/>
  <c r="C15" s="1"/>
  <c r="D15" s="1"/>
  <c r="C6" a="1"/>
  <c r="C6" s="1"/>
  <c r="D6" s="1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6"/>
  <c r="D2"/>
  <c r="E18"/>
  <c r="H1"/>
  <c r="AS8"/>
  <c r="AR8"/>
  <c r="AQ8"/>
  <c r="AP8"/>
  <c r="AO8"/>
  <c r="AN8"/>
  <c r="AM8"/>
  <c r="AL8"/>
  <c r="AK8"/>
  <c r="AS7"/>
  <c r="AR7"/>
  <c r="AQ7"/>
  <c r="AP7"/>
  <c r="AO7"/>
  <c r="AN7"/>
  <c r="AM7"/>
  <c r="AL7"/>
  <c r="AK7"/>
  <c r="AS6"/>
  <c r="AR6"/>
  <c r="AQ6"/>
  <c r="AP6"/>
  <c r="AO6"/>
  <c r="AN6"/>
  <c r="AM6"/>
  <c r="AL6"/>
  <c r="AK6"/>
  <c r="AF6"/>
  <c r="AS5"/>
  <c r="AR5"/>
  <c r="AQ5"/>
  <c r="AP5"/>
  <c r="AO5"/>
  <c r="AN5"/>
  <c r="AM5"/>
  <c r="AL5"/>
  <c r="AK5"/>
  <c r="AF5"/>
  <c r="AS4"/>
  <c r="AR4"/>
  <c r="AQ4"/>
  <c r="AP4"/>
  <c r="AO4"/>
  <c r="AN4"/>
  <c r="AM4"/>
  <c r="AL4"/>
  <c r="AK4"/>
  <c r="AF4"/>
  <c r="AS3"/>
  <c r="AR3"/>
  <c r="AQ3"/>
  <c r="AP3"/>
  <c r="AO3"/>
  <c r="AN3"/>
  <c r="AM3"/>
  <c r="AL3"/>
  <c r="AK3"/>
  <c r="AF3"/>
  <c r="AF2"/>
  <c r="X14" l="1"/>
  <c r="Y14" s="1"/>
  <c r="X12"/>
  <c r="Y12" s="1"/>
  <c r="X35"/>
  <c r="Y35" s="1"/>
  <c r="X33"/>
  <c r="Y33" s="1"/>
  <c r="X31"/>
  <c r="Y31" s="1"/>
  <c r="X29"/>
  <c r="Y29" s="1"/>
  <c r="X27"/>
  <c r="Y27" s="1"/>
  <c r="X25"/>
  <c r="Y25" s="1"/>
  <c r="X23"/>
  <c r="Y23" s="1"/>
  <c r="X21"/>
  <c r="Y21" s="1"/>
  <c r="X19"/>
  <c r="Y19" s="1"/>
  <c r="X17"/>
  <c r="Y17" s="1"/>
  <c r="X15"/>
  <c r="Y15" s="1"/>
  <c r="X13"/>
  <c r="Y13" s="1"/>
  <c r="X36"/>
  <c r="Y36" s="1"/>
  <c r="X34"/>
  <c r="Y34" s="1"/>
  <c r="X32"/>
  <c r="Y32" s="1"/>
  <c r="X30"/>
  <c r="Y30" s="1"/>
  <c r="X28"/>
  <c r="Y28" s="1"/>
  <c r="X26"/>
  <c r="Y26" s="1"/>
  <c r="X24"/>
  <c r="Y24" s="1"/>
  <c r="X22"/>
  <c r="Y22" s="1"/>
  <c r="X20"/>
  <c r="Y20" s="1"/>
  <c r="X18"/>
  <c r="Y18" s="1"/>
  <c r="X16"/>
  <c r="Y16" s="1"/>
  <c r="G6"/>
  <c r="G7" s="1"/>
  <c r="E6"/>
  <c r="H5"/>
  <c r="F14" l="1"/>
  <c r="F13"/>
  <c r="F10"/>
  <c r="F9"/>
  <c r="F6"/>
  <c r="H6" s="1"/>
  <c r="F15"/>
  <c r="F12"/>
  <c r="F11"/>
  <c r="F7"/>
  <c r="H7" s="1"/>
  <c r="D21"/>
  <c r="B21"/>
  <c r="X9"/>
  <c r="Y9" s="1"/>
  <c r="X11"/>
  <c r="G8" s="1"/>
  <c r="G9" s="1"/>
  <c r="G10" s="1"/>
  <c r="G11" s="1"/>
  <c r="G12" s="1"/>
  <c r="G13" s="1"/>
  <c r="G14" s="1"/>
  <c r="G15" s="1"/>
  <c r="X10"/>
  <c r="Y10" s="1"/>
  <c r="X8"/>
  <c r="Y8" s="1"/>
  <c r="X7"/>
  <c r="Y7" s="1"/>
  <c r="X6"/>
  <c r="Y6" s="1"/>
  <c r="F8" l="1"/>
  <c r="J7" s="1"/>
  <c r="Y11"/>
  <c r="E21" s="1"/>
  <c r="I6"/>
  <c r="J6" s="1"/>
  <c r="R6"/>
  <c r="E7" s="1"/>
  <c r="H8"/>
  <c r="K8" s="1"/>
  <c r="R7" l="1"/>
  <c r="S7" s="1"/>
  <c r="T7" s="1"/>
  <c r="H9"/>
  <c r="K7"/>
  <c r="L7" s="1"/>
  <c r="R8"/>
  <c r="S8" s="1"/>
  <c r="T8" s="1"/>
  <c r="L8"/>
  <c r="M8" s="1"/>
  <c r="N8" s="1"/>
  <c r="O8" s="1"/>
  <c r="P8" s="1"/>
  <c r="Q8" s="1"/>
  <c r="K6"/>
  <c r="L6" s="1"/>
  <c r="S6"/>
  <c r="T6" s="1"/>
  <c r="E8" l="1"/>
  <c r="E9" s="1"/>
  <c r="L9"/>
  <c r="H10"/>
  <c r="M9"/>
  <c r="M7"/>
  <c r="M6"/>
  <c r="R9"/>
  <c r="S9" s="1"/>
  <c r="T9" s="1"/>
  <c r="N9"/>
  <c r="O9" s="1"/>
  <c r="R10" l="1"/>
  <c r="S10" s="1"/>
  <c r="T10" s="1"/>
  <c r="H11"/>
  <c r="N6"/>
  <c r="O6" s="1"/>
  <c r="P6" s="1"/>
  <c r="N7"/>
  <c r="O7" s="1"/>
  <c r="P7" s="1"/>
  <c r="E10"/>
  <c r="E11" s="1"/>
  <c r="P9"/>
  <c r="Q9" s="1"/>
  <c r="M10"/>
  <c r="N10" l="1"/>
  <c r="O10" s="1"/>
  <c r="P10" s="1"/>
  <c r="Q10" s="1"/>
  <c r="R11"/>
  <c r="S11" s="1"/>
  <c r="T11" s="1"/>
  <c r="Q7"/>
  <c r="H12"/>
  <c r="N11"/>
  <c r="Q6"/>
  <c r="E12" l="1"/>
  <c r="H13"/>
  <c r="R12"/>
  <c r="S12" s="1"/>
  <c r="T12" s="1"/>
  <c r="O11"/>
  <c r="O12"/>
  <c r="E13" l="1"/>
  <c r="R13"/>
  <c r="S13" s="1"/>
  <c r="T13" s="1"/>
  <c r="P11"/>
  <c r="Q11" s="1"/>
  <c r="P12"/>
  <c r="Q12" s="1"/>
  <c r="H14"/>
  <c r="Q14" s="1"/>
  <c r="P13"/>
  <c r="Q13" s="1"/>
  <c r="H15" l="1"/>
  <c r="R15" s="1"/>
  <c r="S15" s="1"/>
  <c r="T15" s="1"/>
  <c r="C21"/>
  <c r="F21" s="1"/>
  <c r="R14"/>
  <c r="S14" s="1"/>
  <c r="T14" s="1"/>
  <c r="E14"/>
  <c r="E15" l="1"/>
  <c r="G21" s="1"/>
  <c r="H21" s="1"/>
  <c r="G814" i="6"/>
</calcChain>
</file>

<file path=xl/connections.xml><?xml version="1.0" encoding="utf-8"?>
<connections xmlns="http://schemas.openxmlformats.org/spreadsheetml/2006/main">
  <connection id="1" keepAlive="1" name="192.168.3.138 DYL" type="5" refreshedVersion="3" savePassword="1" background="1" saveData="1">
    <dbPr connection="Provider=SQLOLEDB.1;Password=ltc789*;Persist Security Info=True;User ID=sa;Initial Catalog=DYL;Data Source=192.168.3.138;Use Procedure for Prepare=1;Auto Translate=True;Packet Size=4096;Workstation ID=IT-ASGHAR;Use Encryption for Data=False;Tag with column collation when possible=False" command="prc_process_make_dealer_apvaluelist_excellWorking '28-Feb-2013'"/>
  </connection>
  <connection id="2" keepAlive="1" name="192.168.3.138DYLNDPFinanaceData" type="5" refreshedVersion="3" background="1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fin_BPBR_Sum_for_NDP_Excell '28-Feb-2013'"/>
  </connection>
  <connection id="3" keepAlive="1" name="192.168.3.138DYLNDPSaleData" type="5" refreshedVersion="3" background="1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saledata_for_NDP_Calculation_Excell '28-Feb-2013'"/>
  </connection>
</connections>
</file>

<file path=xl/sharedStrings.xml><?xml version="1.0" encoding="utf-8"?>
<sst xmlns="http://schemas.openxmlformats.org/spreadsheetml/2006/main" count="8458" uniqueCount="3103">
  <si>
    <t>Dlr-1821</t>
  </si>
  <si>
    <t>WAQAR TRADERS, KHARIAN-SPD</t>
  </si>
  <si>
    <t>Dlr-1822</t>
  </si>
  <si>
    <t>KASHIF AUTOS, LAYYAH-SPD</t>
  </si>
  <si>
    <t>Dlr-1823</t>
  </si>
  <si>
    <t>STAR AUTOS - KARACHI</t>
  </si>
  <si>
    <t>Dlr-1824</t>
  </si>
  <si>
    <t>ALI MOTORS - SHAHDAD KOT</t>
  </si>
  <si>
    <t>SHAHDAD KOT</t>
  </si>
  <si>
    <t>Dlr-1829</t>
  </si>
  <si>
    <t>SHAH ZAIB AUTOS - SAKRAND</t>
  </si>
  <si>
    <t>Dlr-1830</t>
  </si>
  <si>
    <t>JAWAD AUTOS - GAMBAT</t>
  </si>
  <si>
    <t>Dlr-1831</t>
  </si>
  <si>
    <t>SAQIB AUTOS, JHELUM-SPD</t>
  </si>
  <si>
    <t>Dlr-1832</t>
  </si>
  <si>
    <t>FARHAN AUTOS, KARACHI-SPD</t>
  </si>
  <si>
    <t>Dlr-1834</t>
  </si>
  <si>
    <t>NEW ADNAN AUTO SERVICE, CHICHAWATNI-SPD</t>
  </si>
  <si>
    <t>Dlr-1835</t>
  </si>
  <si>
    <t>ZEESHAN AUTOS - SAKRAND</t>
  </si>
  <si>
    <t>SAKRAND.</t>
  </si>
  <si>
    <t>Dlr-1837</t>
  </si>
  <si>
    <t>SHAUKAT AUTOS - LAHORE</t>
  </si>
  <si>
    <t>Dlr-1839</t>
  </si>
  <si>
    <t>KHAN MOTORS - CHAK BELI KHAN</t>
  </si>
  <si>
    <t>CHAK BELI KHAN</t>
  </si>
  <si>
    <t>Dlr-1842</t>
  </si>
  <si>
    <t>PESHAWAR YAMAHA CENTRE, PESHAWAR-SPD</t>
  </si>
  <si>
    <t>Dlr-1845</t>
  </si>
  <si>
    <t>REHMAN CORPORATION - LAHORE</t>
  </si>
  <si>
    <t>Dlr-1846</t>
  </si>
  <si>
    <t>MOHID TRADERS - LAHORE</t>
  </si>
  <si>
    <t>Dlr-1847</t>
  </si>
  <si>
    <t>AL-SALEEM YAMAHA CENTRE - SHUJABAD</t>
  </si>
  <si>
    <t>Dlr-1848</t>
  </si>
  <si>
    <t>HAFIZ TRADERS - LAHORE</t>
  </si>
  <si>
    <t>Dlr-1850</t>
  </si>
  <si>
    <t>FRIENDS TRADERS - LAHORE</t>
  </si>
  <si>
    <t>Dlr-1851</t>
  </si>
  <si>
    <t>ROYAL AUTOMOBILES CO. - LAHORE</t>
  </si>
  <si>
    <t>Dlr-1853</t>
  </si>
  <si>
    <t>FRIENDS TRADERS, LAHORE-SPD</t>
  </si>
  <si>
    <t>Dlr-1854</t>
  </si>
  <si>
    <t>AZAM TRADERS, LAHORE-SPD</t>
  </si>
  <si>
    <t>Dlr-1855</t>
  </si>
  <si>
    <t>NEW ISHAQ AUTOS, RAWALPINDI-SPD</t>
  </si>
  <si>
    <t>Dlr-1856</t>
  </si>
  <si>
    <t>MIAN AUTOS, RAWALPINDI-SPD</t>
  </si>
  <si>
    <t>Dlr-1857</t>
  </si>
  <si>
    <t>QALANDRI AUTOS, KHANPUR-SPD</t>
  </si>
  <si>
    <t>Dlr-1859</t>
  </si>
  <si>
    <t>NEW SHAFIQUE AUTOS, HYDERABAD-SPD</t>
  </si>
  <si>
    <t>Dlr-1860</t>
  </si>
  <si>
    <t>NOOR AUTOS - MORO</t>
  </si>
  <si>
    <t>Dlr-1863</t>
  </si>
  <si>
    <t>HAJI ASGHAR AUTOS, HAVALI LAKHA-SPD</t>
  </si>
  <si>
    <t>HAVALI LAKHA</t>
  </si>
  <si>
    <t>Dlr-1865</t>
  </si>
  <si>
    <t>BAHAWAL PUR MOTORS - BAHAWAL PUR</t>
  </si>
  <si>
    <t>BAHAWAL PUR</t>
  </si>
  <si>
    <t>Dlr-1866</t>
  </si>
  <si>
    <t>SALEEM YAMAHA CENTRE - BAHWAL PUR</t>
  </si>
  <si>
    <t>Dlr-1867</t>
  </si>
  <si>
    <t>MEHROZE YAMAHA PALACE - KOT ADDU</t>
  </si>
  <si>
    <t>Dlr-1868</t>
  </si>
  <si>
    <t>KOHAT YAMAHA CENTRE - KOHAT</t>
  </si>
  <si>
    <t>Dlr-1869</t>
  </si>
  <si>
    <t>AL-MADINA AUTOS - BADIN</t>
  </si>
  <si>
    <t>Dlr-1870</t>
  </si>
  <si>
    <t>ALI MOTORS, SHAHDAD KOT-SPD</t>
  </si>
  <si>
    <t>Dlr-1871</t>
  </si>
  <si>
    <t>ALTAF AUTOS, SHIKAR PUR-SPD</t>
  </si>
  <si>
    <t>SHEIKAR PUR</t>
  </si>
  <si>
    <t>Dlr-1873</t>
  </si>
  <si>
    <t>BOLAN YAMAHA CENTRE - DERA MURAD JAMALI</t>
  </si>
  <si>
    <t>DERAMURADJAMALI</t>
  </si>
  <si>
    <t>Dlr-1874</t>
  </si>
  <si>
    <t>AL-HAMMAD AUTOS, MURIDKAY-SPD</t>
  </si>
  <si>
    <t>Dlr-1875</t>
  </si>
  <si>
    <t>D. G. YAMAHA PALACE - D/G/KHAN</t>
  </si>
  <si>
    <t>Dlr-1877</t>
  </si>
  <si>
    <t>IMRAN YAMAHA CENTRE - MIRPUR-AK</t>
  </si>
  <si>
    <t>MIRPUR - AK</t>
  </si>
  <si>
    <t>Dlr-1878</t>
  </si>
  <si>
    <t>PAK KHARI YAMAHA CENTRE - JATLAN-AK</t>
  </si>
  <si>
    <t>JATLAN - AK</t>
  </si>
  <si>
    <t>Dlr-1879</t>
  </si>
  <si>
    <t>SYED AUTO CLUB, FAISALABAD-SPD</t>
  </si>
  <si>
    <t>FSR</t>
  </si>
  <si>
    <t>Dlr-1883</t>
  </si>
  <si>
    <t>REHMAN AUTOS, ABDUL HAKIM-SPD</t>
  </si>
  <si>
    <t>Dlr-1884</t>
  </si>
  <si>
    <t>IMRAN YAMAHA CENTRE, MIRPUR(A.K)-SPD</t>
  </si>
  <si>
    <t>Dlr-1886</t>
  </si>
  <si>
    <t>YOUSAF AUTOS - SIALKOT</t>
  </si>
  <si>
    <t>Dlr-1887</t>
  </si>
  <si>
    <t>CITY MOTORS - USTA MUHAMMAD</t>
  </si>
  <si>
    <t>Dlr-1894</t>
  </si>
  <si>
    <t>K.K AUTOS, KASHMOR-SPD</t>
  </si>
  <si>
    <t>Dlr-1895</t>
  </si>
  <si>
    <t>ALAMDAR YAMAHA CENTRE, QUETTA-SPD</t>
  </si>
  <si>
    <t>Dlr-1896</t>
  </si>
  <si>
    <t>MALIK &amp; SONS YAMAHA CENTER - CHOA SYDEN SHAH</t>
  </si>
  <si>
    <t>Dlr-1898</t>
  </si>
  <si>
    <t>PAK KHARI YAMAHA CENTRE, JATLAN (A.K)-SPD</t>
  </si>
  <si>
    <t>JATLAN (AK)</t>
  </si>
  <si>
    <t>Dlr-1900</t>
  </si>
  <si>
    <t>ASIM &amp; COMPANY - KARACHI</t>
  </si>
  <si>
    <t>Dlr-1902</t>
  </si>
  <si>
    <t>BISMILLAH AUTOS, MIAN CHUNNU-SPD</t>
  </si>
  <si>
    <t>MIAN CHUNNU</t>
  </si>
  <si>
    <t>Dlr-1903</t>
  </si>
  <si>
    <t>F.R.S AUTOS, FAISALABAD-SPD</t>
  </si>
  <si>
    <t>Dlr-1904</t>
  </si>
  <si>
    <t>HAJI AUTOS, MAILSI-SPD</t>
  </si>
  <si>
    <t>Dlr-1905</t>
  </si>
  <si>
    <t>BHATTI  AUTOS, DUNYA PUR-SPD</t>
  </si>
  <si>
    <t>DUNYA PUR</t>
  </si>
  <si>
    <t>Dlr-1906</t>
  </si>
  <si>
    <t>MUNIR AUTOS, LAYYAH-SPD</t>
  </si>
  <si>
    <t>Dlr-1907</t>
  </si>
  <si>
    <t>SADIQABAD YAMAHA CENTRE - SADIQABAD</t>
  </si>
  <si>
    <t>Dlr-1908</t>
  </si>
  <si>
    <t>YAMAHA CENTRE - SHAKARGARH</t>
  </si>
  <si>
    <t>Dlr-1909</t>
  </si>
  <si>
    <t>EHSANULLAH AFGHAN LIMITED - AFGANISTAN</t>
  </si>
  <si>
    <t>Dlr-1910</t>
  </si>
  <si>
    <t>JALAT KHAN &amp; CO; CHAMAN</t>
  </si>
  <si>
    <t>Dlr-1918</t>
  </si>
  <si>
    <t>KHURAM YAMAHA CENTRE - MULTAN</t>
  </si>
  <si>
    <t>Dlr-1921</t>
  </si>
  <si>
    <t>FEROZ AUTOS, MARDAN-SPD</t>
  </si>
  <si>
    <t>Dlr-1922</t>
  </si>
  <si>
    <t>NEW DANISH AUTOS, GUJRAT-SPD</t>
  </si>
  <si>
    <t>Dlr-1923</t>
  </si>
  <si>
    <t>YAZMAN AUTO STORE, YAZMAN-SPD</t>
  </si>
  <si>
    <t>Dlr-1927</t>
  </si>
  <si>
    <t>KAMRAN MOTORS - KAMALIA</t>
  </si>
  <si>
    <t>Dlr-1928</t>
  </si>
  <si>
    <t>NAUMAN AUTOS, KHANEWAL-SPD</t>
  </si>
  <si>
    <t>Dlr-1929</t>
  </si>
  <si>
    <t>MACCA CENTRE - LAHORE</t>
  </si>
  <si>
    <t>Dlr-1932</t>
  </si>
  <si>
    <t>STAR AUTOS,GUJRAT-SPD</t>
  </si>
  <si>
    <t>Dlr-1933</t>
  </si>
  <si>
    <t>ASAD MOTORS,CHINIOT-SPD</t>
  </si>
  <si>
    <t>Dlr-1934</t>
  </si>
  <si>
    <t>KOHAT AUTOS,KOHAT-SPD</t>
  </si>
  <si>
    <t>Dlr-1937</t>
  </si>
  <si>
    <t>SAMIULLAH KAHN &amp; BROS., MIANWALI-SPD</t>
  </si>
  <si>
    <t>Dlr-1939</t>
  </si>
  <si>
    <t>BAJAJ AUTOS - JACOBABAD</t>
  </si>
  <si>
    <t>Dlr-1941</t>
  </si>
  <si>
    <t>LATIF TRADERS - FAISALABAD</t>
  </si>
  <si>
    <t>Dlr-1942</t>
  </si>
  <si>
    <t>ITTEFAQ YAMAHA CENTRE - JEHANGIRA (NWFP)</t>
  </si>
  <si>
    <t>JEHANGIRA</t>
  </si>
  <si>
    <t>Dlr-1944</t>
  </si>
  <si>
    <t>SUPER AUTOS, JAMPUR-SPD</t>
  </si>
  <si>
    <t>Dlr-1945</t>
  </si>
  <si>
    <t>JAPAN AUTO TRADERS, SAHIWAL-SPD</t>
  </si>
  <si>
    <t>Dlr-1946</t>
  </si>
  <si>
    <t>MALIK MOTORS, TANDLIANWALA-SPD</t>
  </si>
  <si>
    <t>Dlr-1947</t>
  </si>
  <si>
    <t>MUBARAK AUTOS, KHURIANWALA-SPD</t>
  </si>
  <si>
    <t>Dlr-1948</t>
  </si>
  <si>
    <t>NASEER &amp; COMPANY, QUAID ABAD-SPD</t>
  </si>
  <si>
    <t>QUAID ABAD</t>
  </si>
  <si>
    <t>Dlr-1950</t>
  </si>
  <si>
    <t>WASEEM YAMAHA - KAMAR MUSHANI</t>
  </si>
  <si>
    <t>Dlr-1951</t>
  </si>
  <si>
    <t>NASEER AND CO. - QUAID ABAD</t>
  </si>
  <si>
    <t>Dlr-1952</t>
  </si>
  <si>
    <t>CHOHAN AUTOS - GUJRANWALA</t>
  </si>
  <si>
    <t>Dlr-1953</t>
  </si>
  <si>
    <t>BILAL TRADERS - ARIFWALA</t>
  </si>
  <si>
    <t>Dlr-1955</t>
  </si>
  <si>
    <t>AL-RAHEEM TRADERS - KHUDIAN KHAS</t>
  </si>
  <si>
    <t>KHUDIAN KHAS</t>
  </si>
  <si>
    <t>Dlr-1960</t>
  </si>
  <si>
    <t>ALI AUTOS - SUKKUR</t>
  </si>
  <si>
    <t>Dlr-1962</t>
  </si>
  <si>
    <t>FAIZ MOTORS - SHAH KOT</t>
  </si>
  <si>
    <t>SHAH KOT</t>
  </si>
  <si>
    <t>Dlr-1965</t>
  </si>
  <si>
    <t>AL-MAKKAH AUTOS, SHAHDADPUR-SPD</t>
  </si>
  <si>
    <t>SHAHDADPUR</t>
  </si>
  <si>
    <t>Dlr-1966</t>
  </si>
  <si>
    <t>TUAHA AUTOS,GUJRANWALA -SPD</t>
  </si>
  <si>
    <t>Dlr-1969</t>
  </si>
  <si>
    <t>NEW SHAMA AUTOS, DADYAL(A.K)-SPD</t>
  </si>
  <si>
    <t>DADYAL(A.K)</t>
  </si>
  <si>
    <t>Dlr-1970</t>
  </si>
  <si>
    <t>FRIENDS AUTOS, AZAD KASHMIR-SPD</t>
  </si>
  <si>
    <t>Dlr-1972</t>
  </si>
  <si>
    <t>BEWL-UNIT-DCL-SPD</t>
  </si>
  <si>
    <t>BALOCHISTAN</t>
  </si>
  <si>
    <t>Dlr-1977</t>
  </si>
  <si>
    <t>HUSSNAIN MOTORS - HUJRA SHAH MUQEEM</t>
  </si>
  <si>
    <t>HUJRA S. MUQEEM</t>
  </si>
  <si>
    <t>Dlr-1981</t>
  </si>
  <si>
    <t>MALIK AUTOMOBILES - FAISALABAD</t>
  </si>
  <si>
    <t>Dlr-1983</t>
  </si>
  <si>
    <t>YAMAHA MEHRAN AUTOS - TAANDO ADAM</t>
  </si>
  <si>
    <t>Dlr-1984</t>
  </si>
  <si>
    <t>KANDHKOT YAMAHA CENTRE - KANDHKOT</t>
  </si>
  <si>
    <t>Dlr-1987</t>
  </si>
  <si>
    <t>MALIK AUTO TRADERS - LAHORE</t>
  </si>
  <si>
    <t>Dlr-1998</t>
  </si>
  <si>
    <t>SULTAN BAHOO AUTOS - GARH MORE</t>
  </si>
  <si>
    <t>Dlr-2013</t>
  </si>
  <si>
    <t>KHURSHEED TRADERS - FAISALABAD</t>
  </si>
  <si>
    <t>Dlr-2016</t>
  </si>
  <si>
    <t>AL-DUBAI AUTOS - HUB</t>
  </si>
  <si>
    <t>Dlr-2022</t>
  </si>
  <si>
    <t>AL-KHAIRY MOTORS - MIAN CHANNU</t>
  </si>
  <si>
    <t>Dlr-2023</t>
  </si>
  <si>
    <t>CHISTIAN MOTORS - CHISTIAN</t>
  </si>
  <si>
    <t>Dlr-2026</t>
  </si>
  <si>
    <t>AUTO CITY - LAHORE</t>
  </si>
  <si>
    <t>Dlr-2030</t>
  </si>
  <si>
    <t>TAHIR TRADERS - LAHORE</t>
  </si>
  <si>
    <t>Dlr-2032</t>
  </si>
  <si>
    <t>PAN AUTO LEASING - RAWALPINDI</t>
  </si>
  <si>
    <t>Dlr-2033</t>
  </si>
  <si>
    <t>NEW YAMAHA AUTO SALES - MIRPURKHAS</t>
  </si>
  <si>
    <t>Dlr-2035</t>
  </si>
  <si>
    <t>AHMED YAMAHA CENTRE - SWABI</t>
  </si>
  <si>
    <t>Dlr-2039</t>
  </si>
  <si>
    <t>AUTOCITY (PRIVATE) LIMITED - LIAQUATPUR</t>
  </si>
  <si>
    <t>Dlr-2042</t>
  </si>
  <si>
    <t>NEW NAWAB AUTOS - KARACHI</t>
  </si>
  <si>
    <t>Dlr-2044</t>
  </si>
  <si>
    <t>MUHAMMADI AUTOS - JEHLUM</t>
  </si>
  <si>
    <t>Dlr-2046</t>
  </si>
  <si>
    <t>KHAN &amp; BROTHERS - GUJRANWALA</t>
  </si>
  <si>
    <t>Dlr-2047</t>
  </si>
  <si>
    <t>S. Z. AUTOMOBILES - LAHORE</t>
  </si>
  <si>
    <t>Dlr-2049</t>
  </si>
  <si>
    <t>ABDULLAH HANIF AUTOS - LALAMUSA</t>
  </si>
  <si>
    <t>LALAMUSA</t>
  </si>
  <si>
    <t>Dlr-2050</t>
  </si>
  <si>
    <t>KANDKOT YAMAHA CENTRE - SPD</t>
  </si>
  <si>
    <t>KANDH KOT</t>
  </si>
  <si>
    <t>Dlr-2051</t>
  </si>
  <si>
    <t>NEW HAJI AUTOS, KEHROR PACCA - SPD</t>
  </si>
  <si>
    <t>KEHROR PACCA</t>
  </si>
  <si>
    <t>Dlr-2052</t>
  </si>
  <si>
    <t>SHAMIM AUTOS, KARACHI - SPD</t>
  </si>
  <si>
    <t>Dlr-2053</t>
  </si>
  <si>
    <t>DOLTALA YAMAHA MOTORS - DOLTALA</t>
  </si>
  <si>
    <t>Dlr-2054</t>
  </si>
  <si>
    <t>WINDER AUTOS - SPD</t>
  </si>
  <si>
    <t>WINDER</t>
  </si>
  <si>
    <t>Dlr-2065</t>
  </si>
  <si>
    <t>ABDUL - REHMAN AUTOS, LALAMUSA - SPD</t>
  </si>
  <si>
    <t>Dlr-2073</t>
  </si>
  <si>
    <t>FRIEND AUTOS, FAZIL PUR - SPD</t>
  </si>
  <si>
    <t>FAZIL PUR</t>
  </si>
  <si>
    <t>Dlr-2074</t>
  </si>
  <si>
    <t>QURESHI AUTOS, KHANEWAL - SPD</t>
  </si>
  <si>
    <t>Dlr-2075</t>
  </si>
  <si>
    <t>JALLAT KHAN &amp; CO., CHAMAN - SPD</t>
  </si>
  <si>
    <t>Dlr-2076</t>
  </si>
  <si>
    <t>RAVI TRADERS - GOJRA</t>
  </si>
  <si>
    <t>Dlr-2077</t>
  </si>
  <si>
    <t>FRIENDS AUTOS - FAZIL PUR</t>
  </si>
  <si>
    <t>Dlr-2078</t>
  </si>
  <si>
    <t>NEW AMIN AUTOS - GUJAR KHAN</t>
  </si>
  <si>
    <t>Dlr-2079</t>
  </si>
  <si>
    <t>NEW TAJ AUTOS - ATTOCK</t>
  </si>
  <si>
    <t>Dlr-2081</t>
  </si>
  <si>
    <t>CHAKWAL YAMAHA CENTRE - CHAKWAL</t>
  </si>
  <si>
    <t>Dlr-2082</t>
  </si>
  <si>
    <t>YAMA ZONE, FAISALABAD - SPD</t>
  </si>
  <si>
    <t>Dlr-2083</t>
  </si>
  <si>
    <t>BABAR AUTOS - KANDIARO</t>
  </si>
  <si>
    <t>KANDIARO</t>
  </si>
  <si>
    <t>Dlr-2085</t>
  </si>
  <si>
    <t>GHAKAR AUTOS</t>
  </si>
  <si>
    <t>HASSAN ABDAL</t>
  </si>
  <si>
    <t>Dlr-2086</t>
  </si>
  <si>
    <t>JAMAL YAMAHA CENTRE</t>
  </si>
  <si>
    <t>Dlr-2087</t>
  </si>
  <si>
    <t>AZAM TRADERS - MIRPUR - AK</t>
  </si>
  <si>
    <t>Dlr-2089</t>
  </si>
  <si>
    <t>BABAR DYL MOTORS - SADIQABAD</t>
  </si>
  <si>
    <t>Dlr-2090</t>
  </si>
  <si>
    <t>KAMRAN MOTORS RAHIM YAR KHAN - SPD</t>
  </si>
  <si>
    <t>Dlr-2093</t>
  </si>
  <si>
    <t>RANA YAMAHA CENTRE - QUAIDABAD</t>
  </si>
  <si>
    <t>Dlr-2094</t>
  </si>
  <si>
    <t>KHAWAJA BROTHERS - BHALWAL</t>
  </si>
  <si>
    <t>Dlr-2095</t>
  </si>
  <si>
    <t>AL-SALEEM YAMAHA CENTRE, SHUJABAD-SPD</t>
  </si>
  <si>
    <t>Dlr-2096</t>
  </si>
  <si>
    <t>IMRAN AUTOS, KAMALIA - SPD</t>
  </si>
  <si>
    <t>Dlr-2101</t>
  </si>
  <si>
    <t>KHAWAJA BROTHERS, BHALWAL - SPD</t>
  </si>
  <si>
    <t>Dlr-2102</t>
  </si>
  <si>
    <t>AHMAD AUTOS, SAWABI - SPD</t>
  </si>
  <si>
    <t>Dlr-2104</t>
  </si>
  <si>
    <t>RANA MOTORS - SHEHDADPUR</t>
  </si>
  <si>
    <t>Dlr-2105</t>
  </si>
  <si>
    <t>ROYALE AUTOS - SIALKOT</t>
  </si>
  <si>
    <t>Dlr-2107</t>
  </si>
  <si>
    <t>DHOOM SERVICE CENTRE</t>
  </si>
  <si>
    <t>Dlr-2111</t>
  </si>
  <si>
    <t>BALUCHSITAN ENGINEERING WORKS LTD - UNTI ELECOM</t>
  </si>
  <si>
    <t>Dlr-2115</t>
  </si>
  <si>
    <t>JAVED AUTOS - LARKANA</t>
  </si>
  <si>
    <t>Dlr-2116</t>
  </si>
  <si>
    <t>BILAL MOTORCYCLE COMPANY - JAND</t>
  </si>
  <si>
    <t>Dlr-2120</t>
  </si>
  <si>
    <t>NOOR AUTOS, MORO SINDH - SPD</t>
  </si>
  <si>
    <t>Dlr-2121</t>
  </si>
  <si>
    <t>SHOAIB YAMAHA CNTRE</t>
  </si>
  <si>
    <t>Dlr-2122</t>
  </si>
  <si>
    <t>ALI YAMAHA CENTRE</t>
  </si>
  <si>
    <t>Dlr-2123</t>
  </si>
  <si>
    <t>AYAZ AUTOS, MARDAN</t>
  </si>
  <si>
    <t>Dlr-2127</t>
  </si>
  <si>
    <t>SULTAN AUTOS - LAHORE</t>
  </si>
  <si>
    <t>Dlr-2129</t>
  </si>
  <si>
    <t>RAFI &amp; SONS, SADDAR - KARACHI</t>
  </si>
  <si>
    <t>Dlr-2130</t>
  </si>
  <si>
    <t>RAFI &amp; SONS, KORANGI - KARACHI</t>
  </si>
  <si>
    <t>Dlr-2131</t>
  </si>
  <si>
    <t>RAFI ELECTRONICS, MALIR - KARACHI</t>
  </si>
  <si>
    <t>Dlr-2134</t>
  </si>
  <si>
    <t>ALI SAMAR AUTOS</t>
  </si>
  <si>
    <t>Dlr-2140</t>
  </si>
  <si>
    <t>SHAHEEN AUTOS - SHARAQPUR SHARIF</t>
  </si>
  <si>
    <t>SHARAQPUR</t>
  </si>
  <si>
    <t>Dlr-2141</t>
  </si>
  <si>
    <t>BABAR DYL MOTORS - SADIQABAD - SPD</t>
  </si>
  <si>
    <t>Dlr-2142</t>
  </si>
  <si>
    <t>AHMED MOTORS - MALIKWAL</t>
  </si>
  <si>
    <t>Dlr-2143</t>
  </si>
  <si>
    <t>RANA DYL MOTORS - ROHILLAN WALI</t>
  </si>
  <si>
    <t>ROHILLAN WALI</t>
  </si>
  <si>
    <t>Dlr-2144</t>
  </si>
  <si>
    <t>ASHRAF AUTOS SERVICE (A.S.S.) - MELSI</t>
  </si>
  <si>
    <t>Dlr-2145</t>
  </si>
  <si>
    <t>ISLAM AUTOS SERVICE</t>
  </si>
  <si>
    <t>Dlr-2146</t>
  </si>
  <si>
    <t>RANA YAMAHA CENTRE - QUAIDABAD - SPD</t>
  </si>
  <si>
    <t>Dlr-2147</t>
  </si>
  <si>
    <t>SAHOOLAT TRANSPORT AUTOS, KARACHI - SPD</t>
  </si>
  <si>
    <t>Dlr-2148</t>
  </si>
  <si>
    <t>ARSLAN AUTO WORKSHOP</t>
  </si>
  <si>
    <t>Dlr-2150</t>
  </si>
  <si>
    <t>SHEHZAD AWAN SERVICE CENTER</t>
  </si>
  <si>
    <t>Dlr-2155</t>
  </si>
  <si>
    <t>DIGRI MOTOR BIKE CENTRE - DIGRI</t>
  </si>
  <si>
    <t>Dlr-2157</t>
  </si>
  <si>
    <t>FRIENDS YAMAHA CENTRE - PIND DADAN KHAN</t>
  </si>
  <si>
    <t>Dlr-2158</t>
  </si>
  <si>
    <t>KAUSAR CYCLE STORES - LAHORE</t>
  </si>
  <si>
    <t>Dlr-2159</t>
  </si>
  <si>
    <t>SAEED AUTOS SERVICE (A.S.S)</t>
  </si>
  <si>
    <t>Dlr-2161</t>
  </si>
  <si>
    <t>WAHID AUTOS - GUJRANWALA</t>
  </si>
  <si>
    <t>Dlr-2166</t>
  </si>
  <si>
    <t>LUCKY AUTOS - ABBOTABAD</t>
  </si>
  <si>
    <t>Dlr-2167</t>
  </si>
  <si>
    <t>LAKKI AUTOS</t>
  </si>
  <si>
    <t>ABBATTABAD</t>
  </si>
  <si>
    <t>Dlr-2170</t>
  </si>
  <si>
    <t>PUNJTAN PAK PALACE - CHOWK 18 HAZARI</t>
  </si>
  <si>
    <t>CHOWK 18 HAZARI</t>
  </si>
  <si>
    <t>Dlr-2171</t>
  </si>
  <si>
    <t>KHUSHAB MOTORS - KHUSHAB</t>
  </si>
  <si>
    <t>Dlr-2173</t>
  </si>
  <si>
    <t>SAJJAD AUTOS SERVICE CENTER</t>
  </si>
  <si>
    <t>HAZRO</t>
  </si>
  <si>
    <t>Dlr-2174</t>
  </si>
  <si>
    <t>NEW PRINCE AUTO CENTRE - CHOA KHALSA</t>
  </si>
  <si>
    <t>CHOA KHALSA</t>
  </si>
  <si>
    <t>Dlr-2175</t>
  </si>
  <si>
    <t>SIBBI DHOOM CENTRE - SIBBI</t>
  </si>
  <si>
    <t>Dlr-2176</t>
  </si>
  <si>
    <t>HASEEB AUTOS, KARAK - SPD</t>
  </si>
  <si>
    <t>Dlr-2177</t>
  </si>
  <si>
    <t>ATTA AUTOS</t>
  </si>
  <si>
    <t>MIRPUR AK</t>
  </si>
  <si>
    <t>Dlr-2179</t>
  </si>
  <si>
    <t>MOON AUTOS (ISLAM GARH - AK)</t>
  </si>
  <si>
    <t>ISLAM GARH</t>
  </si>
  <si>
    <t>Dlr-2180</t>
  </si>
  <si>
    <t>DYL CITY CENTRE - KHAIR PUR TAMEWALI</t>
  </si>
  <si>
    <t>K. R. TAMEWALI</t>
  </si>
  <si>
    <t>Dlr-2181</t>
  </si>
  <si>
    <t>RANA BUSINESS CORPORATION - LAHORE</t>
  </si>
  <si>
    <t>Dlr-2182</t>
  </si>
  <si>
    <t>IMRAN TRADERS - FEROZWATWAN</t>
  </si>
  <si>
    <t>FEROZWATWAN</t>
  </si>
  <si>
    <t>Dlr-2187</t>
  </si>
  <si>
    <t>BISMILLAH AUTO SERVICE (A.S.S.)</t>
  </si>
  <si>
    <t>MAKHDOM RASHEED</t>
  </si>
  <si>
    <t>Dlr-2189</t>
  </si>
  <si>
    <t>TAJ MOTORS, DIJKO - SPD</t>
  </si>
  <si>
    <t>Dlr-2190</t>
  </si>
  <si>
    <t>UNIVERSAL MOTORS - SIALKOT</t>
  </si>
  <si>
    <t>Dlr-2191</t>
  </si>
  <si>
    <t>SUBHAN TRADERS - GUJRANWALA</t>
  </si>
  <si>
    <t>Dlr-2195</t>
  </si>
  <si>
    <t>HUSSAIN DYL CENTRE - MULTAN</t>
  </si>
  <si>
    <t>Dlr-2196</t>
  </si>
  <si>
    <t>HAIDARY TRADERS - GUJAR KHAN</t>
  </si>
  <si>
    <t>Dlr-2197</t>
  </si>
  <si>
    <t>ASKARI DHOOM CENTER - PISHIN</t>
  </si>
  <si>
    <t>Dlr-2198</t>
  </si>
  <si>
    <t>PAKISTAN AUTOS SERVICE</t>
  </si>
  <si>
    <t>Dlr-2199</t>
  </si>
  <si>
    <t>SHAHEEN TRADERS, SHARAQPUR SHARIF - SPD</t>
  </si>
  <si>
    <t>SHRAQPUR SHARIF</t>
  </si>
  <si>
    <t>Dlr-2201</t>
  </si>
  <si>
    <t>AL-SHARIF AUTOS - LAHORE</t>
  </si>
  <si>
    <t>Dlr-2203</t>
  </si>
  <si>
    <t>M. NADEEM AUTOS SERVICE</t>
  </si>
  <si>
    <t>PAK PATTAN</t>
  </si>
  <si>
    <t>Dlr-2209</t>
  </si>
  <si>
    <t>NEW MULTAN YAMAHA CENTRE - MULTAN</t>
  </si>
  <si>
    <t>Dlr-2210</t>
  </si>
  <si>
    <t>NISAR MOTORS - SHEHR SULTAN</t>
  </si>
  <si>
    <t>SHEHR SULTAN</t>
  </si>
  <si>
    <t>Dlr-2211</t>
  </si>
  <si>
    <t>TARIQ AUTOS - RAWALPINDI</t>
  </si>
  <si>
    <t>Dlr-2213</t>
  </si>
  <si>
    <t>MEHREEN AUTOS, SIALKOT - SPD</t>
  </si>
  <si>
    <t>Dlr-2214</t>
  </si>
  <si>
    <t>FARHAN AUTOS, BHIMBER (A.K.) - SPD</t>
  </si>
  <si>
    <t>CHOWKI (A.K.)</t>
  </si>
  <si>
    <t>Dlr-2216</t>
  </si>
  <si>
    <t>AL SHAFI MOTORS - BUREWALA</t>
  </si>
  <si>
    <t>Dlr-2217</t>
  </si>
  <si>
    <t>GHOUSIA AUTOS, HYDERABAD - SPD</t>
  </si>
  <si>
    <t>Dlr-2218</t>
  </si>
  <si>
    <t>NOORANI AUTOS, HYDERABAD - SPD</t>
  </si>
  <si>
    <t>Dlr-2219</t>
  </si>
  <si>
    <t>ZEESHAN AUTOS, SAKRAND - SPD</t>
  </si>
  <si>
    <t>Dlr-2220</t>
  </si>
  <si>
    <t>ASHIQUE AUTOS, MEHRABPUR - SPD</t>
  </si>
  <si>
    <t>Dlr-2221</t>
  </si>
  <si>
    <t>AQEEL &amp; SOHAIL AUTOS, KARACHI - SPD</t>
  </si>
  <si>
    <t>Dlr-2222</t>
  </si>
  <si>
    <t>AL - DUBAI AUTOS, HUB - SPD</t>
  </si>
  <si>
    <t>Dlr-2224</t>
  </si>
  <si>
    <t>JAVED AUTOS, LARKANA - SPD</t>
  </si>
  <si>
    <t>Dlr-2232</t>
  </si>
  <si>
    <t>BISMILLAH AUTOS, TANDO ADAM - SPD</t>
  </si>
  <si>
    <t>Dlr-2234</t>
  </si>
  <si>
    <t>NEW AHSAN MOTORS - RAWAT</t>
  </si>
  <si>
    <t>RAWAT</t>
  </si>
  <si>
    <t>Dlr-2235</t>
  </si>
  <si>
    <t>SIKANDAR AUTOS, LAHORE - SPD</t>
  </si>
  <si>
    <t>Dlr-2238</t>
  </si>
  <si>
    <t>RANA MOTORS - JARANWALA</t>
  </si>
  <si>
    <t>Dlr-2239</t>
  </si>
  <si>
    <t>NEW MUMTAZ AUTOS, WAZIRABAD - SPD</t>
  </si>
  <si>
    <t>Dlr-2240</t>
  </si>
  <si>
    <t>NEW AL-RAHEEM TRADERS, KHUDIAN KHAS - SPD</t>
  </si>
  <si>
    <t>Dlr-2241</t>
  </si>
  <si>
    <t>HUSSAIN DYL CENTRE, MULTAN - SPD</t>
  </si>
  <si>
    <t>Dlr-2242</t>
  </si>
  <si>
    <t>EMAD TRADERS, RAWALPINDI - SPD</t>
  </si>
  <si>
    <t>Dlr-2250</t>
  </si>
  <si>
    <t>HAIDER MOTORCYCLE CNETRE - FATEH JHANG</t>
  </si>
  <si>
    <t>FATEH JHANG</t>
  </si>
  <si>
    <t>Dlr-2251</t>
  </si>
  <si>
    <t>CHAKWAL YAMAHA CENTER, CHAKWAL - SPD</t>
  </si>
  <si>
    <t>Dlr-2252</t>
  </si>
  <si>
    <t>NEW YAMAHA DISPLAY CENTRE, PESHAWAR - SPD</t>
  </si>
  <si>
    <t>Dlr-2254</t>
  </si>
  <si>
    <t>SUNDRY LUBE DEBTORS - LRO</t>
  </si>
  <si>
    <t>Dlr-2255</t>
  </si>
  <si>
    <t>SUNDRY LUBE DEBTORS - MRO</t>
  </si>
  <si>
    <t>Dlr-2256</t>
  </si>
  <si>
    <t>SUNDRY LUBE DEBTORS - RRO</t>
  </si>
  <si>
    <t>Dlr-2257</t>
  </si>
  <si>
    <t>SUNDRY LUBE DEBTORS - KRO</t>
  </si>
  <si>
    <t>Dlr-2260</t>
  </si>
  <si>
    <t>DYL MOTORCYCLE LTD - HEAD OFFICE</t>
  </si>
  <si>
    <t>Dlr-2261</t>
  </si>
  <si>
    <t>M.S. GANATRA SERVICES</t>
  </si>
  <si>
    <t>Dlr-2262</t>
  </si>
  <si>
    <t>KHAWAR AUTOS, GUJRANWALA - SPD</t>
  </si>
  <si>
    <t>Dlr-2263</t>
  </si>
  <si>
    <t>AYYUB AUTOS, MANDIBAHAUDDIN - SPD</t>
  </si>
  <si>
    <t>MANDIBAHAUDDIN</t>
  </si>
  <si>
    <t>Dlr-2264</t>
  </si>
  <si>
    <t>SAAD AUTOS</t>
  </si>
  <si>
    <t>Dlr-2267</t>
  </si>
  <si>
    <t>JAVED AUTOS, SIALKOT - SPD</t>
  </si>
  <si>
    <t>Dlr-2268</t>
  </si>
  <si>
    <t>MUSTAFA AUTOS, SIALKOT - SPD</t>
  </si>
  <si>
    <t>Dlr-2269</t>
  </si>
  <si>
    <t>MUNAWAR AUTOS, MALAKWAL - SPD</t>
  </si>
  <si>
    <t>Dlr-2270</t>
  </si>
  <si>
    <t>NEW ARIF AUTOS, KARACHI - SPD</t>
  </si>
  <si>
    <t>Dlr-2271</t>
  </si>
  <si>
    <t>SUBHAN MOTORS - ARIFWALA</t>
  </si>
  <si>
    <t>Dlr-2273</t>
  </si>
  <si>
    <t>RANA AUTOS - ISLAMABAD</t>
  </si>
  <si>
    <t>Dlr-2278</t>
  </si>
  <si>
    <t>NEW TAJ AUTO SERVICE</t>
  </si>
  <si>
    <t>Dlr-2279</t>
  </si>
  <si>
    <t>MAALIK AUTOS SERVICE</t>
  </si>
  <si>
    <t>K. P. TAMIWALI</t>
  </si>
  <si>
    <t>Dlr-2290</t>
  </si>
  <si>
    <t>SOHAIL AUTO SERVICE</t>
  </si>
  <si>
    <t>Dlr-2291</t>
  </si>
  <si>
    <t>FAKHAR-E-AZAD AUTO SERVICE</t>
  </si>
  <si>
    <t>Dlr-2294</t>
  </si>
  <si>
    <t>YAMA - HOUSE - FAISALABAD</t>
  </si>
  <si>
    <t>Dlr-2298</t>
  </si>
  <si>
    <t>IMRAN MOTORS, SHEIKHUPURA - SPD</t>
  </si>
  <si>
    <t>Dlr-2299</t>
  </si>
  <si>
    <t>INAM AUTOS</t>
  </si>
  <si>
    <t>SIR SOBA SHAH</t>
  </si>
  <si>
    <t>Dlr-2302</t>
  </si>
  <si>
    <t>BEWEL AUTOS</t>
  </si>
  <si>
    <t>KALAR SYEDAN</t>
  </si>
  <si>
    <t>Dlr-2304</t>
  </si>
  <si>
    <t>SHAFQAT TRADERS, FORT ABBAS - SPD</t>
  </si>
  <si>
    <t>Dlr-2306</t>
  </si>
  <si>
    <t>AWAIS AUTOS, JHELUM - SPD</t>
  </si>
  <si>
    <t>Dlr-2307</t>
  </si>
  <si>
    <t>STAR AUTOS - SWAT</t>
  </si>
  <si>
    <t>SWAT</t>
  </si>
  <si>
    <t>Dlr-2309</t>
  </si>
  <si>
    <t>AL-KHALEEJ AUTOS, WINDER - SPD</t>
  </si>
  <si>
    <t>Dlr-2310</t>
  </si>
  <si>
    <t>CENTRAL TECHNICAL DOCUMENTATION DEPARTMENT</t>
  </si>
  <si>
    <t>Dlr-2312</t>
  </si>
  <si>
    <t>CITY MOTORS, USTA MUHAMMED - SPD</t>
  </si>
  <si>
    <t>USTA MUHAMMED</t>
  </si>
  <si>
    <t>Dlr-2313</t>
  </si>
  <si>
    <t>JAVAID AUTOS, LAHORE - SPD</t>
  </si>
  <si>
    <t>Dlr-2333</t>
  </si>
  <si>
    <t>SUNDRY LUBE CUSTOMER - RAWALPINDI</t>
  </si>
  <si>
    <t>Dlr-2336</t>
  </si>
  <si>
    <t>SHAH AUTOS - DARGAI</t>
  </si>
  <si>
    <t>DARGAI</t>
  </si>
  <si>
    <t>Dlr-2337</t>
  </si>
  <si>
    <t>KHURAM YAMAHA CENTER, MULTAN - SPD</t>
  </si>
  <si>
    <t>Dlr-2339</t>
  </si>
  <si>
    <t>NEW EXPRESS AUTOS - PIND DADAN KHAN</t>
  </si>
  <si>
    <t>Dlr-2343</t>
  </si>
  <si>
    <t>NEW PUNJNAD AUTOS - AHMED PUR EAST</t>
  </si>
  <si>
    <t>Dlr-2345</t>
  </si>
  <si>
    <t>UMAIR TRADERS - SARGODHA</t>
  </si>
  <si>
    <t>Dlr-2346</t>
  </si>
  <si>
    <t>D.G. YAMAHA PALACE, D.G. KHAN - SPD</t>
  </si>
  <si>
    <t>D.G. KHAN</t>
  </si>
  <si>
    <t>Dlr-2349</t>
  </si>
  <si>
    <t>DATA MOTORS - JAMAL DIN WALI</t>
  </si>
  <si>
    <t>JAMAL DIN WALI</t>
  </si>
  <si>
    <t>Dlr-2350</t>
  </si>
  <si>
    <t>KHAN TRADERS - FAROOQ ABAD</t>
  </si>
  <si>
    <t>FAROOQ ABAD</t>
  </si>
  <si>
    <t>Dlr-2396</t>
  </si>
  <si>
    <t>RAVI CENTRE - LAHORE</t>
  </si>
  <si>
    <t>Dlr-2405</t>
  </si>
  <si>
    <t>MEHBOOB MOTOR BIKE CENTRE - KHOIRATTA - AK</t>
  </si>
  <si>
    <t>KHOIRATTA</t>
  </si>
  <si>
    <t>Dlr-2406</t>
  </si>
  <si>
    <t>YAMA CLUB - LAHORE</t>
  </si>
  <si>
    <t>CHINIOT</t>
  </si>
  <si>
    <t>KHUSHAB</t>
  </si>
  <si>
    <t>GOJRA</t>
  </si>
  <si>
    <t>JHANG</t>
  </si>
  <si>
    <t>SHORKOT</t>
  </si>
  <si>
    <t>KAMALIA</t>
  </si>
  <si>
    <t>DIJKOT</t>
  </si>
  <si>
    <t>SAHIWAL</t>
  </si>
  <si>
    <t>OKARA</t>
  </si>
  <si>
    <t>KASUR</t>
  </si>
  <si>
    <t>TAXILA</t>
  </si>
  <si>
    <t>Khan Motors</t>
  </si>
  <si>
    <t>PINDI GHEB</t>
  </si>
  <si>
    <t>JAND</t>
  </si>
  <si>
    <t>ATTOCK</t>
  </si>
  <si>
    <t>DOLTALA</t>
  </si>
  <si>
    <t>ISLAMABAD</t>
  </si>
  <si>
    <t>Sarhad Yamaha Center</t>
  </si>
  <si>
    <t>KARAK</t>
  </si>
  <si>
    <t>KOHAT</t>
  </si>
  <si>
    <t>BANNU</t>
  </si>
  <si>
    <t>JHELUM</t>
  </si>
  <si>
    <t>DINA</t>
  </si>
  <si>
    <t>DADYAL</t>
  </si>
  <si>
    <t>KHI</t>
  </si>
  <si>
    <t>HUB</t>
  </si>
  <si>
    <t>BADIN</t>
  </si>
  <si>
    <t>DIGRI</t>
  </si>
  <si>
    <t>TANDO ADAM</t>
  </si>
  <si>
    <t>THATTA</t>
  </si>
  <si>
    <t>MORO</t>
  </si>
  <si>
    <t>MEHRABPUR</t>
  </si>
  <si>
    <t>GAMBAT</t>
  </si>
  <si>
    <t>SUKKUR</t>
  </si>
  <si>
    <t>LARKANA</t>
  </si>
  <si>
    <t>JACOBABAD</t>
  </si>
  <si>
    <t>KANDHKOT</t>
  </si>
  <si>
    <t>SAKRAND</t>
  </si>
  <si>
    <t>SIBBI</t>
  </si>
  <si>
    <t>CHAMAN</t>
  </si>
  <si>
    <t>PASHIN</t>
  </si>
  <si>
    <t>QUETTA</t>
  </si>
  <si>
    <t>QANDHAR</t>
  </si>
  <si>
    <t>KHANPUR</t>
  </si>
  <si>
    <t>PUNJNAD AUTOS</t>
  </si>
  <si>
    <t>LODHRAN</t>
  </si>
  <si>
    <t>YAZMAN</t>
  </si>
  <si>
    <t>ISLAM MOTORS</t>
  </si>
  <si>
    <t>JATOI</t>
  </si>
  <si>
    <t>ADEEL MOTORS</t>
  </si>
  <si>
    <t>GULISTAN AUTOS</t>
  </si>
  <si>
    <t>RAHIM MOTORS</t>
  </si>
  <si>
    <t>NAJJO AUTOS</t>
  </si>
  <si>
    <t>JAMPUR</t>
  </si>
  <si>
    <t>AHMED BILAL MOTORS</t>
  </si>
  <si>
    <t>RAJANPUR</t>
  </si>
  <si>
    <t>LAYYAH</t>
  </si>
  <si>
    <t>KASHMOR</t>
  </si>
  <si>
    <t>FATEHPUR</t>
  </si>
  <si>
    <t>FORTABBAS</t>
  </si>
  <si>
    <t>USMAN MOTORS</t>
  </si>
  <si>
    <t>ZAFAR MOTORS</t>
  </si>
  <si>
    <t>VEHARI MOTORS</t>
  </si>
  <si>
    <t>VEHARI</t>
  </si>
  <si>
    <t>BUREWALA</t>
  </si>
  <si>
    <t>KHANEWAL</t>
  </si>
  <si>
    <t>ARIFWALA</t>
  </si>
  <si>
    <t>PAKPATTAN</t>
  </si>
  <si>
    <t>SHAN TRADERS</t>
  </si>
  <si>
    <t>KABIRWALA</t>
  </si>
  <si>
    <t>GONDAL AUTOS</t>
  </si>
  <si>
    <t>MULTAN</t>
  </si>
  <si>
    <t>MAILSI</t>
  </si>
  <si>
    <t>SHUJABAD</t>
  </si>
  <si>
    <t>JAHANIAN</t>
  </si>
  <si>
    <t>Lahore</t>
  </si>
  <si>
    <t>Karachi</t>
  </si>
  <si>
    <t>Quetta</t>
  </si>
  <si>
    <t>KARACHI</t>
  </si>
  <si>
    <t>TANDLIANWALA</t>
  </si>
  <si>
    <t>C</t>
  </si>
  <si>
    <t>HYDERABAD</t>
  </si>
  <si>
    <t>GHOTKI</t>
  </si>
  <si>
    <t>RENALA KHURD</t>
  </si>
  <si>
    <t>MIRPURKHAS</t>
  </si>
  <si>
    <t>LAHORE</t>
  </si>
  <si>
    <t>FAISALABAD</t>
  </si>
  <si>
    <t>JARANWALA</t>
  </si>
  <si>
    <t>DEPALPUR</t>
  </si>
  <si>
    <t>NAWABSHAH</t>
  </si>
  <si>
    <t>SHEIKHUPURA</t>
  </si>
  <si>
    <t>MANGA MANDI</t>
  </si>
  <si>
    <t>SADIQABAD</t>
  </si>
  <si>
    <t>ELLAHABAD</t>
  </si>
  <si>
    <t>R.Y.KHAN</t>
  </si>
  <si>
    <t>KHURIANWALA</t>
  </si>
  <si>
    <t>SARGODHA</t>
  </si>
  <si>
    <t>MURIDKAY</t>
  </si>
  <si>
    <t>CHAKWAL</t>
  </si>
  <si>
    <t>B</t>
  </si>
  <si>
    <t>KHAN BELA</t>
  </si>
  <si>
    <t>TALAGANG</t>
  </si>
  <si>
    <t>LIAQUATPUR</t>
  </si>
  <si>
    <t>MIANWALI</t>
  </si>
  <si>
    <t>BAHAWALPUR</t>
  </si>
  <si>
    <t>KHARIAN</t>
  </si>
  <si>
    <t>DINGA</t>
  </si>
  <si>
    <t>SHUJAABAD</t>
  </si>
  <si>
    <t>DASKA</t>
  </si>
  <si>
    <t>SAMBRIAL</t>
  </si>
  <si>
    <t>HEAD MARALA</t>
  </si>
  <si>
    <t>SHAKARGARH</t>
  </si>
  <si>
    <t>ZAHIR PIR</t>
  </si>
  <si>
    <t>GUJRANWALA</t>
  </si>
  <si>
    <t>PIND DADAN KHAN</t>
  </si>
  <si>
    <t>HAROONABAD</t>
  </si>
  <si>
    <t>SIALKOT</t>
  </si>
  <si>
    <t>FORT ABBAS</t>
  </si>
  <si>
    <t>HASILPUR</t>
  </si>
  <si>
    <t>RAWALPINDI</t>
  </si>
  <si>
    <t>WAZIRABAD</t>
  </si>
  <si>
    <t>D</t>
  </si>
  <si>
    <t>BHALWAL</t>
  </si>
  <si>
    <t>CHOA SYDEN SHAH</t>
  </si>
  <si>
    <t>NAROWAL</t>
  </si>
  <si>
    <t>KOT ADDU</t>
  </si>
  <si>
    <t>GUJRAT</t>
  </si>
  <si>
    <t>PHALIA</t>
  </si>
  <si>
    <t>KALOOR KOT</t>
  </si>
  <si>
    <t>BHAKKAR</t>
  </si>
  <si>
    <t>HAFIZABAD</t>
  </si>
  <si>
    <t>TAUNSA SHARIF</t>
  </si>
  <si>
    <t>ALIPUR CHATTA</t>
  </si>
  <si>
    <t>A</t>
  </si>
  <si>
    <t>PESHAWAR</t>
  </si>
  <si>
    <t>MARDAN</t>
  </si>
  <si>
    <t>GARH MORE</t>
  </si>
  <si>
    <t>MIRPUR (A.K)</t>
  </si>
  <si>
    <t>QUAIDABAD</t>
  </si>
  <si>
    <t>PATTOKI</t>
  </si>
  <si>
    <t>SAWABI</t>
  </si>
  <si>
    <t>CHAMMAN</t>
  </si>
  <si>
    <t>SILLIANWALI</t>
  </si>
  <si>
    <t>dlrid</t>
  </si>
  <si>
    <t>compname</t>
  </si>
  <si>
    <t>region_name</t>
  </si>
  <si>
    <t>sector_name</t>
  </si>
  <si>
    <t>City</t>
  </si>
  <si>
    <t>APValue</t>
  </si>
  <si>
    <t>Dlr-0009</t>
  </si>
  <si>
    <t>HUSNAIN YAMAHA CENTER, DADYAL</t>
  </si>
  <si>
    <t>RSR</t>
  </si>
  <si>
    <t>Dlr-0011</t>
  </si>
  <si>
    <t>Welcome Autos</t>
  </si>
  <si>
    <t>LSR</t>
  </si>
  <si>
    <t>GT RD A</t>
  </si>
  <si>
    <t>Gujranwala</t>
  </si>
  <si>
    <t>Dlr-0015</t>
  </si>
  <si>
    <t>Nonar Auto Corporation</t>
  </si>
  <si>
    <t>Other</t>
  </si>
  <si>
    <t>Dlr-0027</t>
  </si>
  <si>
    <t>Abbasi Autos.</t>
  </si>
  <si>
    <t>KSR</t>
  </si>
  <si>
    <t>Upper Sindh</t>
  </si>
  <si>
    <t>Ranipur.</t>
  </si>
  <si>
    <t>Dlr-0028</t>
  </si>
  <si>
    <t>Zakria Autos.</t>
  </si>
  <si>
    <t>Sukkar</t>
  </si>
  <si>
    <t>Dlr-0030</t>
  </si>
  <si>
    <t>Khalid Automobiles.</t>
  </si>
  <si>
    <t>Lower Sindh</t>
  </si>
  <si>
    <t>Dlr-0040</t>
  </si>
  <si>
    <t>Madina Autos,  (YBS)</t>
  </si>
  <si>
    <t>MSR</t>
  </si>
  <si>
    <t>RAHIM YAR KHAN</t>
  </si>
  <si>
    <t>Dlr-0046</t>
  </si>
  <si>
    <t>Gulistan Autos,    "3 - S Shop"</t>
  </si>
  <si>
    <t>MUZAFFAR GARH</t>
  </si>
  <si>
    <t>Dlr-0047</t>
  </si>
  <si>
    <t>Usman Motors,      "3 - S Shop"</t>
  </si>
  <si>
    <t>CHISTIAN</t>
  </si>
  <si>
    <t>Dlr-0048</t>
  </si>
  <si>
    <t>Zahid Motors.</t>
  </si>
  <si>
    <t>Dlr-0052</t>
  </si>
  <si>
    <t>Gulshan Autos.</t>
  </si>
  <si>
    <t>Dlr-0053</t>
  </si>
  <si>
    <t>Pakistan Auto Agency,      "   1S   "</t>
  </si>
  <si>
    <t>Dlr-0055</t>
  </si>
  <si>
    <t>Crown Corporation.</t>
  </si>
  <si>
    <t>Dlr-0059</t>
  </si>
  <si>
    <t>Roshan Corporation,      "3 - S Shop "</t>
  </si>
  <si>
    <t>Hasilpur</t>
  </si>
  <si>
    <t>Dlr-0060</t>
  </si>
  <si>
    <t>Zafar Motors.</t>
  </si>
  <si>
    <t>BHAWALNAGAR</t>
  </si>
  <si>
    <t>Dlr-0062</t>
  </si>
  <si>
    <t>Dlr-0069</t>
  </si>
  <si>
    <t>Vehari Motors.</t>
  </si>
  <si>
    <t>Dlr-0073</t>
  </si>
  <si>
    <t>Punjnad Autos,     "3 - S Shop"</t>
  </si>
  <si>
    <t>Dlr-0074</t>
  </si>
  <si>
    <t>Saleem And Sons.   "3 - S Shop"</t>
  </si>
  <si>
    <t>Dlr-0075</t>
  </si>
  <si>
    <t>Iqbal Autos,  "3 - S Shop"</t>
  </si>
  <si>
    <t>MIAN CHANNU</t>
  </si>
  <si>
    <t>Dlr-0076</t>
  </si>
  <si>
    <t>Shan Traders.</t>
  </si>
  <si>
    <t>CHICHAWATNI</t>
  </si>
  <si>
    <t>Dlr-0077</t>
  </si>
  <si>
    <t>Haris Motors.</t>
  </si>
  <si>
    <t>Shujabad.</t>
  </si>
  <si>
    <t>Dlr-0078</t>
  </si>
  <si>
    <t>Raza Autos,     "3 - S Shop"</t>
  </si>
  <si>
    <t>DERA GHAZI KHAN</t>
  </si>
  <si>
    <t>Dlr-0079</t>
  </si>
  <si>
    <t>Mehboob Autos.</t>
  </si>
  <si>
    <t>Dlr-0080</t>
  </si>
  <si>
    <t>Ahmed Bilal Motors.</t>
  </si>
  <si>
    <t>Dlr-0081</t>
  </si>
  <si>
    <t>Najjoo Autos.</t>
  </si>
  <si>
    <t>Dlr-0083</t>
  </si>
  <si>
    <t>Madni Autos</t>
  </si>
  <si>
    <t>Kot Addu</t>
  </si>
  <si>
    <t>Dlr-0088</t>
  </si>
  <si>
    <t>Arshi Autos.</t>
  </si>
  <si>
    <t>Dlr-0091</t>
  </si>
  <si>
    <t>Ruby Auto Centre.</t>
  </si>
  <si>
    <t>Dlr-0092</t>
  </si>
  <si>
    <t>Shahzad Company.</t>
  </si>
  <si>
    <t>Dlr-0095</t>
  </si>
  <si>
    <t>Shakeel Enterprise.</t>
  </si>
  <si>
    <t>Dlr-0097</t>
  </si>
  <si>
    <t>Al - Madina Traders.</t>
  </si>
  <si>
    <t>Dlr-0098</t>
  </si>
  <si>
    <t>M.Saleem Brothers.</t>
  </si>
  <si>
    <t>Dlr-0099</t>
  </si>
  <si>
    <t>Al - Rehman Traders.</t>
  </si>
  <si>
    <t>Dlr-0103</t>
  </si>
  <si>
    <t>Auto Star.</t>
  </si>
  <si>
    <t>Dlr-0107</t>
  </si>
  <si>
    <t>Tahir Autos.</t>
  </si>
  <si>
    <t>Dlr-0110</t>
  </si>
  <si>
    <t>Aslam Amjad &amp; Co.</t>
  </si>
  <si>
    <t>SWL</t>
  </si>
  <si>
    <t>Dlr-0112</t>
  </si>
  <si>
    <t>Malik Autos.</t>
  </si>
  <si>
    <t>Pattoki.</t>
  </si>
  <si>
    <t>Dlr-0116</t>
  </si>
  <si>
    <t>Shahid Khalid Corporation</t>
  </si>
  <si>
    <t>Dlr-0118</t>
  </si>
  <si>
    <t>Syed Autos.</t>
  </si>
  <si>
    <t>Dlr-0119</t>
  </si>
  <si>
    <t>Saeed Autos.</t>
  </si>
  <si>
    <t>Gojra.</t>
  </si>
  <si>
    <t>Dlr-0121</t>
  </si>
  <si>
    <t>West End Automobiles.</t>
  </si>
  <si>
    <t>Dlr-0127</t>
  </si>
  <si>
    <t>Adnan Autos.</t>
  </si>
  <si>
    <t>Dlr-0129</t>
  </si>
  <si>
    <t>Mardan Autos.</t>
  </si>
  <si>
    <t>Mardan.</t>
  </si>
  <si>
    <t>Dlr-0132</t>
  </si>
  <si>
    <t>Saeed Sons.</t>
  </si>
  <si>
    <t>Faisalabad.</t>
  </si>
  <si>
    <t>Dlr-0136</t>
  </si>
  <si>
    <t>Farooq Electronic.</t>
  </si>
  <si>
    <t>FSR - City</t>
  </si>
  <si>
    <t>Dlr-0138</t>
  </si>
  <si>
    <t>Anjum Traders.</t>
  </si>
  <si>
    <t>Dlr-0139</t>
  </si>
  <si>
    <t>Bilal Autos.</t>
  </si>
  <si>
    <t>FSR - Others</t>
  </si>
  <si>
    <t>SAMUNDRI</t>
  </si>
  <si>
    <t>Dlr-0141</t>
  </si>
  <si>
    <t>Mumtaz Enterprises.</t>
  </si>
  <si>
    <t>Dlr-0142</t>
  </si>
  <si>
    <t>Jawad Autos.</t>
  </si>
  <si>
    <t>Dlr-0147</t>
  </si>
  <si>
    <t>Maqbool Sons.</t>
  </si>
  <si>
    <t>Jhelum.</t>
  </si>
  <si>
    <t>Dlr-0148</t>
  </si>
  <si>
    <t>Nawab Autos.</t>
  </si>
  <si>
    <t>Dlr-0149</t>
  </si>
  <si>
    <t>Iqbal Motor Factors.</t>
  </si>
  <si>
    <t>Dlr-0152</t>
  </si>
  <si>
    <t>Shahzaib Yamaha Centre.</t>
  </si>
  <si>
    <t>Dlr-0155</t>
  </si>
  <si>
    <t>Tarrar Autos.</t>
  </si>
  <si>
    <t>GT RD B</t>
  </si>
  <si>
    <t>Dlr-0157</t>
  </si>
  <si>
    <t>S.A.R.K.  Enterprises.</t>
  </si>
  <si>
    <t>Sialkot.</t>
  </si>
  <si>
    <t>Dlr-0159</t>
  </si>
  <si>
    <t>Irfan Traders.</t>
  </si>
  <si>
    <t>Sargodha.</t>
  </si>
  <si>
    <t>Dlr-0161</t>
  </si>
  <si>
    <t>Akram Saleem &amp; Co.</t>
  </si>
  <si>
    <t>Dlr-0165</t>
  </si>
  <si>
    <t>K.M.S. &amp; Sons.</t>
  </si>
  <si>
    <t>MANDI BAHAUDDIN</t>
  </si>
  <si>
    <t>Dlr-0166</t>
  </si>
  <si>
    <t>Lodhi Yamaha Agency.</t>
  </si>
  <si>
    <t>Dlr-0170</t>
  </si>
  <si>
    <t>Zohaib Yamaha Centre.</t>
  </si>
  <si>
    <t>Kotli.</t>
  </si>
  <si>
    <t>Dlr-0172</t>
  </si>
  <si>
    <t>Malik Corporation.</t>
  </si>
  <si>
    <t>Dlr-0174</t>
  </si>
  <si>
    <t>Makkah Yamaha Centre.</t>
  </si>
  <si>
    <t>Dlr-0175</t>
  </si>
  <si>
    <t>New Irfan Traders.</t>
  </si>
  <si>
    <t>Dlr-0179</t>
  </si>
  <si>
    <t>Autocity (PVT) Ltd. (Bhawalpur)</t>
  </si>
  <si>
    <t>BHAWALPUR</t>
  </si>
  <si>
    <t>Dlr-0180</t>
  </si>
  <si>
    <t>Autocity (PVT) Ltd. (Karachi)</t>
  </si>
  <si>
    <t>Dlr-0183</t>
  </si>
  <si>
    <t>New Nabeel Autos.</t>
  </si>
  <si>
    <t>Dlr-0184</t>
  </si>
  <si>
    <t>Nadeem Traders.</t>
  </si>
  <si>
    <t>Bhakkar.</t>
  </si>
  <si>
    <t>Dlr-0186</t>
  </si>
  <si>
    <t>Adil Autos.</t>
  </si>
  <si>
    <t>Dlr-0187</t>
  </si>
  <si>
    <t>Israr Yamaha Centre.</t>
  </si>
  <si>
    <t>Mardan</t>
  </si>
  <si>
    <t>Dlr-0191</t>
  </si>
  <si>
    <t>Haji Ahmed Din &amp; Sons.</t>
  </si>
  <si>
    <t>Dlr-0194</t>
  </si>
  <si>
    <t>Arshad Autos.</t>
  </si>
  <si>
    <t>Dlr-0197</t>
  </si>
  <si>
    <t>Five Star Yamaha Centre.</t>
  </si>
  <si>
    <t>Dlr-0212</t>
  </si>
  <si>
    <t>Ali Autos Center.</t>
  </si>
  <si>
    <t>Yazman Mandi.</t>
  </si>
  <si>
    <t>Dlr-0215</t>
  </si>
  <si>
    <t>Autocity (Pvt) Ltd. (Khanpur)</t>
  </si>
  <si>
    <t>Dlr-0218</t>
  </si>
  <si>
    <t>Bismillah Autos.</t>
  </si>
  <si>
    <t>Dlr-0222</t>
  </si>
  <si>
    <t>Khalid Motors.</t>
  </si>
  <si>
    <t>Dlr-0223</t>
  </si>
  <si>
    <t>Rehman Yamaha Traders.</t>
  </si>
  <si>
    <t>Dlr-0225</t>
  </si>
  <si>
    <t>Hussain  Brother &amp; Co</t>
  </si>
  <si>
    <t>Dlr-0228</t>
  </si>
  <si>
    <t>Bismillah Traders.</t>
  </si>
  <si>
    <t>Dlr-0230</t>
  </si>
  <si>
    <t>MOHSIN AUTOS</t>
  </si>
  <si>
    <t>Dlr-0231</t>
  </si>
  <si>
    <t>Arsal Autos.</t>
  </si>
  <si>
    <t>Dlr-0240</t>
  </si>
  <si>
    <t>Khan Yamaha Centre.</t>
  </si>
  <si>
    <t>Dlr-0241</t>
  </si>
  <si>
    <t>Al - Riaz Autos.</t>
  </si>
  <si>
    <t>Dlr-0242</t>
  </si>
  <si>
    <t>Islam Motors.</t>
  </si>
  <si>
    <t>Dlr-0244</t>
  </si>
  <si>
    <t>Auto - Tech.</t>
  </si>
  <si>
    <t>Dlr-0246</t>
  </si>
  <si>
    <t>Bashir Autos.</t>
  </si>
  <si>
    <t>Lahore.</t>
  </si>
  <si>
    <t>Dlr-0251</t>
  </si>
  <si>
    <t>Mudassar Motors</t>
  </si>
  <si>
    <t>Dlr-0253</t>
  </si>
  <si>
    <t>Javed Qadir Traders.</t>
  </si>
  <si>
    <t>Dlr-0255</t>
  </si>
  <si>
    <t>S.M. Chaudhri &amp; Company.</t>
  </si>
  <si>
    <t>Dlr-0261</t>
  </si>
  <si>
    <t>Aslam Autos.   "3-S SHOP"</t>
  </si>
  <si>
    <t>Dlr-0264</t>
  </si>
  <si>
    <t>SWABI</t>
  </si>
  <si>
    <t>Dlr-0280</t>
  </si>
  <si>
    <t>NAVEED AUTOS</t>
  </si>
  <si>
    <t>Dlr-0281</t>
  </si>
  <si>
    <t>MUQEEM AUTOS</t>
  </si>
  <si>
    <t>Dlr-0289</t>
  </si>
  <si>
    <t>MUQEEM AUTOS NO. 1</t>
  </si>
  <si>
    <t>Dlr-0324</t>
  </si>
  <si>
    <t>BARKAT AUTOS  (A.S.S.)</t>
  </si>
  <si>
    <t>Nausheroferoze</t>
  </si>
  <si>
    <t>Dlr-0428</t>
  </si>
  <si>
    <t>ARSHAD AUTOS SERVICE</t>
  </si>
  <si>
    <t>Kharian</t>
  </si>
  <si>
    <t>Dlr-0686</t>
  </si>
  <si>
    <t>SHAHZAD AUTOS</t>
  </si>
  <si>
    <t>Attock</t>
  </si>
  <si>
    <t>Dlr-0756</t>
  </si>
  <si>
    <t>NEW MALIK AUTOS</t>
  </si>
  <si>
    <t>Talagang</t>
  </si>
  <si>
    <t>Dlr-0770</t>
  </si>
  <si>
    <t>Khurram Autos</t>
  </si>
  <si>
    <t>Dlr-0804</t>
  </si>
  <si>
    <t>NEW EMAD AUTOS, RAWALPINDI - SPD</t>
  </si>
  <si>
    <t>RAWAL PINDI</t>
  </si>
  <si>
    <t>Dlr-0815</t>
  </si>
  <si>
    <t>Ahsan Traders</t>
  </si>
  <si>
    <t>Dlr-0816</t>
  </si>
  <si>
    <t>Royal Yamaha Centre</t>
  </si>
  <si>
    <t>Dlr-0817</t>
  </si>
  <si>
    <t>Kashif Autos</t>
  </si>
  <si>
    <t>Multan</t>
  </si>
  <si>
    <t>Dlr-0820</t>
  </si>
  <si>
    <t>Mian Motors,</t>
  </si>
  <si>
    <t>Jahania</t>
  </si>
  <si>
    <t>Dlr-0823</t>
  </si>
  <si>
    <t>Raheem Autos</t>
  </si>
  <si>
    <t>Dlr-0830</t>
  </si>
  <si>
    <t>Hajveri Enterprises</t>
  </si>
  <si>
    <t>Dlr-0831</t>
  </si>
  <si>
    <t>Sohail Autos.</t>
  </si>
  <si>
    <t>Dlr-0832</t>
  </si>
  <si>
    <t>Gujranwala Autos.</t>
  </si>
  <si>
    <t>Dlr-0834</t>
  </si>
  <si>
    <t>Bhatti Corporation,</t>
  </si>
  <si>
    <t>Dlr-0836</t>
  </si>
  <si>
    <t>Dilshad Enterprises</t>
  </si>
  <si>
    <t>Dlr-0842</t>
  </si>
  <si>
    <t>Abdullah Autos</t>
  </si>
  <si>
    <t>SARAI ALAMGHIR</t>
  </si>
  <si>
    <t>Dlr-0843</t>
  </si>
  <si>
    <t>Owais Autos</t>
  </si>
  <si>
    <t>Sukkur</t>
  </si>
  <si>
    <t>Dlr-0845</t>
  </si>
  <si>
    <t>Awan Yamaha centre</t>
  </si>
  <si>
    <t>ALI PUR</t>
  </si>
  <si>
    <t>Dlr-0851</t>
  </si>
  <si>
    <t>Ahmed Motors</t>
  </si>
  <si>
    <t>Dlr-0852</t>
  </si>
  <si>
    <t>Al - Shams Traders</t>
  </si>
  <si>
    <t>QAMAR MASHANI</t>
  </si>
  <si>
    <t>Dlr-0854</t>
  </si>
  <si>
    <t>Adeel Motors,</t>
  </si>
  <si>
    <t>DEHARKI</t>
  </si>
  <si>
    <t>Dlr-0858</t>
  </si>
  <si>
    <t>Faisal Autos</t>
  </si>
  <si>
    <t>Dlr-0861</t>
  </si>
  <si>
    <t>Sufian Brothers, "3S"</t>
  </si>
  <si>
    <t>Khurianwala</t>
  </si>
  <si>
    <t>Dlr-0871</t>
  </si>
  <si>
    <t>Kamran Motors</t>
  </si>
  <si>
    <t>Dlr-0873</t>
  </si>
  <si>
    <t>TARANDA M.PANAH</t>
  </si>
  <si>
    <t>Dlr-0875</t>
  </si>
  <si>
    <t>Mansoor Autos</t>
  </si>
  <si>
    <t>DHARANWALA</t>
  </si>
  <si>
    <t>Dlr-0876</t>
  </si>
  <si>
    <t>Gulzar Yamaha Center</t>
  </si>
  <si>
    <t>Dlr-0880</t>
  </si>
  <si>
    <t>Muslim Auto Service</t>
  </si>
  <si>
    <t>karachi</t>
  </si>
  <si>
    <t>Dlr-0894</t>
  </si>
  <si>
    <t>Abbasi Autos</t>
  </si>
  <si>
    <t>Thatta</t>
  </si>
  <si>
    <t>Dlr-0896</t>
  </si>
  <si>
    <t>Al Madina Yamaha Centre</t>
  </si>
  <si>
    <t>Rahim yar Khan</t>
  </si>
  <si>
    <t>Dlr-0901</t>
  </si>
  <si>
    <t>Mustafa Traders</t>
  </si>
  <si>
    <t>Dlr-0903</t>
  </si>
  <si>
    <t>AL-KARAM YAMAHA CENTRE</t>
  </si>
  <si>
    <t>Dlr-0905</t>
  </si>
  <si>
    <t>Mir Auto Corporation</t>
  </si>
  <si>
    <t>Dlr-0906</t>
  </si>
  <si>
    <t>MOTOR CYCLE- ZONE, "3S"</t>
  </si>
  <si>
    <t>Dlr-0907</t>
  </si>
  <si>
    <t>MULTAN YAMAHA CENTRE, "2S"</t>
  </si>
  <si>
    <t>Dlr-0911</t>
  </si>
  <si>
    <t>Dlr-0913</t>
  </si>
  <si>
    <t>ROYAL CENTER,  "3S"</t>
  </si>
  <si>
    <t>QSR - City</t>
  </si>
  <si>
    <t>Dlr-0914</t>
  </si>
  <si>
    <t>Rustam Yamaha Centre,  "3S"</t>
  </si>
  <si>
    <t>Dlr-0915</t>
  </si>
  <si>
    <t>Saeed Ahmed Traders,  "1S"</t>
  </si>
  <si>
    <t>Dlr-0916</t>
  </si>
  <si>
    <t>Saeed Autos</t>
  </si>
  <si>
    <t>Dlr-0918</t>
  </si>
  <si>
    <t>SARK ENTERPRISES</t>
  </si>
  <si>
    <t>Sialkot</t>
  </si>
  <si>
    <t>Dlr-0919</t>
  </si>
  <si>
    <t>SHAFQAT TRADERS,  "3S"</t>
  </si>
  <si>
    <t>Dlr-0920</t>
  </si>
  <si>
    <t>TAHIR ENTERPRISERS, "3S"</t>
  </si>
  <si>
    <t>Dlr-0922</t>
  </si>
  <si>
    <t>YAMA FORT, "3S"</t>
  </si>
  <si>
    <t>Dlr-0923</t>
  </si>
  <si>
    <t>Auto City (Pvt) Ltd, (Multan)</t>
  </si>
  <si>
    <t>Dlr-0924</t>
  </si>
  <si>
    <t>AUTO  CITY (PVT) LTD (Mailsi)</t>
  </si>
  <si>
    <t>Dlr-0925</t>
  </si>
  <si>
    <t>Owais  Autos</t>
  </si>
  <si>
    <t>Dlr-0928</t>
  </si>
  <si>
    <t>Decent Yamaha House</t>
  </si>
  <si>
    <t>Dlr-0930</t>
  </si>
  <si>
    <t>Hamza  Yamaha  Centre</t>
  </si>
  <si>
    <t>Dlr-0932</t>
  </si>
  <si>
    <t>Ittefaq Yamaha Centre</t>
  </si>
  <si>
    <t>Dlr-0934</t>
  </si>
  <si>
    <t>New Jubilee Autos</t>
  </si>
  <si>
    <t>JALALPUR JATTAN</t>
  </si>
  <si>
    <t>Dlr-0937</t>
  </si>
  <si>
    <t>Bilal Autos..</t>
  </si>
  <si>
    <t>Bhakkar</t>
  </si>
  <si>
    <t>Dlr-0939</t>
  </si>
  <si>
    <t>GENUINE AUTOS</t>
  </si>
  <si>
    <t>Bannu</t>
  </si>
  <si>
    <t>Dlr-0945</t>
  </si>
  <si>
    <t>Chistian Auto Store</t>
  </si>
  <si>
    <t>Kasur</t>
  </si>
  <si>
    <t>Dlr-0946</t>
  </si>
  <si>
    <t>Butt Auto Corporation</t>
  </si>
  <si>
    <t>Dlr-0947</t>
  </si>
  <si>
    <t>Ameer Traders</t>
  </si>
  <si>
    <t>Dlr-0948</t>
  </si>
  <si>
    <t>Ali Bhai Autos</t>
  </si>
  <si>
    <t>Dlr-0949</t>
  </si>
  <si>
    <t>Dilshad Enterprises.</t>
  </si>
  <si>
    <t>Dlr-0950</t>
  </si>
  <si>
    <t>Akbar Autos</t>
  </si>
  <si>
    <t>Rahim Yar Khan</t>
  </si>
  <si>
    <t>Dlr-0952</t>
  </si>
  <si>
    <t>Ahmed Autos;</t>
  </si>
  <si>
    <t>Raiwand</t>
  </si>
  <si>
    <t>Dlr-0953</t>
  </si>
  <si>
    <t>Al- Mubarak Corporation</t>
  </si>
  <si>
    <t>Sheikhupura</t>
  </si>
  <si>
    <t>Dlr-0954</t>
  </si>
  <si>
    <t>Ahmed Autos,</t>
  </si>
  <si>
    <t>Taxila</t>
  </si>
  <si>
    <t>Dlr-0956</t>
  </si>
  <si>
    <t>Adil Shahzad Autos</t>
  </si>
  <si>
    <t>Chistian</t>
  </si>
  <si>
    <t>Dlr-0958</t>
  </si>
  <si>
    <t>Asgar Autos</t>
  </si>
  <si>
    <t>Dinga</t>
  </si>
  <si>
    <t>Dlr-0959</t>
  </si>
  <si>
    <t>asd</t>
  </si>
  <si>
    <t>Dlr-0960</t>
  </si>
  <si>
    <t>abbassi autos</t>
  </si>
  <si>
    <t>ranipur</t>
  </si>
  <si>
    <t>Dlr-0961</t>
  </si>
  <si>
    <t>asdasdasd</t>
  </si>
  <si>
    <t>Dlr-0963</t>
  </si>
  <si>
    <t>ERUM AUTOS</t>
  </si>
  <si>
    <t>Dlr-0964</t>
  </si>
  <si>
    <t>New Cheap Auto Store</t>
  </si>
  <si>
    <t>Bahawalpur</t>
  </si>
  <si>
    <t>Dlr-0965</t>
  </si>
  <si>
    <t>Madina Autos...</t>
  </si>
  <si>
    <t>Bhalwal</t>
  </si>
  <si>
    <t>Dlr-0968</t>
  </si>
  <si>
    <t>Iftikhar Autos.</t>
  </si>
  <si>
    <t>D.I. Khan</t>
  </si>
  <si>
    <t>Dlr-0969</t>
  </si>
  <si>
    <t>Yamaha Autos</t>
  </si>
  <si>
    <t>D.I,Khan</t>
  </si>
  <si>
    <t>Dlr-0972</t>
  </si>
  <si>
    <t>Sikandar Munir Autos</t>
  </si>
  <si>
    <t>Faisalabad</t>
  </si>
  <si>
    <t>Dlr-0974</t>
  </si>
  <si>
    <t>New Lahore Autos</t>
  </si>
  <si>
    <t>Dlr-0975</t>
  </si>
  <si>
    <t>Noor Autos</t>
  </si>
  <si>
    <t>Dlr-0976</t>
  </si>
  <si>
    <t>Ibrahim Autos</t>
  </si>
  <si>
    <t>Dlr-0978</t>
  </si>
  <si>
    <t>Mir Auto Store</t>
  </si>
  <si>
    <t>Gujrat</t>
  </si>
  <si>
    <t>Dlr-0979</t>
  </si>
  <si>
    <t>Mian Auto Agency</t>
  </si>
  <si>
    <t>Gojra</t>
  </si>
  <si>
    <t>Dlr-0985</t>
  </si>
  <si>
    <t>Itefaq Autos</t>
  </si>
  <si>
    <t>Haroonabad</t>
  </si>
  <si>
    <t>Dlr-0987</t>
  </si>
  <si>
    <t>Raees Bros. Autos</t>
  </si>
  <si>
    <t>Hyderabad</t>
  </si>
  <si>
    <t>Dlr-0988</t>
  </si>
  <si>
    <t>Suleman Auto Store</t>
  </si>
  <si>
    <t>Dlr-0989</t>
  </si>
  <si>
    <t>United Autos</t>
  </si>
  <si>
    <t>Jhang Saddar</t>
  </si>
  <si>
    <t>Dlr-0992</t>
  </si>
  <si>
    <t>Rizwan Autos.</t>
  </si>
  <si>
    <t>Dlr-0993</t>
  </si>
  <si>
    <t>sultan Corporation</t>
  </si>
  <si>
    <t>Dlr-0995</t>
  </si>
  <si>
    <t>Madina Autos,.</t>
  </si>
  <si>
    <t>Dlr-0996</t>
  </si>
  <si>
    <t>Royal Yamaha</t>
  </si>
  <si>
    <t>Dlr-0997</t>
  </si>
  <si>
    <t>New Awan Traders</t>
  </si>
  <si>
    <t>Dlr-0998</t>
  </si>
  <si>
    <t>Freinds Autos</t>
  </si>
  <si>
    <t>Khanewal</t>
  </si>
  <si>
    <t>Dlr-0999</t>
  </si>
  <si>
    <t>Umar Autos</t>
  </si>
  <si>
    <t>Dlr-1000</t>
  </si>
  <si>
    <t>Tahir Corporation.</t>
  </si>
  <si>
    <t>Dlr-1001</t>
  </si>
  <si>
    <t>Munir Traders.</t>
  </si>
  <si>
    <t>Dlr-1003</t>
  </si>
  <si>
    <t>N. M. Traders</t>
  </si>
  <si>
    <t>Dlr-1004</t>
  </si>
  <si>
    <t>Shakeel Auto Corporation</t>
  </si>
  <si>
    <t>Dlr-1005</t>
  </si>
  <si>
    <t>T. A. C. Autos</t>
  </si>
  <si>
    <t>Dlr-1006</t>
  </si>
  <si>
    <t>Kausar Enterprises</t>
  </si>
  <si>
    <t>Dlr-1007</t>
  </si>
  <si>
    <t>Khalid Bros</t>
  </si>
  <si>
    <t>Dlr-1008</t>
  </si>
  <si>
    <t>Golden Vespa Traders</t>
  </si>
  <si>
    <t>QSR</t>
  </si>
  <si>
    <t>Dlr-1009</t>
  </si>
  <si>
    <t>Kozak Traders</t>
  </si>
  <si>
    <t>Dlr-1010</t>
  </si>
  <si>
    <t>Saif Autos</t>
  </si>
  <si>
    <t>Layyah</t>
  </si>
  <si>
    <t>Dlr-1011</t>
  </si>
  <si>
    <t>Madina Autos..</t>
  </si>
  <si>
    <t>Liaqatpur</t>
  </si>
  <si>
    <t>Dlr-1013</t>
  </si>
  <si>
    <t>Khwaja M. Shafi &amp; Sons</t>
  </si>
  <si>
    <t>M. B. D</t>
  </si>
  <si>
    <t>Dlr-1014</t>
  </si>
  <si>
    <t>Malik Auto Store</t>
  </si>
  <si>
    <t>Dlr-1015</t>
  </si>
  <si>
    <t>Kamran Autos.</t>
  </si>
  <si>
    <t>Dlr-1016</t>
  </si>
  <si>
    <t>New Fazzal Autos</t>
  </si>
  <si>
    <t>Dlr-1019</t>
  </si>
  <si>
    <t>New Tariq Motors</t>
  </si>
  <si>
    <t>Dlr-1025</t>
  </si>
  <si>
    <t>United Autos.</t>
  </si>
  <si>
    <t>Rawalpindi</t>
  </si>
  <si>
    <t>Dlr-1029</t>
  </si>
  <si>
    <t>Shama Autos</t>
  </si>
  <si>
    <t>Dlr-1031</t>
  </si>
  <si>
    <t>Khan Autos</t>
  </si>
  <si>
    <t>Phalia</t>
  </si>
  <si>
    <t>Dlr-1032</t>
  </si>
  <si>
    <t>New Malik Autos.</t>
  </si>
  <si>
    <t>Dlr-1034</t>
  </si>
  <si>
    <t>Rao Autos</t>
  </si>
  <si>
    <t>Sahiwal</t>
  </si>
  <si>
    <t>Dlr-1037</t>
  </si>
  <si>
    <t>Shahid Bros.Autos`</t>
  </si>
  <si>
    <t>Sargodha</t>
  </si>
  <si>
    <t>Dlr-1038</t>
  </si>
  <si>
    <t>SAJJAD MOTORS</t>
  </si>
  <si>
    <t>Dlr-1039</t>
  </si>
  <si>
    <t>Malik Autos Store</t>
  </si>
  <si>
    <t>T. T. Singh</t>
  </si>
  <si>
    <t>Dlr-1043</t>
  </si>
  <si>
    <t>Deen Autos</t>
  </si>
  <si>
    <t>Dlr-1045</t>
  </si>
  <si>
    <t>M. Y. Autos</t>
  </si>
  <si>
    <t>Dlr-1046</t>
  </si>
  <si>
    <t>Khalid Autos.</t>
  </si>
  <si>
    <t>Pak Patan</t>
  </si>
  <si>
    <t>Dlr-1047</t>
  </si>
  <si>
    <t>City Autos</t>
  </si>
  <si>
    <t>Dlr-1049</t>
  </si>
  <si>
    <t>Nadeem Autos.</t>
  </si>
  <si>
    <t>Dlr-1055</t>
  </si>
  <si>
    <t>Pka Afghan Auto Corporatin</t>
  </si>
  <si>
    <t>Chaman</t>
  </si>
  <si>
    <t>Dlr-1056</t>
  </si>
  <si>
    <t>Pak Afghan Auto Corporation</t>
  </si>
  <si>
    <t>Dlr-1059</t>
  </si>
  <si>
    <t>Tahir Autos..</t>
  </si>
  <si>
    <t>Dlr-1060</t>
  </si>
  <si>
    <t>Mehmmod Autos</t>
  </si>
  <si>
    <t>Dlr-1061</t>
  </si>
  <si>
    <t>Sunrise Traders</t>
  </si>
  <si>
    <t>Dlr-1062</t>
  </si>
  <si>
    <t>Good Luck Autos.</t>
  </si>
  <si>
    <t>Shikarpur</t>
  </si>
  <si>
    <t>Dlr-1064</t>
  </si>
  <si>
    <t>Waheed Autos</t>
  </si>
  <si>
    <t>Pattoki</t>
  </si>
  <si>
    <t>Dlr-1065</t>
  </si>
  <si>
    <t>Moeez Autos</t>
  </si>
  <si>
    <t>Chichawatni</t>
  </si>
  <si>
    <t>Dlr-1068</t>
  </si>
  <si>
    <t>Ittefaq Autos</t>
  </si>
  <si>
    <t>Dlr-1070</t>
  </si>
  <si>
    <t>SIDDIQ AUTO STORE, SIALKOT-SPD</t>
  </si>
  <si>
    <t>Dlr-1071</t>
  </si>
  <si>
    <t>Hamdan Shah Autos</t>
  </si>
  <si>
    <t>Dlr-1073</t>
  </si>
  <si>
    <t>Rashid Impex</t>
  </si>
  <si>
    <t>Dlr-1074</t>
  </si>
  <si>
    <t>Khalid Autos..</t>
  </si>
  <si>
    <t>Dina</t>
  </si>
  <si>
    <t>Dlr-1077</t>
  </si>
  <si>
    <t>Rehman Autos</t>
  </si>
  <si>
    <t>Dlr-1081</t>
  </si>
  <si>
    <t>Sheraz Autos</t>
  </si>
  <si>
    <t>Dlr-1085</t>
  </si>
  <si>
    <t>CHAKWAL AUTOS, KAMRA</t>
  </si>
  <si>
    <t>Kamra Cantt</t>
  </si>
  <si>
    <t>Dlr-1086</t>
  </si>
  <si>
    <t>MAQBOOL AUTOS</t>
  </si>
  <si>
    <t>Rajana</t>
  </si>
  <si>
    <t>Dlr-1088</t>
  </si>
  <si>
    <t>ASIF IMPEX</t>
  </si>
  <si>
    <t>Dlr-1090</t>
  </si>
  <si>
    <t>MAQSOOD AUTO HOUSE</t>
  </si>
  <si>
    <t>MABDI BAHAUDDIN</t>
  </si>
  <si>
    <t>Dlr-1091</t>
  </si>
  <si>
    <t>ITIFAQ AUTO CORPORATION</t>
  </si>
  <si>
    <t>Dlr-1094</t>
  </si>
  <si>
    <t>ARIF AUTOS</t>
  </si>
  <si>
    <t>Dlr-1096</t>
  </si>
  <si>
    <t>ITEFAQ AUTO TRADERS</t>
  </si>
  <si>
    <t>Dlr-1097</t>
  </si>
  <si>
    <t>Malik Ghafoor Oil Traders</t>
  </si>
  <si>
    <t>Dlr-1099</t>
  </si>
  <si>
    <t>HASSAN AUTO STORE</t>
  </si>
  <si>
    <t>Dlr-1102</t>
  </si>
  <si>
    <t>Asim Autos</t>
  </si>
  <si>
    <t>Shakargarh</t>
  </si>
  <si>
    <t>Dlr-1103</t>
  </si>
  <si>
    <t>New Khalid Autos</t>
  </si>
  <si>
    <t>Pakpatan</t>
  </si>
  <si>
    <t>Dlr-1104</t>
  </si>
  <si>
    <t>Akram Autos.</t>
  </si>
  <si>
    <t>R. Y. K</t>
  </si>
  <si>
    <t>Dlr-1105</t>
  </si>
  <si>
    <t>Battery House</t>
  </si>
  <si>
    <t>Dlr-1107</t>
  </si>
  <si>
    <t>Mubeen Autos</t>
  </si>
  <si>
    <t>Dlr-1118</t>
  </si>
  <si>
    <t>Super Genuine Autos</t>
  </si>
  <si>
    <t>Dlr-1119</t>
  </si>
  <si>
    <t>Numan Traders</t>
  </si>
  <si>
    <t>Dlr-1123</t>
  </si>
  <si>
    <t>Ghulam Mohiuddin Autos</t>
  </si>
  <si>
    <t>Dlr-1124</t>
  </si>
  <si>
    <t>Haris Autos</t>
  </si>
  <si>
    <t>Dlr-1125</t>
  </si>
  <si>
    <t>Yamaha Parts Centre</t>
  </si>
  <si>
    <t>Dlr-1126</t>
  </si>
  <si>
    <t>Wassem Autos</t>
  </si>
  <si>
    <t>Dlr-1127</t>
  </si>
  <si>
    <t>Bilala Autos</t>
  </si>
  <si>
    <t>Dlr-1136</t>
  </si>
  <si>
    <t>Yamaha Gunuine Shop</t>
  </si>
  <si>
    <t>Dlr-1143</t>
  </si>
  <si>
    <t>Eman Autos</t>
  </si>
  <si>
    <t>Dlr-1148</t>
  </si>
  <si>
    <t>New Shahid Amin Autos</t>
  </si>
  <si>
    <t>Dlr-1149</t>
  </si>
  <si>
    <t>Junaid Autos</t>
  </si>
  <si>
    <t>Dlr-1150</t>
  </si>
  <si>
    <t>Usman Autos</t>
  </si>
  <si>
    <t>Dlr-1152</t>
  </si>
  <si>
    <t>Ittefaque Autos, Haroonabad</t>
  </si>
  <si>
    <t>Dlr-1153</t>
  </si>
  <si>
    <t>New Dadyal Automobiles</t>
  </si>
  <si>
    <t>Kotli (A.K)</t>
  </si>
  <si>
    <t>Dlr-1154</t>
  </si>
  <si>
    <t>New Boby Autos</t>
  </si>
  <si>
    <t>Dlr-1155</t>
  </si>
  <si>
    <t>Azeem-ud-Din Golrave Autos</t>
  </si>
  <si>
    <t>Lahore Cantt</t>
  </si>
  <si>
    <t>Dlr-1156</t>
  </si>
  <si>
    <t>New Gujranwala Autos</t>
  </si>
  <si>
    <t>Dlr-1158</t>
  </si>
  <si>
    <t>Chanab Autos</t>
  </si>
  <si>
    <t>Hafizabad</t>
  </si>
  <si>
    <t>Dlr-1160</t>
  </si>
  <si>
    <t>Waqas Autos.</t>
  </si>
  <si>
    <t>Dlr-1161</t>
  </si>
  <si>
    <t>Yasir Auto</t>
  </si>
  <si>
    <t>Dlr-1165</t>
  </si>
  <si>
    <t>New Hameed Autos</t>
  </si>
  <si>
    <t>Bewel</t>
  </si>
  <si>
    <t>Dlr-1166</t>
  </si>
  <si>
    <t>Younas Motors</t>
  </si>
  <si>
    <t>D. I. Khan</t>
  </si>
  <si>
    <t>Dlr-1167</t>
  </si>
  <si>
    <t>Riaz Lucky Autos</t>
  </si>
  <si>
    <t>Dlr-1170</t>
  </si>
  <si>
    <t>Afzal Auto Store</t>
  </si>
  <si>
    <t>Dlr-1174</t>
  </si>
  <si>
    <t>Nazim Autos</t>
  </si>
  <si>
    <t>Dlr-1175</t>
  </si>
  <si>
    <t>Riaz Autos..</t>
  </si>
  <si>
    <t>Distt:Ghotki</t>
  </si>
  <si>
    <t>Dlr-1180</t>
  </si>
  <si>
    <t>Hamza Motors</t>
  </si>
  <si>
    <t>Fatehpur</t>
  </si>
  <si>
    <t>Dlr-1184</t>
  </si>
  <si>
    <t>Five Star Warranty Desk</t>
  </si>
  <si>
    <t>Dlr-1186</t>
  </si>
  <si>
    <t>Main Autos.</t>
  </si>
  <si>
    <t>Dlr-1189</t>
  </si>
  <si>
    <t>Jilani Autos.</t>
  </si>
  <si>
    <t>Dlr-1190</t>
  </si>
  <si>
    <t>New Star Autos</t>
  </si>
  <si>
    <t>Dlr-1192</t>
  </si>
  <si>
    <t>YAMAHA DISPLAY CENETR</t>
  </si>
  <si>
    <t>Dlr-1194</t>
  </si>
  <si>
    <t>Mian Autos..</t>
  </si>
  <si>
    <t>Dlr-1196</t>
  </si>
  <si>
    <t>Al- Abbas Autos</t>
  </si>
  <si>
    <t>Dlr-1197</t>
  </si>
  <si>
    <t>Mian  Autos.</t>
  </si>
  <si>
    <t>Dlr-1198</t>
  </si>
  <si>
    <t>Japan Motorcycle Centre</t>
  </si>
  <si>
    <t>Dlr-1200</t>
  </si>
  <si>
    <t>Wazirabad Autos</t>
  </si>
  <si>
    <t>Wazirabad</t>
  </si>
  <si>
    <t>Dlr-1201</t>
  </si>
  <si>
    <t>Imran Autos..</t>
  </si>
  <si>
    <t>Khanpur</t>
  </si>
  <si>
    <t>Dlr-1202</t>
  </si>
  <si>
    <t>Ittehad Autos</t>
  </si>
  <si>
    <t>Bahawalnagar</t>
  </si>
  <si>
    <t>Dlr-1205</t>
  </si>
  <si>
    <t>Tahir  Autos</t>
  </si>
  <si>
    <t>Dlr-1207</t>
  </si>
  <si>
    <t>New Sardar Yamaha Centre</t>
  </si>
  <si>
    <t>Ellahabad</t>
  </si>
  <si>
    <t>Dlr-1209</t>
  </si>
  <si>
    <t>Yamaha Palace</t>
  </si>
  <si>
    <t>Dlr-1210</t>
  </si>
  <si>
    <t>Dawood Traders</t>
  </si>
  <si>
    <t>Dlr-1211</t>
  </si>
  <si>
    <t>Hamza Autos</t>
  </si>
  <si>
    <t>Dlr-1213</t>
  </si>
  <si>
    <t>Friends Motors</t>
  </si>
  <si>
    <t>Mailsi</t>
  </si>
  <si>
    <t>Dlr-1214</t>
  </si>
  <si>
    <t>Hassan s enterprises</t>
  </si>
  <si>
    <t>Peshawar</t>
  </si>
  <si>
    <t>Dlr-1215</t>
  </si>
  <si>
    <t>Ideal Autos</t>
  </si>
  <si>
    <t>Pakpattan</t>
  </si>
  <si>
    <t>Dlr-1217</t>
  </si>
  <si>
    <t>KHALID AUTOMOBILE, NAWABSHAH-SPD</t>
  </si>
  <si>
    <t>Nawabshah</t>
  </si>
  <si>
    <t>Dlr-1218</t>
  </si>
  <si>
    <t>Nizam Autos.</t>
  </si>
  <si>
    <t>Dlr-1221</t>
  </si>
  <si>
    <t>Geo Motors</t>
  </si>
  <si>
    <t>QSR - Others</t>
  </si>
  <si>
    <t>Dlr-1222</t>
  </si>
  <si>
    <t>Ahmed Traders</t>
  </si>
  <si>
    <t>Dlr-1223</t>
  </si>
  <si>
    <t>Kabirwala Yamaha Centre</t>
  </si>
  <si>
    <t>Dlr-1224</t>
  </si>
  <si>
    <t>Meilsi Yamaha Centre</t>
  </si>
  <si>
    <t>Meilsi</t>
  </si>
  <si>
    <t>Dlr-1225</t>
  </si>
  <si>
    <t>Al-Rahman Autos</t>
  </si>
  <si>
    <t>TANDO ALLAHYAR</t>
  </si>
  <si>
    <t>Dlr-1227</t>
  </si>
  <si>
    <t>City Autos,</t>
  </si>
  <si>
    <t>Dlr-1228</t>
  </si>
  <si>
    <t>Yamaha City</t>
  </si>
  <si>
    <t>Dlr-1229</t>
  </si>
  <si>
    <t>Sohail &amp; Co.</t>
  </si>
  <si>
    <t>Dlr-1230</t>
  </si>
  <si>
    <t>Khan Auto Centre</t>
  </si>
  <si>
    <t>Dlr-1231</t>
  </si>
  <si>
    <t>Khattak Yamaha Centre</t>
  </si>
  <si>
    <t>Dlr-1233</t>
  </si>
  <si>
    <t>Prince Yamaha Motors</t>
  </si>
  <si>
    <t>Ghotki</t>
  </si>
  <si>
    <t>Dlr-1234</t>
  </si>
  <si>
    <t>R.A. Motors</t>
  </si>
  <si>
    <t>Dlr-1236</t>
  </si>
  <si>
    <t>Qazi Trading Co;</t>
  </si>
  <si>
    <t>Dlr-1255</t>
  </si>
  <si>
    <t>Kashmir Yamaha Centre</t>
  </si>
  <si>
    <t>BHIMBER-AK</t>
  </si>
  <si>
    <t>MALAKWAL</t>
  </si>
  <si>
    <t>Dlr-1272</t>
  </si>
  <si>
    <t>Awais autos</t>
  </si>
  <si>
    <t>Dlr-1278</t>
  </si>
  <si>
    <t>Dlr-1279</t>
  </si>
  <si>
    <t>TAJ AUTOS,</t>
  </si>
  <si>
    <t>Dlr-1280</t>
  </si>
  <si>
    <t>BILAL AUTOS,</t>
  </si>
  <si>
    <t>SUMANDARI</t>
  </si>
  <si>
    <t>Dlr-1281</t>
  </si>
  <si>
    <t>SALMAN TRADERS</t>
  </si>
  <si>
    <t>Dlr-1282</t>
  </si>
  <si>
    <t>Dlr-1283</t>
  </si>
  <si>
    <t>Dlr-1284</t>
  </si>
  <si>
    <t>Dlr-1286</t>
  </si>
  <si>
    <t>MEHBOOB AUTOS,</t>
  </si>
  <si>
    <t>D.G KHAN</t>
  </si>
  <si>
    <t>Dlr-1287</t>
  </si>
  <si>
    <t>AMJAD AUTOS (YBS)</t>
  </si>
  <si>
    <t>GUJARNAWALA</t>
  </si>
  <si>
    <t>Dlr-1288</t>
  </si>
  <si>
    <t>SALMAN TRADERS.</t>
  </si>
  <si>
    <t>Dlr-1289</t>
  </si>
  <si>
    <t>SALMAN TRADERS,</t>
  </si>
  <si>
    <t>Dlr-1291</t>
  </si>
  <si>
    <t>KURSHID YAMAHA CENTER</t>
  </si>
  <si>
    <t>Dlr-1292</t>
  </si>
  <si>
    <t>ZOHAIB AUTO MOBILES</t>
  </si>
  <si>
    <t>Dlr-1294</t>
  </si>
  <si>
    <t>MADNI AUTOS,</t>
  </si>
  <si>
    <t>Dlr-1296</t>
  </si>
  <si>
    <t>MIAN AUTOS (1-S)</t>
  </si>
  <si>
    <t>Dlr-1297</t>
  </si>
  <si>
    <t>NEW AUTO SPOT</t>
  </si>
  <si>
    <t>DISTT:OKARA</t>
  </si>
  <si>
    <t>Dlr-1298</t>
  </si>
  <si>
    <t>SHAHID AUTOS (3-S)</t>
  </si>
  <si>
    <t>JALALPUR JATAN</t>
  </si>
  <si>
    <t>Dlr-1299</t>
  </si>
  <si>
    <t>AMIN AUTOS (3-S)</t>
  </si>
  <si>
    <t>GUJAR KHAN</t>
  </si>
  <si>
    <t>Dlr-1300</t>
  </si>
  <si>
    <t>NEW GUJRAT AUTOS</t>
  </si>
  <si>
    <t>Dlr-1301</t>
  </si>
  <si>
    <t>TARRAR AUTOS</t>
  </si>
  <si>
    <t>Dlr-1302</t>
  </si>
  <si>
    <t>SIDDQUI TRADERS</t>
  </si>
  <si>
    <t>Dlr-1303</t>
  </si>
  <si>
    <t>NAJJO AUTO</t>
  </si>
  <si>
    <t>Dlr-1304</t>
  </si>
  <si>
    <t>Dlr-1305</t>
  </si>
  <si>
    <t>PAK AFGHAN AUTOS</t>
  </si>
  <si>
    <t>Dlr-1306</t>
  </si>
  <si>
    <t>YAMAHA CENTER(1S)</t>
  </si>
  <si>
    <t>Dlr-1307</t>
  </si>
  <si>
    <t>TARIQ MOTORS</t>
  </si>
  <si>
    <t>Dlr-1308</t>
  </si>
  <si>
    <t>ELECTRIX INDUSTRIES</t>
  </si>
  <si>
    <t>Dlr-1309</t>
  </si>
  <si>
    <t>WASEEM AUTOS</t>
  </si>
  <si>
    <t>Dlr-1310</t>
  </si>
  <si>
    <t>MUJAHID AUTOS (3S)</t>
  </si>
  <si>
    <t>KOTLI (AK)</t>
  </si>
  <si>
    <t>Dlr-1311</t>
  </si>
  <si>
    <t>SALEEM &amp; SONS (3S)</t>
  </si>
  <si>
    <t>Dlr-1312</t>
  </si>
  <si>
    <t>FAISAL AUTOS (LSR)</t>
  </si>
  <si>
    <t>Dlr-1314</t>
  </si>
  <si>
    <t>YAMAHA PALACE-LODHRAN</t>
  </si>
  <si>
    <t>Dlr-1316</t>
  </si>
  <si>
    <t>KHATTAK YAMAHA CENTER</t>
  </si>
  <si>
    <t>Dlr-1317</t>
  </si>
  <si>
    <t>PARTS SERVICE CENTER</t>
  </si>
  <si>
    <t>Dlr-1318</t>
  </si>
  <si>
    <t>ITTEFAQ YAMAHA CENTER</t>
  </si>
  <si>
    <t>Dlr-1319</t>
  </si>
  <si>
    <t>SALMAN TRADERS HAROONABAD</t>
  </si>
  <si>
    <t>Dlr-1321</t>
  </si>
  <si>
    <t>HAMZA TRADERS</t>
  </si>
  <si>
    <t>Dlr-1324</t>
  </si>
  <si>
    <t>NEW SHEIKH AUTOS</t>
  </si>
  <si>
    <t>Dlr-1326</t>
  </si>
  <si>
    <t>NEW RAVI AUTOS</t>
  </si>
  <si>
    <t>Dlr-1327</t>
  </si>
  <si>
    <t>KASHMIR YAMAHA CENTER A.K</t>
  </si>
  <si>
    <t>AZAD KASHMIR</t>
  </si>
  <si>
    <t>Dlr-1328</t>
  </si>
  <si>
    <t>HARMAIN AUTOS (3S)</t>
  </si>
  <si>
    <t>LAL MUSA</t>
  </si>
  <si>
    <t>Dlr-1331</t>
  </si>
  <si>
    <t>Madni Autos, Malakwal</t>
  </si>
  <si>
    <t>MALAKWALA</t>
  </si>
  <si>
    <t>Dlr-1332</t>
  </si>
  <si>
    <t>PAK AUTO STORE</t>
  </si>
  <si>
    <t>MANDI BHAUDDIN</t>
  </si>
  <si>
    <t>Dlr-1333</t>
  </si>
  <si>
    <t>R.A MOTORS</t>
  </si>
  <si>
    <t>Dlr-1335</t>
  </si>
  <si>
    <t>AL-KARAM AUTOS</t>
  </si>
  <si>
    <t>Dlr-1337</t>
  </si>
  <si>
    <t>WASEEM AUTOS LAHORE</t>
  </si>
  <si>
    <t>Dlr-1338</t>
  </si>
  <si>
    <t>WASIM AUTOS</t>
  </si>
  <si>
    <t>MELSI</t>
  </si>
  <si>
    <t>Dlr-1339</t>
  </si>
  <si>
    <t>PRICE YAMAHA CENTER</t>
  </si>
  <si>
    <t>Dlr-1341</t>
  </si>
  <si>
    <t>SALEEM AUTOS KHI</t>
  </si>
  <si>
    <t>Dlr-1343</t>
  </si>
  <si>
    <t>ANSARI AUTOS (AK)</t>
  </si>
  <si>
    <t>MIR PUR (AK)</t>
  </si>
  <si>
    <t>Dlr-1344</t>
  </si>
  <si>
    <t>DAWOOD YAMAHA GEN. PARTS SHOP</t>
  </si>
  <si>
    <t>Dlr-1345</t>
  </si>
  <si>
    <t>MOON AUTOS (AK)</t>
  </si>
  <si>
    <t>MIR PUR )AK)</t>
  </si>
  <si>
    <t>Dlr-1346</t>
  </si>
  <si>
    <t>ASAD AUTOS (3S)</t>
  </si>
  <si>
    <t>MIR PUR KHAS</t>
  </si>
  <si>
    <t>Dlr-1350</t>
  </si>
  <si>
    <t>NEW AL-MADINA AUTOS</t>
  </si>
  <si>
    <t>Dlr-1352</t>
  </si>
  <si>
    <t>Dlr-1353</t>
  </si>
  <si>
    <t>AFGHAN YAMAHA CENTER</t>
  </si>
  <si>
    <t>Dlr-1354</t>
  </si>
  <si>
    <t>NEW TAHIR ENTERPRISE</t>
  </si>
  <si>
    <t>Dlr-1355</t>
  </si>
  <si>
    <t>IQBAL AUTOS (3S)</t>
  </si>
  <si>
    <t>Dlr-1356</t>
  </si>
  <si>
    <t>SOHAIL AND CO.</t>
  </si>
  <si>
    <t>Dlr-1358</t>
  </si>
  <si>
    <t>RAJAN PUR</t>
  </si>
  <si>
    <t>Dlr-1359</t>
  </si>
  <si>
    <t>ZAFFAR AUTOS</t>
  </si>
  <si>
    <t>Dlr-1360</t>
  </si>
  <si>
    <t>ARSHI AUTOS</t>
  </si>
  <si>
    <t>Dlr-1361</t>
  </si>
  <si>
    <t>ASLAM AMJAD AND COMPANY</t>
  </si>
  <si>
    <t>Dlr-1363</t>
  </si>
  <si>
    <t>Dlr-1364</t>
  </si>
  <si>
    <t>HARIS MOTORS (2S)</t>
  </si>
  <si>
    <t>Dlr-1365</t>
  </si>
  <si>
    <t>YAZMAN AUTOMOBILE</t>
  </si>
  <si>
    <t>YAZMAN MANDI</t>
  </si>
  <si>
    <t>Dlr-1366</t>
  </si>
  <si>
    <t>SARDAR YAMAH CENTRE</t>
  </si>
  <si>
    <t>ALLABAD(KASUR)</t>
  </si>
  <si>
    <t>Dlr-1367</t>
  </si>
  <si>
    <t>NADEEM TRADERS</t>
  </si>
  <si>
    <t>Dlr-1368</t>
  </si>
  <si>
    <t>BILAL TRADERS (3S)</t>
  </si>
  <si>
    <t>Dlr-1373</t>
  </si>
  <si>
    <t>ADIL AUTOS (2S)</t>
  </si>
  <si>
    <t>Dlr-1374</t>
  </si>
  <si>
    <t>HUSNAIN YAMAH CENTRE(3S)- SPD</t>
  </si>
  <si>
    <t>Dadyal</t>
  </si>
  <si>
    <t>Dlr-1375</t>
  </si>
  <si>
    <t>MAQBOOL SONS(3S)</t>
  </si>
  <si>
    <t>Dlr-1376</t>
  </si>
  <si>
    <t>AHMED TRADERS (3-S)</t>
  </si>
  <si>
    <t>Dlr-1377</t>
  </si>
  <si>
    <t>BISMILLAH AUTOS(3-S)</t>
  </si>
  <si>
    <t>Dlr-1378</t>
  </si>
  <si>
    <t>HAJI AHMEDDIN &amp; SONS</t>
  </si>
  <si>
    <t>Dlr-1381</t>
  </si>
  <si>
    <t>Dlr-1384</t>
  </si>
  <si>
    <t>LARKANA AUTOMOBILE</t>
  </si>
  <si>
    <t>Dlr-1388</t>
  </si>
  <si>
    <t>REHMAN YAMAHA TRADERS</t>
  </si>
  <si>
    <t>Dlr-1389</t>
  </si>
  <si>
    <t>KASHIF AUTOS,</t>
  </si>
  <si>
    <t>Dlr-1390</t>
  </si>
  <si>
    <t>HUSSAIN BROTHERS &amp; CO</t>
  </si>
  <si>
    <t>JARNAWALA</t>
  </si>
  <si>
    <t>Dlr-1391</t>
  </si>
  <si>
    <t>SARHAD YAMAHA CENTER, SWABI</t>
  </si>
  <si>
    <t>Dlr-1392</t>
  </si>
  <si>
    <t>FIVE STAR YAMAHA CENTER</t>
  </si>
  <si>
    <t>Dlr-1393</t>
  </si>
  <si>
    <t>OWAIS AUTOS, SUKKUR</t>
  </si>
  <si>
    <t>Dlr-1394</t>
  </si>
  <si>
    <t>Dlr-1395</t>
  </si>
  <si>
    <t>KAMRAN AUTOS, R.Y KHAN</t>
  </si>
  <si>
    <t>R.Y KHAN</t>
  </si>
  <si>
    <t>Dlr-1396</t>
  </si>
  <si>
    <t>SHAHBAZ YAMAHA CENTER</t>
  </si>
  <si>
    <t>Dlr-1397</t>
  </si>
  <si>
    <t>THREE STAR YAMAHA CENTER, B/PUR</t>
  </si>
  <si>
    <t>Dlr-1398</t>
  </si>
  <si>
    <t>AUTO CLUB</t>
  </si>
  <si>
    <t>HASIL PUR</t>
  </si>
  <si>
    <t>Dlr-1399</t>
  </si>
  <si>
    <t>BHALWAL TRADERS,</t>
  </si>
  <si>
    <t>Dlr-1400</t>
  </si>
  <si>
    <t>BOBY AUTOS,</t>
  </si>
  <si>
    <t>Dlr-1401</t>
  </si>
  <si>
    <t>FEZAN AUTOS,</t>
  </si>
  <si>
    <t>Dlr-1402</t>
  </si>
  <si>
    <t>KHAN YAMAHA CENTER</t>
  </si>
  <si>
    <t>Dlr-1403</t>
  </si>
  <si>
    <t>DYL WARRANTY</t>
  </si>
  <si>
    <t>Dlr-1404</t>
  </si>
  <si>
    <t>AL-SHAMAS TRADERS</t>
  </si>
  <si>
    <t>KAMAR MISHANI</t>
  </si>
  <si>
    <t>Dlr-1412</t>
  </si>
  <si>
    <t>AUTOCITY-R.Y KHAN</t>
  </si>
  <si>
    <t>Dlr-1413</t>
  </si>
  <si>
    <t>KHAWAJA YAMAHA CENTER,</t>
  </si>
  <si>
    <t>Dlr-1416</t>
  </si>
  <si>
    <t>DILSHAD AUTOS,</t>
  </si>
  <si>
    <t>Dlr-1417</t>
  </si>
  <si>
    <t>YAZDANI AUTOS,</t>
  </si>
  <si>
    <t>Dlr-1419</t>
  </si>
  <si>
    <t>MIAN AUTOS, JAHANIAN</t>
  </si>
  <si>
    <t>Dlr-1420</t>
  </si>
  <si>
    <t>AHMAD MOTORS</t>
  </si>
  <si>
    <t>Dlr-1421</t>
  </si>
  <si>
    <t>IQBAL AUTOS, KAMOKE</t>
  </si>
  <si>
    <t>KAMOKE</t>
  </si>
  <si>
    <t>Dlr-1423</t>
  </si>
  <si>
    <t>BISMILLAH TRADERS, RAJANPUR</t>
  </si>
  <si>
    <t>Dlr-1424</t>
  </si>
  <si>
    <t>NEW HASSAN TRADERS</t>
  </si>
  <si>
    <t>BUREWLA</t>
  </si>
  <si>
    <t>Dlr-1425</t>
  </si>
  <si>
    <t>RAHIM MOTORS, D.G KHAN</t>
  </si>
  <si>
    <t>Dlr-1427</t>
  </si>
  <si>
    <t>DAHARKI</t>
  </si>
  <si>
    <t>Dlr-1428</t>
  </si>
  <si>
    <t>SUFFIAN BROTHERS</t>
  </si>
  <si>
    <t>Dlr-1430</t>
  </si>
  <si>
    <t>GULZAR YAMAHA CENTER,</t>
  </si>
  <si>
    <t>Dlr-1432</t>
  </si>
  <si>
    <t>DATA AUTOS</t>
  </si>
  <si>
    <t>PIRMAHAL</t>
  </si>
  <si>
    <t>Dlr-1433</t>
  </si>
  <si>
    <t>USMAN &amp; CO., PATTOKI</t>
  </si>
  <si>
    <t>Dlr-1434</t>
  </si>
  <si>
    <t>RUSTAM YAMAHA CENTER</t>
  </si>
  <si>
    <t>Dlr-1435</t>
  </si>
  <si>
    <t>KHYBER YAMAHA CENTER</t>
  </si>
  <si>
    <t>PESHAWER</t>
  </si>
  <si>
    <t>Dlr-1436</t>
  </si>
  <si>
    <t>RAVI YAMAHA CENTER</t>
  </si>
  <si>
    <t>Dlr-1437</t>
  </si>
  <si>
    <t>NAEEM YAMAHA PARTS CENTER</t>
  </si>
  <si>
    <t>Dlr-1438</t>
  </si>
  <si>
    <t>ASAD CORPORATION</t>
  </si>
  <si>
    <t>Dlr-1440</t>
  </si>
  <si>
    <t>MOTORCYCLE ZONE</t>
  </si>
  <si>
    <t>Dlr-1441</t>
  </si>
  <si>
    <t>YAMA FORT</t>
  </si>
  <si>
    <t>Dlr-1442</t>
  </si>
  <si>
    <t>ALI TRADERS, MORE KHUNDA</t>
  </si>
  <si>
    <t>MORE KHUNDA</t>
  </si>
  <si>
    <t>Dlr-1444</t>
  </si>
  <si>
    <t>JAVAID QADIR AUTOS</t>
  </si>
  <si>
    <t>Dlr-1445</t>
  </si>
  <si>
    <t>MADNI AUTOS, KOT ADDU</t>
  </si>
  <si>
    <t>Dlr-1446</t>
  </si>
  <si>
    <t>IQBAL MOTOR FACTORS</t>
  </si>
  <si>
    <t>Dlr-1452</t>
  </si>
  <si>
    <t>PRINCE TRADERS</t>
  </si>
  <si>
    <t>Dlr-1453</t>
  </si>
  <si>
    <t>ZOHAIB AUTOMOBILE</t>
  </si>
  <si>
    <t>Dlr-1454</t>
  </si>
  <si>
    <t>MADINA AUTOS, GUJRAT</t>
  </si>
  <si>
    <t>Dlr-1455</t>
  </si>
  <si>
    <t>MIR AUTO CORPORATION,</t>
  </si>
  <si>
    <t>Dlr-1456</t>
  </si>
  <si>
    <t>JAPAN MOTORCYCLE CENTER</t>
  </si>
  <si>
    <t>Dlr-1457</t>
  </si>
  <si>
    <t>NEW BHULLAY SHAH AUTOS</t>
  </si>
  <si>
    <t>Dlr-1467</t>
  </si>
  <si>
    <t>RAJPUT AUTOS</t>
  </si>
  <si>
    <t>JUHARABAD</t>
  </si>
  <si>
    <t>Dlr-1471</t>
  </si>
  <si>
    <t>SOHAIL TRADERS</t>
  </si>
  <si>
    <t>Dlr-1473</t>
  </si>
  <si>
    <t>TAJ AUTOS - KAMRA</t>
  </si>
  <si>
    <t>lahore</t>
  </si>
  <si>
    <t>Dlr-1475</t>
  </si>
  <si>
    <t>GUJJAR AUTOS MALAKWAL</t>
  </si>
  <si>
    <t>Dlr-1476</t>
  </si>
  <si>
    <t>ASHRAF COMB0H AUTOS-BHALWAL</t>
  </si>
  <si>
    <t>Dlr-1477</t>
  </si>
  <si>
    <t>-</t>
  </si>
  <si>
    <t>SHEIKH</t>
  </si>
  <si>
    <t>Dlr-1478</t>
  </si>
  <si>
    <t>NEW SHAFIQ</t>
  </si>
  <si>
    <t>GUJ</t>
  </si>
  <si>
    <t>Dlr-1490</t>
  </si>
  <si>
    <t>AL-FALAH YAMAHA MOTORS,</t>
  </si>
  <si>
    <t>Dlr-1492</t>
  </si>
  <si>
    <t>SIDDIQUI AUTOS, PESHAWAR-SPD</t>
  </si>
  <si>
    <t>Dlr-1493</t>
  </si>
  <si>
    <t>NEW YAMAHA TRADERS, ABDUL HAKEEM-SPD</t>
  </si>
  <si>
    <t>Dlr-1494</t>
  </si>
  <si>
    <t>AHMED TRADERS, ARIFWALA-SPD</t>
  </si>
  <si>
    <t>Dlr-1495</t>
  </si>
  <si>
    <t>ALI AUTO CENTER, YAZMAN-SPD</t>
  </si>
  <si>
    <t>Dlr-1497</t>
  </si>
  <si>
    <t>NEW SHAFIQ AUTOS, GUJARNAWALA-SPD</t>
  </si>
  <si>
    <t>Dlr-1498</t>
  </si>
  <si>
    <t>WAHEED SONS AUTOS, SHEIKHUPURA-SPD</t>
  </si>
  <si>
    <t>SHIEKHUPURA</t>
  </si>
  <si>
    <t>Dlr-1506</t>
  </si>
  <si>
    <t>ITTEFAQ CORPORATION</t>
  </si>
  <si>
    <t>Dlr-1520</t>
  </si>
  <si>
    <t>KHAN AUTO TRADERS</t>
  </si>
  <si>
    <t>Dlr-1532</t>
  </si>
  <si>
    <t>M.H. AUTOS</t>
  </si>
  <si>
    <t>Dlr-1536</t>
  </si>
  <si>
    <t>ITTEFAQ AUTO MOBILES</t>
  </si>
  <si>
    <t>Dlr-1537</t>
  </si>
  <si>
    <t>A-G MOTORS</t>
  </si>
  <si>
    <t>HAVELI LAKHA</t>
  </si>
  <si>
    <t>Dlr-1543</t>
  </si>
  <si>
    <t>IMTIAZ YAMAHA CENTRE</t>
  </si>
  <si>
    <t>CHARSADDAH</t>
  </si>
  <si>
    <t>Dlr-1544</t>
  </si>
  <si>
    <t>CHUADHARY CORPORATION, FAISALABAD</t>
  </si>
  <si>
    <t>Dlr-1569</t>
  </si>
  <si>
    <t>NEW YAMAHA WORLD</t>
  </si>
  <si>
    <t>Dlr-1570</t>
  </si>
  <si>
    <t>MUNIR AUTOS, GUJRAT -SPD</t>
  </si>
  <si>
    <t>ALL</t>
  </si>
  <si>
    <t>Saraialamgir</t>
  </si>
  <si>
    <t>Dlr-1573</t>
  </si>
  <si>
    <t>HUSSAIN AUTOS</t>
  </si>
  <si>
    <t>Dlr-1578</t>
  </si>
  <si>
    <t>IMRAN BHAI CORPORATION</t>
  </si>
  <si>
    <t>Dlr-1599</t>
  </si>
  <si>
    <t>ASHIQUE AUTOS</t>
  </si>
  <si>
    <t>Dlr-1603</t>
  </si>
  <si>
    <t>ITTEFAQ YAMAHA PALACE</t>
  </si>
  <si>
    <t>Dlr-1616</t>
  </si>
  <si>
    <t>BEST - TECH - SILLIANWALI</t>
  </si>
  <si>
    <t>Dlr-1620</t>
  </si>
  <si>
    <t>PARADISE CENTRE - FAISALABAD</t>
  </si>
  <si>
    <t>Dlr-1622</t>
  </si>
  <si>
    <t>MALIK AUTO CORPORATION - GUJRANWALA</t>
  </si>
  <si>
    <t>Dlr-1623</t>
  </si>
  <si>
    <t>KHAN AUTOS - SIALKOT</t>
  </si>
  <si>
    <t>Dlr-1624</t>
  </si>
  <si>
    <t>SOHAIL CORPORATION - LAHORE</t>
  </si>
  <si>
    <t>Dlr-1627</t>
  </si>
  <si>
    <t>ARSHAD MEHMOOD YAMAHA CENTRE</t>
  </si>
  <si>
    <t>Dlr-1634</t>
  </si>
  <si>
    <t>H.S. TRADING (PVT) LIMITED - ISLAMABAD</t>
  </si>
  <si>
    <t>Dlr-1637</t>
  </si>
  <si>
    <t>AQEEL &amp; SOHAIL AUTOS - KARACHI</t>
  </si>
  <si>
    <t>Dlr-1639</t>
  </si>
  <si>
    <t>IQBAL TRADING COMPANY - LAHORE</t>
  </si>
  <si>
    <t>Dlr-1640</t>
  </si>
  <si>
    <t>NEW AFTAB CENTRE - LAHORE</t>
  </si>
  <si>
    <t>Dlr-1641</t>
  </si>
  <si>
    <t>SHAMRAIZ YAMAHA PALACE - CHAKSWARI (AK)</t>
  </si>
  <si>
    <t>CHAKSWARI-AK</t>
  </si>
  <si>
    <t>Dlr-1642</t>
  </si>
  <si>
    <t>DIYAL YAMAHA CENTRE - CHICHAWATNI</t>
  </si>
  <si>
    <t>Dlr-1652</t>
  </si>
  <si>
    <t>KHAN SCOOTER YAMAHA CITY - RAWALPINDI</t>
  </si>
  <si>
    <t>Dlr-1653</t>
  </si>
  <si>
    <t>ABDULLAH TRADERS - LAHORE</t>
  </si>
  <si>
    <t>Dlr-1654</t>
  </si>
  <si>
    <t>SUFI MOTORS - USTA MUHAMMAD</t>
  </si>
  <si>
    <t>USTA MUHAMMAD</t>
  </si>
  <si>
    <t>Dlr-1656</t>
  </si>
  <si>
    <t>IDEAL YAMAHA CENTRE - PAKPATTAN</t>
  </si>
  <si>
    <t>Dlr-1660</t>
  </si>
  <si>
    <t>AWAN YAMAHA CENTRE - PINDI GHABE</t>
  </si>
  <si>
    <t>Dlr-1663</t>
  </si>
  <si>
    <t>Jahania Motors - Jahania</t>
  </si>
  <si>
    <t>JAHANIA</t>
  </si>
  <si>
    <t>Dlr-1666</t>
  </si>
  <si>
    <t>Dammi Dealer 2</t>
  </si>
  <si>
    <t>Dlr-1669</t>
  </si>
  <si>
    <t>Anas Yamaha Centre - Rohilan Wali</t>
  </si>
  <si>
    <t>Rohilan Wali.</t>
  </si>
  <si>
    <t>Dlr-1670</t>
  </si>
  <si>
    <t>Babar Yamaha Centre - Zahir Pir</t>
  </si>
  <si>
    <t>Dlr-1675</t>
  </si>
  <si>
    <t>Naeem Autos Karachi</t>
  </si>
  <si>
    <t>Dlr-1676</t>
  </si>
  <si>
    <t>Jawed Autos</t>
  </si>
  <si>
    <t>Dlr-1677</t>
  </si>
  <si>
    <t>FARZAIB AUTOS - BARNALA-AK</t>
  </si>
  <si>
    <t>BARNALA - AK</t>
  </si>
  <si>
    <t>Dlr-1683</t>
  </si>
  <si>
    <t>MADINA MOTORS - NANKANA SAHIB</t>
  </si>
  <si>
    <t>NANKANA SAHIB</t>
  </si>
  <si>
    <t>Dlr-1691</t>
  </si>
  <si>
    <t>MUGHAL YAMAHA CENTRE - BHAKHAR</t>
  </si>
  <si>
    <t>BHAKHAR</t>
  </si>
  <si>
    <t>Dlr-1696</t>
  </si>
  <si>
    <t>SAMI ULLAH KHAN &amp; BROTHERS - MIANWALI</t>
  </si>
  <si>
    <t>Dlr-1702</t>
  </si>
  <si>
    <t>RAFIQUE AUTOS - KHAIR PUR</t>
  </si>
  <si>
    <t>KHAIR PUR</t>
  </si>
  <si>
    <t>Dlr-1704</t>
  </si>
  <si>
    <t>SHAHEEN CORPORATION - HASILPUR</t>
  </si>
  <si>
    <t>Dlr-1705</t>
  </si>
  <si>
    <t>Peshawar Yamaha Centre - Peshawar</t>
  </si>
  <si>
    <t>Dlr-1707</t>
  </si>
  <si>
    <t>Bismillah Yamaha Centre - Dandi Dara (Sarai Alamgi</t>
  </si>
  <si>
    <t>DANDI DARA</t>
  </si>
  <si>
    <t>Dlr-1710</t>
  </si>
  <si>
    <t>Hamid Autos - Kharian.</t>
  </si>
  <si>
    <t>Dlr-1722</t>
  </si>
  <si>
    <t>AL-HAMD YAMAHA CENTRE - SAMBRIAL</t>
  </si>
  <si>
    <t>Dlr-1723</t>
  </si>
  <si>
    <t>PASRUR YAMAHA CENTRE - PASRUR</t>
  </si>
  <si>
    <t>PASRUR</t>
  </si>
  <si>
    <t>Dlr-1724</t>
  </si>
  <si>
    <t>AL-HILAL MOTORS - YAZMAN MANDI</t>
  </si>
  <si>
    <t>Dlr-1725</t>
  </si>
  <si>
    <t>MUSHTAQ MOTORS - SHUJABAD</t>
  </si>
  <si>
    <t>Dlr-1728</t>
  </si>
  <si>
    <t>AZEEM AUTO CORPORATION - GUJRANWALA</t>
  </si>
  <si>
    <t>Dlr-1733</t>
  </si>
  <si>
    <t>Test Dealer</t>
  </si>
  <si>
    <t>abc</t>
  </si>
  <si>
    <t>Dlr-1738</t>
  </si>
  <si>
    <t>ZAHID AUTOS - DHARKI</t>
  </si>
  <si>
    <t>Dlr-1739</t>
  </si>
  <si>
    <t>CHOUDHRY MOTORS - DASKA</t>
  </si>
  <si>
    <t>Dlr-1752</t>
  </si>
  <si>
    <t>NEW ZOHAIB YAMAHA CENTRE - KOTLI (AK)</t>
  </si>
  <si>
    <t>KOTLI - AK</t>
  </si>
  <si>
    <t>Dlr-1753</t>
  </si>
  <si>
    <t>AZMAT MOTORS - RENALA KHURD</t>
  </si>
  <si>
    <t>Dlr-1756</t>
  </si>
  <si>
    <t>ALAMDAR YAMAHA CENTRE - QUETTA</t>
  </si>
  <si>
    <t>Dlr-1757</t>
  </si>
  <si>
    <t>Al Rehman Traders</t>
  </si>
  <si>
    <t>Dlr-1758</t>
  </si>
  <si>
    <t>ravi yamaha centre</t>
  </si>
  <si>
    <t>Dlr-1763</t>
  </si>
  <si>
    <t>SAEED AUTOS - KASHMORE</t>
  </si>
  <si>
    <t>KASHMORE</t>
  </si>
  <si>
    <t>Dlr-1793</t>
  </si>
  <si>
    <t>SHAHEEN CORPORATION - LAHORE</t>
  </si>
  <si>
    <t>Dlr-1794</t>
  </si>
  <si>
    <t>STAR AUTOS - HYDERABAD</t>
  </si>
  <si>
    <t>Dlr-1798</t>
  </si>
  <si>
    <t>MIAN YAMAHA CENTRE - FAQIR WALI</t>
  </si>
  <si>
    <t>FAQIR WALI</t>
  </si>
  <si>
    <t>Dlr-1809</t>
  </si>
  <si>
    <t>MAQBOOL AUTOS - JEHLUM</t>
  </si>
  <si>
    <t>Dlr-1810</t>
  </si>
  <si>
    <t>M. AZAZ AUTOS - THATTA</t>
  </si>
  <si>
    <t>Dlr-1814</t>
  </si>
  <si>
    <t>ANSARI MOTORS - MALIR/KARACHI</t>
  </si>
  <si>
    <t>Dlr-1815</t>
  </si>
  <si>
    <t>NEW PAKISTAN AUTOS, BUREWALA-SPD</t>
  </si>
  <si>
    <t>Dlr-1817</t>
  </si>
  <si>
    <t>AZMAT TRADERS, RENALA KHURD-SPD</t>
  </si>
  <si>
    <t>Dlr-1818</t>
  </si>
  <si>
    <t>AUTO PALACE, RAHIM YAR KHAN -SPD</t>
  </si>
  <si>
    <t>Dlr-1819</t>
  </si>
  <si>
    <t>NAJAM TRADERS, LAHORE-SPD</t>
  </si>
  <si>
    <t>Dlr-1820</t>
  </si>
  <si>
    <t>EJAZ ENTERPRISES, KARACHI-SPD</t>
  </si>
  <si>
    <t>Dlr-2412</t>
  </si>
  <si>
    <t>ZEESHAN AUTOS, TAXILA - SPD</t>
  </si>
  <si>
    <t>Dlr-2413</t>
  </si>
  <si>
    <t>LUCKY AUTOS, ABBOTABAD - SPD</t>
  </si>
  <si>
    <t>Dlr-2415</t>
  </si>
  <si>
    <t>DUNYA PUR MOTORS - DUNYA PUR</t>
  </si>
  <si>
    <t>Dlr-2416</t>
  </si>
  <si>
    <t>BARI TRADERS - ZAFARWAL</t>
  </si>
  <si>
    <t>ZAFARWAL</t>
  </si>
  <si>
    <t>Dlr-2417</t>
  </si>
  <si>
    <t>M. S. TRADERS, LAHORE - SPD</t>
  </si>
  <si>
    <t>Dlr-2419</t>
  </si>
  <si>
    <t>SALMAN OIL TRADERS, LAHORE - SPD</t>
  </si>
  <si>
    <t>Dlr-2420</t>
  </si>
  <si>
    <t>FAISAL OIL TRADERS, LAHORE - SPD</t>
  </si>
  <si>
    <t>Ahmed Pur East</t>
  </si>
  <si>
    <t>Abdul Hakeem</t>
  </si>
  <si>
    <t>Abbotabad</t>
  </si>
  <si>
    <t>Dlr-2421</t>
  </si>
  <si>
    <t>ABDULLAH TRADERS - OKARA</t>
  </si>
  <si>
    <t>Dlr-2422</t>
  </si>
  <si>
    <t>KAROOR PACCA</t>
  </si>
  <si>
    <t>Dlr-2423</t>
  </si>
  <si>
    <t>UMAR MOTORS - MANGA MANDI</t>
  </si>
  <si>
    <t>Dlr-2424</t>
  </si>
  <si>
    <t>SUFI MOTORS, USTA MUHAMMED - SPD</t>
  </si>
  <si>
    <t>Dlr-2429</t>
  </si>
  <si>
    <t>FAYYAZ AUTO SERVICE</t>
  </si>
  <si>
    <t>SARDAR GARH</t>
  </si>
  <si>
    <t>Dlr-2430</t>
  </si>
  <si>
    <t>PERVEZ AUTO SERVICE</t>
  </si>
  <si>
    <t>LIAQAT PUR</t>
  </si>
  <si>
    <t>Dlr-2431</t>
  </si>
  <si>
    <t>IFTIKHAR AUTO SERVICE</t>
  </si>
  <si>
    <t>Dlr-2432</t>
  </si>
  <si>
    <t>ASGHAR AUTO SERVICE</t>
  </si>
  <si>
    <t>KHAN PUR</t>
  </si>
  <si>
    <t>Dlr-2433</t>
  </si>
  <si>
    <t>MUBSHIR AUTOS SERVICE</t>
  </si>
  <si>
    <t>Dlr-2436</t>
  </si>
  <si>
    <t>HS TRADERS - RAWALPINDI</t>
  </si>
  <si>
    <t>MALIK MOTORS - KAROOR PACCA</t>
  </si>
  <si>
    <t>Dlr-2438</t>
  </si>
  <si>
    <t>ASLAM OIL TRADERS, LAHORE  - SPD</t>
  </si>
  <si>
    <t>Dlr-2439</t>
  </si>
  <si>
    <t>NEW EMAD AUTOS - RAWALPINDI</t>
  </si>
  <si>
    <t>Dlr-0160</t>
  </si>
  <si>
    <t>Al-Sharif Autos.</t>
  </si>
  <si>
    <t>Dlr-2442</t>
  </si>
  <si>
    <t>ABDULLAH MOTORS - MANDI BAHAUDDIN</t>
  </si>
  <si>
    <t>Dlr-2452</t>
  </si>
  <si>
    <t>DATA DYL MOTORS - ROHELAN WALI</t>
  </si>
  <si>
    <t>ROHELANWALI</t>
  </si>
  <si>
    <t>Dlr-2459</t>
  </si>
  <si>
    <t>AL - SHARIF ENTERPRISES</t>
  </si>
  <si>
    <t>Dlr-2460</t>
  </si>
  <si>
    <t>NAZAR OIL TRADERS</t>
  </si>
  <si>
    <t>Dlr-2462</t>
  </si>
  <si>
    <t>RAIWIND</t>
  </si>
  <si>
    <t>Dlr-2464</t>
  </si>
  <si>
    <t>TALAL AUTOS - HARIPUR</t>
  </si>
  <si>
    <t>HARIPUR</t>
  </si>
  <si>
    <t>ZEESHAN AUTOS - RAIWIND</t>
  </si>
  <si>
    <t>Dlr-2467</t>
  </si>
  <si>
    <t>AL - DATA AUTO SERVICE</t>
  </si>
  <si>
    <t>Dlr-2468</t>
  </si>
  <si>
    <t>ADNAN OIL STORE</t>
  </si>
  <si>
    <t>Dlr-2469</t>
  </si>
  <si>
    <t>WAHEED MOTORS - PATTOKI</t>
  </si>
  <si>
    <t>Salman Traders Yamaha MotorCycle Dealers,Haroonaba</t>
  </si>
  <si>
    <t>Dlr-2470</t>
  </si>
  <si>
    <t>H. A. AUTOS - LAHORE</t>
  </si>
  <si>
    <t>Dlr-2471</t>
  </si>
  <si>
    <t>MUDASSIR AUTOS</t>
  </si>
  <si>
    <t>SARGODHA LAHORE</t>
  </si>
  <si>
    <t>Dlr-2472</t>
  </si>
  <si>
    <t>AHMAD DYL CENTRE - MULTAN</t>
  </si>
  <si>
    <t>sikey</t>
  </si>
  <si>
    <t>CompName</t>
  </si>
  <si>
    <t>ordDate</t>
  </si>
  <si>
    <t>Qty</t>
  </si>
  <si>
    <t>TotalValue</t>
  </si>
  <si>
    <t>SrNo</t>
  </si>
  <si>
    <t>Dlr-0135</t>
  </si>
  <si>
    <t>Prince Traders.</t>
  </si>
  <si>
    <t>Dlr-0176</t>
  </si>
  <si>
    <t>Autocity (Pvt) Ltd. (Sahiwal)</t>
  </si>
  <si>
    <t>Dlr-0206</t>
  </si>
  <si>
    <t>Autocity (Pvt) Ltd. (Okara)</t>
  </si>
  <si>
    <t>Dlr-0910</t>
  </si>
  <si>
    <t>NEW  UNITED  AUTOS</t>
  </si>
  <si>
    <t>Voucher Type</t>
  </si>
  <si>
    <t>Voucher Number</t>
  </si>
  <si>
    <t>Voucher Date</t>
  </si>
  <si>
    <t>Debit</t>
  </si>
  <si>
    <t>Credit</t>
  </si>
  <si>
    <t>DlrId</t>
  </si>
  <si>
    <t>Dealer Company Name</t>
  </si>
  <si>
    <t>Region_Name</t>
  </si>
  <si>
    <t>Sector_Name</t>
  </si>
  <si>
    <t>BR</t>
  </si>
  <si>
    <t>Dlr-0182</t>
  </si>
  <si>
    <t>Junaid Corporation.</t>
  </si>
  <si>
    <t>BP</t>
  </si>
  <si>
    <t>Dlr-0898</t>
  </si>
  <si>
    <t>SUNDARY CUSTOMER - HEAD OFFICE</t>
  </si>
  <si>
    <t>Dlr-0935</t>
  </si>
  <si>
    <t>Aslam Shah Autos.</t>
  </si>
  <si>
    <t>Dlr-0940</t>
  </si>
  <si>
    <t>Bhatti Autos.</t>
  </si>
  <si>
    <t>Dlr-0944</t>
  </si>
  <si>
    <t>Chaman Autos.</t>
  </si>
  <si>
    <t>Dlr-0957</t>
  </si>
  <si>
    <t>Allah Walay Autos,</t>
  </si>
  <si>
    <t>Dlr-0977</t>
  </si>
  <si>
    <t>Khalid Autos Workshop</t>
  </si>
  <si>
    <t>Dlr-1021</t>
  </si>
  <si>
    <t>Madina Autos Engg. Works</t>
  </si>
  <si>
    <t>Dlr-1040</t>
  </si>
  <si>
    <t>Mumtaz Auto Service.</t>
  </si>
  <si>
    <t>Dlr-1041</t>
  </si>
  <si>
    <t>Sargodha Autos.</t>
  </si>
  <si>
    <t>Dlr-1050</t>
  </si>
  <si>
    <t>Taj Auto Service</t>
  </si>
  <si>
    <t>Dlr-1075</t>
  </si>
  <si>
    <t>Lasani Autos.</t>
  </si>
  <si>
    <t>Dlr-1079</t>
  </si>
  <si>
    <t>Sadiq Autos</t>
  </si>
  <si>
    <t>Dlr-1084</t>
  </si>
  <si>
    <t>HAMMAD AUTOMOBILE</t>
  </si>
  <si>
    <t>Rawal Pindi</t>
  </si>
  <si>
    <t>Dlr-1248</t>
  </si>
  <si>
    <t>SHAFIQUE AUTO SERVICE</t>
  </si>
  <si>
    <t>Dlr-1322</t>
  </si>
  <si>
    <t>TARIQ KING AUTOS SER.</t>
  </si>
  <si>
    <t>Dlr-1357</t>
  </si>
  <si>
    <t>MADINA AUTOS (* SHOP)</t>
  </si>
  <si>
    <t>Dlr-1459</t>
  </si>
  <si>
    <t>NEW BABA ZAFAR AUTOS</t>
  </si>
  <si>
    <t>Dlr-1472</t>
  </si>
  <si>
    <t>CANTEEN STORE DEPARTMENT - HEAD OFFICE</t>
  </si>
  <si>
    <t>Dlr-1499</t>
  </si>
  <si>
    <t>SHAHEEN AUTOS, HAROONABAD (STAR SHOP)-SPD</t>
  </si>
  <si>
    <t>Dlr-1549</t>
  </si>
  <si>
    <t>SAGHEER AUTO SERVICE - (BUREWALA) -W/C</t>
  </si>
  <si>
    <t>Dlr-1595</t>
  </si>
  <si>
    <t>NEW SARGODHA AUTOS, SARGODHA-SPD</t>
  </si>
  <si>
    <t>Dlr-1604</t>
  </si>
  <si>
    <t>AHMAD ENTERPRISES, MULTAN-SPD</t>
  </si>
  <si>
    <t>Dlr-1668</t>
  </si>
  <si>
    <t>SUNDRY DEBTORS-SPD</t>
  </si>
  <si>
    <t>Dlr-1720</t>
  </si>
  <si>
    <t>SUFI YAMAHA CENTRE (*SHOP), LAHORE-SPD</t>
  </si>
  <si>
    <t>Dlr-1801</t>
  </si>
  <si>
    <t>AHMAD M/CYCLE CARE CENTRE, FATEHPUR-SPD</t>
  </si>
  <si>
    <t>Dlr-1833</t>
  </si>
  <si>
    <t>ADNAN AUTO SERVICE, CHICHAWATNI-*SPD</t>
  </si>
  <si>
    <t>DLR-1847</t>
  </si>
  <si>
    <t>Dlr-1862</t>
  </si>
  <si>
    <t>ZULFIQAR AUTOS (*SHOP), KARACHI</t>
  </si>
  <si>
    <t>Dlr-1975</t>
  </si>
  <si>
    <t>NEW SHARIF AUTOS (STAR SHOP)</t>
  </si>
  <si>
    <t>Dlr-2031</t>
  </si>
  <si>
    <t>ALI AUTO CARE CENTER (STAR SHOP)</t>
  </si>
  <si>
    <t>Dlr-2099</t>
  </si>
  <si>
    <t>NASEEM SERVICE CENTRE (STAR SHOP)</t>
  </si>
  <si>
    <t>Dlr-2100</t>
  </si>
  <si>
    <t>MUNAWER SHAHZAD AUTO SERVICE (STAR SHOP)</t>
  </si>
  <si>
    <t>Dlr-2135</t>
  </si>
  <si>
    <t>HAFIZ DYL SERVICE CENTRE (STAR SHOP)</t>
  </si>
  <si>
    <t>Dlr-2249</t>
  </si>
  <si>
    <t>MADINA AUTO SERVICE</t>
  </si>
  <si>
    <t>Dlr-2315</t>
  </si>
  <si>
    <t>5 - STAR AUTOS, GUJRAT - SPD</t>
  </si>
  <si>
    <t>Dlr-2364</t>
  </si>
  <si>
    <t>MAISUR SPRING WORKS</t>
  </si>
  <si>
    <t>Dlr-2393</t>
  </si>
  <si>
    <t>UNIVERSAL ENGINEERING WORKS</t>
  </si>
  <si>
    <t>Dlr-2394</t>
  </si>
  <si>
    <t>WINSPOT ENGINEERING</t>
  </si>
  <si>
    <t>DLR-2415</t>
  </si>
  <si>
    <t>Dlr-2454</t>
  </si>
  <si>
    <t>ISSACSONS LIGHT METAL COMPANY</t>
  </si>
  <si>
    <t>SICA-MO13-01-11-05-03458</t>
  </si>
  <si>
    <t>SICA-MO13-01-11-05-03511</t>
  </si>
  <si>
    <t>SICA-MO13-01-11-05-03589</t>
  </si>
  <si>
    <t>SICA-MO13-01-11-05-03693</t>
  </si>
  <si>
    <t>SICA-MO13-01-11-05-03711</t>
  </si>
  <si>
    <t>SICA-MO13-01-11-05-03546</t>
  </si>
  <si>
    <t>SICA-MO13-01-11-05-03578</t>
  </si>
  <si>
    <t>SICA-MO13-01-11-05-03684</t>
  </si>
  <si>
    <t>SICA-MO13-01-11-05-03599</t>
  </si>
  <si>
    <t>SICA-MO13-01-11-05-03585</t>
  </si>
  <si>
    <t>SICA-MO13-01-11-05-03656</t>
  </si>
  <si>
    <t>SICA-MO13-01-11-05-03683</t>
  </si>
  <si>
    <t>SICA-MO13-01-11-05-03576</t>
  </si>
  <si>
    <t>SICA-MO13-01-11-05-03587</t>
  </si>
  <si>
    <t>SICA-MO13-01-11-05-03652</t>
  </si>
  <si>
    <t>SICA-MO13-01-11-05-03605</t>
  </si>
  <si>
    <t>SICA-MO13-01-11-05-03742</t>
  </si>
  <si>
    <t>SICA-MO13-01-11-05-03743</t>
  </si>
  <si>
    <t>SICA-MO13-01-01-11-00167</t>
  </si>
  <si>
    <t>SICA-MO13-01-11-05-03543</t>
  </si>
  <si>
    <t>SICA-MO13-01-11-05-03541</t>
  </si>
  <si>
    <t>SICA-MO13-01-11-05-03689</t>
  </si>
  <si>
    <t>SICA-MO13-01-01-11-00172</t>
  </si>
  <si>
    <t>SICA-MO13-01-01-11-00175</t>
  </si>
  <si>
    <t>SICA-MO13-01-01-11-00177</t>
  </si>
  <si>
    <t>SICA-MO13-01-01-11-00244</t>
  </si>
  <si>
    <t>SICA-MO13-01-01-11-00246</t>
  </si>
  <si>
    <t>SICA-MO13-01-11-05-03456</t>
  </si>
  <si>
    <t>SICA-MO13-01-11-05-03623</t>
  </si>
  <si>
    <t>SICA-MO13-01-11-05-03624</t>
  </si>
  <si>
    <t>SICA-MO13-01-11-05-03494</t>
  </si>
  <si>
    <t>SICA-MO13-01-11-05-03630</t>
  </si>
  <si>
    <t>SICA-MO13-01-11-05-03690</t>
  </si>
  <si>
    <t>SICA-MO13-01-11-05-03629</t>
  </si>
  <si>
    <t>SICA-MO13-01-11-05-03451</t>
  </si>
  <si>
    <t>SICA-MO13-01-11-05-03559</t>
  </si>
  <si>
    <t>SICA-MO13-01-11-05-03632</t>
  </si>
  <si>
    <t>SICA-MO13-01-11-05-03480</t>
  </si>
  <si>
    <t>SICA-MO13-01-11-05-03469</t>
  </si>
  <si>
    <t>SICA-MO13-01-11-05-03636</t>
  </si>
  <si>
    <t>SICA-MO13-01-11-05-03695</t>
  </si>
  <si>
    <t>SICA-MO13-01-11-05-03487</t>
  </si>
  <si>
    <t>SICA-MO13-01-11-05-03612</t>
  </si>
  <si>
    <t>SICA-MO13-01-11-05-03726</t>
  </si>
  <si>
    <t>SICA-MO13-01-01-11-00241</t>
  </si>
  <si>
    <t>SICA-MO13-01-11-05-03462</t>
  </si>
  <si>
    <t>SICA-MO13-01-11-05-03464</t>
  </si>
  <si>
    <t>SICA-MO13-01-11-05-03452</t>
  </si>
  <si>
    <t>SICA-MO13-01-11-05-03486</t>
  </si>
  <si>
    <t>SICA-MO13-01-11-05-03491</t>
  </si>
  <si>
    <t>SICA-MO13-01-11-05-03532</t>
  </si>
  <si>
    <t>SICA-MO13-01-11-05-03713</t>
  </si>
  <si>
    <t>SICA-MO13-01-11-05-03490</t>
  </si>
  <si>
    <t>SICA-MO13-01-11-05-03669</t>
  </si>
  <si>
    <t>SICA-MO13-01-11-05-03471</t>
  </si>
  <si>
    <t>SICA-MO13-01-11-05-03472</t>
  </si>
  <si>
    <t>SICA-MO13-01-11-05-03569</t>
  </si>
  <si>
    <t>SICA-MO13-01-11-05-03712</t>
  </si>
  <si>
    <t>SICA-MO13-01-11-05-03556</t>
  </si>
  <si>
    <t>SICA-MO13-01-11-05-03513</t>
  </si>
  <si>
    <t>Dlr-0178</t>
  </si>
  <si>
    <t>Autocity (PVT) Ltd. (Rahim Yar Khan)</t>
  </si>
  <si>
    <t>SICA-MO13-01-11-05-03588</t>
  </si>
  <si>
    <t>SICA-MO13-01-11-05-03703</t>
  </si>
  <si>
    <t>SICA-MO13-01-11-05-03517</t>
  </si>
  <si>
    <t>SICA-MO13-01-11-05-03694</t>
  </si>
  <si>
    <t>SICA-MO13-01-11-05-03701</t>
  </si>
  <si>
    <t>SICA-MO13-01-11-05-03702</t>
  </si>
  <si>
    <t>SICA-MO13-01-11-05-03733</t>
  </si>
  <si>
    <t>SICA-MO13-01-01-11-00201</t>
  </si>
  <si>
    <t>SICA-MO13-01-11-05-03503</t>
  </si>
  <si>
    <t>SICA-MO13-01-01-11-00235</t>
  </si>
  <si>
    <t>SICA-MO13-01-01-11-00249</t>
  </si>
  <si>
    <t>SICA-MO13-01-11-05-03483</t>
  </si>
  <si>
    <t>SICA-MO13-01-01-11-00233</t>
  </si>
  <si>
    <t>SICA-MO13-01-01-11-00248</t>
  </si>
  <si>
    <t>SICA-MO13-01-11-05-03482</t>
  </si>
  <si>
    <t>SICA-MO13-01-11-05-03557</t>
  </si>
  <si>
    <t>SICA-MO13-01-01-11-00212</t>
  </si>
  <si>
    <t>SICA-MO13-01-11-05-03495</t>
  </si>
  <si>
    <t>SICA-MO13-01-11-05-03627</t>
  </si>
  <si>
    <t>SICA-MO13-01-11-05-03692</t>
  </si>
  <si>
    <t>SICA-MO13-01-11-05-03523</t>
  </si>
  <si>
    <t>SICA-MO13-01-11-05-03753</t>
  </si>
  <si>
    <t>SICA-MO13-01-11-05-03519</t>
  </si>
  <si>
    <t>SICA-MO13-01-11-05-03650</t>
  </si>
  <si>
    <t>SICA-MO13-01-11-05-03677</t>
  </si>
  <si>
    <t>SICA-MO13-01-11-05-03735</t>
  </si>
  <si>
    <t>SICA-MO13-01-11-05-03637</t>
  </si>
  <si>
    <t>SICA-MO13-01-11-05-03455</t>
  </si>
  <si>
    <t>SICA-MO13-01-11-05-03625</t>
  </si>
  <si>
    <t>SICA-MO13-01-01-11-00245</t>
  </si>
  <si>
    <t>SICA-MO13-01-11-05-03457</t>
  </si>
  <si>
    <t>SICA-MO13-01-11-05-03536</t>
  </si>
  <si>
    <t>SICA-MO13-01-11-05-03606</t>
  </si>
  <si>
    <t>SICA-MO13-01-11-05-03607</t>
  </si>
  <si>
    <t>SICA-MO13-01-11-05-03671</t>
  </si>
  <si>
    <t>SICA-MO13-01-11-05-03509</t>
  </si>
  <si>
    <t>SICA-MO13-01-11-05-03593</t>
  </si>
  <si>
    <t>SICA-MO13-01-11-05-03706</t>
  </si>
  <si>
    <t>SICA-MO13-01-11-05-03715</t>
  </si>
  <si>
    <t>SICA-MO13-01-11-05-03515</t>
  </si>
  <si>
    <t>SICA-MO13-01-11-05-03577</t>
  </si>
  <si>
    <t>SICA-MO13-01-11-05-03595</t>
  </si>
  <si>
    <t>SICA-MO13-01-11-05-03657</t>
  </si>
  <si>
    <t>SICA-MO13-01-11-05-03581</t>
  </si>
  <si>
    <t>SICA-MO13-01-11-05-03582</t>
  </si>
  <si>
    <t>SICA-MO13-01-11-05-03655</t>
  </si>
  <si>
    <t>SICA-MO13-01-11-05-03682</t>
  </si>
  <si>
    <t>SICA-MO13-01-11-05-03562</t>
  </si>
  <si>
    <t>SICA-MO13-01-11-05-03670</t>
  </si>
  <si>
    <t>SICA-MO13-01-11-05-03721</t>
  </si>
  <si>
    <t>SICA-MO13-01-11-05-03566</t>
  </si>
  <si>
    <t>SICA-MO13-01-11-05-03470</t>
  </si>
  <si>
    <t>SICA-MO13-01-01-11-00168</t>
  </si>
  <si>
    <t>SICA-MO13-01-01-11-00170</t>
  </si>
  <si>
    <t>SICA-MO13-01-11-05-03449</t>
  </si>
  <si>
    <t>SICA-MO13-01-11-05-03465</t>
  </si>
  <si>
    <t>SICA-MO13-01-11-05-03466</t>
  </si>
  <si>
    <t>SICA-MO13-01-11-05-03631</t>
  </si>
  <si>
    <t>SICA-MO13-01-01-11-00247</t>
  </si>
  <si>
    <t>SICA-MO13-01-11-05-03477</t>
  </si>
  <si>
    <t>SICA-MO13-01-11-05-03450</t>
  </si>
  <si>
    <t>SICA-MO13-01-11-05-03572</t>
  </si>
  <si>
    <t>SICA-MO13-01-11-05-03697</t>
  </si>
  <si>
    <t>SICA-MO13-01-11-05-03634</t>
  </si>
  <si>
    <t>SICA-MO13-01-11-05-03574</t>
  </si>
  <si>
    <t>SICA-MO13-01-11-05-03600</t>
  </si>
  <si>
    <t>SICA-MO13-01-11-05-03602</t>
  </si>
  <si>
    <t>SICA-MO13-01-11-05-03734</t>
  </si>
  <si>
    <t>SICA-MO13-01-11-05-03542</t>
  </si>
  <si>
    <t>SICA-MO13-01-11-05-03739</t>
  </si>
  <si>
    <t>SICA-MO13-01-11-05-03740</t>
  </si>
  <si>
    <t>SICA-MO13-01-11-05-03741</t>
  </si>
  <si>
    <t>SICA-MO13-01-11-05-03508</t>
  </si>
  <si>
    <t>SICA-MO13-01-11-05-03591</t>
  </si>
  <si>
    <t>SICA-MO13-01-11-05-03708</t>
  </si>
  <si>
    <t>SICA-MO13-01-11-05-03531</t>
  </si>
  <si>
    <t>SICA-MO13-01-11-05-03567</t>
  </si>
  <si>
    <t>SICA-MO13-01-11-05-03673</t>
  </si>
  <si>
    <t>SICA-MO13-01-11-05-03476</t>
  </si>
  <si>
    <t>SICA-MO13-01-11-05-03633</t>
  </si>
  <si>
    <t>SICA-MO13-01-11-05-03679</t>
  </si>
  <si>
    <t>SICA-MO13-01-11-05-03676</t>
  </si>
  <si>
    <t>SICA-MO13-01-11-05-03617</t>
  </si>
  <si>
    <t>SICA-MO13-01-11-05-03459</t>
  </si>
  <si>
    <t>SICA-MO13-01-11-05-03729</t>
  </si>
  <si>
    <t>SICA-MO13-01-11-05-03583</t>
  </si>
  <si>
    <t>SICA-MO13-01-01-11-00232</t>
  </si>
  <si>
    <t>SICA-MO13-01-11-05-03550</t>
  </si>
  <si>
    <t>SICA-MO13-01-11-05-03665</t>
  </si>
  <si>
    <t>SICA-MO13-01-11-05-03666</t>
  </si>
  <si>
    <t>SICA-MO13-01-11-05-03568</t>
  </si>
  <si>
    <t>SICA-MO13-01-01-11-00240</t>
  </si>
  <si>
    <t>SICA-MO13-01-11-05-03521</t>
  </si>
  <si>
    <t>SICA-MO13-01-11-05-03549</t>
  </si>
  <si>
    <t>SICA-MO13-01-11-05-03547</t>
  </si>
  <si>
    <t>SICA-MO13-01-11-05-03548</t>
  </si>
  <si>
    <t>SICA-MO13-01-11-05-03608</t>
  </si>
  <si>
    <t>SICA-MO13-01-11-05-03609</t>
  </si>
  <si>
    <t>SICA-MO13-01-11-05-03681</t>
  </si>
  <si>
    <t>SICA-MO13-01-11-05-03514</t>
  </si>
  <si>
    <t>SICA-MO13-01-11-05-03639</t>
  </si>
  <si>
    <t>SICA-MO13-01-11-05-03545</t>
  </si>
  <si>
    <t>SICA-MO13-01-11-05-03658</t>
  </si>
  <si>
    <t>SICA-MO13-01-11-05-03619</t>
  </si>
  <si>
    <t>SICA-MO13-01-11-05-03489</t>
  </si>
  <si>
    <t>SICA-MO13-01-11-05-03561</t>
  </si>
  <si>
    <t>SICA-MO13-01-11-05-03664</t>
  </si>
  <si>
    <t>SICA-MO13-01-11-05-03518</t>
  </si>
  <si>
    <t>SICA-MO13-01-11-05-03488</t>
  </si>
  <si>
    <t>SICA-MO13-01-11-05-03528</t>
  </si>
  <si>
    <t>SICA-MO13-01-11-05-03719</t>
  </si>
  <si>
    <t>SICA-MO13-01-11-05-03730</t>
  </si>
  <si>
    <t>SICA-MO13-01-11-05-03478</t>
  </si>
  <si>
    <t>SICA-MO13-01-02-11-00126</t>
  </si>
  <si>
    <t>SICA-MO13-01-02-11-00127</t>
  </si>
  <si>
    <t>SICA-MO13-01-01-11-00243</t>
  </si>
  <si>
    <t>SICA-MO13-01-11-05-03537</t>
  </si>
  <si>
    <t>SICA-MO13-01-11-05-03688</t>
  </si>
  <si>
    <t>SICA-MO13-01-11-05-03498</t>
  </si>
  <si>
    <t>SICA-MO13-01-11-05-03497</t>
  </si>
  <si>
    <t>SICA-MO13-01-11-05-03626</t>
  </si>
  <si>
    <t>SICA-MO13-01-11-05-03538</t>
  </si>
  <si>
    <t>SICA-MO13-01-11-05-03544</t>
  </si>
  <si>
    <t>SICA-MO13-01-01-11-00178</t>
  </si>
  <si>
    <t>SICA-MO13-01-11-05-03540</t>
  </si>
  <si>
    <t>SICA-MO13-01-11-05-03461</t>
  </si>
  <si>
    <t>SICA-MO13-01-11-05-03614</t>
  </si>
  <si>
    <t>SICA-MO13-01-11-05-03728</t>
  </si>
  <si>
    <t>SICA-MO13-01-11-05-03564</t>
  </si>
  <si>
    <t>SICA-MO13-01-11-05-03662</t>
  </si>
  <si>
    <t>SICA-MO13-01-11-05-03663</t>
  </si>
  <si>
    <t>SICA-MO13-01-11-05-03723</t>
  </si>
  <si>
    <t>SICA-MO13-01-01-11-00202</t>
  </si>
  <si>
    <t>SICA-MO13-01-11-05-03505</t>
  </si>
  <si>
    <t>SICA-MO13-01-11-05-03507</t>
  </si>
  <si>
    <t>SICA-MO13-01-11-05-03592</t>
  </si>
  <si>
    <t>SICA-MO13-01-11-05-03707</t>
  </si>
  <si>
    <t>SICA-MO13-01-11-05-03667</t>
  </si>
  <si>
    <t>SICA-MO13-01-11-05-03668</t>
  </si>
  <si>
    <t>SICA-MO13-01-01-11-00185</t>
  </si>
  <si>
    <t>SICA-MO13-01-01-11-00197</t>
  </si>
  <si>
    <t>SICA-MO13-01-11-05-03603</t>
  </si>
  <si>
    <t>SICA-MO13-01-11-05-03604</t>
  </si>
  <si>
    <t>SICA-MO13-01-11-05-03675</t>
  </si>
  <si>
    <t>SICA-MO13-01-01-11-00237</t>
  </si>
  <si>
    <t>SICA-MO13-01-11-05-03529</t>
  </si>
  <si>
    <t>SICA-MO13-01-11-05-03453</t>
  </si>
  <si>
    <t>SICA-MO13-01-11-05-03558</t>
  </si>
  <si>
    <t>SICA-MO13-01-11-05-03638</t>
  </si>
  <si>
    <t>SICA-MO13-01-11-05-03467</t>
  </si>
  <si>
    <t>SICA-MO13-01-11-05-03468</t>
  </si>
  <si>
    <t>SICA-MO13-01-11-05-03696</t>
  </si>
  <si>
    <t>SICA-MO13-01-01-11-00211</t>
  </si>
  <si>
    <t>SICA-MO13-01-11-05-03496</t>
  </si>
  <si>
    <t>SICA-MO13-01-11-05-03717</t>
  </si>
  <si>
    <t>SICA-MO13-01-11-05-03698</t>
  </si>
  <si>
    <t>SICA-MO13-01-01-11-00203</t>
  </si>
  <si>
    <t>SICA-MO13-01-01-11-00204</t>
  </si>
  <si>
    <t>SICA-MO13-01-11-05-03586</t>
  </si>
  <si>
    <t>SICA-MO13-01-11-05-03651</t>
  </si>
  <si>
    <t>SICA-MO13-01-11-05-03685</t>
  </si>
  <si>
    <t>SICA-MO13-01-11-05-03716</t>
  </si>
  <si>
    <t>SICA-MO13-01-01-11-00173</t>
  </si>
  <si>
    <t>SICA-MO13-01-01-11-00171</t>
  </si>
  <si>
    <t>SICA-MO13-01-11-05-03615</t>
  </si>
  <si>
    <t>SICA-MO13-01-11-05-03610</t>
  </si>
  <si>
    <t>SICA-MO13-01-11-05-03635</t>
  </si>
  <si>
    <t>SICA-MO13-01-01-11-00179</t>
  </si>
  <si>
    <t>SICA-MO13-01-11-05-03551</t>
  </si>
  <si>
    <t>SICA-MO13-01-11-05-03524</t>
  </si>
  <si>
    <t>SICA-MO13-01-11-05-03460</t>
  </si>
  <si>
    <t>SICA-MO13-01-11-05-03463</t>
  </si>
  <si>
    <t>SICA-MO13-01-11-05-03727</t>
  </si>
  <si>
    <t>SICA-MO13-01-11-05-03590</t>
  </si>
  <si>
    <t>SICA-MO13-01-11-05-03709</t>
  </si>
  <si>
    <t>SICA-MO13-01-11-05-03492</t>
  </si>
  <si>
    <t>SICA-MO13-01-11-05-03725</t>
  </si>
  <si>
    <t>SICA-MO13-01-11-05-03563</t>
  </si>
  <si>
    <t>SICA-MO13-01-11-05-03661</t>
  </si>
  <si>
    <t>SICA-MO13-01-11-05-03722</t>
  </si>
  <si>
    <t>SICA-MO13-01-01-11-00231</t>
  </si>
  <si>
    <t>SICA-MO13-01-01-11-00242</t>
  </si>
  <si>
    <t>SICA-MO13-01-11-05-03573</t>
  </si>
  <si>
    <t>SICA-MO13-01-11-05-03611</t>
  </si>
  <si>
    <t>SICA-MO13-01-11-05-03691</t>
  </si>
  <si>
    <t>SICA-MO13-01-01-11-00220</t>
  </si>
  <si>
    <t>SICA-MO13-01-01-11-00221</t>
  </si>
  <si>
    <t>SICA-MO13-01-11-05-03499</t>
  </si>
  <si>
    <t>SICA-MO13-01-11-05-03500</t>
  </si>
  <si>
    <t>SICA-MO13-01-11-05-03560</t>
  </si>
  <si>
    <t>SICA-MO13-01-01-11-00236</t>
  </si>
  <si>
    <t>SICA-MO13-01-01-11-00257</t>
  </si>
  <si>
    <t>SICA-MO13-01-11-05-03522</t>
  </si>
  <si>
    <t>SICA-MO13-01-11-05-03622</t>
  </si>
  <si>
    <t>SICA-MO13-01-11-05-03628</t>
  </si>
  <si>
    <t>SICA-MO13-01-11-05-03699</t>
  </si>
  <si>
    <t>SICA-MO13-01-11-05-03672</t>
  </si>
  <si>
    <t>SICA-MO13-01-11-05-03674</t>
  </si>
  <si>
    <t>SICA-MO13-01-11-05-03584</t>
  </si>
  <si>
    <t>SICA-MO13-01-11-05-03653</t>
  </si>
  <si>
    <t>SICA-MO13-01-11-05-03678</t>
  </si>
  <si>
    <t>SICA-MO13-01-11-05-03552</t>
  </si>
  <si>
    <t>SICA-MO13-01-11-05-03680</t>
  </si>
  <si>
    <t>SICA-MO13-01-01-11-00254</t>
  </si>
  <si>
    <t>SICA-MO13-01-11-05-03479</t>
  </si>
  <si>
    <t>SICA-MO13-01-11-05-03752</t>
  </si>
  <si>
    <t>SICA-MO13-01-11-05-03493</t>
  </si>
  <si>
    <t>SICA-MO13-01-11-05-03710</t>
  </si>
  <si>
    <t>SICA-MO13-01-11-05-03649</t>
  </si>
  <si>
    <t>SICA-MO13-01-11-05-03454</t>
  </si>
  <si>
    <t>SICA-MO13-01-01-11-00234</t>
  </si>
  <si>
    <t>SICA-MO13-01-01-11-00255</t>
  </si>
  <si>
    <t>SICA-MO13-01-11-05-03481</t>
  </si>
  <si>
    <t>SICA-MO13-01-11-05-03555</t>
  </si>
  <si>
    <t>SICA-MO13-01-11-05-03533</t>
  </si>
  <si>
    <t>SICA-MO13-01-11-05-03534</t>
  </si>
  <si>
    <t>SICA-MO13-01-11-05-03535</t>
  </si>
  <si>
    <t>SICA-MO13-01-11-05-03686</t>
  </si>
  <si>
    <t>SICA-MO13-01-11-05-03618</t>
  </si>
  <si>
    <t>BR-13-01-07-11-00683</t>
  </si>
  <si>
    <t>BR-13-01-07-11-00706</t>
  </si>
  <si>
    <t>BR-13-01-05-11-01679</t>
  </si>
  <si>
    <t>BR-13-01-05-11-01680</t>
  </si>
  <si>
    <t>BR-13-01-05-11-01690</t>
  </si>
  <si>
    <t>BR-13-01-05-11-01622</t>
  </si>
  <si>
    <t>BR-13-01-05-11-01786</t>
  </si>
  <si>
    <t>BR-13-01-05-11-01787</t>
  </si>
  <si>
    <t>BR-13-01-05-11-01596</t>
  </si>
  <si>
    <t>BR-13-01-05-11-01729</t>
  </si>
  <si>
    <t>BR-13-01-05-11-01691</t>
  </si>
  <si>
    <t>BR-13-01-05-11-01584</t>
  </si>
  <si>
    <t>BR-13-01-05-11-01623</t>
  </si>
  <si>
    <t>BR-13-01-05-11-01631</t>
  </si>
  <si>
    <t>BR-13-01-05-11-01677</t>
  </si>
  <si>
    <t>BR-13-01-05-11-01687</t>
  </si>
  <si>
    <t>BR-13-01-05-11-01615</t>
  </si>
  <si>
    <t>BR-13-01-05-11-01624</t>
  </si>
  <si>
    <t>BR-13-01-05-11-01595</t>
  </si>
  <si>
    <t>BR-13-01-05-11-01669</t>
  </si>
  <si>
    <t>BR-13-01-05-11-01657</t>
  </si>
  <si>
    <t>BR-13-01-05-11-01660</t>
  </si>
  <si>
    <t>BR-13-01-05-11-01700</t>
  </si>
  <si>
    <t>BR-13-01-05-11-01607</t>
  </si>
  <si>
    <t>BR-13-01-05-11-01673</t>
  </si>
  <si>
    <t>BR-13-01-05-11-01588</t>
  </si>
  <si>
    <t>BR-13-01-05-11-01630</t>
  </si>
  <si>
    <t>BR-13-01-05-11-01696</t>
  </si>
  <si>
    <t>BR-13-01-05-11-01698</t>
  </si>
  <si>
    <t>BR-13-01-05-11-01585</t>
  </si>
  <si>
    <t>BR-13-01-05-11-01728</t>
  </si>
  <si>
    <t>BR-13-01-05-11-01732</t>
  </si>
  <si>
    <t>BR-13-01-05-11-01737</t>
  </si>
  <si>
    <t>BR-13-01-06-11-01802</t>
  </si>
  <si>
    <t>BR-13-01-06-11-01651</t>
  </si>
  <si>
    <t>BR-13-01-06-11-01704</t>
  </si>
  <si>
    <t>BR-13-01-06-11-01681</t>
  </si>
  <si>
    <t>BR-13-01-06-11-01735</t>
  </si>
  <si>
    <t>BR-13-01-06-11-01755</t>
  </si>
  <si>
    <t>BR-13-01-06-11-01791</t>
  </si>
  <si>
    <t>BR-13-01-06-11-01792</t>
  </si>
  <si>
    <t>BR-13-01-06-11-01793</t>
  </si>
  <si>
    <t>BR-13-01-06-11-01794</t>
  </si>
  <si>
    <t>BR-13-01-06-11-01696</t>
  </si>
  <si>
    <t>BR-13-01-06-11-01655</t>
  </si>
  <si>
    <t>BR-13-01-06-11-01688</t>
  </si>
  <si>
    <t>BR-13-01-06-11-01733</t>
  </si>
  <si>
    <t>BR-13-01-06-11-01744</t>
  </si>
  <si>
    <t>BR-13-01-06-11-01782</t>
  </si>
  <si>
    <t>BR-13-01-06-11-01783</t>
  </si>
  <si>
    <t>BR-13-01-06-11-01695</t>
  </si>
  <si>
    <t>BR-13-01-06-11-01815</t>
  </si>
  <si>
    <t>BR-13-01-06-11-01730</t>
  </si>
  <si>
    <t>BR-13-01-06-11-01814</t>
  </si>
  <si>
    <t>BR-13-01-06-11-01654</t>
  </si>
  <si>
    <t>BR-13-01-07-11-00658</t>
  </si>
  <si>
    <t>BR-13-01-07-11-00679</t>
  </si>
  <si>
    <t>BR-13-01-06-11-01711</t>
  </si>
  <si>
    <t>BR-13-01-06-11-01747</t>
  </si>
  <si>
    <t>BR-13-01-06-11-01824</t>
  </si>
  <si>
    <t>BR-13-01-06-11-01676</t>
  </si>
  <si>
    <t>BR-13-01-06-11-01746</t>
  </si>
  <si>
    <t>BR-13-01-06-11-01748</t>
  </si>
  <si>
    <t>BR-13-01-06-11-01749</t>
  </si>
  <si>
    <t>BR-13-01-06-11-01765</t>
  </si>
  <si>
    <t>BR-13-01-06-11-01768</t>
  </si>
  <si>
    <t>BR-13-01-06-11-01804</t>
  </si>
  <si>
    <t>BR-13-01-06-11-01805</t>
  </si>
  <si>
    <t>BR-13-01-07-11-00665</t>
  </si>
  <si>
    <t>BR-13-01-07-11-00666</t>
  </si>
  <si>
    <t>BR-13-01-07-11-00668</t>
  </si>
  <si>
    <t>BR-13-01-07-11-00677</t>
  </si>
  <si>
    <t>BR-13-01-07-11-00678</t>
  </si>
  <si>
    <t>BR-13-01-07-11-00671</t>
  </si>
  <si>
    <t>BR-13-01-07-11-00650</t>
  </si>
  <si>
    <t>BR-13-01-07-11-00660</t>
  </si>
  <si>
    <t>BR-13-01-07-11-00672</t>
  </si>
  <si>
    <t>BR-13-01-07-11-00709</t>
  </si>
  <si>
    <t>BR-13-01-06-11-01721</t>
  </si>
  <si>
    <t>BR-13-01-06-11-01745</t>
  </si>
  <si>
    <t>BR-13-01-06-11-01803</t>
  </si>
  <si>
    <t>BR-13-01-06-11-01757</t>
  </si>
  <si>
    <t>BR-13-01-06-11-01786</t>
  </si>
  <si>
    <t>BR-13-01-06-11-01763</t>
  </si>
  <si>
    <t>BR-13-01-06-11-01686</t>
  </si>
  <si>
    <t>BR-13-01-06-11-01687</t>
  </si>
  <si>
    <t>BR-13-01-06-11-01723</t>
  </si>
  <si>
    <t>BR-13-01-06-11-01756</t>
  </si>
  <si>
    <t>BR-13-01-06-11-01760</t>
  </si>
  <si>
    <t>BR-13-01-06-11-01761</t>
  </si>
  <si>
    <t>BR-13-01-06-11-01762</t>
  </si>
  <si>
    <t>BR-13-01-01-03-02581</t>
  </si>
  <si>
    <t>BR-13-01-01-11-00248</t>
  </si>
  <si>
    <t>BR-13-01-01-11-00249</t>
  </si>
  <si>
    <t>BR-13-01-01-11-00250</t>
  </si>
  <si>
    <t>BR-13-01-01-11-00252</t>
  </si>
  <si>
    <t>BR-13-01-07-11-00701</t>
  </si>
  <si>
    <t>BR-13-01-07-11-00702</t>
  </si>
  <si>
    <t>BR-13-01-06-11-01691</t>
  </si>
  <si>
    <t>BR-13-01-06-11-01798</t>
  </si>
  <si>
    <t>BR-13-01-06-11-01799</t>
  </si>
  <si>
    <t>BR-13-01-06-11-01826</t>
  </si>
  <si>
    <t>BR-13-01-05-11-01621</t>
  </si>
  <si>
    <t>BR-13-01-05-11-01638</t>
  </si>
  <si>
    <t>BR-13-01-05-11-01704</t>
  </si>
  <si>
    <t>BR-13-01-05-11-01608</t>
  </si>
  <si>
    <t>BR-13-01-05-11-01733</t>
  </si>
  <si>
    <t>BR-13-01-05-11-01644</t>
  </si>
  <si>
    <t>BR-13-01-06-11-01663</t>
  </si>
  <si>
    <t>BR-13-01-06-11-01706</t>
  </si>
  <si>
    <t>BR-13-01-06-11-01801</t>
  </si>
  <si>
    <t>BR-13-02-07-13-00233</t>
  </si>
  <si>
    <t>BR-13-01-06-11-01653</t>
  </si>
  <si>
    <t>BR-13-01-06-11-01705</t>
  </si>
  <si>
    <t>BR-13-01-06-11-01685</t>
  </si>
  <si>
    <t>BR-13-01-06-11-01736</t>
  </si>
  <si>
    <t>BR-13-01-06-11-01741</t>
  </si>
  <si>
    <t>BR-13-01-06-11-01795</t>
  </si>
  <si>
    <t>BR-13-01-06-11-01796</t>
  </si>
  <si>
    <t>BR-13-01-06-11-01797</t>
  </si>
  <si>
    <t>BR-13-01-06-11-01714</t>
  </si>
  <si>
    <t>BR-13-01-06-11-01825</t>
  </si>
  <si>
    <t>BR-13-01-06-11-01827</t>
  </si>
  <si>
    <t>BR-13-01-05-11-01658</t>
  </si>
  <si>
    <t>BR-13-01-05-11-01670</t>
  </si>
  <si>
    <t>BR-13-01-05-11-01711</t>
  </si>
  <si>
    <t>BP-13-01-05-11-00305</t>
  </si>
  <si>
    <t>BR-13-01-05-11-01598</t>
  </si>
  <si>
    <t>BR-13-01-05-11-01645</t>
  </si>
  <si>
    <t>BR-13-01-05-11-01671</t>
  </si>
  <si>
    <t>BR-13-01-05-11-01634</t>
  </si>
  <si>
    <t>BR-13-01-05-11-01710</t>
  </si>
  <si>
    <t>BR-13-01-05-11-01730</t>
  </si>
  <si>
    <t>BR-13-01-05-11-01694</t>
  </si>
  <si>
    <t>BR-13-01-05-11-01803</t>
  </si>
  <si>
    <t>BR-13-01-05-11-01804</t>
  </si>
  <si>
    <t>BR-13-01-05-11-01805</t>
  </si>
  <si>
    <t>BR-13-01-05-11-01591</t>
  </si>
  <si>
    <t>BR-13-01-05-11-01614</t>
  </si>
  <si>
    <t>BR-13-01-05-11-01628</t>
  </si>
  <si>
    <t>BR-13-01-05-11-01666</t>
  </si>
  <si>
    <t>BR-13-01-05-11-01720</t>
  </si>
  <si>
    <t>BR-13-01-01-11-00208</t>
  </si>
  <si>
    <t>BR-13-01-01-11-00209</t>
  </si>
  <si>
    <t>BR-13-01-01-11-00210</t>
  </si>
  <si>
    <t>BR-13-01-01-11-00227</t>
  </si>
  <si>
    <t>BR-13-01-01-11-00225</t>
  </si>
  <si>
    <t>BR-13-01-01-11-00234</t>
  </si>
  <si>
    <t>BR-13-01-01-11-00235</t>
  </si>
  <si>
    <t>BR-13-01-01-11-00236</t>
  </si>
  <si>
    <t>BR-13-01-06-11-01673</t>
  </si>
  <si>
    <t>BR-13-01-06-11-01678</t>
  </si>
  <si>
    <t>BR-13-01-06-11-01710</t>
  </si>
  <si>
    <t>BR-13-01-06-11-01753</t>
  </si>
  <si>
    <t>BR-13-01-06-11-01754</t>
  </si>
  <si>
    <t>BR-13-01-06-11-01787</t>
  </si>
  <si>
    <t>BR-13-01-06-11-01767</t>
  </si>
  <si>
    <t>BR-13-01-05-11-01619</t>
  </si>
  <si>
    <t>BR-13-01-05-11-01659</t>
  </si>
  <si>
    <t>BR-13-01-05-11-01686</t>
  </si>
  <si>
    <t>BR-13-01-05-11-01699</t>
  </si>
  <si>
    <t>BR-13-01-07-11-00664</t>
  </si>
  <si>
    <t>BR-13-01-07-11-00681</t>
  </si>
  <si>
    <t>BR-13-01-07-11-00682</t>
  </si>
  <si>
    <t>BR-13-01-07-11-00695</t>
  </si>
  <si>
    <t>BR-13-01-07-11-00703</t>
  </si>
  <si>
    <t>BR-13-01-02-11-00452</t>
  </si>
  <si>
    <t>BR-13-01-02-11-00458</t>
  </si>
  <si>
    <t>BR-13-01-07-11-00657</t>
  </si>
  <si>
    <t>BR-13-01-06-11-01666</t>
  </si>
  <si>
    <t>BR-13-01-06-11-01668</t>
  </si>
  <si>
    <t>BR-13-01-06-11-01682</t>
  </si>
  <si>
    <t>BR-13-01-06-11-01683</t>
  </si>
  <si>
    <t>BR-13-01-06-11-01684</t>
  </si>
  <si>
    <t>BR-13-01-06-11-01713</t>
  </si>
  <si>
    <t>BR-13-01-06-11-01717</t>
  </si>
  <si>
    <t>BR-13-01-06-11-01742</t>
  </si>
  <si>
    <t>BR-13-01-06-11-01743</t>
  </si>
  <si>
    <t>BR-13-01-06-11-01764</t>
  </si>
  <si>
    <t>BR-13-01-06-11-01809</t>
  </si>
  <si>
    <t>BR-13-01-06-11-01810</t>
  </si>
  <si>
    <t>BR-13-01-06-11-01811</t>
  </si>
  <si>
    <t>BR-13-01-06-11-01812</t>
  </si>
  <si>
    <t>BR-13-01-06-11-01813</t>
  </si>
  <si>
    <t>BR-13-01-06-11-01816</t>
  </si>
  <si>
    <t>BR-13-01-05-11-01664</t>
  </si>
  <si>
    <t>BR-13-01-05-11-01703</t>
  </si>
  <si>
    <t>BR-13-01-05-11-01727</t>
  </si>
  <si>
    <t>BR-13-01-01-11-00251</t>
  </si>
  <si>
    <t>BR-13-01-05-11-01586</t>
  </si>
  <si>
    <t>BR-13-01-05-11-01617</t>
  </si>
  <si>
    <t>BR-13-01-05-11-01618</t>
  </si>
  <si>
    <t>BR-13-01-05-11-01821</t>
  </si>
  <si>
    <t>BP-13-01-05-11-00304</t>
  </si>
  <si>
    <t>BR-13-01-05-11-01652</t>
  </si>
  <si>
    <t>BR-13-01-05-11-01683</t>
  </si>
  <si>
    <t>BR-13-01-05-11-01693</t>
  </si>
  <si>
    <t>BR-13-01-05-11-01702</t>
  </si>
  <si>
    <t>BR-13-01-05-11-01721</t>
  </si>
  <si>
    <t>BR-13-01-05-11-01706</t>
  </si>
  <si>
    <t>BR-13-01-05-11-01593</t>
  </si>
  <si>
    <t>BR-13-01-05-11-01627</t>
  </si>
  <si>
    <t>BR-13-01-05-11-01635</t>
  </si>
  <si>
    <t>BR-13-01-05-11-01656</t>
  </si>
  <si>
    <t>BR-13-01-05-11-01714</t>
  </si>
  <si>
    <t>BR-13-01-06-11-01700</t>
  </si>
  <si>
    <t>BR-13-01-06-11-01701</t>
  </si>
  <si>
    <t>BR-13-01-06-11-01822</t>
  </si>
  <si>
    <t>BR-13-01-06-11-01823</t>
  </si>
  <si>
    <t>BR-13-01-01-03-02281</t>
  </si>
  <si>
    <t>BR-13-01-01-03-02272</t>
  </si>
  <si>
    <t>BR-13-02-02-13-00215</t>
  </si>
  <si>
    <t>Dlr-0943</t>
  </si>
  <si>
    <t>Amin Autos,</t>
  </si>
  <si>
    <t>BR-13-02-02-13-00218</t>
  </si>
  <si>
    <t>BR-13-02-16-13-00106</t>
  </si>
  <si>
    <t>BR-13-01-01-03-02293</t>
  </si>
  <si>
    <t>BR-13-01-01-03-02250</t>
  </si>
  <si>
    <t>Dlr-0951</t>
  </si>
  <si>
    <t>Amin Autos;</t>
  </si>
  <si>
    <t>BR-13-01-01-03-02249</t>
  </si>
  <si>
    <t>BR-13-01-01-03-02273</t>
  </si>
  <si>
    <t>BR-13-01-01-03-02259</t>
  </si>
  <si>
    <t>Dlr-0984</t>
  </si>
  <si>
    <t>New Punjab Autos.</t>
  </si>
  <si>
    <t>BR-13-01-01-03-02288</t>
  </si>
  <si>
    <t>BR-13-01-01-03-02282</t>
  </si>
  <si>
    <t>Dlr-1022</t>
  </si>
  <si>
    <t>Khalid Auto Ser. Centre</t>
  </si>
  <si>
    <t>BR-13-01-01-03-02277</t>
  </si>
  <si>
    <t>Dlr-1026</t>
  </si>
  <si>
    <t>Iqra Automobile</t>
  </si>
  <si>
    <t>BR-13-01-01-03-02284</t>
  </si>
  <si>
    <t>BR-13-01-01-03-02275</t>
  </si>
  <si>
    <t>BR-13-01-01-03-02253</t>
  </si>
  <si>
    <t>Dlr-1042</t>
  </si>
  <si>
    <t>Haji Riaz Autos.</t>
  </si>
  <si>
    <t>BR-13-01-01-03-02270</t>
  </si>
  <si>
    <t>BR-13-01-01-03-02261</t>
  </si>
  <si>
    <t>Dlr-1051</t>
  </si>
  <si>
    <t>Qadri  Autos.</t>
  </si>
  <si>
    <t>BR-13-01-01-03-02390</t>
  </si>
  <si>
    <t>Dlr-1057</t>
  </si>
  <si>
    <t>Sohail Autos</t>
  </si>
  <si>
    <t>BR-13-01-01-03-02254</t>
  </si>
  <si>
    <t>BR-13-02-02-13-00237</t>
  </si>
  <si>
    <t>BR-13-02-02-13-00246</t>
  </si>
  <si>
    <t>BR-13-01-01-03-02276</t>
  </si>
  <si>
    <t>BR-13-01-01-03-02292</t>
  </si>
  <si>
    <t>Dlr-1168</t>
  </si>
  <si>
    <t>Sheikh Autos</t>
  </si>
  <si>
    <t>BR-13-01-02-11-00436</t>
  </si>
  <si>
    <t>BR-13-01-02-11-00444</t>
  </si>
  <si>
    <t>BR-13-01-02-11-00451</t>
  </si>
  <si>
    <t>BR-13-01-05-11-01625</t>
  </si>
  <si>
    <t>BR-13-01-05-11-01719</t>
  </si>
  <si>
    <t>BR-13-01-05-11-01735</t>
  </si>
  <si>
    <t>BR-13-01-05-11-01653</t>
  </si>
  <si>
    <t>BR-13-01-05-11-01705</t>
  </si>
  <si>
    <t>BR-13-01-05-11-01709</t>
  </si>
  <si>
    <t>BR-13-01-05-11-01654</t>
  </si>
  <si>
    <t>BR-13-01-05-11-01685</t>
  </si>
  <si>
    <t>BR-13-01-07-11-00652</t>
  </si>
  <si>
    <t>BR-13-01-01-03-02268</t>
  </si>
  <si>
    <t>BR-13-01-07-11-00707</t>
  </si>
  <si>
    <t>BR-13-01-01-03-02265</t>
  </si>
  <si>
    <t>Dlr-1265</t>
  </si>
  <si>
    <t>REHMAN AUTO SERVICE</t>
  </si>
  <si>
    <t>BR-13-02-07-13-00222</t>
  </si>
  <si>
    <t>BR-13-01-01-03-02271</t>
  </si>
  <si>
    <t>BR-13-02-07-13-00238</t>
  </si>
  <si>
    <t>BR-13-01-01-03-02286</t>
  </si>
  <si>
    <t>Dlr-1439</t>
  </si>
  <si>
    <t>MUSLIM AUTOS, CHISTIAN</t>
  </si>
  <si>
    <t>BR-13-02-16-13-00114</t>
  </si>
  <si>
    <t>BR-13-01-01-03-02287</t>
  </si>
  <si>
    <t>BR-13-01-01-03-02264</t>
  </si>
  <si>
    <t>BR-13-01-07-11-00648</t>
  </si>
  <si>
    <t>BR-13-01-07-11-00651</t>
  </si>
  <si>
    <t>BR-13-01-07-11-00659</t>
  </si>
  <si>
    <t>BR-13-01-07-11-00667</t>
  </si>
  <si>
    <t>BR-13-01-07-11-00689</t>
  </si>
  <si>
    <t>BR-13-01-07-11-00696</t>
  </si>
  <si>
    <t>BR-13-01-07-11-00699</t>
  </si>
  <si>
    <t>BR-13-01-07-11-00711</t>
  </si>
  <si>
    <t>BR-13-01-07-11-00712</t>
  </si>
  <si>
    <t>BR-13-01-07-11-00717</t>
  </si>
  <si>
    <t>BR-13-01-05-11-01701</t>
  </si>
  <si>
    <t>BR-13-01-05-11-01713</t>
  </si>
  <si>
    <t>BR-13-01-01-03-02291</t>
  </si>
  <si>
    <t>BR-13-01-01-03-02430</t>
  </si>
  <si>
    <t>Dlr-1527</t>
  </si>
  <si>
    <t>KARACHI SHOWROOM LEASE - (CONTROL A/C)</t>
  </si>
  <si>
    <t>BR-13-01-01-03-02431</t>
  </si>
  <si>
    <t>BR-13-01-06-11-01724</t>
  </si>
  <si>
    <t>BR-13-01-06-11-01819</t>
  </si>
  <si>
    <t>BR-13-01-01-03-02289</t>
  </si>
  <si>
    <t>BR-13-01-07-11-00647</t>
  </si>
  <si>
    <t>BR-13-01-01-03-02257</t>
  </si>
  <si>
    <t>BR-13-01-06-11-01729</t>
  </si>
  <si>
    <t>BR-13-01-01-03-02274</t>
  </si>
  <si>
    <t>BR-13-01-01-03-02290</t>
  </si>
  <si>
    <t>Dlr-1600</t>
  </si>
  <si>
    <t>SHABEER AUTOS SERVCE, BAHAWALPUR (*Shop) -SPD</t>
  </si>
  <si>
    <t>BR-13-02-05-13-00496</t>
  </si>
  <si>
    <t>BR-13-02-05-13-00497</t>
  </si>
  <si>
    <t>BR-13-02-05-13-00498</t>
  </si>
  <si>
    <t>BR-13-02-05-13-00499</t>
  </si>
  <si>
    <t>BR-13-02-05-13-00500</t>
  </si>
  <si>
    <t>BR-13-02-05-13-00501</t>
  </si>
  <si>
    <t>BP-13-02-05-13-00047</t>
  </si>
  <si>
    <t>BR-13-02-05-13-00502</t>
  </si>
  <si>
    <t>BR-13-02-05-13-00503</t>
  </si>
  <si>
    <t>BR-13-02-05-13-00504</t>
  </si>
  <si>
    <t>BR-13-02-05-13-00505</t>
  </si>
  <si>
    <t>BR-13-02-05-13-00506</t>
  </si>
  <si>
    <t>BR-13-02-05-13-00507</t>
  </si>
  <si>
    <t>BR-13-02-05-13-00509</t>
  </si>
  <si>
    <t>BR-13-02-05-13-00514</t>
  </si>
  <si>
    <t>BR-13-02-05-13-00515</t>
  </si>
  <si>
    <t>BR-13-01-06-11-01662</t>
  </si>
  <si>
    <t>BR-13-01-06-11-01702</t>
  </si>
  <si>
    <t>BR-13-01-06-11-01821</t>
  </si>
  <si>
    <t>BR-13-01-07-11-00649</t>
  </si>
  <si>
    <t>BR-13-01-07-11-00675</t>
  </si>
  <si>
    <t>BR-13-01-02-11-00435</t>
  </si>
  <si>
    <t>BR-13-01-02-11-00437</t>
  </si>
  <si>
    <t>BR-13-01-02-11-00438</t>
  </si>
  <si>
    <t>BR-13-01-02-11-00439</t>
  </si>
  <si>
    <t>BR-13-01-02-11-00443</t>
  </si>
  <si>
    <t>BR-13-01-02-11-00449</t>
  </si>
  <si>
    <t>BR-13-01-02-11-00450</t>
  </si>
  <si>
    <t>BR-13-01-02-11-00453</t>
  </si>
  <si>
    <t>BR-13-01-02-11-00454</t>
  </si>
  <si>
    <t>BR-13-01-02-11-00455</t>
  </si>
  <si>
    <t>BR-13-01-02-11-00459</t>
  </si>
  <si>
    <t>BR-13-01-02-11-00460</t>
  </si>
  <si>
    <t>BR-13-01-02-11-00461</t>
  </si>
  <si>
    <t>BR-13-01-02-11-00465</t>
  </si>
  <si>
    <t>BR-13-01-02-11-00466</t>
  </si>
  <si>
    <t>BP-13-01-01-03-04103</t>
  </si>
  <si>
    <t>BR-13-01-07-11-00685</t>
  </si>
  <si>
    <t>BR-13-01-07-11-00691</t>
  </si>
  <si>
    <t>BR-13-01-01-11-00211</t>
  </si>
  <si>
    <t>BR-13-01-06-11-01679</t>
  </si>
  <si>
    <t>BR-13-01-06-11-01720</t>
  </si>
  <si>
    <t>BP-13-01-06-11-00062</t>
  </si>
  <si>
    <t>BR-13-01-06-11-01774</t>
  </si>
  <si>
    <t>BR-13-02-06-13-00325</t>
  </si>
  <si>
    <t>Dlr-1658</t>
  </si>
  <si>
    <t>SHABIR HUSSAIN AUTOS, SHAKARGARH -SPD</t>
  </si>
  <si>
    <t>BR-13-01-05-11-01715</t>
  </si>
  <si>
    <t>BR-13-01-05-11-01718</t>
  </si>
  <si>
    <t>BR-13-02-05-13-00523</t>
  </si>
  <si>
    <t>Dlr-1664</t>
  </si>
  <si>
    <t>HUSSAIN AUTOS, BAHAWALPUR-SPD</t>
  </si>
  <si>
    <t>BR-13-02-16-13-00118</t>
  </si>
  <si>
    <t>BR-13-01-05-11-01651</t>
  </si>
  <si>
    <t>BR-13-01-05-11-01736</t>
  </si>
  <si>
    <t>BR-13-01-05-11-01613</t>
  </si>
  <si>
    <t>BR-13-01-05-11-01636</t>
  </si>
  <si>
    <t>BR-13-01-05-11-01678</t>
  </si>
  <si>
    <t>BR-13-01-05-11-01716</t>
  </si>
  <si>
    <t>BR-13-01-05-11-01734</t>
  </si>
  <si>
    <t>BR-13-01-07-11-00670</t>
  </si>
  <si>
    <t>BR-13-01-01-03-02269</t>
  </si>
  <si>
    <t>BR-13-01-06-11-01667</t>
  </si>
  <si>
    <t>BR-13-01-06-11-01820</t>
  </si>
  <si>
    <t>BR-13-01-05-11-01592</t>
  </si>
  <si>
    <t>BR-13-01-05-11-01655</t>
  </si>
  <si>
    <t>BR-13-01-06-11-01672</t>
  </si>
  <si>
    <t>BR-13-01-06-11-01712</t>
  </si>
  <si>
    <t>BR-13-01-06-11-01751</t>
  </si>
  <si>
    <t>BR-13-01-06-11-01807</t>
  </si>
  <si>
    <t>BR-13-02-07-13-00239</t>
  </si>
  <si>
    <t>Dlr-1730</t>
  </si>
  <si>
    <t>ASLAM AUTOMOBILES, PINDI GHEB-SPD</t>
  </si>
  <si>
    <t>BR-13-01-01-03-02384</t>
  </si>
  <si>
    <t>Dlr-1746</t>
  </si>
  <si>
    <t>UDL DISTRIBUTION (PVT) LIMITED</t>
  </si>
  <si>
    <t>BR-13-01-01-03-02385</t>
  </si>
  <si>
    <t>BR-13-01-07-11-00705</t>
  </si>
  <si>
    <t>dlr-1752</t>
  </si>
  <si>
    <t>BR-13-01-02-11-00446</t>
  </si>
  <si>
    <t>BR-13-01-02-11-00470</t>
  </si>
  <si>
    <t>BR-13-01-01-03-02279</t>
  </si>
  <si>
    <t>BR-13-01-02-11-00456</t>
  </si>
  <si>
    <t>BR-13-01-01-03-02278</t>
  </si>
  <si>
    <t>BR-13-01-06-11-01664</t>
  </si>
  <si>
    <t>BR-13-01-06-11-01740</t>
  </si>
  <si>
    <t>BR-13-01-06-11-01766</t>
  </si>
  <si>
    <t>BR-13-01-06-11-01771</t>
  </si>
  <si>
    <t>BR-13-01-06-11-01772</t>
  </si>
  <si>
    <t>BR-13-01-06-11-01773</t>
  </si>
  <si>
    <t>BP-13-01-06-11-00065</t>
  </si>
  <si>
    <t>BP-13-01-06-11-00066</t>
  </si>
  <si>
    <t>BR-13-01-06-11-01775</t>
  </si>
  <si>
    <t>BR-13-01-06-11-01656</t>
  </si>
  <si>
    <t>BR-13-01-06-11-01776</t>
  </si>
  <si>
    <t>BR-13-01-05-11-01672</t>
  </si>
  <si>
    <t>BR-13-01-06-11-01677</t>
  </si>
  <si>
    <t>BR-13-01-01-03-02294</t>
  </si>
  <si>
    <t>BR-13-01-05-11-01609</t>
  </si>
  <si>
    <t>BR-13-01-05-11-01684</t>
  </si>
  <si>
    <t>BR-13-01-05-11-01589</t>
  </si>
  <si>
    <t>BR-13-01-05-11-01616</t>
  </si>
  <si>
    <t>BR-13-01-05-11-01626</t>
  </si>
  <si>
    <t>BR-13-01-05-11-01722</t>
  </si>
  <si>
    <t>BR-13-01-07-11-00673</t>
  </si>
  <si>
    <t>BR-13-01-07-11-00694</t>
  </si>
  <si>
    <t>BR-13-01-07-11-00713</t>
  </si>
  <si>
    <t>BR-13-01-07-11-00693</t>
  </si>
  <si>
    <t>BR-13-01-06-11-01659</t>
  </si>
  <si>
    <t>BR-13-01-06-11-01703</t>
  </si>
  <si>
    <t>BR-13-01-06-11-01732</t>
  </si>
  <si>
    <t>BR-13-01-06-11-01759</t>
  </si>
  <si>
    <t>BR-13-01-06-11-01808</t>
  </si>
  <si>
    <t>BR-13-01-02-11-00442</t>
  </si>
  <si>
    <t>BR-13-01-02-11-00463</t>
  </si>
  <si>
    <t>BR-13-01-05-11-01583</t>
  </si>
  <si>
    <t>BP-13-01-05-11-00313</t>
  </si>
  <si>
    <t>BR-13-01-05-11-01605</t>
  </si>
  <si>
    <t>BR-13-01-05-11-01649</t>
  </si>
  <si>
    <t>BR-13-01-05-11-01689</t>
  </si>
  <si>
    <t>BR-13-01-06-11-01728</t>
  </si>
  <si>
    <t>BR-13-01-05-11-01606</t>
  </si>
  <si>
    <t>BR-13-01-05-11-01639</t>
  </si>
  <si>
    <t>BR-13-01-05-11-01629</t>
  </si>
  <si>
    <t>BR-13-01-05-11-01632</t>
  </si>
  <si>
    <t>BR-13-01-05-11-01674</t>
  </si>
  <si>
    <t>BR-13-01-05-11-01692</t>
  </si>
  <si>
    <t>BR-13-01-06-11-01715</t>
  </si>
  <si>
    <t>BR-13-01-06-11-01806</t>
  </si>
  <si>
    <t>BR-13-01-06-11-01725</t>
  </si>
  <si>
    <t>BR-13-01-01-03-02260</t>
  </si>
  <si>
    <t>BR-13-01-06-11-01675</t>
  </si>
  <si>
    <t>BR-13-01-06-11-01750</t>
  </si>
  <si>
    <t>BR-13-01-06-11-01789</t>
  </si>
  <si>
    <t>BR-13-01-06-11-01680</t>
  </si>
  <si>
    <t>BR-13-01-06-11-01784</t>
  </si>
  <si>
    <t>BR-13-01-06-11-01727</t>
  </si>
  <si>
    <t>dlr-2013</t>
  </si>
  <si>
    <t>BR-13-01-02-11-00457</t>
  </si>
  <si>
    <t>BR-13-01-05-11-01594</t>
  </si>
  <si>
    <t>BR-13-01-05-11-01633</t>
  </si>
  <si>
    <t>BR-13-01-05-11-01668</t>
  </si>
  <si>
    <t>BR-13-01-05-11-01712</t>
  </si>
  <si>
    <t>BR-13-01-05-11-01667</t>
  </si>
  <si>
    <t>BR-13-01-06-11-01769</t>
  </si>
  <si>
    <t>BR-13-01-06-11-01777</t>
  </si>
  <si>
    <t>BR-13-01-01-03-02280</t>
  </si>
  <si>
    <t>BR-13-01-07-11-00661</t>
  </si>
  <si>
    <t>BR-13-01-07-11-00686</t>
  </si>
  <si>
    <t>BR-13-01-06-11-01800</t>
  </si>
  <si>
    <t>dlr-2047</t>
  </si>
  <si>
    <t>BR-13-01-06-11-01832</t>
  </si>
  <si>
    <t>BR-13-01-06-11-01838</t>
  </si>
  <si>
    <t>BP-13-01-06-11-00068</t>
  </si>
  <si>
    <t>BP-13-01-06-11-00069</t>
  </si>
  <si>
    <t>BR-13-01-01-03-02283</t>
  </si>
  <si>
    <t>Dlr-2048</t>
  </si>
  <si>
    <t>KHAWAJA AUTO SERVICE (STAR SHOP)</t>
  </si>
  <si>
    <t>BR-13-01-06-11-01645</t>
  </si>
  <si>
    <t>BR-13-01-07-11-00692</t>
  </si>
  <si>
    <t>BR-13-01-07-11-00674</t>
  </si>
  <si>
    <t>BR-13-01-05-11-01599</t>
  </si>
  <si>
    <t>BR-13-01-05-11-01600</t>
  </si>
  <si>
    <t>BR-13-01-05-11-01610</t>
  </si>
  <si>
    <t>BR-13-01-05-11-01788</t>
  </si>
  <si>
    <t>BR-13-01-06-11-01647</t>
  </si>
  <si>
    <t>BR-13-01-06-11-01661</t>
  </si>
  <si>
    <t>BR-13-01-06-11-01718</t>
  </si>
  <si>
    <t>BR-13-01-06-11-01739</t>
  </si>
  <si>
    <t>BR-13-01-06-11-01790</t>
  </si>
  <si>
    <t>BR-13-01-01-03-02258</t>
  </si>
  <si>
    <t>BR-13-01-01-03-02285</t>
  </si>
  <si>
    <t>BR-13-01-06-11-01674</t>
  </si>
  <si>
    <t>BR-13-01-06-11-01707</t>
  </si>
  <si>
    <t>BR-13-01-06-11-01708</t>
  </si>
  <si>
    <t>BR-13-01-06-11-01709</t>
  </si>
  <si>
    <t>BR-13-01-06-11-01752</t>
  </si>
  <si>
    <t>BR-13-01-06-11-01788</t>
  </si>
  <si>
    <t>BR-13-02-06-13-00322</t>
  </si>
  <si>
    <t>Dlr-2110</t>
  </si>
  <si>
    <t>HAJI SADDIQUE AUTOS, PHALIA - SPD</t>
  </si>
  <si>
    <t>BR-13-01-07-11-00710</t>
  </si>
  <si>
    <t>BR-13-01-06-11-01699</t>
  </si>
  <si>
    <t>BR-13-01-06-11-01697</t>
  </si>
  <si>
    <t>BR-13-01-06-11-01785</t>
  </si>
  <si>
    <t>BR-13-01-06-11-01817</t>
  </si>
  <si>
    <t>BR-13-01-06-11-01818</t>
  </si>
  <si>
    <t>BR-13-01-02-11-00464</t>
  </si>
  <si>
    <t>DLR-2129</t>
  </si>
  <si>
    <t>BR-13-01-02-11-00440</t>
  </si>
  <si>
    <t>DLR-2130</t>
  </si>
  <si>
    <t>BR-13-01-02-11-00441</t>
  </si>
  <si>
    <t>DLR-2131</t>
  </si>
  <si>
    <t>BR-13-02-16-13-00117</t>
  </si>
  <si>
    <t>Dlr-2133</t>
  </si>
  <si>
    <t>DYL MOTORCYCLES LIMITED, UTHAL</t>
  </si>
  <si>
    <t>BR-13-01-01-03-02252</t>
  </si>
  <si>
    <t>BR-13-02-06-13-00314</t>
  </si>
  <si>
    <t>Dlr-2154</t>
  </si>
  <si>
    <t>T. M. TRADERS, LAHORE - SPD</t>
  </si>
  <si>
    <t>BR-13-02-06-13-00315</t>
  </si>
  <si>
    <t>BR-13-01-07-11-00653</t>
  </si>
  <si>
    <t>BR-13-01-07-11-00690</t>
  </si>
  <si>
    <t>BR-13-01-07-11-00698</t>
  </si>
  <si>
    <t>BR-13-01-06-11-01660</t>
  </si>
  <si>
    <t>BR-13-01-07-11-00684</t>
  </si>
  <si>
    <t>BR-13-01-07-11-00700</t>
  </si>
  <si>
    <t>BR-13-01-07-11-00716</t>
  </si>
  <si>
    <t>BR-13-01-06-11-01690</t>
  </si>
  <si>
    <t>BR-13-01-06-11-01726</t>
  </si>
  <si>
    <t>BP-13-01-06-11-00063</t>
  </si>
  <si>
    <t>BR-13-01-06-11-01734</t>
  </si>
  <si>
    <t>BR-13-01-06-11-01758</t>
  </si>
  <si>
    <t>BP-13-01-06-11-00064</t>
  </si>
  <si>
    <t>BR-13-01-06-11-01770</t>
  </si>
  <si>
    <t>BR-13-01-05-11-01590</t>
  </si>
  <si>
    <t>BR-13-01-05-11-01731</t>
  </si>
  <si>
    <t>BR-13-01-05-11-01724</t>
  </si>
  <si>
    <t>BR-13-01-05-11-01723</t>
  </si>
  <si>
    <t>BR-13-02-07-13-00219</t>
  </si>
  <si>
    <t>Dlr-2233</t>
  </si>
  <si>
    <t>NEW CHAKWAL AUTOMOBILES, KAMRA - SPD</t>
  </si>
  <si>
    <t>BR-13-02-07-13-00232</t>
  </si>
  <si>
    <t>BR-13-01-01-03-02255</t>
  </si>
  <si>
    <t>BR-13-01-07-11-00704</t>
  </si>
  <si>
    <t>BR-13-02-16-13-00128</t>
  </si>
  <si>
    <t>BR-13-02-05-13-00519</t>
  </si>
  <si>
    <t>BR-13-02-05-13-00520</t>
  </si>
  <si>
    <t>BR-13-02-05-13-00524</t>
  </si>
  <si>
    <t>BR-13-02-05-13-00525</t>
  </si>
  <si>
    <t>BR-13-02-05-13-00526</t>
  </si>
  <si>
    <t>BR-13-02-05-13-00527</t>
  </si>
  <si>
    <t>BR-13-02-05-13-00528</t>
  </si>
  <si>
    <t>BR-13-02-05-13-00529</t>
  </si>
  <si>
    <t>BR-13-02-05-13-00530</t>
  </si>
  <si>
    <t>BR-13-02-05-13-00531</t>
  </si>
  <si>
    <t>BR-13-02-05-13-00532</t>
  </si>
  <si>
    <t>BR-13-02-16-13-00127</t>
  </si>
  <si>
    <t>BR-13-02-07-13-00215</t>
  </si>
  <si>
    <t>BR-13-02-16-13-00129</t>
  </si>
  <si>
    <t>BR-13-02-02-13-00250</t>
  </si>
  <si>
    <t>BR-13-02-02-13-00256</t>
  </si>
  <si>
    <t>BR-13-02-02-13-00249</t>
  </si>
  <si>
    <t>BR-13-02-02-13-00255</t>
  </si>
  <si>
    <t>BP-13-02-02-13-00033</t>
  </si>
  <si>
    <t>BR-13-02-02-13-00253</t>
  </si>
  <si>
    <t>BR-13-02-02-13-00248</t>
  </si>
  <si>
    <t>BR-13-02-02-13-00254</t>
  </si>
  <si>
    <t>BR-13-01-05-11-01688</t>
  </si>
  <si>
    <t>BR-13-01-05-11-01800</t>
  </si>
  <si>
    <t>BR-13-01-07-11-00676</t>
  </si>
  <si>
    <t>BR-13-01-07-11-00697</t>
  </si>
  <si>
    <t>BR-13-01-07-11-00715</t>
  </si>
  <si>
    <t>BR-13-02-07-13-00231</t>
  </si>
  <si>
    <t>Dlr-2285</t>
  </si>
  <si>
    <t>NASIR TRADERS, CHOA KHALSA - SPD</t>
  </si>
  <si>
    <t>BR-13-02-07-13-00228</t>
  </si>
  <si>
    <t>Dlr-2289</t>
  </si>
  <si>
    <t>HARMAIN AUTOS, KALAR SYEDAN - SPD</t>
  </si>
  <si>
    <t>BR-13-02-07-13-00220</t>
  </si>
  <si>
    <t>BR-13-02-16-13-00115</t>
  </si>
  <si>
    <t>BR-13-02-06-13-00321</t>
  </si>
  <si>
    <t>BR-13-02-05-13-00517</t>
  </si>
  <si>
    <t>Dlr-2335</t>
  </si>
  <si>
    <t>NEW MEHMOOD AUTO AGENCY, SADIQABAD - SPD</t>
  </si>
  <si>
    <t>BR-13-01-06-11-01719</t>
  </si>
  <si>
    <t>BR-13-01-05-11-01717</t>
  </si>
  <si>
    <t>Dlr-2344</t>
  </si>
  <si>
    <t>TAJ TRADING COMPANY - CHICHAWATNI</t>
  </si>
  <si>
    <t>BR-13-02-05-13-00522</t>
  </si>
  <si>
    <t>BR-13-01-05-11-01597</t>
  </si>
  <si>
    <t>BR-13-01-05-11-01643</t>
  </si>
  <si>
    <t>BP-13-02-16-13-00608</t>
  </si>
  <si>
    <t>Dlr-2357</t>
  </si>
  <si>
    <t>AL-UMAIR ENGINEERS</t>
  </si>
  <si>
    <t>BP-13-01-01-18-00457</t>
  </si>
  <si>
    <t>BP-13-02-16-13-00584</t>
  </si>
  <si>
    <t>Dlr-2358</t>
  </si>
  <si>
    <t>A-ONE TECHNIQUES (PVT) LIMITED</t>
  </si>
  <si>
    <t>BP-13-01-01-19-01166</t>
  </si>
  <si>
    <t>Dlr-2359</t>
  </si>
  <si>
    <t>ASLAM ENTERPRISES</t>
  </si>
  <si>
    <t>Dlr-2362</t>
  </si>
  <si>
    <t>HASAN ENGINEERING</t>
  </si>
  <si>
    <t>BP-13-01-01-18-00456</t>
  </si>
  <si>
    <t>BP-13-01-01-18-00517</t>
  </si>
  <si>
    <t>Dlr-2376</t>
  </si>
  <si>
    <t>TECHNOCIRCLE MANUFACTURING WORKS</t>
  </si>
  <si>
    <t>BP-13-01-01-18-00520</t>
  </si>
  <si>
    <t>Dlr-2377</t>
  </si>
  <si>
    <t>TELETRONIX INDUSTRIES</t>
  </si>
  <si>
    <t>BP-13-01-01-18-00470</t>
  </si>
  <si>
    <t>Dlr-2378</t>
  </si>
  <si>
    <t>WINSOME ENGINEERING IND.</t>
  </si>
  <si>
    <t>BP-13-01-01-18-00499</t>
  </si>
  <si>
    <t>Dlr-2384</t>
  </si>
  <si>
    <t>ELECTROPOLMERS (PVT) LTD.</t>
  </si>
  <si>
    <t>BP-13-01-01-18-00508</t>
  </si>
  <si>
    <t>Dlr-2385</t>
  </si>
  <si>
    <t>HYBIRD TECHNICS (PVT) LTD</t>
  </si>
  <si>
    <t>BP-13-01-01-18-00528</t>
  </si>
  <si>
    <t>Dlr-2389</t>
  </si>
  <si>
    <t>MUKHTAR ENGINEERING WORKS</t>
  </si>
  <si>
    <t>BP-13-01-01-18-00504</t>
  </si>
  <si>
    <t>BP-13-01-01-18-00461</t>
  </si>
  <si>
    <t>BR-13-01-06-11-01657</t>
  </si>
  <si>
    <t>BR-13-01-06-11-01692</t>
  </si>
  <si>
    <t>BR-13-01-06-11-01693</t>
  </si>
  <si>
    <t>BR-13-01-06-11-01694</t>
  </si>
  <si>
    <t>BR-13-01-06-11-01778</t>
  </si>
  <si>
    <t>BR-13-01-06-11-01779</t>
  </si>
  <si>
    <t>BR-13-01-06-11-01780</t>
  </si>
  <si>
    <t>BR-13-01-06-11-01781</t>
  </si>
  <si>
    <t>BP-13-01-01-18-00492</t>
  </si>
  <si>
    <t>Dlr-2399</t>
  </si>
  <si>
    <t>WITTY SERVICES</t>
  </si>
  <si>
    <t>BR-13-01-07-11-00680</t>
  </si>
  <si>
    <t>BP-13-01-01-18-00465</t>
  </si>
  <si>
    <t>Dlr-2410</t>
  </si>
  <si>
    <t>MAP INTERNATIONAL</t>
  </si>
  <si>
    <t>BR-13-02-07-13-00236</t>
  </si>
  <si>
    <t>BR-13-01-05-11-01601</t>
  </si>
  <si>
    <t>BR-13-01-05-11-01650</t>
  </si>
  <si>
    <t>BP-13-02-02-13-00032</t>
  </si>
  <si>
    <t>BR-13-02-02-13-00239</t>
  </si>
  <si>
    <t>BR-13-02-02-13-00240</t>
  </si>
  <si>
    <t>BR-13-02-02-13-00241</t>
  </si>
  <si>
    <t>BR-13-02-02-13-00242</t>
  </si>
  <si>
    <t>BR-13-02-02-13-00243</t>
  </si>
  <si>
    <t>BR-13-02-02-13-00244</t>
  </si>
  <si>
    <t>BR-13-02-02-13-00245</t>
  </si>
  <si>
    <t>BR-13-02-02-13-00247</t>
  </si>
  <si>
    <t>BR-13-02-07-13-00217</t>
  </si>
  <si>
    <t>Dlr-2425</t>
  </si>
  <si>
    <t>NEW MOON AUTOS, ATTOCK - SPD</t>
  </si>
  <si>
    <t>BR-13-02-07-13-00230</t>
  </si>
  <si>
    <t>BR-13-01-07-11-00663</t>
  </si>
  <si>
    <t>BR-13-01-07-11-00708</t>
  </si>
  <si>
    <t>BR-13-01-06-11-01665</t>
  </si>
  <si>
    <t>BP-13-01-06-03-00234</t>
  </si>
  <si>
    <t>Dlr-2444</t>
  </si>
  <si>
    <t>LAL DIN ENGINEERING (PVT) LIMITED</t>
  </si>
  <si>
    <t>LHR</t>
  </si>
  <si>
    <t>BP-13-01-06-03-00237</t>
  </si>
  <si>
    <t>BP-13-01-01-18-00491</t>
  </si>
  <si>
    <t>Dlr-2446</t>
  </si>
  <si>
    <t>METAL ART.</t>
  </si>
  <si>
    <t>BP-13-02-16-13-00591</t>
  </si>
  <si>
    <t>BP-13-02-16-13-00621</t>
  </si>
  <si>
    <t>BR-13-02-06-13-00306</t>
  </si>
  <si>
    <t>BR-13-02-06-13-00309</t>
  </si>
  <si>
    <t>BR-13-02-06-13-00312</t>
  </si>
  <si>
    <t>BR-13-02-06-13-00316</t>
  </si>
  <si>
    <t>BR-13-02-06-13-00313</t>
  </si>
  <si>
    <t>BR-13-02-06-13-00318</t>
  </si>
  <si>
    <t>BR-13-02-02-13-00257</t>
  </si>
  <si>
    <t>BP-13-01-01-18-00468</t>
  </si>
  <si>
    <t>Dlr-2461</t>
  </si>
  <si>
    <t>PARAGON ENTERPRISES</t>
  </si>
  <si>
    <t>BR-13-01-06-11-01698</t>
  </si>
  <si>
    <t>BP-13-01-01-18-00464</t>
  </si>
  <si>
    <t>Dlr-2463</t>
  </si>
  <si>
    <t>FRICTION MATERIALS COMPONENTS (PVT.) LTD</t>
  </si>
  <si>
    <t>BR-13-01-07-11-00669</t>
  </si>
  <si>
    <t>BR-13-02-06-13-00327</t>
  </si>
  <si>
    <t>BR-13-02-06-13-00328</t>
  </si>
  <si>
    <t>BR-13-02-06-13-00329</t>
  </si>
  <si>
    <t>BR-13-02-06-13-00330</t>
  </si>
  <si>
    <t>Dhoom</t>
  </si>
  <si>
    <t>Opening Balance</t>
  </si>
  <si>
    <t>Min</t>
  </si>
  <si>
    <t>Max</t>
  </si>
  <si>
    <t>Units</t>
  </si>
  <si>
    <t>Base +</t>
  </si>
  <si>
    <t>Slab</t>
  </si>
  <si>
    <t>Tier 1</t>
  </si>
  <si>
    <t>0 - 24</t>
  </si>
  <si>
    <t>25 - 34</t>
  </si>
  <si>
    <t>35 - 49</t>
  </si>
  <si>
    <t>50 - 74</t>
  </si>
  <si>
    <t>75 - 99</t>
  </si>
  <si>
    <t>100 - 124</t>
  </si>
  <si>
    <t>125 - 149</t>
  </si>
  <si>
    <t>150 - 199</t>
  </si>
  <si>
    <t>200 - 274</t>
  </si>
  <si>
    <t>275 - 325</t>
  </si>
  <si>
    <t>Tier 2</t>
  </si>
  <si>
    <t>Tier 3</t>
  </si>
  <si>
    <t>Tier 4</t>
  </si>
  <si>
    <t>Tier 5</t>
  </si>
  <si>
    <t>Tier 6</t>
  </si>
  <si>
    <t>Current NDP</t>
  </si>
  <si>
    <t>Dealer:</t>
  </si>
  <si>
    <t>OB</t>
  </si>
  <si>
    <t>Range</t>
  </si>
  <si>
    <t>Collection</t>
  </si>
  <si>
    <t>Invoice</t>
  </si>
  <si>
    <t>Date</t>
  </si>
  <si>
    <t>Advance Units</t>
  </si>
  <si>
    <t>Advance Cash Payment 2</t>
  </si>
  <si>
    <t>Advance Cash Payment 3</t>
  </si>
  <si>
    <t>Advance Cash Payment 4</t>
  </si>
  <si>
    <t>Advance Cash Payment 5</t>
  </si>
  <si>
    <t>Advance Cash Payment 6</t>
  </si>
  <si>
    <t>Advance Cash Payment 7</t>
  </si>
  <si>
    <t>Advance Cash Payment 8</t>
  </si>
  <si>
    <t>Advance Cash Payment 9</t>
  </si>
  <si>
    <t>Advance Cash Payment 10</t>
  </si>
  <si>
    <t>Net Invoice</t>
  </si>
  <si>
    <t>Discount Amount</t>
  </si>
  <si>
    <t>% Discount</t>
  </si>
  <si>
    <t>Amount</t>
  </si>
  <si>
    <t>Total Units</t>
  </si>
  <si>
    <t>NDP Slab</t>
  </si>
  <si>
    <t>Closing Balance + Credit Limit</t>
  </si>
  <si>
    <t>NDP</t>
  </si>
  <si>
    <t>Lifting</t>
  </si>
  <si>
    <t>NDP Tier</t>
  </si>
  <si>
    <t>Closing Balance</t>
  </si>
  <si>
    <t>Tier next Month</t>
  </si>
</sst>
</file>

<file path=xl/styles.xml><?xml version="1.0" encoding="utf-8"?>
<styleSheet xmlns="http://schemas.openxmlformats.org/spreadsheetml/2006/main">
  <numFmts count="3">
    <numFmt numFmtId="164" formatCode="_-* #,##0.00_-;\-* #,##0.00_-;_-* &quot;-&quot;??_-;_-@_-"/>
    <numFmt numFmtId="165" formatCode="_-* #,##0_-;\-* #,##0_-;_-* &quot;-&quot;??_-;_-@_-"/>
    <numFmt numFmtId="166" formatCode="0.0%"/>
  </numFmts>
  <fonts count="20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indexed="8"/>
      <name val="MS Sans Serif"/>
      <family val="2"/>
    </font>
    <font>
      <b/>
      <sz val="10"/>
      <color indexed="8"/>
      <name val="Calibri"/>
      <family val="2"/>
      <scheme val="minor"/>
    </font>
    <font>
      <b/>
      <sz val="14.05"/>
      <color indexed="8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MS Sans Serif"/>
      <family val="2"/>
    </font>
    <font>
      <b/>
      <sz val="14"/>
      <color indexed="8"/>
      <name val="MS Sans Serif"/>
      <family val="2"/>
    </font>
    <font>
      <b/>
      <sz val="10"/>
      <color theme="0"/>
      <name val="MS Sans Serif"/>
      <family val="2"/>
    </font>
    <font>
      <sz val="10"/>
      <color theme="1"/>
      <name val="MS Sans Serif"/>
      <family val="2"/>
    </font>
    <font>
      <b/>
      <sz val="10"/>
      <color theme="1"/>
      <name val="MS Sans Serif"/>
      <family val="2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1" applyNumberFormat="0" applyAlignment="0" applyProtection="0"/>
    <xf numFmtId="0" fontId="5" fillId="4" borderId="1" applyNumberFormat="0" applyAlignment="0" applyProtection="0"/>
    <xf numFmtId="0" fontId="1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18" fillId="8" borderId="0" applyNumberFormat="0" applyBorder="0" applyAlignment="0" applyProtection="0"/>
  </cellStyleXfs>
  <cellXfs count="55">
    <xf numFmtId="0" fontId="0" fillId="0" borderId="0" xfId="0"/>
    <xf numFmtId="0" fontId="2" fillId="0" borderId="0" xfId="0" applyFont="1"/>
    <xf numFmtId="22" fontId="2" fillId="0" borderId="0" xfId="0" applyNumberFormat="1" applyFont="1"/>
    <xf numFmtId="0" fontId="6" fillId="0" borderId="0" xfId="4" applyNumberFormat="1" applyFont="1" applyFill="1" applyBorder="1" applyAlignment="1" applyProtection="1"/>
    <xf numFmtId="165" fontId="4" fillId="3" borderId="1" xfId="2" applyNumberFormat="1" applyAlignment="1" applyProtection="1"/>
    <xf numFmtId="0" fontId="12" fillId="0" borderId="0" xfId="4" applyNumberFormat="1" applyFill="1" applyBorder="1" applyAlignment="1" applyProtection="1"/>
    <xf numFmtId="0" fontId="4" fillId="0" borderId="0" xfId="2" applyNumberFormat="1" applyFill="1" applyBorder="1" applyAlignment="1" applyProtection="1"/>
    <xf numFmtId="165" fontId="0" fillId="0" borderId="0" xfId="5" applyNumberFormat="1" applyFont="1" applyFill="1" applyBorder="1" applyAlignment="1" applyProtection="1"/>
    <xf numFmtId="0" fontId="6" fillId="0" borderId="0" xfId="4" applyNumberFormat="1" applyFont="1" applyFill="1" applyBorder="1" applyAlignment="1" applyProtection="1">
      <alignment wrapText="1"/>
    </xf>
    <xf numFmtId="0" fontId="7" fillId="0" borderId="0" xfId="4" applyNumberFormat="1" applyFont="1" applyFill="1" applyBorder="1" applyAlignment="1" applyProtection="1">
      <alignment wrapText="1"/>
    </xf>
    <xf numFmtId="165" fontId="9" fillId="0" borderId="0" xfId="5" applyNumberFormat="1" applyFont="1" applyAlignment="1">
      <alignment horizontal="right" wrapText="1"/>
    </xf>
    <xf numFmtId="0" fontId="12" fillId="0" borderId="0" xfId="4" applyNumberFormat="1" applyFill="1" applyBorder="1" applyAlignment="1" applyProtection="1">
      <alignment wrapText="1"/>
    </xf>
    <xf numFmtId="3" fontId="9" fillId="0" borderId="0" xfId="5" applyNumberFormat="1" applyFont="1" applyAlignment="1">
      <alignment horizontal="right" wrapText="1"/>
    </xf>
    <xf numFmtId="0" fontId="10" fillId="0" borderId="0" xfId="4" applyNumberFormat="1" applyFont="1" applyFill="1" applyBorder="1" applyAlignment="1" applyProtection="1">
      <alignment wrapText="1"/>
    </xf>
    <xf numFmtId="165" fontId="10" fillId="0" borderId="0" xfId="5" applyNumberFormat="1" applyFont="1" applyFill="1" applyBorder="1" applyAlignment="1" applyProtection="1"/>
    <xf numFmtId="0" fontId="7" fillId="0" borderId="0" xfId="4" applyNumberFormat="1" applyFont="1" applyFill="1" applyBorder="1" applyAlignment="1" applyProtection="1"/>
    <xf numFmtId="38" fontId="10" fillId="0" borderId="0" xfId="5" applyNumberFormat="1" applyFont="1" applyFill="1" applyBorder="1" applyAlignment="1" applyProtection="1"/>
    <xf numFmtId="3" fontId="11" fillId="0" borderId="0" xfId="5" applyNumberFormat="1" applyFont="1" applyAlignment="1">
      <alignment horizontal="right" wrapText="1"/>
    </xf>
    <xf numFmtId="165" fontId="12" fillId="0" borderId="0" xfId="4" applyNumberFormat="1" applyFill="1" applyBorder="1" applyAlignment="1" applyProtection="1"/>
    <xf numFmtId="0" fontId="10" fillId="0" borderId="0" xfId="4" applyNumberFormat="1" applyFont="1" applyFill="1" applyBorder="1" applyAlignment="1" applyProtection="1"/>
    <xf numFmtId="165" fontId="6" fillId="0" borderId="0" xfId="5" applyNumberFormat="1" applyFont="1" applyFill="1" applyBorder="1" applyAlignment="1" applyProtection="1">
      <alignment wrapText="1"/>
    </xf>
    <xf numFmtId="0" fontId="5" fillId="4" borderId="1" xfId="3" applyNumberFormat="1" applyAlignment="1" applyProtection="1">
      <alignment horizontal="center" vertical="center" wrapText="1"/>
    </xf>
    <xf numFmtId="14" fontId="4" fillId="3" borderId="1" xfId="2" applyNumberFormat="1" applyAlignment="1" applyProtection="1"/>
    <xf numFmtId="0" fontId="4" fillId="3" borderId="1" xfId="2" applyNumberFormat="1" applyAlignment="1" applyProtection="1"/>
    <xf numFmtId="38" fontId="0" fillId="0" borderId="0" xfId="5" applyNumberFormat="1" applyFont="1" applyFill="1" applyBorder="1" applyAlignment="1" applyProtection="1"/>
    <xf numFmtId="38" fontId="12" fillId="0" borderId="0" xfId="4" applyNumberFormat="1" applyFill="1" applyBorder="1" applyAlignment="1" applyProtection="1"/>
    <xf numFmtId="166" fontId="0" fillId="0" borderId="0" xfId="6" applyNumberFormat="1" applyFont="1" applyFill="1" applyBorder="1" applyAlignment="1" applyProtection="1"/>
    <xf numFmtId="165" fontId="11" fillId="0" borderId="0" xfId="5" applyNumberFormat="1" applyFont="1" applyAlignment="1">
      <alignment horizontal="right" wrapText="1"/>
    </xf>
    <xf numFmtId="0" fontId="12" fillId="5" borderId="0" xfId="4" applyNumberFormat="1" applyFill="1" applyBorder="1" applyAlignment="1" applyProtection="1"/>
    <xf numFmtId="40" fontId="10" fillId="0" borderId="0" xfId="4" applyNumberFormat="1" applyFont="1" applyFill="1" applyBorder="1" applyAlignment="1" applyProtection="1"/>
    <xf numFmtId="38" fontId="10" fillId="0" borderId="0" xfId="4" applyNumberFormat="1" applyFont="1" applyFill="1" applyBorder="1" applyAlignment="1" applyProtection="1"/>
    <xf numFmtId="10" fontId="0" fillId="0" borderId="0" xfId="6" applyNumberFormat="1" applyFont="1" applyFill="1" applyBorder="1" applyAlignment="1" applyProtection="1"/>
    <xf numFmtId="164" fontId="10" fillId="0" borderId="0" xfId="5" applyFont="1" applyFill="1" applyBorder="1" applyAlignment="1" applyProtection="1"/>
    <xf numFmtId="40" fontId="10" fillId="0" borderId="0" xfId="5" applyNumberFormat="1" applyFont="1" applyFill="1" applyBorder="1" applyAlignment="1" applyProtection="1"/>
    <xf numFmtId="0" fontId="14" fillId="0" borderId="0" xfId="4" applyNumberFormat="1" applyFont="1" applyFill="1" applyBorder="1" applyAlignment="1">
      <alignment horizontal="center" vertical="center" wrapText="1"/>
    </xf>
    <xf numFmtId="0" fontId="14" fillId="6" borderId="2" xfId="4" applyNumberFormat="1" applyFont="1" applyFill="1" applyBorder="1" applyAlignment="1">
      <alignment horizontal="center" vertical="center"/>
    </xf>
    <xf numFmtId="0" fontId="14" fillId="7" borderId="2" xfId="4" applyNumberFormat="1" applyFont="1" applyFill="1" applyBorder="1" applyAlignment="1">
      <alignment horizontal="center" vertical="center" wrapText="1"/>
    </xf>
    <xf numFmtId="0" fontId="14" fillId="7" borderId="3" xfId="4" applyNumberFormat="1" applyFont="1" applyFill="1" applyBorder="1" applyAlignment="1">
      <alignment horizontal="center" vertical="center" wrapText="1"/>
    </xf>
    <xf numFmtId="0" fontId="14" fillId="7" borderId="0" xfId="4" applyNumberFormat="1" applyFont="1" applyFill="1" applyBorder="1" applyAlignment="1" applyProtection="1">
      <alignment horizontal="center" vertical="center" wrapText="1"/>
    </xf>
    <xf numFmtId="0" fontId="12" fillId="0" borderId="0" xfId="4" applyNumberFormat="1" applyFill="1" applyBorder="1" applyAlignment="1" applyProtection="1">
      <alignment horizontal="center" vertical="center" wrapText="1"/>
    </xf>
    <xf numFmtId="164" fontId="10" fillId="0" borderId="0" xfId="5" applyFont="1" applyFill="1" applyBorder="1" applyAlignment="1" applyProtection="1">
      <alignment horizontal="center" vertical="center" wrapText="1"/>
    </xf>
    <xf numFmtId="40" fontId="10" fillId="0" borderId="0" xfId="5" applyNumberFormat="1" applyFont="1" applyFill="1" applyBorder="1" applyAlignment="1" applyProtection="1">
      <alignment horizontal="center" vertical="center" wrapText="1"/>
    </xf>
    <xf numFmtId="38" fontId="10" fillId="0" borderId="0" xfId="5" applyNumberFormat="1" applyFont="1" applyFill="1" applyBorder="1" applyAlignment="1" applyProtection="1">
      <alignment horizontal="center" vertical="center" wrapText="1"/>
    </xf>
    <xf numFmtId="0" fontId="15" fillId="0" borderId="4" xfId="4" applyFont="1" applyBorder="1" applyAlignment="1">
      <alignment horizontal="center" vertical="center"/>
    </xf>
    <xf numFmtId="165" fontId="16" fillId="0" borderId="5" xfId="4" applyNumberFormat="1" applyFont="1" applyBorder="1" applyAlignment="1">
      <alignment horizontal="center" vertical="center"/>
    </xf>
    <xf numFmtId="0" fontId="12" fillId="0" borderId="0" xfId="4" applyNumberFormat="1" applyFont="1" applyFill="1" applyBorder="1" applyAlignment="1" applyProtection="1"/>
    <xf numFmtId="22" fontId="4" fillId="3" borderId="1" xfId="2" applyNumberFormat="1"/>
    <xf numFmtId="0" fontId="2" fillId="9" borderId="0" xfId="0" applyFont="1" applyFill="1"/>
    <xf numFmtId="22" fontId="2" fillId="9" borderId="0" xfId="0" applyNumberFormat="1" applyFont="1" applyFill="1"/>
    <xf numFmtId="0" fontId="3" fillId="2" borderId="0" xfId="1" applyAlignment="1">
      <alignment horizontal="center"/>
    </xf>
    <xf numFmtId="0" fontId="13" fillId="0" borderId="0" xfId="4" applyNumberFormat="1" applyFont="1" applyFill="1" applyBorder="1" applyAlignment="1" applyProtection="1">
      <alignment horizontal="center" vertical="center"/>
    </xf>
    <xf numFmtId="0" fontId="18" fillId="8" borderId="0" xfId="8" applyNumberFormat="1" applyBorder="1" applyAlignment="1" applyProtection="1">
      <alignment horizontal="center" vertical="center"/>
    </xf>
    <xf numFmtId="0" fontId="13" fillId="0" borderId="0" xfId="4" applyNumberFormat="1" applyFont="1" applyFill="1" applyBorder="1" applyAlignment="1" applyProtection="1">
      <alignment horizontal="center" vertical="center" wrapText="1"/>
    </xf>
    <xf numFmtId="0" fontId="19" fillId="0" borderId="0" xfId="0" applyFont="1"/>
    <xf numFmtId="22" fontId="19" fillId="0" borderId="0" xfId="0" applyNumberFormat="1" applyFont="1"/>
  </cellXfs>
  <cellStyles count="9">
    <cellStyle name="Accent5" xfId="1" builtinId="45"/>
    <cellStyle name="Calculation" xfId="3" builtinId="22"/>
    <cellStyle name="Comma 2" xfId="5"/>
    <cellStyle name="Comma 3" xfId="7"/>
    <cellStyle name="Good" xfId="8" builtinId="26"/>
    <cellStyle name="Input" xfId="2" builtinId="20"/>
    <cellStyle name="Normal" xfId="0" builtinId="0"/>
    <cellStyle name="Normal 2" xfId="4"/>
    <cellStyle name="Percent 2" xfId="6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27" formatCode="dd/mm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27" formatCode="dd/mm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699"/>
  <ax:ocxPr ax:name="_ExtentY" ax:value="2725"/>
  <ax:ocxPr ax:name="_Version" ax:value="393216"/>
  <ax:ocxPr ax:name="Font">
    <ax:font ax:persistence="persistPropertyBag">
      <ax:ocxPr ax:name="Name" ax:value="Arial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33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192.168.3.138 DYL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dlrid" tableColumnId="1"/>
      <queryTableField id="2" name="compname" tableColumnId="2"/>
      <queryTableField id="3" name="region_name" tableColumnId="3"/>
      <queryTableField id="4" name="sector_name" tableColumnId="4"/>
      <queryTableField id="5" name="City" tableColumnId="5"/>
      <queryTableField id="6" name="APValue" tableColumnId="6"/>
    </queryTableFields>
  </queryTableRefresh>
</queryTable>
</file>

<file path=xl/queryTables/queryTable2.xml><?xml version="1.0" encoding="utf-8"?>
<queryTable xmlns="http://schemas.openxmlformats.org/spreadsheetml/2006/main" name="192.168.3.138DYLNDPSaleData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sikey" tableColumnId="1"/>
      <queryTableField id="2" name="dlrid" tableColumnId="2"/>
      <queryTableField id="3" name="CompName" tableColumnId="3"/>
      <queryTableField id="4" name="ordDate" tableColumnId="4"/>
      <queryTableField id="5" name="Qty" tableColumnId="5"/>
      <queryTableField id="6" name="TotalValue" tableColumnId="6"/>
      <queryTableField id="7" name="SrNo" tableColumnId="7"/>
    </queryTableFields>
  </queryTableRefresh>
</queryTable>
</file>

<file path=xl/queryTables/queryTable3.xml><?xml version="1.0" encoding="utf-8"?>
<queryTable xmlns="http://schemas.openxmlformats.org/spreadsheetml/2006/main" name="192.168.3.138DYLNDPFinanaceData" connectionId="2" autoFormatId="16" applyNumberFormats="0" applyBorderFormats="0" applyFontFormats="0" applyPatternFormats="0" applyAlignmentFormats="0" applyWidthHeightFormats="0">
  <queryTableRefresh nextId="10">
    <queryTableFields count="9">
      <queryTableField id="1" name="Voucher Type" tableColumnId="1"/>
      <queryTableField id="2" name="Voucher Number" tableColumnId="2"/>
      <queryTableField id="3" name="Voucher Date" tableColumnId="3"/>
      <queryTableField id="4" name="Debit" tableColumnId="4"/>
      <queryTableField id="5" name="Credit" tableColumnId="5"/>
      <queryTableField id="6" name="DlrId" tableColumnId="6"/>
      <queryTableField id="7" name="Dealer Company Name" tableColumnId="7"/>
      <queryTableField id="8" name="Region_Name" tableColumnId="8"/>
      <queryTableField id="9" name="Sector_Nam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_192.168.3.138_DYL" displayName="Table__192.168.3.138_DYL" ref="B5:G812" tableType="queryTable" totalsRowShown="0" dataDxfId="26">
  <autoFilter ref="B5:G812"/>
  <tableColumns count="6">
    <tableColumn id="1" uniqueName="1" name="dlrid" queryTableFieldId="1" dataDxfId="21"/>
    <tableColumn id="2" uniqueName="2" name="compname" queryTableFieldId="2" dataDxfId="20"/>
    <tableColumn id="3" uniqueName="3" name="region_name" queryTableFieldId="3" dataDxfId="19"/>
    <tableColumn id="4" uniqueName="4" name="sector_name" queryTableFieldId="4" dataDxfId="18"/>
    <tableColumn id="5" uniqueName="5" name="City" queryTableFieldId="5" dataDxfId="17"/>
    <tableColumn id="6" uniqueName="6" name="APValue" queryTableFieldId="6" dataDxfId="1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__192.168.3.138DYLNDPSaleData" displayName="Table__192.168.3.138DYLNDPSaleData" ref="A1:G280" tableType="queryTable" totalsRowShown="0" headerRowDxfId="25" dataDxfId="24">
  <autoFilter ref="A1:G280"/>
  <tableColumns count="7">
    <tableColumn id="1" uniqueName="1" name="sikey" queryTableFieldId="1" dataDxfId="15"/>
    <tableColumn id="2" uniqueName="2" name="dlrid" queryTableFieldId="2" dataDxfId="14"/>
    <tableColumn id="3" uniqueName="3" name="CompName" queryTableFieldId="3" dataDxfId="13"/>
    <tableColumn id="4" uniqueName="4" name="ordDate" queryTableFieldId="4" dataDxfId="12"/>
    <tableColumn id="5" uniqueName="5" name="Qty" queryTableFieldId="5" dataDxfId="11"/>
    <tableColumn id="6" uniqueName="6" name="TotalValue" queryTableFieldId="6" dataDxfId="10"/>
    <tableColumn id="7" uniqueName="7" name="SrNo" queryTableFieldId="7" dataDxfId="9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__192.168.3.138DYLNDPFinanaceData" displayName="Table__192.168.3.138DYLNDPFinanaceData" ref="A1:I586" tableType="queryTable" totalsRowShown="0" headerRowDxfId="23" dataDxfId="22">
  <autoFilter ref="A1:I586"/>
  <tableColumns count="9">
    <tableColumn id="1" uniqueName="1" name="Voucher Type" queryTableFieldId="1" dataDxfId="8"/>
    <tableColumn id="2" uniqueName="2" name="Voucher Number" queryTableFieldId="2" dataDxfId="7"/>
    <tableColumn id="3" uniqueName="3" name="Voucher Date" queryTableFieldId="3" dataDxfId="6"/>
    <tableColumn id="4" uniqueName="4" name="Debit" queryTableFieldId="4" dataDxfId="5"/>
    <tableColumn id="5" uniqueName="5" name="Credit" queryTableFieldId="5" dataDxfId="4"/>
    <tableColumn id="6" uniqueName="6" name="DlrId" queryTableFieldId="6" dataDxfId="3"/>
    <tableColumn id="7" uniqueName="7" name="Dealer Company Name" queryTableFieldId="7" dataDxfId="2"/>
    <tableColumn id="8" uniqueName="8" name="Region_Name" queryTableFieldId="8" dataDxfId="1"/>
    <tableColumn id="9" uniqueName="9" name="Sector_Name" queryTableFieldId="9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G814"/>
  <sheetViews>
    <sheetView workbookViewId="0">
      <selection activeCell="H10" sqref="H10"/>
    </sheetView>
  </sheetViews>
  <sheetFormatPr defaultRowHeight="12.75"/>
  <cols>
    <col min="2" max="2" width="7.42578125" customWidth="1"/>
    <col min="3" max="3" width="42.28515625" customWidth="1"/>
    <col min="4" max="4" width="15.42578125" bestFit="1" customWidth="1"/>
    <col min="5" max="5" width="14.85546875" bestFit="1" customWidth="1"/>
    <col min="6" max="6" width="16.140625" customWidth="1"/>
    <col min="7" max="7" width="12.5703125" customWidth="1"/>
  </cols>
  <sheetData>
    <row r="1" spans="2:7">
      <c r="B1" s="49"/>
      <c r="C1" s="49"/>
      <c r="D1" s="49"/>
      <c r="E1" s="49"/>
      <c r="F1" s="49"/>
      <c r="G1" s="49"/>
    </row>
    <row r="2" spans="2:7">
      <c r="B2" s="49"/>
      <c r="C2" s="49"/>
      <c r="D2" s="49"/>
      <c r="E2" s="49"/>
      <c r="F2" s="49"/>
      <c r="G2" s="49"/>
    </row>
    <row r="3" spans="2:7">
      <c r="B3" s="49"/>
      <c r="C3" s="49"/>
      <c r="D3" s="49"/>
      <c r="E3" s="49"/>
      <c r="F3" s="49"/>
      <c r="G3" s="49"/>
    </row>
    <row r="5" spans="2:7">
      <c r="B5" t="s">
        <v>713</v>
      </c>
      <c r="C5" t="s">
        <v>714</v>
      </c>
      <c r="D5" t="s">
        <v>715</v>
      </c>
      <c r="E5" t="s">
        <v>716</v>
      </c>
      <c r="F5" t="s">
        <v>717</v>
      </c>
      <c r="G5" t="s">
        <v>718</v>
      </c>
    </row>
    <row r="6" spans="2:7">
      <c r="B6" s="1" t="s">
        <v>719</v>
      </c>
      <c r="C6" s="1" t="s">
        <v>720</v>
      </c>
      <c r="D6" s="1" t="s">
        <v>721</v>
      </c>
      <c r="E6" s="1" t="s">
        <v>650</v>
      </c>
      <c r="F6" s="1" t="s">
        <v>593</v>
      </c>
      <c r="G6" s="1">
        <v>-1429451.57</v>
      </c>
    </row>
    <row r="7" spans="2:7">
      <c r="B7" s="1" t="s">
        <v>722</v>
      </c>
      <c r="C7" s="1" t="s">
        <v>723</v>
      </c>
      <c r="D7" s="1" t="s">
        <v>724</v>
      </c>
      <c r="E7" s="1" t="s">
        <v>725</v>
      </c>
      <c r="F7" s="1" t="s">
        <v>726</v>
      </c>
      <c r="G7" s="1">
        <v>0</v>
      </c>
    </row>
    <row r="8" spans="2:7">
      <c r="B8" s="1" t="s">
        <v>727</v>
      </c>
      <c r="C8" s="1" t="s">
        <v>728</v>
      </c>
      <c r="D8" s="1" t="s">
        <v>724</v>
      </c>
      <c r="E8" s="1" t="s">
        <v>729</v>
      </c>
      <c r="F8" s="1" t="s">
        <v>694</v>
      </c>
      <c r="G8" s="1">
        <v>0</v>
      </c>
    </row>
    <row r="9" spans="2:7">
      <c r="B9" s="1" t="s">
        <v>730</v>
      </c>
      <c r="C9" s="1" t="s">
        <v>731</v>
      </c>
      <c r="D9" s="1" t="s">
        <v>732</v>
      </c>
      <c r="E9" s="1" t="s">
        <v>733</v>
      </c>
      <c r="F9" s="1" t="s">
        <v>734</v>
      </c>
      <c r="G9" s="1">
        <v>-3173</v>
      </c>
    </row>
    <row r="10" spans="2:7">
      <c r="B10" s="1" t="s">
        <v>735</v>
      </c>
      <c r="C10" s="1" t="s">
        <v>736</v>
      </c>
      <c r="D10" s="1" t="s">
        <v>732</v>
      </c>
      <c r="E10" s="1" t="s">
        <v>729</v>
      </c>
      <c r="F10" s="1" t="s">
        <v>737</v>
      </c>
      <c r="G10" s="1">
        <v>373.1</v>
      </c>
    </row>
    <row r="11" spans="2:7">
      <c r="B11" s="1" t="s">
        <v>738</v>
      </c>
      <c r="C11" s="1" t="s">
        <v>739</v>
      </c>
      <c r="D11" s="1" t="s">
        <v>732</v>
      </c>
      <c r="E11" s="1" t="s">
        <v>740</v>
      </c>
      <c r="F11" s="1" t="s">
        <v>659</v>
      </c>
      <c r="G11" s="1">
        <v>6785.19</v>
      </c>
    </row>
    <row r="12" spans="2:7">
      <c r="B12" s="1" t="s">
        <v>741</v>
      </c>
      <c r="C12" s="1" t="s">
        <v>742</v>
      </c>
      <c r="D12" s="1" t="s">
        <v>743</v>
      </c>
      <c r="E12" s="1" t="s">
        <v>703</v>
      </c>
      <c r="F12" s="1" t="s">
        <v>744</v>
      </c>
      <c r="G12" s="1">
        <v>-3617072.86</v>
      </c>
    </row>
    <row r="13" spans="2:7">
      <c r="B13" s="1" t="s">
        <v>745</v>
      </c>
      <c r="C13" s="1" t="s">
        <v>746</v>
      </c>
      <c r="D13" s="1" t="s">
        <v>743</v>
      </c>
      <c r="E13" s="1" t="s">
        <v>669</v>
      </c>
      <c r="F13" s="1" t="s">
        <v>747</v>
      </c>
      <c r="G13" s="1">
        <v>104128.57</v>
      </c>
    </row>
    <row r="14" spans="2:7">
      <c r="B14" s="1" t="s">
        <v>748</v>
      </c>
      <c r="C14" s="1" t="s">
        <v>749</v>
      </c>
      <c r="D14" s="1" t="s">
        <v>743</v>
      </c>
      <c r="E14" s="1" t="s">
        <v>650</v>
      </c>
      <c r="F14" s="1" t="s">
        <v>750</v>
      </c>
      <c r="G14" s="1">
        <v>412332.43</v>
      </c>
    </row>
    <row r="15" spans="2:7">
      <c r="B15" s="1" t="s">
        <v>751</v>
      </c>
      <c r="C15" s="1" t="s">
        <v>752</v>
      </c>
      <c r="D15" s="1" t="s">
        <v>743</v>
      </c>
      <c r="E15" s="1" t="s">
        <v>650</v>
      </c>
      <c r="F15" s="1" t="s">
        <v>637</v>
      </c>
      <c r="G15" s="1">
        <v>0</v>
      </c>
    </row>
    <row r="16" spans="2:7">
      <c r="B16" s="1" t="s">
        <v>753</v>
      </c>
      <c r="C16" s="1" t="s">
        <v>754</v>
      </c>
      <c r="D16" s="1" t="s">
        <v>743</v>
      </c>
      <c r="E16" s="1" t="s">
        <v>691</v>
      </c>
      <c r="F16" s="1" t="s">
        <v>641</v>
      </c>
      <c r="G16" s="1">
        <v>1830999.03</v>
      </c>
    </row>
    <row r="17" spans="2:7">
      <c r="B17" s="1" t="s">
        <v>755</v>
      </c>
      <c r="C17" s="1" t="s">
        <v>756</v>
      </c>
      <c r="D17" s="1" t="s">
        <v>743</v>
      </c>
      <c r="E17" s="1" t="s">
        <v>691</v>
      </c>
      <c r="F17" s="1" t="s">
        <v>641</v>
      </c>
      <c r="G17" s="1">
        <v>-484455.37</v>
      </c>
    </row>
    <row r="18" spans="2:7">
      <c r="B18" s="1" t="s">
        <v>757</v>
      </c>
      <c r="C18" s="1" t="s">
        <v>758</v>
      </c>
      <c r="D18" s="1" t="s">
        <v>743</v>
      </c>
      <c r="E18" s="1" t="s">
        <v>691</v>
      </c>
      <c r="F18" s="1" t="s">
        <v>641</v>
      </c>
      <c r="G18" s="1">
        <v>18949.759999999998</v>
      </c>
    </row>
    <row r="19" spans="2:7">
      <c r="B19" s="1" t="s">
        <v>759</v>
      </c>
      <c r="C19" s="1" t="s">
        <v>760</v>
      </c>
      <c r="D19" s="1" t="s">
        <v>743</v>
      </c>
      <c r="E19" s="1" t="s">
        <v>729</v>
      </c>
      <c r="F19" s="1" t="s">
        <v>761</v>
      </c>
      <c r="G19" s="1">
        <v>0</v>
      </c>
    </row>
    <row r="20" spans="2:7">
      <c r="B20" s="1" t="s">
        <v>762</v>
      </c>
      <c r="C20" s="1" t="s">
        <v>763</v>
      </c>
      <c r="D20" s="1" t="s">
        <v>743</v>
      </c>
      <c r="E20" s="1" t="s">
        <v>650</v>
      </c>
      <c r="F20" s="1" t="s">
        <v>764</v>
      </c>
      <c r="G20" s="1">
        <v>1273005.55</v>
      </c>
    </row>
    <row r="21" spans="2:7">
      <c r="B21" s="1" t="s">
        <v>765</v>
      </c>
      <c r="C21" s="1" t="s">
        <v>1984</v>
      </c>
      <c r="D21" s="1" t="s">
        <v>743</v>
      </c>
      <c r="E21" s="1" t="s">
        <v>650</v>
      </c>
      <c r="F21" s="1" t="s">
        <v>685</v>
      </c>
      <c r="G21" s="1">
        <v>201696.67</v>
      </c>
    </row>
    <row r="22" spans="2:7">
      <c r="B22" s="1" t="s">
        <v>766</v>
      </c>
      <c r="C22" s="1" t="s">
        <v>767</v>
      </c>
      <c r="D22" s="1" t="s">
        <v>743</v>
      </c>
      <c r="E22" s="1" t="s">
        <v>650</v>
      </c>
      <c r="F22" s="1" t="s">
        <v>633</v>
      </c>
      <c r="G22" s="1">
        <v>32071.53</v>
      </c>
    </row>
    <row r="23" spans="2:7">
      <c r="B23" s="1" t="s">
        <v>768</v>
      </c>
      <c r="C23" s="1" t="s">
        <v>769</v>
      </c>
      <c r="D23" s="1" t="s">
        <v>743</v>
      </c>
      <c r="E23" s="1" t="s">
        <v>703</v>
      </c>
      <c r="F23" s="1" t="s">
        <v>1930</v>
      </c>
      <c r="G23" s="1">
        <v>-53522.54</v>
      </c>
    </row>
    <row r="24" spans="2:7">
      <c r="B24" s="1" t="s">
        <v>770</v>
      </c>
      <c r="C24" s="1" t="s">
        <v>771</v>
      </c>
      <c r="D24" s="1" t="s">
        <v>743</v>
      </c>
      <c r="E24" s="1" t="s">
        <v>650</v>
      </c>
      <c r="F24" s="1" t="s">
        <v>635</v>
      </c>
      <c r="G24" s="1">
        <v>9639.36</v>
      </c>
    </row>
    <row r="25" spans="2:7">
      <c r="B25" s="1" t="s">
        <v>772</v>
      </c>
      <c r="C25" s="1" t="s">
        <v>773</v>
      </c>
      <c r="D25" s="1" t="s">
        <v>743</v>
      </c>
      <c r="E25" s="1" t="s">
        <v>650</v>
      </c>
      <c r="F25" s="1" t="s">
        <v>774</v>
      </c>
      <c r="G25" s="1">
        <v>28794.62</v>
      </c>
    </row>
    <row r="26" spans="2:7">
      <c r="B26" s="1" t="s">
        <v>775</v>
      </c>
      <c r="C26" s="1" t="s">
        <v>776</v>
      </c>
      <c r="D26" s="1" t="s">
        <v>743</v>
      </c>
      <c r="E26" s="1" t="s">
        <v>650</v>
      </c>
      <c r="F26" s="1" t="s">
        <v>777</v>
      </c>
      <c r="G26" s="1">
        <v>267259.49</v>
      </c>
    </row>
    <row r="27" spans="2:7">
      <c r="B27" s="1" t="s">
        <v>778</v>
      </c>
      <c r="C27" s="1" t="s">
        <v>779</v>
      </c>
      <c r="D27" s="1" t="s">
        <v>743</v>
      </c>
      <c r="E27" s="1" t="s">
        <v>691</v>
      </c>
      <c r="F27" s="1" t="s">
        <v>780</v>
      </c>
      <c r="G27" s="1">
        <v>0</v>
      </c>
    </row>
    <row r="28" spans="2:7">
      <c r="B28" s="1" t="s">
        <v>781</v>
      </c>
      <c r="C28" s="1" t="s">
        <v>782</v>
      </c>
      <c r="D28" s="1" t="s">
        <v>743</v>
      </c>
      <c r="E28" s="1" t="s">
        <v>669</v>
      </c>
      <c r="F28" s="1" t="s">
        <v>783</v>
      </c>
      <c r="G28" s="1">
        <v>-1002867.61</v>
      </c>
    </row>
    <row r="29" spans="2:7">
      <c r="B29" s="1" t="s">
        <v>784</v>
      </c>
      <c r="C29" s="1" t="s">
        <v>785</v>
      </c>
      <c r="D29" s="1" t="s">
        <v>743</v>
      </c>
      <c r="E29" s="1" t="s">
        <v>669</v>
      </c>
      <c r="F29" s="1" t="s">
        <v>783</v>
      </c>
      <c r="G29" s="1">
        <v>-997399.35</v>
      </c>
    </row>
    <row r="30" spans="2:7">
      <c r="B30" s="1" t="s">
        <v>786</v>
      </c>
      <c r="C30" s="1" t="s">
        <v>787</v>
      </c>
      <c r="D30" s="1" t="s">
        <v>743</v>
      </c>
      <c r="E30" s="1" t="s">
        <v>669</v>
      </c>
      <c r="F30" s="1" t="s">
        <v>625</v>
      </c>
      <c r="G30" s="1">
        <v>1647.71</v>
      </c>
    </row>
    <row r="31" spans="2:7">
      <c r="B31" s="1" t="s">
        <v>788</v>
      </c>
      <c r="C31" s="1" t="s">
        <v>789</v>
      </c>
      <c r="D31" s="1" t="s">
        <v>743</v>
      </c>
      <c r="E31" s="1" t="s">
        <v>669</v>
      </c>
      <c r="F31" s="1" t="s">
        <v>623</v>
      </c>
      <c r="G31" s="1">
        <v>1217800.78</v>
      </c>
    </row>
    <row r="32" spans="2:7">
      <c r="B32" s="1" t="s">
        <v>790</v>
      </c>
      <c r="C32" s="1" t="s">
        <v>791</v>
      </c>
      <c r="D32" s="1" t="s">
        <v>743</v>
      </c>
      <c r="E32" s="1" t="s">
        <v>669</v>
      </c>
      <c r="F32" s="1" t="s">
        <v>792</v>
      </c>
      <c r="G32" s="1">
        <v>0</v>
      </c>
    </row>
    <row r="33" spans="2:7">
      <c r="B33" s="1" t="s">
        <v>793</v>
      </c>
      <c r="C33" s="1" t="s">
        <v>794</v>
      </c>
      <c r="D33" s="1" t="s">
        <v>743</v>
      </c>
      <c r="E33" s="1" t="s">
        <v>669</v>
      </c>
      <c r="F33" s="1" t="s">
        <v>701</v>
      </c>
      <c r="G33" s="1">
        <v>5873.22</v>
      </c>
    </row>
    <row r="34" spans="2:7">
      <c r="B34" s="1" t="s">
        <v>795</v>
      </c>
      <c r="C34" s="1" t="s">
        <v>796</v>
      </c>
      <c r="D34" s="1" t="s">
        <v>724</v>
      </c>
      <c r="E34" s="1" t="s">
        <v>703</v>
      </c>
      <c r="F34" s="1" t="s">
        <v>655</v>
      </c>
      <c r="G34" s="1">
        <v>5647.19</v>
      </c>
    </row>
    <row r="35" spans="2:7">
      <c r="B35" s="1" t="s">
        <v>797</v>
      </c>
      <c r="C35" s="1" t="s">
        <v>798</v>
      </c>
      <c r="D35" s="1" t="s">
        <v>724</v>
      </c>
      <c r="E35" s="1" t="s">
        <v>703</v>
      </c>
      <c r="F35" s="1" t="s">
        <v>655</v>
      </c>
      <c r="G35" s="1">
        <v>-28778.54</v>
      </c>
    </row>
    <row r="36" spans="2:7">
      <c r="B36" s="1" t="s">
        <v>799</v>
      </c>
      <c r="C36" s="1" t="s">
        <v>800</v>
      </c>
      <c r="D36" s="1" t="s">
        <v>724</v>
      </c>
      <c r="E36" s="1" t="s">
        <v>703</v>
      </c>
      <c r="F36" s="1" t="s">
        <v>655</v>
      </c>
      <c r="G36" s="1">
        <v>128049.68</v>
      </c>
    </row>
    <row r="37" spans="2:7">
      <c r="B37" s="1" t="s">
        <v>801</v>
      </c>
      <c r="C37" s="1" t="s">
        <v>802</v>
      </c>
      <c r="D37" s="1" t="s">
        <v>724</v>
      </c>
      <c r="E37" s="1" t="s">
        <v>703</v>
      </c>
      <c r="F37" s="1" t="s">
        <v>655</v>
      </c>
      <c r="G37" s="1">
        <v>45482.879999999997</v>
      </c>
    </row>
    <row r="38" spans="2:7">
      <c r="B38" s="1" t="s">
        <v>803</v>
      </c>
      <c r="C38" s="1" t="s">
        <v>804</v>
      </c>
      <c r="D38" s="1" t="s">
        <v>724</v>
      </c>
      <c r="E38" s="1" t="s">
        <v>703</v>
      </c>
      <c r="F38" s="1" t="s">
        <v>655</v>
      </c>
      <c r="G38" s="1">
        <v>428627.31</v>
      </c>
    </row>
    <row r="39" spans="2:7">
      <c r="B39" s="1" t="s">
        <v>805</v>
      </c>
      <c r="C39" s="1" t="s">
        <v>806</v>
      </c>
      <c r="D39" s="1" t="s">
        <v>724</v>
      </c>
      <c r="E39" s="1" t="s">
        <v>703</v>
      </c>
      <c r="F39" s="1" t="s">
        <v>655</v>
      </c>
      <c r="G39" s="1">
        <v>-969460</v>
      </c>
    </row>
    <row r="40" spans="2:7">
      <c r="B40" s="1" t="s">
        <v>807</v>
      </c>
      <c r="C40" s="1" t="s">
        <v>808</v>
      </c>
      <c r="D40" s="1" t="s">
        <v>724</v>
      </c>
      <c r="E40" s="1" t="s">
        <v>703</v>
      </c>
      <c r="F40" s="1" t="s">
        <v>645</v>
      </c>
      <c r="G40" s="1">
        <v>0</v>
      </c>
    </row>
    <row r="41" spans="2:7">
      <c r="B41" s="1" t="s">
        <v>809</v>
      </c>
      <c r="C41" s="1" t="s">
        <v>810</v>
      </c>
      <c r="D41" s="1" t="s">
        <v>724</v>
      </c>
      <c r="E41" s="1" t="s">
        <v>703</v>
      </c>
      <c r="F41" s="1" t="s">
        <v>655</v>
      </c>
      <c r="G41" s="1">
        <v>930176.62</v>
      </c>
    </row>
    <row r="42" spans="2:7">
      <c r="B42" s="1" t="s">
        <v>811</v>
      </c>
      <c r="C42" s="1" t="s">
        <v>812</v>
      </c>
      <c r="D42" s="1" t="s">
        <v>724</v>
      </c>
      <c r="E42" s="1" t="s">
        <v>813</v>
      </c>
      <c r="F42" s="1" t="s">
        <v>660</v>
      </c>
      <c r="G42" s="1">
        <v>26962.12</v>
      </c>
    </row>
    <row r="43" spans="2:7">
      <c r="B43" s="1" t="s">
        <v>814</v>
      </c>
      <c r="C43" s="1" t="s">
        <v>815</v>
      </c>
      <c r="D43" s="1" t="s">
        <v>724</v>
      </c>
      <c r="E43" s="1" t="s">
        <v>729</v>
      </c>
      <c r="F43" s="1" t="s">
        <v>816</v>
      </c>
      <c r="G43" s="1">
        <v>0</v>
      </c>
    </row>
    <row r="44" spans="2:7">
      <c r="B44" s="1" t="s">
        <v>817</v>
      </c>
      <c r="C44" s="1" t="s">
        <v>818</v>
      </c>
      <c r="D44" s="1" t="s">
        <v>724</v>
      </c>
      <c r="E44" s="1" t="s">
        <v>669</v>
      </c>
      <c r="F44" s="1" t="s">
        <v>655</v>
      </c>
      <c r="G44" s="1">
        <v>-530458.96</v>
      </c>
    </row>
    <row r="45" spans="2:7">
      <c r="B45" s="1" t="s">
        <v>819</v>
      </c>
      <c r="C45" s="1" t="s">
        <v>820</v>
      </c>
      <c r="D45" s="1" t="s">
        <v>724</v>
      </c>
      <c r="E45" s="1" t="s">
        <v>813</v>
      </c>
      <c r="F45" s="1" t="s">
        <v>573</v>
      </c>
      <c r="G45" s="1">
        <v>146592.06</v>
      </c>
    </row>
    <row r="46" spans="2:7">
      <c r="B46" s="1" t="s">
        <v>821</v>
      </c>
      <c r="C46" s="1" t="s">
        <v>822</v>
      </c>
      <c r="D46" s="1" t="s">
        <v>724</v>
      </c>
      <c r="E46" s="1" t="s">
        <v>813</v>
      </c>
      <c r="F46" s="1" t="s">
        <v>823</v>
      </c>
      <c r="G46" s="1">
        <v>0</v>
      </c>
    </row>
    <row r="47" spans="2:7">
      <c r="B47" s="1" t="s">
        <v>824</v>
      </c>
      <c r="C47" s="1" t="s">
        <v>825</v>
      </c>
      <c r="D47" s="1" t="s">
        <v>721</v>
      </c>
      <c r="E47" s="1" t="s">
        <v>703</v>
      </c>
      <c r="F47" s="1" t="s">
        <v>689</v>
      </c>
      <c r="G47" s="1">
        <v>104561.53</v>
      </c>
    </row>
    <row r="48" spans="2:7">
      <c r="B48" s="1" t="s">
        <v>826</v>
      </c>
      <c r="C48" s="1" t="s">
        <v>827</v>
      </c>
      <c r="D48" s="1" t="s">
        <v>721</v>
      </c>
      <c r="E48" s="1" t="s">
        <v>669</v>
      </c>
      <c r="F48" s="1" t="s">
        <v>704</v>
      </c>
      <c r="G48" s="1">
        <v>8660.5</v>
      </c>
    </row>
    <row r="49" spans="2:7">
      <c r="B49" s="1" t="s">
        <v>828</v>
      </c>
      <c r="C49" s="1" t="s">
        <v>829</v>
      </c>
      <c r="D49" s="1" t="s">
        <v>721</v>
      </c>
      <c r="E49" s="1" t="s">
        <v>669</v>
      </c>
      <c r="F49" s="1" t="s">
        <v>830</v>
      </c>
      <c r="G49" s="1">
        <v>-232632</v>
      </c>
    </row>
    <row r="50" spans="2:7">
      <c r="B50" s="1" t="s">
        <v>831</v>
      </c>
      <c r="C50" s="1" t="s">
        <v>832</v>
      </c>
      <c r="D50" s="1" t="s">
        <v>724</v>
      </c>
      <c r="E50" s="1" t="s">
        <v>729</v>
      </c>
      <c r="F50" s="1" t="s">
        <v>833</v>
      </c>
      <c r="G50" s="1">
        <v>0</v>
      </c>
    </row>
    <row r="51" spans="2:7">
      <c r="B51" s="1" t="s">
        <v>834</v>
      </c>
      <c r="C51" s="1" t="s">
        <v>835</v>
      </c>
      <c r="D51" s="1" t="s">
        <v>724</v>
      </c>
      <c r="E51" s="1" t="s">
        <v>836</v>
      </c>
      <c r="F51" s="1" t="s">
        <v>656</v>
      </c>
      <c r="G51" s="1">
        <v>0</v>
      </c>
    </row>
    <row r="52" spans="2:7">
      <c r="B52" s="1" t="s">
        <v>837</v>
      </c>
      <c r="C52" s="1" t="s">
        <v>838</v>
      </c>
      <c r="D52" s="1" t="s">
        <v>724</v>
      </c>
      <c r="E52" s="1" t="s">
        <v>836</v>
      </c>
      <c r="F52" s="1" t="s">
        <v>656</v>
      </c>
      <c r="G52" s="1">
        <v>101156.38</v>
      </c>
    </row>
    <row r="53" spans="2:7">
      <c r="B53" s="1" t="s">
        <v>839</v>
      </c>
      <c r="C53" s="1" t="s">
        <v>840</v>
      </c>
      <c r="D53" s="1" t="s">
        <v>724</v>
      </c>
      <c r="E53" s="1" t="s">
        <v>841</v>
      </c>
      <c r="F53" s="1" t="s">
        <v>842</v>
      </c>
      <c r="G53" s="1">
        <v>303003.95</v>
      </c>
    </row>
    <row r="54" spans="2:7">
      <c r="B54" s="1" t="s">
        <v>843</v>
      </c>
      <c r="C54" s="1" t="s">
        <v>844</v>
      </c>
      <c r="D54" s="1" t="s">
        <v>724</v>
      </c>
      <c r="E54" s="1" t="s">
        <v>725</v>
      </c>
      <c r="F54" s="1" t="s">
        <v>690</v>
      </c>
      <c r="G54" s="1">
        <v>455653.93</v>
      </c>
    </row>
    <row r="55" spans="2:7">
      <c r="B55" s="1" t="s">
        <v>845</v>
      </c>
      <c r="C55" s="1" t="s">
        <v>846</v>
      </c>
      <c r="D55" s="1" t="s">
        <v>724</v>
      </c>
      <c r="E55" s="1" t="s">
        <v>725</v>
      </c>
      <c r="F55" s="1" t="s">
        <v>675</v>
      </c>
      <c r="G55" s="1">
        <v>34653.54</v>
      </c>
    </row>
    <row r="56" spans="2:7">
      <c r="B56" s="1" t="s">
        <v>847</v>
      </c>
      <c r="C56" s="1" t="s">
        <v>848</v>
      </c>
      <c r="D56" s="1" t="s">
        <v>724</v>
      </c>
      <c r="E56" s="1" t="s">
        <v>725</v>
      </c>
      <c r="F56" s="1" t="s">
        <v>849</v>
      </c>
      <c r="G56" s="1">
        <v>0</v>
      </c>
    </row>
    <row r="57" spans="2:7">
      <c r="B57" s="1" t="s">
        <v>850</v>
      </c>
      <c r="C57" s="1" t="s">
        <v>851</v>
      </c>
      <c r="D57" s="1" t="s">
        <v>721</v>
      </c>
      <c r="E57" s="1"/>
      <c r="F57" s="1" t="s">
        <v>591</v>
      </c>
      <c r="G57" s="1">
        <v>-2231495.71</v>
      </c>
    </row>
    <row r="58" spans="2:7">
      <c r="B58" s="1" t="s">
        <v>852</v>
      </c>
      <c r="C58" s="1" t="s">
        <v>853</v>
      </c>
      <c r="D58" s="1" t="s">
        <v>721</v>
      </c>
      <c r="E58" s="1"/>
      <c r="F58" s="1" t="s">
        <v>592</v>
      </c>
      <c r="G58" s="1">
        <v>2356522.73</v>
      </c>
    </row>
    <row r="59" spans="2:7">
      <c r="B59" s="1" t="s">
        <v>854</v>
      </c>
      <c r="C59" s="1" t="s">
        <v>855</v>
      </c>
      <c r="D59" s="1" t="s">
        <v>724</v>
      </c>
      <c r="E59" s="1" t="s">
        <v>813</v>
      </c>
      <c r="F59" s="1" t="s">
        <v>579</v>
      </c>
      <c r="G59" s="1">
        <v>-414.09</v>
      </c>
    </row>
    <row r="60" spans="2:7">
      <c r="B60" s="1" t="s">
        <v>856</v>
      </c>
      <c r="C60" s="1" t="s">
        <v>857</v>
      </c>
      <c r="D60" s="1" t="s">
        <v>724</v>
      </c>
      <c r="E60" s="1" t="s">
        <v>858</v>
      </c>
      <c r="F60" s="1" t="s">
        <v>700</v>
      </c>
      <c r="G60" s="1">
        <v>955340.36</v>
      </c>
    </row>
    <row r="61" spans="2:7">
      <c r="B61" s="1" t="s">
        <v>859</v>
      </c>
      <c r="C61" s="1" t="s">
        <v>860</v>
      </c>
      <c r="D61" s="1" t="s">
        <v>724</v>
      </c>
      <c r="E61" s="1" t="s">
        <v>858</v>
      </c>
      <c r="F61" s="1" t="s">
        <v>861</v>
      </c>
      <c r="G61" s="1">
        <v>-1646453</v>
      </c>
    </row>
    <row r="62" spans="2:7">
      <c r="B62" s="1" t="s">
        <v>862</v>
      </c>
      <c r="C62" s="1" t="s">
        <v>863</v>
      </c>
      <c r="D62" s="1" t="s">
        <v>724</v>
      </c>
      <c r="E62" s="1" t="s">
        <v>729</v>
      </c>
      <c r="F62" s="1" t="s">
        <v>864</v>
      </c>
      <c r="G62" s="1">
        <v>0</v>
      </c>
    </row>
    <row r="63" spans="2:7">
      <c r="B63" s="1" t="s">
        <v>1961</v>
      </c>
      <c r="C63" s="1" t="s">
        <v>1962</v>
      </c>
      <c r="D63" s="1" t="s">
        <v>724</v>
      </c>
      <c r="E63" s="1" t="s">
        <v>725</v>
      </c>
      <c r="F63" s="1" t="s">
        <v>869</v>
      </c>
      <c r="G63" s="1">
        <v>2304103.17</v>
      </c>
    </row>
    <row r="64" spans="2:7">
      <c r="B64" s="1" t="s">
        <v>865</v>
      </c>
      <c r="C64" s="1" t="s">
        <v>866</v>
      </c>
      <c r="D64" s="1" t="s">
        <v>724</v>
      </c>
      <c r="E64" s="1" t="s">
        <v>841</v>
      </c>
      <c r="F64" s="1" t="s">
        <v>666</v>
      </c>
      <c r="G64" s="1">
        <v>3083.18</v>
      </c>
    </row>
    <row r="65" spans="2:7">
      <c r="B65" s="1" t="s">
        <v>867</v>
      </c>
      <c r="C65" s="1" t="s">
        <v>868</v>
      </c>
      <c r="D65" s="1" t="s">
        <v>724</v>
      </c>
      <c r="E65" s="1" t="s">
        <v>725</v>
      </c>
      <c r="F65" s="1" t="s">
        <v>869</v>
      </c>
      <c r="G65" s="1">
        <v>0</v>
      </c>
    </row>
    <row r="66" spans="2:7">
      <c r="B66" s="1" t="s">
        <v>870</v>
      </c>
      <c r="C66" s="1" t="s">
        <v>871</v>
      </c>
      <c r="D66" s="1" t="s">
        <v>724</v>
      </c>
      <c r="E66" s="1" t="s">
        <v>725</v>
      </c>
      <c r="F66" s="1" t="s">
        <v>697</v>
      </c>
      <c r="G66" s="1">
        <v>916273.64</v>
      </c>
    </row>
    <row r="67" spans="2:7">
      <c r="B67" s="1" t="s">
        <v>872</v>
      </c>
      <c r="C67" s="1" t="s">
        <v>873</v>
      </c>
      <c r="D67" s="1" t="s">
        <v>721</v>
      </c>
      <c r="E67" s="1" t="s">
        <v>703</v>
      </c>
      <c r="F67" s="1" t="s">
        <v>874</v>
      </c>
      <c r="G67" s="1">
        <v>0</v>
      </c>
    </row>
    <row r="68" spans="2:7">
      <c r="B68" s="1" t="s">
        <v>875</v>
      </c>
      <c r="C68" s="1" t="s">
        <v>876</v>
      </c>
      <c r="D68" s="1" t="s">
        <v>724</v>
      </c>
      <c r="E68" s="1" t="s">
        <v>729</v>
      </c>
      <c r="F68" s="1" t="s">
        <v>816</v>
      </c>
      <c r="G68" s="1">
        <v>0</v>
      </c>
    </row>
    <row r="69" spans="2:7">
      <c r="B69" s="1" t="s">
        <v>877</v>
      </c>
      <c r="C69" s="1" t="s">
        <v>878</v>
      </c>
      <c r="D69" s="1" t="s">
        <v>724</v>
      </c>
      <c r="E69" s="1" t="s">
        <v>841</v>
      </c>
      <c r="F69" s="1" t="s">
        <v>666</v>
      </c>
      <c r="G69" s="1">
        <v>2502891.2799999998</v>
      </c>
    </row>
    <row r="70" spans="2:7">
      <c r="B70" s="1" t="s">
        <v>879</v>
      </c>
      <c r="C70" s="1" t="s">
        <v>880</v>
      </c>
      <c r="D70" s="1" t="s">
        <v>724</v>
      </c>
      <c r="E70" s="1" t="s">
        <v>729</v>
      </c>
      <c r="F70" s="1" t="s">
        <v>864</v>
      </c>
      <c r="G70" s="1">
        <v>0</v>
      </c>
    </row>
    <row r="71" spans="2:7">
      <c r="B71" s="1" t="s">
        <v>881</v>
      </c>
      <c r="C71" s="1" t="s">
        <v>882</v>
      </c>
      <c r="D71" s="1" t="s">
        <v>743</v>
      </c>
      <c r="E71" s="1" t="s">
        <v>703</v>
      </c>
      <c r="F71" s="1" t="s">
        <v>883</v>
      </c>
      <c r="G71" s="1">
        <v>517910.31</v>
      </c>
    </row>
    <row r="72" spans="2:7">
      <c r="B72" s="1" t="s">
        <v>884</v>
      </c>
      <c r="C72" s="1" t="s">
        <v>885</v>
      </c>
      <c r="D72" s="1" t="s">
        <v>732</v>
      </c>
      <c r="E72" s="1" t="s">
        <v>594</v>
      </c>
      <c r="F72" s="1" t="s">
        <v>648</v>
      </c>
      <c r="G72" s="1">
        <v>2035960.92</v>
      </c>
    </row>
    <row r="73" spans="2:7">
      <c r="B73" s="1" t="s">
        <v>886</v>
      </c>
      <c r="C73" s="1" t="s">
        <v>887</v>
      </c>
      <c r="D73" s="1" t="s">
        <v>721</v>
      </c>
      <c r="E73" s="1" t="s">
        <v>703</v>
      </c>
      <c r="F73" s="1" t="s">
        <v>689</v>
      </c>
      <c r="G73" s="1">
        <v>-35050.89</v>
      </c>
    </row>
    <row r="74" spans="2:7">
      <c r="B74" s="1" t="s">
        <v>888</v>
      </c>
      <c r="C74" s="1" t="s">
        <v>889</v>
      </c>
      <c r="D74" s="1" t="s">
        <v>743</v>
      </c>
      <c r="E74" s="1" t="s">
        <v>669</v>
      </c>
      <c r="F74" s="1" t="s">
        <v>890</v>
      </c>
      <c r="G74" s="1">
        <v>0</v>
      </c>
    </row>
    <row r="75" spans="2:7">
      <c r="B75" s="1" t="s">
        <v>891</v>
      </c>
      <c r="C75" s="1" t="s">
        <v>892</v>
      </c>
      <c r="D75" s="1" t="s">
        <v>721</v>
      </c>
      <c r="E75" s="1" t="s">
        <v>669</v>
      </c>
      <c r="F75" s="1" t="s">
        <v>590</v>
      </c>
      <c r="G75" s="1">
        <v>4801.93</v>
      </c>
    </row>
    <row r="76" spans="2:7">
      <c r="B76" s="1" t="s">
        <v>893</v>
      </c>
      <c r="C76" s="1" t="s">
        <v>894</v>
      </c>
      <c r="D76" s="1" t="s">
        <v>721</v>
      </c>
      <c r="E76" s="1" t="s">
        <v>669</v>
      </c>
      <c r="F76" s="1" t="s">
        <v>895</v>
      </c>
      <c r="G76" s="1">
        <v>0</v>
      </c>
    </row>
    <row r="77" spans="2:7">
      <c r="B77" s="1" t="s">
        <v>896</v>
      </c>
      <c r="C77" s="1" t="s">
        <v>897</v>
      </c>
      <c r="D77" s="1" t="s">
        <v>724</v>
      </c>
      <c r="E77" s="1" t="s">
        <v>725</v>
      </c>
      <c r="F77" s="1" t="s">
        <v>869</v>
      </c>
      <c r="G77" s="1">
        <v>33805.71</v>
      </c>
    </row>
    <row r="78" spans="2:7">
      <c r="B78" s="1" t="s">
        <v>898</v>
      </c>
      <c r="C78" s="1" t="s">
        <v>899</v>
      </c>
      <c r="D78" s="1" t="s">
        <v>724</v>
      </c>
      <c r="E78" s="1" t="s">
        <v>725</v>
      </c>
      <c r="F78" s="1" t="s">
        <v>676</v>
      </c>
      <c r="G78" s="1">
        <v>80189.289999999994</v>
      </c>
    </row>
    <row r="79" spans="2:7">
      <c r="B79" s="1" t="s">
        <v>900</v>
      </c>
      <c r="C79" s="1" t="s">
        <v>901</v>
      </c>
      <c r="D79" s="1" t="s">
        <v>743</v>
      </c>
      <c r="E79" s="1" t="s">
        <v>691</v>
      </c>
      <c r="F79" s="1" t="s">
        <v>641</v>
      </c>
      <c r="G79" s="1">
        <v>-604.87</v>
      </c>
    </row>
    <row r="80" spans="2:7">
      <c r="B80" s="1" t="s">
        <v>902</v>
      </c>
      <c r="C80" s="1" t="s">
        <v>903</v>
      </c>
      <c r="D80" s="1" t="s">
        <v>743</v>
      </c>
      <c r="E80" s="1" t="s">
        <v>703</v>
      </c>
      <c r="F80" s="1" t="s">
        <v>904</v>
      </c>
      <c r="G80" s="1">
        <v>0</v>
      </c>
    </row>
    <row r="81" spans="2:7">
      <c r="B81" s="1" t="s">
        <v>905</v>
      </c>
      <c r="C81" s="1" t="s">
        <v>906</v>
      </c>
      <c r="D81" s="1" t="s">
        <v>743</v>
      </c>
      <c r="E81" s="1" t="s">
        <v>703</v>
      </c>
      <c r="F81" s="1" t="s">
        <v>613</v>
      </c>
      <c r="G81" s="1">
        <v>992206.86</v>
      </c>
    </row>
    <row r="82" spans="2:7">
      <c r="B82" s="1" t="s">
        <v>907</v>
      </c>
      <c r="C82" s="1" t="s">
        <v>908</v>
      </c>
      <c r="D82" s="1" t="s">
        <v>724</v>
      </c>
      <c r="E82" s="1" t="s">
        <v>669</v>
      </c>
      <c r="F82" s="1" t="s">
        <v>655</v>
      </c>
      <c r="G82" s="1">
        <v>389981.86</v>
      </c>
    </row>
    <row r="83" spans="2:7">
      <c r="B83" s="1" t="s">
        <v>909</v>
      </c>
      <c r="C83" s="1" t="s">
        <v>910</v>
      </c>
      <c r="D83" s="1" t="s">
        <v>721</v>
      </c>
      <c r="E83" s="1" t="s">
        <v>703</v>
      </c>
      <c r="F83" s="1" t="s">
        <v>671</v>
      </c>
      <c r="G83" s="1">
        <v>229876.34</v>
      </c>
    </row>
    <row r="84" spans="2:7">
      <c r="B84" s="1" t="s">
        <v>911</v>
      </c>
      <c r="C84" s="1" t="s">
        <v>912</v>
      </c>
      <c r="D84" s="1" t="s">
        <v>743</v>
      </c>
      <c r="E84" s="1" t="s">
        <v>650</v>
      </c>
      <c r="F84" s="1" t="s">
        <v>1931</v>
      </c>
      <c r="G84" s="1">
        <v>129822.81</v>
      </c>
    </row>
    <row r="85" spans="2:7">
      <c r="B85" s="1" t="s">
        <v>913</v>
      </c>
      <c r="C85" s="1" t="s">
        <v>914</v>
      </c>
      <c r="D85" s="1" t="s">
        <v>724</v>
      </c>
      <c r="E85" s="1" t="s">
        <v>813</v>
      </c>
      <c r="F85" s="1" t="s">
        <v>657</v>
      </c>
      <c r="G85" s="1">
        <v>-369536.29</v>
      </c>
    </row>
    <row r="86" spans="2:7">
      <c r="B86" s="1" t="s">
        <v>915</v>
      </c>
      <c r="C86" s="1" t="s">
        <v>916</v>
      </c>
      <c r="D86" s="1" t="s">
        <v>743</v>
      </c>
      <c r="E86" s="1" t="s">
        <v>669</v>
      </c>
      <c r="F86" s="1" t="s">
        <v>625</v>
      </c>
      <c r="G86" s="1">
        <v>-1561598.6</v>
      </c>
    </row>
    <row r="87" spans="2:7">
      <c r="B87" s="1" t="s">
        <v>917</v>
      </c>
      <c r="C87" s="1" t="s">
        <v>918</v>
      </c>
      <c r="D87" s="1" t="s">
        <v>732</v>
      </c>
      <c r="E87" s="1" t="s">
        <v>740</v>
      </c>
      <c r="F87" s="1" t="s">
        <v>598</v>
      </c>
      <c r="G87" s="1">
        <v>0</v>
      </c>
    </row>
    <row r="88" spans="2:7">
      <c r="B88" s="1" t="s">
        <v>919</v>
      </c>
      <c r="C88" s="1" t="s">
        <v>920</v>
      </c>
      <c r="D88" s="1" t="s">
        <v>724</v>
      </c>
      <c r="E88" s="1" t="s">
        <v>858</v>
      </c>
      <c r="F88" s="1" t="s">
        <v>680</v>
      </c>
      <c r="G88" s="1">
        <v>57586.42</v>
      </c>
    </row>
    <row r="89" spans="2:7">
      <c r="B89" s="1" t="s">
        <v>921</v>
      </c>
      <c r="C89" s="1" t="s">
        <v>922</v>
      </c>
      <c r="D89" s="1" t="s">
        <v>743</v>
      </c>
      <c r="E89" s="1" t="s">
        <v>669</v>
      </c>
      <c r="F89" s="1" t="s">
        <v>626</v>
      </c>
      <c r="G89" s="1">
        <v>19583.48</v>
      </c>
    </row>
    <row r="90" spans="2:7">
      <c r="B90" s="1" t="s">
        <v>923</v>
      </c>
      <c r="C90" s="1" t="s">
        <v>924</v>
      </c>
      <c r="D90" s="1" t="s">
        <v>724</v>
      </c>
      <c r="E90" s="1" t="s">
        <v>858</v>
      </c>
      <c r="F90" s="1" t="s">
        <v>686</v>
      </c>
      <c r="G90" s="1">
        <v>1243088.6399999999</v>
      </c>
    </row>
    <row r="91" spans="2:7">
      <c r="B91" s="1" t="s">
        <v>925</v>
      </c>
      <c r="C91" s="1" t="s">
        <v>926</v>
      </c>
      <c r="D91" s="1" t="s">
        <v>743</v>
      </c>
      <c r="E91" s="1" t="s">
        <v>703</v>
      </c>
      <c r="F91" s="1" t="s">
        <v>618</v>
      </c>
      <c r="G91" s="1">
        <v>-112473.11</v>
      </c>
    </row>
    <row r="92" spans="2:7">
      <c r="B92" s="1" t="s">
        <v>927</v>
      </c>
      <c r="C92" s="1" t="s">
        <v>928</v>
      </c>
      <c r="D92" s="1" t="s">
        <v>724</v>
      </c>
      <c r="E92" s="1" t="s">
        <v>813</v>
      </c>
      <c r="F92" s="1" t="s">
        <v>574</v>
      </c>
      <c r="G92" s="1">
        <v>-252580.48000000001</v>
      </c>
    </row>
    <row r="93" spans="2:7">
      <c r="B93" s="1" t="s">
        <v>929</v>
      </c>
      <c r="C93" s="1" t="s">
        <v>930</v>
      </c>
      <c r="D93" s="1" t="s">
        <v>724</v>
      </c>
      <c r="E93" s="1" t="s">
        <v>669</v>
      </c>
      <c r="F93" s="1" t="s">
        <v>931</v>
      </c>
      <c r="G93" s="1">
        <v>0</v>
      </c>
    </row>
    <row r="94" spans="2:7">
      <c r="B94" s="1" t="s">
        <v>932</v>
      </c>
      <c r="C94" s="1" t="s">
        <v>933</v>
      </c>
      <c r="D94" s="1" t="s">
        <v>743</v>
      </c>
      <c r="E94" s="1" t="s">
        <v>650</v>
      </c>
      <c r="F94" s="1" t="s">
        <v>685</v>
      </c>
      <c r="G94" s="1">
        <v>40102.82</v>
      </c>
    </row>
    <row r="95" spans="2:7">
      <c r="B95" s="1" t="s">
        <v>934</v>
      </c>
      <c r="C95" s="1" t="s">
        <v>935</v>
      </c>
      <c r="D95" s="1" t="s">
        <v>743</v>
      </c>
      <c r="E95" s="1" t="s">
        <v>669</v>
      </c>
      <c r="F95" s="1" t="s">
        <v>783</v>
      </c>
      <c r="G95" s="1">
        <v>-400000</v>
      </c>
    </row>
    <row r="96" spans="2:7">
      <c r="B96" s="1" t="s">
        <v>936</v>
      </c>
      <c r="C96" s="1" t="s">
        <v>937</v>
      </c>
      <c r="D96" s="1" t="s">
        <v>724</v>
      </c>
      <c r="E96" s="1" t="s">
        <v>813</v>
      </c>
      <c r="F96" s="1" t="s">
        <v>577</v>
      </c>
      <c r="G96" s="1">
        <v>-42127.199999999997</v>
      </c>
    </row>
    <row r="97" spans="2:7">
      <c r="B97" s="1" t="s">
        <v>938</v>
      </c>
      <c r="C97" s="1" t="s">
        <v>939</v>
      </c>
      <c r="D97" s="1" t="s">
        <v>743</v>
      </c>
      <c r="E97" s="1" t="s">
        <v>691</v>
      </c>
      <c r="F97" s="1" t="s">
        <v>641</v>
      </c>
      <c r="G97" s="1">
        <v>-4602999.4800000004</v>
      </c>
    </row>
    <row r="98" spans="2:7">
      <c r="B98" s="1" t="s">
        <v>940</v>
      </c>
      <c r="C98" s="1" t="s">
        <v>587</v>
      </c>
      <c r="D98" s="1" t="s">
        <v>721</v>
      </c>
      <c r="E98" s="1" t="s">
        <v>669</v>
      </c>
      <c r="F98" s="1" t="s">
        <v>941</v>
      </c>
      <c r="G98" s="1">
        <v>14902.93</v>
      </c>
    </row>
    <row r="99" spans="2:7">
      <c r="B99" s="1" t="s">
        <v>942</v>
      </c>
      <c r="C99" s="1" t="s">
        <v>943</v>
      </c>
      <c r="D99" s="1" t="s">
        <v>732</v>
      </c>
      <c r="E99" s="1" t="s">
        <v>729</v>
      </c>
      <c r="F99" s="1" t="s">
        <v>646</v>
      </c>
      <c r="G99" s="1">
        <v>0</v>
      </c>
    </row>
    <row r="100" spans="2:7">
      <c r="B100" s="1" t="s">
        <v>944</v>
      </c>
      <c r="C100" s="1" t="s">
        <v>945</v>
      </c>
      <c r="D100" s="1" t="s">
        <v>732</v>
      </c>
      <c r="E100" s="1" t="s">
        <v>703</v>
      </c>
      <c r="F100" s="1" t="s">
        <v>646</v>
      </c>
      <c r="G100" s="1">
        <v>-37400</v>
      </c>
    </row>
    <row r="101" spans="2:7">
      <c r="B101" s="1" t="s">
        <v>946</v>
      </c>
      <c r="C101" s="1" t="s">
        <v>947</v>
      </c>
      <c r="D101" s="1" t="s">
        <v>732</v>
      </c>
      <c r="E101" s="1" t="s">
        <v>729</v>
      </c>
      <c r="F101" s="1" t="s">
        <v>646</v>
      </c>
      <c r="G101" s="1">
        <v>0</v>
      </c>
    </row>
    <row r="102" spans="2:7">
      <c r="B102" s="1" t="s">
        <v>948</v>
      </c>
      <c r="C102" s="1" t="s">
        <v>949</v>
      </c>
      <c r="D102" s="1" t="s">
        <v>732</v>
      </c>
      <c r="E102" s="1" t="s">
        <v>729</v>
      </c>
      <c r="F102" s="1" t="s">
        <v>950</v>
      </c>
      <c r="G102" s="1">
        <v>0</v>
      </c>
    </row>
    <row r="103" spans="2:7">
      <c r="B103" s="1" t="s">
        <v>951</v>
      </c>
      <c r="C103" s="1" t="s">
        <v>952</v>
      </c>
      <c r="D103" s="1" t="s">
        <v>743</v>
      </c>
      <c r="E103" s="1" t="s">
        <v>703</v>
      </c>
      <c r="F103" s="1" t="s">
        <v>953</v>
      </c>
      <c r="G103" s="1">
        <v>0</v>
      </c>
    </row>
    <row r="104" spans="2:7">
      <c r="B104" s="1" t="s">
        <v>954</v>
      </c>
      <c r="C104" s="1" t="s">
        <v>955</v>
      </c>
      <c r="D104" s="1" t="s">
        <v>721</v>
      </c>
      <c r="E104" s="1" t="s">
        <v>729</v>
      </c>
      <c r="F104" s="1" t="s">
        <v>956</v>
      </c>
      <c r="G104" s="1">
        <v>0</v>
      </c>
    </row>
    <row r="105" spans="2:7">
      <c r="B105" s="1" t="s">
        <v>957</v>
      </c>
      <c r="C105" s="1" t="s">
        <v>958</v>
      </c>
      <c r="D105" s="1" t="s">
        <v>721</v>
      </c>
      <c r="E105" s="1" t="s">
        <v>729</v>
      </c>
      <c r="F105" s="1" t="s">
        <v>959</v>
      </c>
      <c r="G105" s="1">
        <v>0</v>
      </c>
    </row>
    <row r="106" spans="2:7">
      <c r="B106" s="1" t="s">
        <v>960</v>
      </c>
      <c r="C106" s="1" t="s">
        <v>961</v>
      </c>
      <c r="D106" s="1" t="s">
        <v>724</v>
      </c>
      <c r="E106" s="1" t="s">
        <v>669</v>
      </c>
      <c r="F106" s="1" t="s">
        <v>655</v>
      </c>
      <c r="G106" s="1">
        <v>-462806.13</v>
      </c>
    </row>
    <row r="107" spans="2:7">
      <c r="B107" s="1" t="s">
        <v>962</v>
      </c>
      <c r="C107" s="1" t="s">
        <v>963</v>
      </c>
      <c r="D107" s="1" t="s">
        <v>721</v>
      </c>
      <c r="E107" s="1" t="s">
        <v>703</v>
      </c>
      <c r="F107" s="1" t="s">
        <v>964</v>
      </c>
      <c r="G107" s="1">
        <v>71452.03</v>
      </c>
    </row>
    <row r="108" spans="2:7">
      <c r="B108" s="1" t="s">
        <v>965</v>
      </c>
      <c r="C108" s="1" t="s">
        <v>966</v>
      </c>
      <c r="D108" s="1" t="s">
        <v>743</v>
      </c>
      <c r="E108" s="1" t="s">
        <v>650</v>
      </c>
      <c r="F108" s="1" t="s">
        <v>750</v>
      </c>
      <c r="G108" s="1">
        <v>128908.69</v>
      </c>
    </row>
    <row r="109" spans="2:7">
      <c r="B109" s="1" t="s">
        <v>967</v>
      </c>
      <c r="C109" s="1" t="s">
        <v>968</v>
      </c>
      <c r="D109" s="1" t="s">
        <v>743</v>
      </c>
      <c r="E109" s="1" t="s">
        <v>691</v>
      </c>
      <c r="F109" s="1" t="s">
        <v>641</v>
      </c>
      <c r="G109" s="1">
        <v>8565.06</v>
      </c>
    </row>
    <row r="110" spans="2:7">
      <c r="B110" s="1" t="s">
        <v>969</v>
      </c>
      <c r="C110" s="1" t="s">
        <v>970</v>
      </c>
      <c r="D110" s="1" t="s">
        <v>743</v>
      </c>
      <c r="E110" s="1" t="s">
        <v>691</v>
      </c>
      <c r="F110" s="1" t="s">
        <v>971</v>
      </c>
      <c r="G110" s="1">
        <v>0</v>
      </c>
    </row>
    <row r="111" spans="2:7">
      <c r="B111" s="1" t="s">
        <v>972</v>
      </c>
      <c r="C111" s="1" t="s">
        <v>973</v>
      </c>
      <c r="D111" s="1" t="s">
        <v>743</v>
      </c>
      <c r="E111" s="1" t="s">
        <v>691</v>
      </c>
      <c r="F111" s="1" t="s">
        <v>974</v>
      </c>
      <c r="G111" s="1">
        <v>0</v>
      </c>
    </row>
    <row r="112" spans="2:7">
      <c r="B112" s="1" t="s">
        <v>975</v>
      </c>
      <c r="C112" s="1" t="s">
        <v>976</v>
      </c>
      <c r="D112" s="1" t="s">
        <v>724</v>
      </c>
      <c r="E112" s="1" t="s">
        <v>858</v>
      </c>
      <c r="F112" s="1" t="s">
        <v>683</v>
      </c>
      <c r="G112" s="1">
        <v>44020.22</v>
      </c>
    </row>
    <row r="113" spans="2:7">
      <c r="B113" s="1" t="s">
        <v>977</v>
      </c>
      <c r="C113" s="1" t="s">
        <v>978</v>
      </c>
      <c r="D113" s="1" t="s">
        <v>724</v>
      </c>
      <c r="E113" s="1" t="s">
        <v>669</v>
      </c>
      <c r="F113" s="1" t="s">
        <v>655</v>
      </c>
      <c r="G113" s="1">
        <v>68870.52</v>
      </c>
    </row>
    <row r="114" spans="2:7">
      <c r="B114" s="1" t="s">
        <v>979</v>
      </c>
      <c r="C114" s="1" t="s">
        <v>980</v>
      </c>
      <c r="D114" s="1" t="s">
        <v>724</v>
      </c>
      <c r="E114" s="1" t="s">
        <v>725</v>
      </c>
      <c r="F114" s="1" t="s">
        <v>726</v>
      </c>
      <c r="G114" s="1">
        <v>0</v>
      </c>
    </row>
    <row r="115" spans="2:7">
      <c r="B115" s="1" t="s">
        <v>981</v>
      </c>
      <c r="C115" s="1" t="s">
        <v>982</v>
      </c>
      <c r="D115" s="1" t="s">
        <v>724</v>
      </c>
      <c r="E115" s="1" t="s">
        <v>725</v>
      </c>
      <c r="F115" s="1" t="s">
        <v>683</v>
      </c>
      <c r="G115" s="1">
        <v>-2453484.0699999998</v>
      </c>
    </row>
    <row r="116" spans="2:7">
      <c r="B116" s="1" t="s">
        <v>983</v>
      </c>
      <c r="C116" s="1" t="s">
        <v>984</v>
      </c>
      <c r="D116" s="1" t="s">
        <v>724</v>
      </c>
      <c r="E116" s="1" t="s">
        <v>669</v>
      </c>
      <c r="F116" s="1" t="s">
        <v>645</v>
      </c>
      <c r="G116" s="1">
        <v>0</v>
      </c>
    </row>
    <row r="117" spans="2:7">
      <c r="B117" s="1" t="s">
        <v>985</v>
      </c>
      <c r="C117" s="1" t="s">
        <v>986</v>
      </c>
      <c r="D117" s="1" t="s">
        <v>724</v>
      </c>
      <c r="E117" s="1" t="s">
        <v>669</v>
      </c>
      <c r="F117" s="1" t="s">
        <v>645</v>
      </c>
      <c r="G117" s="1">
        <v>0</v>
      </c>
    </row>
    <row r="118" spans="2:7">
      <c r="B118" s="1" t="s">
        <v>987</v>
      </c>
      <c r="C118" s="1" t="s">
        <v>988</v>
      </c>
      <c r="D118" s="1" t="s">
        <v>724</v>
      </c>
      <c r="E118" s="1" t="s">
        <v>725</v>
      </c>
      <c r="F118" s="1" t="s">
        <v>989</v>
      </c>
      <c r="G118" s="1">
        <v>4413.13</v>
      </c>
    </row>
    <row r="119" spans="2:7">
      <c r="B119" s="1" t="s">
        <v>990</v>
      </c>
      <c r="C119" s="1" t="s">
        <v>991</v>
      </c>
      <c r="D119" s="1" t="s">
        <v>732</v>
      </c>
      <c r="E119" s="1" t="s">
        <v>729</v>
      </c>
      <c r="F119" s="1" t="s">
        <v>992</v>
      </c>
      <c r="G119" s="1">
        <v>0</v>
      </c>
    </row>
    <row r="120" spans="2:7">
      <c r="B120" s="1" t="s">
        <v>993</v>
      </c>
      <c r="C120" s="1" t="s">
        <v>994</v>
      </c>
      <c r="D120" s="1" t="s">
        <v>743</v>
      </c>
      <c r="E120" s="1" t="s">
        <v>703</v>
      </c>
      <c r="F120" s="1" t="s">
        <v>995</v>
      </c>
      <c r="G120" s="1">
        <v>8937.86</v>
      </c>
    </row>
    <row r="121" spans="2:7">
      <c r="B121" s="1" t="s">
        <v>996</v>
      </c>
      <c r="C121" s="1" t="s">
        <v>997</v>
      </c>
      <c r="D121" s="1" t="s">
        <v>743</v>
      </c>
      <c r="E121" s="1" t="s">
        <v>703</v>
      </c>
      <c r="F121" s="1" t="s">
        <v>662</v>
      </c>
      <c r="G121" s="1">
        <v>175685.52</v>
      </c>
    </row>
    <row r="122" spans="2:7">
      <c r="B122" s="1" t="s">
        <v>998</v>
      </c>
      <c r="C122" s="1" t="s">
        <v>999</v>
      </c>
      <c r="D122" s="1" t="s">
        <v>724</v>
      </c>
      <c r="E122" s="1" t="s">
        <v>841</v>
      </c>
      <c r="F122" s="1" t="s">
        <v>1000</v>
      </c>
      <c r="G122" s="1">
        <v>-13853.48</v>
      </c>
    </row>
    <row r="123" spans="2:7">
      <c r="B123" s="1" t="s">
        <v>1001</v>
      </c>
      <c r="C123" s="1" t="s">
        <v>1002</v>
      </c>
      <c r="D123" s="1" t="s">
        <v>743</v>
      </c>
      <c r="E123" s="1" t="s">
        <v>703</v>
      </c>
      <c r="F123" s="1" t="s">
        <v>1003</v>
      </c>
      <c r="G123" s="1">
        <v>-319882</v>
      </c>
    </row>
    <row r="124" spans="2:7">
      <c r="B124" s="1" t="s">
        <v>1004</v>
      </c>
      <c r="C124" s="1" t="s">
        <v>1005</v>
      </c>
      <c r="D124" s="1" t="s">
        <v>732</v>
      </c>
      <c r="E124" s="1" t="s">
        <v>733</v>
      </c>
      <c r="F124" s="1" t="s">
        <v>601</v>
      </c>
      <c r="G124" s="1">
        <v>0</v>
      </c>
    </row>
    <row r="125" spans="2:7">
      <c r="B125" s="1" t="s">
        <v>1006</v>
      </c>
      <c r="C125" s="1" t="s">
        <v>1007</v>
      </c>
      <c r="D125" s="1" t="s">
        <v>724</v>
      </c>
      <c r="E125" s="1" t="s">
        <v>813</v>
      </c>
      <c r="F125" s="1" t="s">
        <v>1008</v>
      </c>
      <c r="G125" s="1">
        <v>0</v>
      </c>
    </row>
    <row r="126" spans="2:7">
      <c r="B126" s="1" t="s">
        <v>1009</v>
      </c>
      <c r="C126" s="1" t="s">
        <v>1010</v>
      </c>
      <c r="D126" s="1" t="s">
        <v>743</v>
      </c>
      <c r="E126" s="1" t="s">
        <v>703</v>
      </c>
      <c r="F126" s="1" t="s">
        <v>744</v>
      </c>
      <c r="G126" s="1">
        <v>-196458.34</v>
      </c>
    </row>
    <row r="127" spans="2:7">
      <c r="B127" s="1" t="s">
        <v>1011</v>
      </c>
      <c r="C127" s="1" t="s">
        <v>581</v>
      </c>
      <c r="D127" s="1" t="s">
        <v>743</v>
      </c>
      <c r="E127" s="1" t="s">
        <v>703</v>
      </c>
      <c r="F127" s="1" t="s">
        <v>1012</v>
      </c>
      <c r="G127" s="1">
        <v>-37160.53</v>
      </c>
    </row>
    <row r="128" spans="2:7">
      <c r="B128" s="1" t="s">
        <v>1013</v>
      </c>
      <c r="C128" s="1" t="s">
        <v>1014</v>
      </c>
      <c r="D128" s="1" t="s">
        <v>743</v>
      </c>
      <c r="E128" s="1" t="s">
        <v>650</v>
      </c>
      <c r="F128" s="1" t="s">
        <v>1015</v>
      </c>
      <c r="G128" s="1">
        <v>124263.49</v>
      </c>
    </row>
    <row r="129" spans="2:7">
      <c r="B129" s="1" t="s">
        <v>1016</v>
      </c>
      <c r="C129" s="1" t="s">
        <v>1017</v>
      </c>
      <c r="D129" s="1" t="s">
        <v>743</v>
      </c>
      <c r="E129" s="1" t="s">
        <v>650</v>
      </c>
      <c r="F129" s="1" t="s">
        <v>637</v>
      </c>
      <c r="G129" s="1">
        <v>223798.64</v>
      </c>
    </row>
    <row r="130" spans="2:7">
      <c r="B130" s="1" t="s">
        <v>1018</v>
      </c>
      <c r="C130" s="1" t="s">
        <v>1019</v>
      </c>
      <c r="D130" s="1" t="s">
        <v>729</v>
      </c>
      <c r="E130" s="1" t="s">
        <v>703</v>
      </c>
      <c r="F130" s="1" t="s">
        <v>1020</v>
      </c>
      <c r="G130" s="1">
        <v>0</v>
      </c>
    </row>
    <row r="131" spans="2:7">
      <c r="B131" s="1" t="s">
        <v>1021</v>
      </c>
      <c r="C131" s="1" t="s">
        <v>1022</v>
      </c>
      <c r="D131" s="1" t="s">
        <v>732</v>
      </c>
      <c r="E131" s="1" t="s">
        <v>740</v>
      </c>
      <c r="F131" s="1" t="s">
        <v>1023</v>
      </c>
      <c r="G131" s="1">
        <v>-14585</v>
      </c>
    </row>
    <row r="132" spans="2:7">
      <c r="B132" s="1" t="s">
        <v>1024</v>
      </c>
      <c r="C132" s="1" t="s">
        <v>1025</v>
      </c>
      <c r="D132" s="1" t="s">
        <v>743</v>
      </c>
      <c r="E132" s="1" t="s">
        <v>703</v>
      </c>
      <c r="F132" s="1" t="s">
        <v>1026</v>
      </c>
      <c r="G132" s="1">
        <v>0</v>
      </c>
    </row>
    <row r="133" spans="2:7">
      <c r="B133" s="1" t="s">
        <v>1027</v>
      </c>
      <c r="C133" s="1" t="s">
        <v>1028</v>
      </c>
      <c r="D133" s="1" t="s">
        <v>724</v>
      </c>
      <c r="E133" s="1" t="s">
        <v>858</v>
      </c>
      <c r="F133" s="1" t="s">
        <v>686</v>
      </c>
      <c r="G133" s="1">
        <v>1060962.43</v>
      </c>
    </row>
    <row r="134" spans="2:7">
      <c r="B134" s="1" t="s">
        <v>1029</v>
      </c>
      <c r="C134" s="1" t="s">
        <v>1030</v>
      </c>
      <c r="D134" s="1" t="s">
        <v>724</v>
      </c>
      <c r="E134" s="1" t="s">
        <v>813</v>
      </c>
      <c r="F134" s="1" t="s">
        <v>658</v>
      </c>
      <c r="G134" s="1">
        <v>-127205.96</v>
      </c>
    </row>
    <row r="135" spans="2:7">
      <c r="B135" s="1" t="s">
        <v>1031</v>
      </c>
      <c r="C135" s="1" t="s">
        <v>1032</v>
      </c>
      <c r="D135" s="1" t="s">
        <v>724</v>
      </c>
      <c r="E135" s="1" t="s">
        <v>725</v>
      </c>
      <c r="F135" s="1" t="s">
        <v>696</v>
      </c>
      <c r="G135" s="1">
        <v>292603.33</v>
      </c>
    </row>
    <row r="136" spans="2:7">
      <c r="B136" s="1" t="s">
        <v>1033</v>
      </c>
      <c r="C136" s="1" t="s">
        <v>1034</v>
      </c>
      <c r="D136" s="1" t="s">
        <v>724</v>
      </c>
      <c r="E136" s="1" t="s">
        <v>841</v>
      </c>
      <c r="F136" s="1" t="s">
        <v>666</v>
      </c>
      <c r="G136" s="1">
        <v>69783.31</v>
      </c>
    </row>
    <row r="137" spans="2:7">
      <c r="B137" s="1" t="s">
        <v>1035</v>
      </c>
      <c r="C137" s="1" t="s">
        <v>1036</v>
      </c>
      <c r="D137" s="1" t="s">
        <v>743</v>
      </c>
      <c r="E137" s="1" t="s">
        <v>691</v>
      </c>
      <c r="F137" s="1" t="s">
        <v>641</v>
      </c>
      <c r="G137" s="1">
        <v>-12347619.43</v>
      </c>
    </row>
    <row r="138" spans="2:7">
      <c r="B138" s="1" t="s">
        <v>2004</v>
      </c>
      <c r="C138" s="1" t="s">
        <v>2005</v>
      </c>
      <c r="D138" s="1" t="s">
        <v>721</v>
      </c>
      <c r="E138" s="1" t="s">
        <v>703</v>
      </c>
      <c r="F138" s="1" t="s">
        <v>689</v>
      </c>
      <c r="G138" s="1">
        <v>-524839.75</v>
      </c>
    </row>
    <row r="139" spans="2:7">
      <c r="B139" s="1" t="s">
        <v>1037</v>
      </c>
      <c r="C139" s="1" t="s">
        <v>621</v>
      </c>
      <c r="D139" s="1" t="s">
        <v>743</v>
      </c>
      <c r="E139" s="1" t="s">
        <v>669</v>
      </c>
      <c r="F139" s="1" t="s">
        <v>783</v>
      </c>
      <c r="G139" s="1">
        <v>-1788934.6</v>
      </c>
    </row>
    <row r="140" spans="2:7">
      <c r="B140" s="1" t="s">
        <v>1038</v>
      </c>
      <c r="C140" s="1" t="s">
        <v>1039</v>
      </c>
      <c r="D140" s="1" t="s">
        <v>732</v>
      </c>
      <c r="E140" s="1" t="s">
        <v>1040</v>
      </c>
      <c r="F140" s="1" t="s">
        <v>611</v>
      </c>
      <c r="G140" s="1">
        <v>-102125.57</v>
      </c>
    </row>
    <row r="141" spans="2:7">
      <c r="B141" s="1" t="s">
        <v>1041</v>
      </c>
      <c r="C141" s="1" t="s">
        <v>1042</v>
      </c>
      <c r="D141" s="1" t="s">
        <v>721</v>
      </c>
      <c r="E141" s="1" t="s">
        <v>669</v>
      </c>
      <c r="F141" s="1" t="s">
        <v>705</v>
      </c>
      <c r="G141" s="1">
        <v>-977277.66</v>
      </c>
    </row>
    <row r="142" spans="2:7">
      <c r="B142" s="1" t="s">
        <v>1043</v>
      </c>
      <c r="C142" s="1" t="s">
        <v>1044</v>
      </c>
      <c r="D142" s="1" t="s">
        <v>724</v>
      </c>
      <c r="E142" s="1" t="s">
        <v>836</v>
      </c>
      <c r="F142" s="1" t="s">
        <v>656</v>
      </c>
      <c r="G142" s="1">
        <v>331435.83</v>
      </c>
    </row>
    <row r="143" spans="2:7">
      <c r="B143" s="1" t="s">
        <v>1045</v>
      </c>
      <c r="C143" s="1" t="s">
        <v>1046</v>
      </c>
      <c r="D143" s="1" t="s">
        <v>724</v>
      </c>
      <c r="E143" s="1" t="s">
        <v>841</v>
      </c>
      <c r="F143" s="1" t="s">
        <v>572</v>
      </c>
      <c r="G143" s="1">
        <v>-17024.18</v>
      </c>
    </row>
    <row r="144" spans="2:7">
      <c r="B144" s="1" t="s">
        <v>1047</v>
      </c>
      <c r="C144" s="1" t="s">
        <v>1048</v>
      </c>
      <c r="D144" s="1" t="s">
        <v>724</v>
      </c>
      <c r="E144" s="1" t="s">
        <v>858</v>
      </c>
      <c r="F144" s="1" t="s">
        <v>1049</v>
      </c>
      <c r="G144" s="1">
        <v>0</v>
      </c>
    </row>
    <row r="145" spans="2:7">
      <c r="B145" s="1" t="s">
        <v>1050</v>
      </c>
      <c r="C145" s="1" t="s">
        <v>1051</v>
      </c>
      <c r="D145" s="1" t="s">
        <v>743</v>
      </c>
      <c r="E145" s="1" t="s">
        <v>650</v>
      </c>
      <c r="F145" s="1" t="s">
        <v>687</v>
      </c>
      <c r="G145" s="1">
        <v>100660.69</v>
      </c>
    </row>
    <row r="146" spans="2:7">
      <c r="B146" s="1" t="s">
        <v>1052</v>
      </c>
      <c r="C146" s="1" t="s">
        <v>1053</v>
      </c>
      <c r="D146" s="1" t="s">
        <v>724</v>
      </c>
      <c r="E146" s="1" t="s">
        <v>841</v>
      </c>
      <c r="F146" s="1" t="s">
        <v>673</v>
      </c>
      <c r="G146" s="1">
        <v>103141.35</v>
      </c>
    </row>
    <row r="147" spans="2:7">
      <c r="B147" s="1" t="s">
        <v>1054</v>
      </c>
      <c r="C147" s="1" t="s">
        <v>1055</v>
      </c>
      <c r="D147" s="1" t="s">
        <v>724</v>
      </c>
      <c r="E147" s="1" t="s">
        <v>841</v>
      </c>
      <c r="F147" s="1" t="s">
        <v>666</v>
      </c>
      <c r="G147" s="1">
        <v>-555113.43999999994</v>
      </c>
    </row>
    <row r="148" spans="2:7">
      <c r="B148" s="1" t="s">
        <v>1056</v>
      </c>
      <c r="C148" s="1" t="s">
        <v>1057</v>
      </c>
      <c r="D148" s="1" t="s">
        <v>743</v>
      </c>
      <c r="E148" s="1" t="s">
        <v>691</v>
      </c>
      <c r="F148" s="1" t="s">
        <v>641</v>
      </c>
      <c r="G148" s="1">
        <v>1700317.94</v>
      </c>
    </row>
    <row r="149" spans="2:7">
      <c r="B149" s="1" t="s">
        <v>1058</v>
      </c>
      <c r="C149" s="1" t="s">
        <v>1059</v>
      </c>
      <c r="D149" s="1" t="s">
        <v>743</v>
      </c>
      <c r="E149" s="1" t="s">
        <v>691</v>
      </c>
      <c r="F149" s="1" t="s">
        <v>642</v>
      </c>
      <c r="G149" s="1">
        <v>56306.82</v>
      </c>
    </row>
    <row r="150" spans="2:7">
      <c r="B150" s="1" t="s">
        <v>1060</v>
      </c>
      <c r="C150" s="1" t="s">
        <v>1061</v>
      </c>
      <c r="D150" s="1" t="s">
        <v>732</v>
      </c>
      <c r="E150" s="1" t="s">
        <v>733</v>
      </c>
      <c r="F150" s="1" t="s">
        <v>992</v>
      </c>
      <c r="G150" s="1">
        <v>0</v>
      </c>
    </row>
    <row r="151" spans="2:7">
      <c r="B151" s="1" t="s">
        <v>1062</v>
      </c>
      <c r="C151" s="1" t="s">
        <v>1063</v>
      </c>
      <c r="D151" s="1" t="s">
        <v>724</v>
      </c>
      <c r="E151" s="1" t="s">
        <v>725</v>
      </c>
      <c r="F151" s="1" t="s">
        <v>726</v>
      </c>
      <c r="G151" s="1">
        <v>0</v>
      </c>
    </row>
    <row r="152" spans="2:7">
      <c r="B152" s="1" t="s">
        <v>1064</v>
      </c>
      <c r="C152" s="1" t="s">
        <v>1065</v>
      </c>
      <c r="D152" s="1" t="s">
        <v>743</v>
      </c>
      <c r="E152" s="1" t="s">
        <v>669</v>
      </c>
      <c r="F152" s="1" t="s">
        <v>628</v>
      </c>
      <c r="G152" s="1">
        <v>-2442676.58</v>
      </c>
    </row>
    <row r="153" spans="2:7">
      <c r="B153" s="1" t="s">
        <v>1066</v>
      </c>
      <c r="C153" s="1" t="s">
        <v>1067</v>
      </c>
      <c r="D153" s="1" t="s">
        <v>743</v>
      </c>
      <c r="E153" s="1" t="s">
        <v>703</v>
      </c>
      <c r="F153" s="1" t="s">
        <v>662</v>
      </c>
      <c r="G153" s="1">
        <v>110035.7</v>
      </c>
    </row>
    <row r="154" spans="2:7">
      <c r="B154" s="1" t="s">
        <v>1068</v>
      </c>
      <c r="C154" s="1" t="s">
        <v>1069</v>
      </c>
      <c r="D154" s="1" t="s">
        <v>724</v>
      </c>
      <c r="E154" s="1" t="s">
        <v>725</v>
      </c>
      <c r="F154" s="1" t="s">
        <v>1070</v>
      </c>
      <c r="G154" s="1">
        <v>1964441.5</v>
      </c>
    </row>
    <row r="155" spans="2:7">
      <c r="B155" s="1" t="s">
        <v>1071</v>
      </c>
      <c r="C155" s="1" t="s">
        <v>1072</v>
      </c>
      <c r="D155" s="1" t="s">
        <v>743</v>
      </c>
      <c r="E155" s="1" t="s">
        <v>729</v>
      </c>
      <c r="F155" s="1" t="s">
        <v>1073</v>
      </c>
      <c r="G155" s="1">
        <v>0</v>
      </c>
    </row>
    <row r="156" spans="2:7">
      <c r="B156" s="1" t="s">
        <v>1074</v>
      </c>
      <c r="C156" s="1" t="s">
        <v>1075</v>
      </c>
      <c r="D156" s="1" t="s">
        <v>721</v>
      </c>
      <c r="E156" s="1" t="s">
        <v>729</v>
      </c>
      <c r="F156" s="1" t="s">
        <v>1076</v>
      </c>
      <c r="G156" s="1">
        <v>0</v>
      </c>
    </row>
    <row r="157" spans="2:7">
      <c r="B157" s="1" t="s">
        <v>1077</v>
      </c>
      <c r="C157" s="1" t="s">
        <v>1078</v>
      </c>
      <c r="D157" s="1" t="s">
        <v>724</v>
      </c>
      <c r="E157" s="1" t="s">
        <v>729</v>
      </c>
      <c r="F157" s="1" t="s">
        <v>1079</v>
      </c>
      <c r="G157" s="1">
        <v>26110.639999999999</v>
      </c>
    </row>
    <row r="158" spans="2:7">
      <c r="B158" s="1" t="s">
        <v>1080</v>
      </c>
      <c r="C158" s="1" t="s">
        <v>1081</v>
      </c>
      <c r="D158" s="1" t="s">
        <v>724</v>
      </c>
      <c r="E158" s="1" t="s">
        <v>729</v>
      </c>
      <c r="F158" s="1" t="s">
        <v>645</v>
      </c>
      <c r="G158" s="1">
        <v>0</v>
      </c>
    </row>
    <row r="159" spans="2:7">
      <c r="B159" s="1" t="s">
        <v>1082</v>
      </c>
      <c r="C159" s="1" t="s">
        <v>1083</v>
      </c>
      <c r="D159" s="1" t="s">
        <v>724</v>
      </c>
      <c r="E159" s="1" t="s">
        <v>729</v>
      </c>
      <c r="F159" s="1" t="s">
        <v>645</v>
      </c>
      <c r="G159" s="1">
        <v>0</v>
      </c>
    </row>
    <row r="160" spans="2:7">
      <c r="B160" s="1" t="s">
        <v>1084</v>
      </c>
      <c r="C160" s="1" t="s">
        <v>1085</v>
      </c>
      <c r="D160" s="1" t="s">
        <v>724</v>
      </c>
      <c r="E160" s="1" t="s">
        <v>729</v>
      </c>
      <c r="F160" s="1" t="s">
        <v>645</v>
      </c>
      <c r="G160" s="1">
        <v>0</v>
      </c>
    </row>
    <row r="161" spans="2:7">
      <c r="B161" s="1" t="s">
        <v>1086</v>
      </c>
      <c r="C161" s="1" t="s">
        <v>1087</v>
      </c>
      <c r="D161" s="1" t="s">
        <v>724</v>
      </c>
      <c r="E161" s="1" t="s">
        <v>729</v>
      </c>
      <c r="F161" s="1" t="s">
        <v>645</v>
      </c>
      <c r="G161" s="1">
        <v>0</v>
      </c>
    </row>
    <row r="162" spans="2:7">
      <c r="B162" s="1" t="s">
        <v>1088</v>
      </c>
      <c r="C162" s="1" t="s">
        <v>1089</v>
      </c>
      <c r="D162" s="1" t="s">
        <v>743</v>
      </c>
      <c r="E162" s="1" t="s">
        <v>729</v>
      </c>
      <c r="F162" s="1" t="s">
        <v>1090</v>
      </c>
      <c r="G162" s="1">
        <v>0</v>
      </c>
    </row>
    <row r="163" spans="2:7">
      <c r="B163" s="1" t="s">
        <v>1091</v>
      </c>
      <c r="C163" s="1" t="s">
        <v>1092</v>
      </c>
      <c r="D163" s="1" t="s">
        <v>724</v>
      </c>
      <c r="E163" s="1" t="s">
        <v>729</v>
      </c>
      <c r="F163" s="1" t="s">
        <v>1093</v>
      </c>
      <c r="G163" s="1">
        <v>0</v>
      </c>
    </row>
    <row r="164" spans="2:7">
      <c r="B164" s="1" t="s">
        <v>1094</v>
      </c>
      <c r="C164" s="1" t="s">
        <v>1095</v>
      </c>
      <c r="D164" s="1" t="s">
        <v>724</v>
      </c>
      <c r="E164" s="1" t="s">
        <v>729</v>
      </c>
      <c r="F164" s="1" t="s">
        <v>1096</v>
      </c>
      <c r="G164" s="1">
        <v>0</v>
      </c>
    </row>
    <row r="165" spans="2:7">
      <c r="B165" s="1" t="s">
        <v>1097</v>
      </c>
      <c r="C165" s="1" t="s">
        <v>1098</v>
      </c>
      <c r="D165" s="1" t="s">
        <v>721</v>
      </c>
      <c r="E165" s="1" t="s">
        <v>729</v>
      </c>
      <c r="F165" s="1" t="s">
        <v>1099</v>
      </c>
      <c r="G165" s="1">
        <v>0</v>
      </c>
    </row>
    <row r="166" spans="2:7">
      <c r="B166" s="1" t="s">
        <v>1100</v>
      </c>
      <c r="C166" s="1" t="s">
        <v>1101</v>
      </c>
      <c r="D166" s="1" t="s">
        <v>743</v>
      </c>
      <c r="E166" s="1" t="s">
        <v>729</v>
      </c>
      <c r="F166" s="1" t="s">
        <v>1102</v>
      </c>
      <c r="G166" s="1">
        <v>0</v>
      </c>
    </row>
    <row r="167" spans="2:7">
      <c r="B167" s="1" t="s">
        <v>1103</v>
      </c>
      <c r="C167" s="1" t="s">
        <v>1104</v>
      </c>
      <c r="D167" s="1" t="s">
        <v>724</v>
      </c>
      <c r="E167" s="1" t="s">
        <v>729</v>
      </c>
      <c r="F167" s="1" t="s">
        <v>1105</v>
      </c>
      <c r="G167" s="1">
        <v>51.6</v>
      </c>
    </row>
    <row r="168" spans="2:7">
      <c r="B168" s="1" t="s">
        <v>1106</v>
      </c>
      <c r="C168" s="1" t="s">
        <v>1107</v>
      </c>
      <c r="D168" s="1" t="s">
        <v>729</v>
      </c>
      <c r="E168" s="1" t="s">
        <v>703</v>
      </c>
      <c r="F168" s="1" t="s">
        <v>646</v>
      </c>
      <c r="G168" s="1">
        <v>0</v>
      </c>
    </row>
    <row r="169" spans="2:7">
      <c r="B169" s="1" t="s">
        <v>1108</v>
      </c>
      <c r="C169" s="1" t="s">
        <v>1109</v>
      </c>
      <c r="D169" s="1" t="s">
        <v>732</v>
      </c>
      <c r="E169" s="1" t="s">
        <v>740</v>
      </c>
      <c r="F169" s="1" t="s">
        <v>1110</v>
      </c>
      <c r="G169" s="1">
        <v>0</v>
      </c>
    </row>
    <row r="170" spans="2:7">
      <c r="B170" s="1" t="s">
        <v>1111</v>
      </c>
      <c r="C170" s="1" t="s">
        <v>1112</v>
      </c>
      <c r="D170" s="1" t="s">
        <v>729</v>
      </c>
      <c r="E170" s="1" t="s">
        <v>703</v>
      </c>
      <c r="F170" s="1" t="s">
        <v>646</v>
      </c>
      <c r="G170" s="1">
        <v>0</v>
      </c>
    </row>
    <row r="171" spans="2:7">
      <c r="B171" s="1" t="s">
        <v>1113</v>
      </c>
      <c r="C171" s="1" t="s">
        <v>1114</v>
      </c>
      <c r="D171" s="1" t="s">
        <v>732</v>
      </c>
      <c r="E171" s="1" t="s">
        <v>729</v>
      </c>
      <c r="F171" s="1" t="s">
        <v>646</v>
      </c>
      <c r="G171" s="1">
        <v>0</v>
      </c>
    </row>
    <row r="172" spans="2:7">
      <c r="B172" s="1" t="s">
        <v>1115</v>
      </c>
      <c r="C172" s="1" t="s">
        <v>1116</v>
      </c>
      <c r="D172" s="1" t="s">
        <v>743</v>
      </c>
      <c r="E172" s="1" t="s">
        <v>729</v>
      </c>
      <c r="F172" s="1" t="s">
        <v>1117</v>
      </c>
      <c r="G172" s="1">
        <v>0</v>
      </c>
    </row>
    <row r="173" spans="2:7">
      <c r="B173" s="1" t="s">
        <v>1118</v>
      </c>
      <c r="C173" s="1" t="s">
        <v>1119</v>
      </c>
      <c r="D173" s="1" t="s">
        <v>724</v>
      </c>
      <c r="E173" s="1" t="s">
        <v>729</v>
      </c>
      <c r="F173" s="1" t="s">
        <v>1120</v>
      </c>
      <c r="G173" s="1">
        <v>272.69</v>
      </c>
    </row>
    <row r="174" spans="2:7">
      <c r="B174" s="1" t="s">
        <v>1121</v>
      </c>
      <c r="C174" s="1" t="s">
        <v>1122</v>
      </c>
      <c r="D174" s="1" t="s">
        <v>743</v>
      </c>
      <c r="E174" s="1" t="s">
        <v>729</v>
      </c>
      <c r="F174" s="1" t="s">
        <v>1123</v>
      </c>
      <c r="G174" s="1">
        <v>0</v>
      </c>
    </row>
    <row r="175" spans="2:7">
      <c r="B175" s="1" t="s">
        <v>1124</v>
      </c>
      <c r="C175" s="1" t="s">
        <v>1125</v>
      </c>
      <c r="D175" s="1" t="s">
        <v>743</v>
      </c>
      <c r="E175" s="1" t="s">
        <v>703</v>
      </c>
      <c r="F175" s="1" t="s">
        <v>1126</v>
      </c>
      <c r="G175" s="1">
        <v>0</v>
      </c>
    </row>
    <row r="176" spans="2:7">
      <c r="B176" s="1" t="s">
        <v>1127</v>
      </c>
      <c r="C176" s="1" t="s">
        <v>1128</v>
      </c>
      <c r="D176" s="1" t="s">
        <v>724</v>
      </c>
      <c r="E176" s="1" t="s">
        <v>729</v>
      </c>
      <c r="F176" s="1" t="s">
        <v>1129</v>
      </c>
      <c r="G176" s="1">
        <v>0</v>
      </c>
    </row>
    <row r="177" spans="2:7">
      <c r="B177" s="1" t="s">
        <v>1130</v>
      </c>
      <c r="C177" s="1" t="s">
        <v>1131</v>
      </c>
      <c r="D177" s="1" t="s">
        <v>724</v>
      </c>
      <c r="E177" s="1" t="s">
        <v>729</v>
      </c>
      <c r="F177" s="1" t="s">
        <v>1129</v>
      </c>
      <c r="G177" s="1">
        <v>0</v>
      </c>
    </row>
    <row r="178" spans="2:7">
      <c r="B178" s="1" t="s">
        <v>1132</v>
      </c>
      <c r="C178" s="1" t="s">
        <v>1133</v>
      </c>
      <c r="D178" s="1" t="s">
        <v>724</v>
      </c>
      <c r="E178" s="1" t="s">
        <v>729</v>
      </c>
      <c r="F178" s="1" t="s">
        <v>1129</v>
      </c>
      <c r="G178" s="1">
        <v>0</v>
      </c>
    </row>
    <row r="179" spans="2:7">
      <c r="B179" s="1" t="s">
        <v>1134</v>
      </c>
      <c r="C179" s="1" t="s">
        <v>1135</v>
      </c>
      <c r="D179" s="1" t="s">
        <v>724</v>
      </c>
      <c r="E179" s="1" t="s">
        <v>729</v>
      </c>
      <c r="F179" s="1" t="s">
        <v>1129</v>
      </c>
      <c r="G179" s="1">
        <v>0</v>
      </c>
    </row>
    <row r="180" spans="2:7">
      <c r="B180" s="1" t="s">
        <v>1136</v>
      </c>
      <c r="C180" s="1" t="s">
        <v>1137</v>
      </c>
      <c r="D180" s="1" t="s">
        <v>724</v>
      </c>
      <c r="E180" s="1" t="s">
        <v>729</v>
      </c>
      <c r="F180" s="1" t="s">
        <v>1138</v>
      </c>
      <c r="G180" s="1">
        <v>0</v>
      </c>
    </row>
    <row r="181" spans="2:7">
      <c r="B181" s="1" t="s">
        <v>1139</v>
      </c>
      <c r="C181" s="1" t="s">
        <v>1140</v>
      </c>
      <c r="D181" s="1" t="s">
        <v>724</v>
      </c>
      <c r="E181" s="1" t="s">
        <v>729</v>
      </c>
      <c r="F181" s="1" t="s">
        <v>1141</v>
      </c>
      <c r="G181" s="1">
        <v>0</v>
      </c>
    </row>
    <row r="182" spans="2:7">
      <c r="B182" s="1" t="s">
        <v>1142</v>
      </c>
      <c r="C182" s="1" t="s">
        <v>1143</v>
      </c>
      <c r="D182" s="1" t="s">
        <v>743</v>
      </c>
      <c r="E182" s="1" t="s">
        <v>729</v>
      </c>
      <c r="F182" s="1" t="s">
        <v>1144</v>
      </c>
      <c r="G182" s="1">
        <v>0</v>
      </c>
    </row>
    <row r="183" spans="2:7">
      <c r="B183" s="1" t="s">
        <v>1145</v>
      </c>
      <c r="C183" s="1" t="s">
        <v>1146</v>
      </c>
      <c r="D183" s="1" t="s">
        <v>732</v>
      </c>
      <c r="E183" s="1" t="s">
        <v>729</v>
      </c>
      <c r="F183" s="1" t="s">
        <v>1147</v>
      </c>
      <c r="G183" s="1">
        <v>0</v>
      </c>
    </row>
    <row r="184" spans="2:7">
      <c r="B184" s="1" t="s">
        <v>1148</v>
      </c>
      <c r="C184" s="1" t="s">
        <v>1149</v>
      </c>
      <c r="D184" s="1" t="s">
        <v>732</v>
      </c>
      <c r="E184" s="1" t="s">
        <v>729</v>
      </c>
      <c r="F184" s="1" t="s">
        <v>1147</v>
      </c>
      <c r="G184" s="1">
        <v>0</v>
      </c>
    </row>
    <row r="185" spans="2:7">
      <c r="B185" s="1" t="s">
        <v>1150</v>
      </c>
      <c r="C185" s="1" t="s">
        <v>1151</v>
      </c>
      <c r="D185" s="1" t="s">
        <v>724</v>
      </c>
      <c r="E185" s="1" t="s">
        <v>729</v>
      </c>
      <c r="F185" s="1" t="s">
        <v>1152</v>
      </c>
      <c r="G185" s="1">
        <v>0</v>
      </c>
    </row>
    <row r="186" spans="2:7">
      <c r="B186" s="1" t="s">
        <v>1153</v>
      </c>
      <c r="C186" s="1" t="s">
        <v>1154</v>
      </c>
      <c r="D186" s="1" t="s">
        <v>732</v>
      </c>
      <c r="E186" s="1" t="s">
        <v>729</v>
      </c>
      <c r="F186" s="1" t="s">
        <v>646</v>
      </c>
      <c r="G186" s="1">
        <v>291.12</v>
      </c>
    </row>
    <row r="187" spans="2:7">
      <c r="B187" s="1" t="s">
        <v>1155</v>
      </c>
      <c r="C187" s="1" t="s">
        <v>1156</v>
      </c>
      <c r="D187" s="1" t="s">
        <v>732</v>
      </c>
      <c r="E187" s="1" t="s">
        <v>729</v>
      </c>
      <c r="F187" s="1" t="s">
        <v>646</v>
      </c>
      <c r="G187" s="1">
        <v>0</v>
      </c>
    </row>
    <row r="188" spans="2:7">
      <c r="B188" s="1" t="s">
        <v>1157</v>
      </c>
      <c r="C188" s="1" t="s">
        <v>1158</v>
      </c>
      <c r="D188" s="1" t="s">
        <v>732</v>
      </c>
      <c r="E188" s="1" t="s">
        <v>729</v>
      </c>
      <c r="F188" s="1" t="s">
        <v>646</v>
      </c>
      <c r="G188" s="1">
        <v>1821.18</v>
      </c>
    </row>
    <row r="189" spans="2:7">
      <c r="B189" s="1" t="s">
        <v>1159</v>
      </c>
      <c r="C189" s="1" t="s">
        <v>1160</v>
      </c>
      <c r="D189" s="1" t="s">
        <v>724</v>
      </c>
      <c r="E189" s="1" t="s">
        <v>729</v>
      </c>
      <c r="F189" s="1" t="s">
        <v>645</v>
      </c>
      <c r="G189" s="1">
        <v>0</v>
      </c>
    </row>
    <row r="190" spans="2:7">
      <c r="B190" s="1" t="s">
        <v>1161</v>
      </c>
      <c r="C190" s="1" t="s">
        <v>1162</v>
      </c>
      <c r="D190" s="1" t="s">
        <v>743</v>
      </c>
      <c r="E190" s="1" t="s">
        <v>729</v>
      </c>
      <c r="F190" s="1" t="s">
        <v>792</v>
      </c>
      <c r="G190" s="1">
        <v>0</v>
      </c>
    </row>
    <row r="191" spans="2:7">
      <c r="B191" s="1" t="s">
        <v>1163</v>
      </c>
      <c r="C191" s="1" t="s">
        <v>1164</v>
      </c>
      <c r="D191" s="1" t="s">
        <v>743</v>
      </c>
      <c r="E191" s="1" t="s">
        <v>729</v>
      </c>
      <c r="F191" s="1" t="s">
        <v>1165</v>
      </c>
      <c r="G191" s="1">
        <v>0</v>
      </c>
    </row>
    <row r="192" spans="2:7">
      <c r="B192" s="1" t="s">
        <v>1166</v>
      </c>
      <c r="C192" s="1" t="s">
        <v>1167</v>
      </c>
      <c r="D192" s="1" t="s">
        <v>724</v>
      </c>
      <c r="E192" s="1" t="s">
        <v>703</v>
      </c>
      <c r="F192" s="1" t="s">
        <v>645</v>
      </c>
      <c r="G192" s="1">
        <v>0</v>
      </c>
    </row>
    <row r="193" spans="2:7">
      <c r="B193" s="1" t="s">
        <v>1168</v>
      </c>
      <c r="C193" s="1" t="s">
        <v>1169</v>
      </c>
      <c r="D193" s="1" t="s">
        <v>724</v>
      </c>
      <c r="E193" s="1" t="s">
        <v>729</v>
      </c>
      <c r="F193" s="1" t="s">
        <v>645</v>
      </c>
      <c r="G193" s="1">
        <v>0</v>
      </c>
    </row>
    <row r="194" spans="2:7">
      <c r="B194" s="1" t="s">
        <v>1170</v>
      </c>
      <c r="C194" s="1" t="s">
        <v>1171</v>
      </c>
      <c r="D194" s="1" t="s">
        <v>724</v>
      </c>
      <c r="E194" s="1" t="s">
        <v>729</v>
      </c>
      <c r="F194" s="1" t="s">
        <v>645</v>
      </c>
      <c r="G194" s="1">
        <v>0</v>
      </c>
    </row>
    <row r="195" spans="2:7">
      <c r="B195" s="1" t="s">
        <v>1172</v>
      </c>
      <c r="C195" s="1" t="s">
        <v>1173</v>
      </c>
      <c r="D195" s="1" t="s">
        <v>724</v>
      </c>
      <c r="E195" s="1" t="s">
        <v>703</v>
      </c>
      <c r="F195" s="1" t="s">
        <v>645</v>
      </c>
      <c r="G195" s="1">
        <v>0</v>
      </c>
    </row>
    <row r="196" spans="2:7">
      <c r="B196" s="1" t="s">
        <v>1174</v>
      </c>
      <c r="C196" s="1" t="s">
        <v>1175</v>
      </c>
      <c r="D196" s="1" t="s">
        <v>724</v>
      </c>
      <c r="E196" s="1" t="s">
        <v>729</v>
      </c>
      <c r="F196" s="1" t="s">
        <v>645</v>
      </c>
      <c r="G196" s="1">
        <v>0</v>
      </c>
    </row>
    <row r="197" spans="2:7">
      <c r="B197" s="1" t="s">
        <v>1176</v>
      </c>
      <c r="C197" s="1" t="s">
        <v>1177</v>
      </c>
      <c r="D197" s="1" t="s">
        <v>724</v>
      </c>
      <c r="E197" s="1" t="s">
        <v>729</v>
      </c>
      <c r="F197" s="1" t="s">
        <v>645</v>
      </c>
      <c r="G197" s="1">
        <v>0</v>
      </c>
    </row>
    <row r="198" spans="2:7">
      <c r="B198" s="1" t="s">
        <v>1178</v>
      </c>
      <c r="C198" s="1" t="s">
        <v>1179</v>
      </c>
      <c r="D198" s="1" t="s">
        <v>724</v>
      </c>
      <c r="E198" s="1" t="s">
        <v>729</v>
      </c>
      <c r="F198" s="1" t="s">
        <v>645</v>
      </c>
      <c r="G198" s="1">
        <v>0</v>
      </c>
    </row>
    <row r="199" spans="2:7">
      <c r="B199" s="1" t="s">
        <v>1180</v>
      </c>
      <c r="C199" s="1" t="s">
        <v>1181</v>
      </c>
      <c r="D199" s="1" t="s">
        <v>724</v>
      </c>
      <c r="E199" s="1" t="s">
        <v>729</v>
      </c>
      <c r="F199" s="1" t="s">
        <v>645</v>
      </c>
      <c r="G199" s="1">
        <v>496</v>
      </c>
    </row>
    <row r="200" spans="2:7">
      <c r="B200" s="1" t="s">
        <v>1182</v>
      </c>
      <c r="C200" s="1" t="s">
        <v>1183</v>
      </c>
      <c r="D200" s="1" t="s">
        <v>1184</v>
      </c>
      <c r="E200" s="1" t="s">
        <v>729</v>
      </c>
      <c r="F200" s="1" t="s">
        <v>647</v>
      </c>
      <c r="G200" s="1">
        <v>0</v>
      </c>
    </row>
    <row r="201" spans="2:7">
      <c r="B201" s="1" t="s">
        <v>1185</v>
      </c>
      <c r="C201" s="1" t="s">
        <v>1186</v>
      </c>
      <c r="D201" s="1" t="s">
        <v>1184</v>
      </c>
      <c r="E201" s="1" t="s">
        <v>729</v>
      </c>
      <c r="F201" s="1" t="s">
        <v>647</v>
      </c>
      <c r="G201" s="1">
        <v>-657</v>
      </c>
    </row>
    <row r="202" spans="2:7">
      <c r="B202" s="1" t="s">
        <v>1187</v>
      </c>
      <c r="C202" s="1" t="s">
        <v>1188</v>
      </c>
      <c r="D202" s="1" t="s">
        <v>743</v>
      </c>
      <c r="E202" s="1" t="s">
        <v>729</v>
      </c>
      <c r="F202" s="1" t="s">
        <v>1189</v>
      </c>
      <c r="G202" s="1">
        <v>-83.4</v>
      </c>
    </row>
    <row r="203" spans="2:7">
      <c r="B203" s="1" t="s">
        <v>1190</v>
      </c>
      <c r="C203" s="1" t="s">
        <v>1191</v>
      </c>
      <c r="D203" s="1" t="s">
        <v>743</v>
      </c>
      <c r="E203" s="1" t="s">
        <v>729</v>
      </c>
      <c r="F203" s="1" t="s">
        <v>1192</v>
      </c>
      <c r="G203" s="1">
        <v>0</v>
      </c>
    </row>
    <row r="204" spans="2:7">
      <c r="B204" s="1" t="s">
        <v>1193</v>
      </c>
      <c r="C204" s="1" t="s">
        <v>1194</v>
      </c>
      <c r="D204" s="1" t="s">
        <v>724</v>
      </c>
      <c r="E204" s="1" t="s">
        <v>703</v>
      </c>
      <c r="F204" s="1" t="s">
        <v>1195</v>
      </c>
      <c r="G204" s="1">
        <v>0</v>
      </c>
    </row>
    <row r="205" spans="2:7">
      <c r="B205" s="1" t="s">
        <v>1196</v>
      </c>
      <c r="C205" s="1" t="s">
        <v>1197</v>
      </c>
      <c r="D205" s="1" t="s">
        <v>724</v>
      </c>
      <c r="E205" s="1" t="s">
        <v>729</v>
      </c>
      <c r="F205" s="1" t="s">
        <v>1195</v>
      </c>
      <c r="G205" s="1">
        <v>0</v>
      </c>
    </row>
    <row r="206" spans="2:7">
      <c r="B206" s="1" t="s">
        <v>1198</v>
      </c>
      <c r="C206" s="1" t="s">
        <v>1199</v>
      </c>
      <c r="D206" s="1" t="s">
        <v>721</v>
      </c>
      <c r="E206" s="1" t="s">
        <v>729</v>
      </c>
      <c r="F206" s="1" t="s">
        <v>895</v>
      </c>
      <c r="G206" s="1">
        <v>0</v>
      </c>
    </row>
    <row r="207" spans="2:7">
      <c r="B207" s="1" t="s">
        <v>1200</v>
      </c>
      <c r="C207" s="1" t="s">
        <v>1201</v>
      </c>
      <c r="D207" s="1" t="s">
        <v>721</v>
      </c>
      <c r="E207" s="1" t="s">
        <v>729</v>
      </c>
      <c r="F207" s="1" t="s">
        <v>895</v>
      </c>
      <c r="G207" s="1">
        <v>0</v>
      </c>
    </row>
    <row r="208" spans="2:7">
      <c r="B208" s="1" t="s">
        <v>1202</v>
      </c>
      <c r="C208" s="1" t="s">
        <v>1203</v>
      </c>
      <c r="D208" s="1" t="s">
        <v>743</v>
      </c>
      <c r="E208" s="1" t="s">
        <v>729</v>
      </c>
      <c r="F208" s="1" t="s">
        <v>971</v>
      </c>
      <c r="G208" s="1">
        <v>0</v>
      </c>
    </row>
    <row r="209" spans="2:7">
      <c r="B209" s="1" t="s">
        <v>1204</v>
      </c>
      <c r="C209" s="1" t="s">
        <v>1205</v>
      </c>
      <c r="D209" s="1" t="s">
        <v>721</v>
      </c>
      <c r="E209" s="1" t="s">
        <v>729</v>
      </c>
      <c r="F209" s="1" t="s">
        <v>1206</v>
      </c>
      <c r="G209" s="1">
        <v>0</v>
      </c>
    </row>
    <row r="210" spans="2:7">
      <c r="B210" s="1" t="s">
        <v>1207</v>
      </c>
      <c r="C210" s="1" t="s">
        <v>1208</v>
      </c>
      <c r="D210" s="1" t="s">
        <v>724</v>
      </c>
      <c r="E210" s="1" t="s">
        <v>729</v>
      </c>
      <c r="F210" s="1" t="s">
        <v>1049</v>
      </c>
      <c r="G210" s="1">
        <v>0</v>
      </c>
    </row>
    <row r="211" spans="2:7">
      <c r="B211" s="1" t="s">
        <v>1209</v>
      </c>
      <c r="C211" s="1" t="s">
        <v>1210</v>
      </c>
      <c r="D211" s="1" t="s">
        <v>724</v>
      </c>
      <c r="E211" s="1" t="s">
        <v>729</v>
      </c>
      <c r="F211" s="1" t="s">
        <v>1211</v>
      </c>
      <c r="G211" s="1">
        <v>0</v>
      </c>
    </row>
    <row r="212" spans="2:7">
      <c r="B212" s="1" t="s">
        <v>1212</v>
      </c>
      <c r="C212" s="1" t="s">
        <v>1213</v>
      </c>
      <c r="D212" s="1" t="s">
        <v>721</v>
      </c>
      <c r="E212" s="1" t="s">
        <v>703</v>
      </c>
      <c r="F212" s="1" t="s">
        <v>1206</v>
      </c>
      <c r="G212" s="1">
        <v>0</v>
      </c>
    </row>
    <row r="213" spans="2:7">
      <c r="B213" s="1" t="s">
        <v>1214</v>
      </c>
      <c r="C213" s="1" t="s">
        <v>1215</v>
      </c>
      <c r="D213" s="1" t="s">
        <v>724</v>
      </c>
      <c r="E213" s="1" t="s">
        <v>729</v>
      </c>
      <c r="F213" s="1" t="s">
        <v>1216</v>
      </c>
      <c r="G213" s="1">
        <v>0</v>
      </c>
    </row>
    <row r="214" spans="2:7">
      <c r="B214" s="1" t="s">
        <v>1217</v>
      </c>
      <c r="C214" s="1" t="s">
        <v>1218</v>
      </c>
      <c r="D214" s="1" t="s">
        <v>724</v>
      </c>
      <c r="E214" s="1" t="s">
        <v>729</v>
      </c>
      <c r="F214" s="1" t="s">
        <v>1219</v>
      </c>
      <c r="G214" s="1">
        <v>-423.18</v>
      </c>
    </row>
    <row r="215" spans="2:7">
      <c r="B215" s="1" t="s">
        <v>1220</v>
      </c>
      <c r="C215" s="1" t="s">
        <v>1221</v>
      </c>
      <c r="D215" s="1" t="s">
        <v>743</v>
      </c>
      <c r="E215" s="1" t="s">
        <v>729</v>
      </c>
      <c r="F215" s="1" t="s">
        <v>662</v>
      </c>
      <c r="G215" s="1">
        <v>0</v>
      </c>
    </row>
    <row r="216" spans="2:7">
      <c r="B216" s="1" t="s">
        <v>1222</v>
      </c>
      <c r="C216" s="1" t="s">
        <v>1223</v>
      </c>
      <c r="D216" s="1" t="s">
        <v>724</v>
      </c>
      <c r="E216" s="1" t="s">
        <v>729</v>
      </c>
      <c r="F216" s="1" t="s">
        <v>1224</v>
      </c>
      <c r="G216" s="1">
        <v>0</v>
      </c>
    </row>
    <row r="217" spans="2:7">
      <c r="B217" s="1" t="s">
        <v>1225</v>
      </c>
      <c r="C217" s="1" t="s">
        <v>1226</v>
      </c>
      <c r="D217" s="1" t="s">
        <v>721</v>
      </c>
      <c r="E217" s="1" t="s">
        <v>729</v>
      </c>
      <c r="F217" s="1" t="s">
        <v>1206</v>
      </c>
      <c r="G217" s="1">
        <v>0</v>
      </c>
    </row>
    <row r="218" spans="2:7">
      <c r="B218" s="1" t="s">
        <v>1227</v>
      </c>
      <c r="C218" s="1" t="s">
        <v>1228</v>
      </c>
      <c r="D218" s="1" t="s">
        <v>724</v>
      </c>
      <c r="E218" s="1" t="s">
        <v>729</v>
      </c>
      <c r="F218" s="1" t="s">
        <v>1129</v>
      </c>
      <c r="G218" s="1">
        <v>0</v>
      </c>
    </row>
    <row r="219" spans="2:7">
      <c r="B219" s="1" t="s">
        <v>1229</v>
      </c>
      <c r="C219" s="1" t="s">
        <v>1230</v>
      </c>
      <c r="D219" s="1" t="s">
        <v>743</v>
      </c>
      <c r="E219" s="1" t="s">
        <v>729</v>
      </c>
      <c r="F219" s="1" t="s">
        <v>1231</v>
      </c>
      <c r="G219" s="1">
        <v>0</v>
      </c>
    </row>
    <row r="220" spans="2:7">
      <c r="B220" s="1" t="s">
        <v>1232</v>
      </c>
      <c r="C220" s="1" t="s">
        <v>1233</v>
      </c>
      <c r="D220" s="1" t="s">
        <v>721</v>
      </c>
      <c r="E220" s="1" t="s">
        <v>703</v>
      </c>
      <c r="F220" s="1" t="s">
        <v>1206</v>
      </c>
      <c r="G220" s="1">
        <v>0</v>
      </c>
    </row>
    <row r="221" spans="2:7">
      <c r="B221" s="1" t="s">
        <v>1234</v>
      </c>
      <c r="C221" s="1" t="s">
        <v>1235</v>
      </c>
      <c r="D221" s="1" t="s">
        <v>724</v>
      </c>
      <c r="E221" s="1" t="s">
        <v>729</v>
      </c>
      <c r="F221" s="1" t="s">
        <v>642</v>
      </c>
      <c r="G221" s="1">
        <v>0</v>
      </c>
    </row>
    <row r="222" spans="2:7">
      <c r="B222" s="1" t="s">
        <v>1236</v>
      </c>
      <c r="C222" s="1" t="s">
        <v>1237</v>
      </c>
      <c r="D222" s="1" t="s">
        <v>732</v>
      </c>
      <c r="E222" s="1" t="s">
        <v>729</v>
      </c>
      <c r="F222" s="1" t="s">
        <v>1238</v>
      </c>
      <c r="G222" s="1">
        <v>0</v>
      </c>
    </row>
    <row r="223" spans="2:7">
      <c r="B223" s="1" t="s">
        <v>1239</v>
      </c>
      <c r="C223" s="1" t="s">
        <v>1240</v>
      </c>
      <c r="D223" s="1" t="s">
        <v>732</v>
      </c>
      <c r="E223" s="1" t="s">
        <v>729</v>
      </c>
      <c r="F223" s="1" t="s">
        <v>1238</v>
      </c>
      <c r="G223" s="1">
        <v>0</v>
      </c>
    </row>
    <row r="224" spans="2:7">
      <c r="B224" s="1" t="s">
        <v>1241</v>
      </c>
      <c r="C224" s="1" t="s">
        <v>1242</v>
      </c>
      <c r="D224" s="1" t="s">
        <v>729</v>
      </c>
      <c r="E224" s="1" t="s">
        <v>703</v>
      </c>
      <c r="F224" s="1" t="s">
        <v>646</v>
      </c>
      <c r="G224" s="1">
        <v>0</v>
      </c>
    </row>
    <row r="225" spans="2:7">
      <c r="B225" s="1" t="s">
        <v>1243</v>
      </c>
      <c r="C225" s="1" t="s">
        <v>1244</v>
      </c>
      <c r="D225" s="1" t="s">
        <v>724</v>
      </c>
      <c r="E225" s="1" t="s">
        <v>729</v>
      </c>
      <c r="F225" s="1" t="s">
        <v>1195</v>
      </c>
      <c r="G225" s="1">
        <v>0</v>
      </c>
    </row>
    <row r="226" spans="2:7">
      <c r="B226" s="1" t="s">
        <v>1245</v>
      </c>
      <c r="C226" s="1" t="s">
        <v>1246</v>
      </c>
      <c r="D226" s="1" t="s">
        <v>724</v>
      </c>
      <c r="E226" s="1" t="s">
        <v>729</v>
      </c>
      <c r="F226" s="1" t="s">
        <v>645</v>
      </c>
      <c r="G226" s="1">
        <v>0</v>
      </c>
    </row>
    <row r="227" spans="2:7">
      <c r="B227" s="1" t="s">
        <v>1247</v>
      </c>
      <c r="C227" s="1" t="s">
        <v>1248</v>
      </c>
      <c r="D227" s="1" t="s">
        <v>732</v>
      </c>
      <c r="E227" s="1" t="s">
        <v>729</v>
      </c>
      <c r="F227" s="1" t="s">
        <v>1249</v>
      </c>
      <c r="G227" s="1">
        <v>0</v>
      </c>
    </row>
    <row r="228" spans="2:7">
      <c r="B228" s="1" t="s">
        <v>1250</v>
      </c>
      <c r="C228" s="1" t="s">
        <v>1251</v>
      </c>
      <c r="D228" s="1" t="s">
        <v>724</v>
      </c>
      <c r="E228" s="1" t="s">
        <v>729</v>
      </c>
      <c r="F228" s="1" t="s">
        <v>1252</v>
      </c>
      <c r="G228" s="1">
        <v>47.89</v>
      </c>
    </row>
    <row r="229" spans="2:7">
      <c r="B229" s="1" t="s">
        <v>1253</v>
      </c>
      <c r="C229" s="1" t="s">
        <v>1254</v>
      </c>
      <c r="D229" s="1" t="s">
        <v>743</v>
      </c>
      <c r="E229" s="1" t="s">
        <v>729</v>
      </c>
      <c r="F229" s="1" t="s">
        <v>1255</v>
      </c>
      <c r="G229" s="1">
        <v>0</v>
      </c>
    </row>
    <row r="230" spans="2:7">
      <c r="B230" s="1" t="s">
        <v>1256</v>
      </c>
      <c r="C230" s="1" t="s">
        <v>1257</v>
      </c>
      <c r="D230" s="1" t="s">
        <v>724</v>
      </c>
      <c r="E230" s="1" t="s">
        <v>729</v>
      </c>
      <c r="F230" s="1" t="s">
        <v>645</v>
      </c>
      <c r="G230" s="1">
        <v>0</v>
      </c>
    </row>
    <row r="231" spans="2:7">
      <c r="B231" s="1" t="s">
        <v>1258</v>
      </c>
      <c r="C231" s="1" t="s">
        <v>1259</v>
      </c>
      <c r="D231" s="1" t="s">
        <v>724</v>
      </c>
      <c r="E231" s="1" t="s">
        <v>729</v>
      </c>
      <c r="F231" s="1" t="s">
        <v>1049</v>
      </c>
      <c r="G231" s="1">
        <v>0</v>
      </c>
    </row>
    <row r="232" spans="2:7">
      <c r="B232" s="1" t="s">
        <v>1260</v>
      </c>
      <c r="C232" s="1" t="s">
        <v>1261</v>
      </c>
      <c r="D232" s="1" t="s">
        <v>732</v>
      </c>
      <c r="E232" s="1" t="s">
        <v>729</v>
      </c>
      <c r="F232" s="1" t="s">
        <v>646</v>
      </c>
      <c r="G232" s="1">
        <v>0</v>
      </c>
    </row>
    <row r="233" spans="2:7">
      <c r="B233" s="1" t="s">
        <v>1262</v>
      </c>
      <c r="C233" s="1" t="s">
        <v>1263</v>
      </c>
      <c r="D233" s="1" t="s">
        <v>732</v>
      </c>
      <c r="E233" s="1" t="s">
        <v>729</v>
      </c>
      <c r="F233" s="1" t="s">
        <v>646</v>
      </c>
      <c r="G233" s="1">
        <v>0</v>
      </c>
    </row>
    <row r="234" spans="2:7">
      <c r="B234" s="1" t="s">
        <v>1264</v>
      </c>
      <c r="C234" s="1" t="s">
        <v>1265</v>
      </c>
      <c r="D234" s="1" t="s">
        <v>724</v>
      </c>
      <c r="E234" s="1" t="s">
        <v>729</v>
      </c>
      <c r="F234" s="1" t="s">
        <v>1266</v>
      </c>
      <c r="G234" s="1">
        <v>12952.65</v>
      </c>
    </row>
    <row r="235" spans="2:7">
      <c r="B235" s="1" t="s">
        <v>1267</v>
      </c>
      <c r="C235" s="1" t="s">
        <v>1268</v>
      </c>
      <c r="D235" s="1" t="s">
        <v>724</v>
      </c>
      <c r="E235" s="1" t="s">
        <v>729</v>
      </c>
      <c r="F235" s="1" t="s">
        <v>645</v>
      </c>
      <c r="G235" s="1">
        <v>715.04</v>
      </c>
    </row>
    <row r="236" spans="2:7">
      <c r="B236" s="1" t="s">
        <v>1269</v>
      </c>
      <c r="C236" s="1" t="s">
        <v>1270</v>
      </c>
      <c r="D236" s="1" t="s">
        <v>724</v>
      </c>
      <c r="E236" s="1" t="s">
        <v>729</v>
      </c>
      <c r="F236" s="1" t="s">
        <v>645</v>
      </c>
      <c r="G236" s="1">
        <v>215.55</v>
      </c>
    </row>
    <row r="237" spans="2:7">
      <c r="B237" s="1" t="s">
        <v>1271</v>
      </c>
      <c r="C237" s="1" t="s">
        <v>1272</v>
      </c>
      <c r="D237" s="1" t="s">
        <v>721</v>
      </c>
      <c r="E237" s="1" t="s">
        <v>729</v>
      </c>
      <c r="F237" s="1" t="s">
        <v>1273</v>
      </c>
      <c r="G237" s="1">
        <v>0</v>
      </c>
    </row>
    <row r="238" spans="2:7">
      <c r="B238" s="1" t="s">
        <v>1274</v>
      </c>
      <c r="C238" s="1" t="s">
        <v>1275</v>
      </c>
      <c r="D238" s="1" t="s">
        <v>724</v>
      </c>
      <c r="E238" s="1" t="s">
        <v>729</v>
      </c>
      <c r="F238" s="1" t="s">
        <v>1276</v>
      </c>
      <c r="G238" s="1">
        <v>0</v>
      </c>
    </row>
    <row r="239" spans="2:7">
      <c r="B239" s="1" t="s">
        <v>1277</v>
      </c>
      <c r="C239" s="1" t="s">
        <v>1278</v>
      </c>
      <c r="D239" s="1" t="s">
        <v>732</v>
      </c>
      <c r="E239" s="1" t="s">
        <v>729</v>
      </c>
      <c r="F239" s="1" t="s">
        <v>646</v>
      </c>
      <c r="G239" s="1">
        <v>0</v>
      </c>
    </row>
    <row r="240" spans="2:7">
      <c r="B240" s="1" t="s">
        <v>1279</v>
      </c>
      <c r="C240" s="1" t="s">
        <v>1280</v>
      </c>
      <c r="D240" s="1" t="s">
        <v>724</v>
      </c>
      <c r="E240" s="1" t="s">
        <v>729</v>
      </c>
      <c r="F240" s="1" t="s">
        <v>1281</v>
      </c>
      <c r="G240" s="1">
        <v>1.68</v>
      </c>
    </row>
    <row r="241" spans="2:7">
      <c r="B241" s="1" t="s">
        <v>1282</v>
      </c>
      <c r="C241" s="1" t="s">
        <v>1283</v>
      </c>
      <c r="D241" s="1" t="s">
        <v>724</v>
      </c>
      <c r="E241" s="1" t="s">
        <v>729</v>
      </c>
      <c r="F241" s="1" t="s">
        <v>645</v>
      </c>
      <c r="G241" s="1">
        <v>0</v>
      </c>
    </row>
    <row r="242" spans="2:7">
      <c r="B242" s="1" t="s">
        <v>1284</v>
      </c>
      <c r="C242" s="1" t="s">
        <v>1285</v>
      </c>
      <c r="D242" s="1" t="s">
        <v>732</v>
      </c>
      <c r="E242" s="1" t="s">
        <v>703</v>
      </c>
      <c r="F242" s="1" t="s">
        <v>648</v>
      </c>
      <c r="G242" s="1">
        <v>525.97</v>
      </c>
    </row>
    <row r="243" spans="2:7">
      <c r="B243" s="1" t="s">
        <v>1286</v>
      </c>
      <c r="C243" s="1" t="s">
        <v>1287</v>
      </c>
      <c r="D243" s="1" t="s">
        <v>724</v>
      </c>
      <c r="E243" s="1" t="s">
        <v>729</v>
      </c>
      <c r="F243" s="1" t="s">
        <v>645</v>
      </c>
      <c r="G243" s="1">
        <v>0</v>
      </c>
    </row>
    <row r="244" spans="2:7">
      <c r="B244" s="1" t="s">
        <v>1288</v>
      </c>
      <c r="C244" s="1" t="s">
        <v>1289</v>
      </c>
      <c r="D244" s="1" t="s">
        <v>724</v>
      </c>
      <c r="E244" s="1" t="s">
        <v>729</v>
      </c>
      <c r="F244" s="1" t="s">
        <v>1129</v>
      </c>
      <c r="G244" s="1">
        <v>0</v>
      </c>
    </row>
    <row r="245" spans="2:7">
      <c r="B245" s="1" t="s">
        <v>1290</v>
      </c>
      <c r="C245" s="1" t="s">
        <v>1291</v>
      </c>
      <c r="D245" s="1" t="s">
        <v>724</v>
      </c>
      <c r="E245" s="1" t="s">
        <v>729</v>
      </c>
      <c r="F245" s="1" t="s">
        <v>1138</v>
      </c>
      <c r="G245" s="1">
        <v>0</v>
      </c>
    </row>
    <row r="246" spans="2:7">
      <c r="B246" s="1" t="s">
        <v>1292</v>
      </c>
      <c r="C246" s="1" t="s">
        <v>1293</v>
      </c>
      <c r="D246" s="1" t="s">
        <v>724</v>
      </c>
      <c r="E246" s="1" t="s">
        <v>729</v>
      </c>
      <c r="F246" s="1" t="s">
        <v>1294</v>
      </c>
      <c r="G246" s="1">
        <v>0</v>
      </c>
    </row>
    <row r="247" spans="2:7">
      <c r="B247" s="1" t="s">
        <v>1295</v>
      </c>
      <c r="C247" s="1" t="s">
        <v>1296</v>
      </c>
      <c r="D247" s="1" t="s">
        <v>743</v>
      </c>
      <c r="E247" s="1" t="s">
        <v>729</v>
      </c>
      <c r="F247" s="1" t="s">
        <v>1297</v>
      </c>
      <c r="G247" s="1">
        <v>8744.33</v>
      </c>
    </row>
    <row r="248" spans="2:7">
      <c r="B248" s="1" t="s">
        <v>1298</v>
      </c>
      <c r="C248" s="1" t="s">
        <v>1299</v>
      </c>
      <c r="D248" s="1" t="s">
        <v>743</v>
      </c>
      <c r="E248" s="1" t="s">
        <v>729</v>
      </c>
      <c r="F248" s="1" t="s">
        <v>1300</v>
      </c>
      <c r="G248" s="1">
        <v>0</v>
      </c>
    </row>
    <row r="249" spans="2:7">
      <c r="B249" s="1" t="s">
        <v>1301</v>
      </c>
      <c r="C249" s="1" t="s">
        <v>1302</v>
      </c>
      <c r="D249" s="1" t="s">
        <v>724</v>
      </c>
      <c r="E249" s="1" t="s">
        <v>729</v>
      </c>
      <c r="F249" s="1" t="s">
        <v>1129</v>
      </c>
      <c r="G249" s="1">
        <v>0</v>
      </c>
    </row>
    <row r="250" spans="2:7">
      <c r="B250" s="1" t="s">
        <v>1303</v>
      </c>
      <c r="C250" s="1" t="s">
        <v>1304</v>
      </c>
      <c r="D250" s="1" t="s">
        <v>732</v>
      </c>
      <c r="E250" s="1" t="s">
        <v>729</v>
      </c>
      <c r="F250" s="1" t="s">
        <v>646</v>
      </c>
      <c r="G250" s="1">
        <v>61309.59</v>
      </c>
    </row>
    <row r="251" spans="2:7">
      <c r="B251" s="1" t="s">
        <v>1305</v>
      </c>
      <c r="C251" s="1" t="s">
        <v>1306</v>
      </c>
      <c r="D251" s="1" t="s">
        <v>721</v>
      </c>
      <c r="E251" s="1" t="s">
        <v>703</v>
      </c>
      <c r="F251" s="1" t="s">
        <v>590</v>
      </c>
      <c r="G251" s="1">
        <v>0</v>
      </c>
    </row>
    <row r="252" spans="2:7">
      <c r="B252" s="1" t="s">
        <v>1307</v>
      </c>
      <c r="C252" s="1" t="s">
        <v>1308</v>
      </c>
      <c r="D252" s="1" t="s">
        <v>724</v>
      </c>
      <c r="E252" s="1" t="s">
        <v>729</v>
      </c>
      <c r="F252" s="1" t="s">
        <v>1152</v>
      </c>
      <c r="G252" s="1">
        <v>0</v>
      </c>
    </row>
    <row r="253" spans="2:7">
      <c r="B253" s="1" t="s">
        <v>1309</v>
      </c>
      <c r="C253" s="1" t="s">
        <v>1310</v>
      </c>
      <c r="D253" s="1" t="s">
        <v>732</v>
      </c>
      <c r="E253" s="1" t="s">
        <v>729</v>
      </c>
      <c r="F253" s="1" t="s">
        <v>646</v>
      </c>
      <c r="G253" s="1">
        <v>195.49</v>
      </c>
    </row>
    <row r="254" spans="2:7">
      <c r="B254" s="1" t="s">
        <v>1311</v>
      </c>
      <c r="C254" s="1" t="s">
        <v>1312</v>
      </c>
      <c r="D254" s="1" t="s">
        <v>724</v>
      </c>
      <c r="E254" s="1" t="s">
        <v>729</v>
      </c>
      <c r="F254" s="1" t="s">
        <v>645</v>
      </c>
      <c r="G254" s="1">
        <v>0</v>
      </c>
    </row>
    <row r="255" spans="2:7">
      <c r="B255" s="1" t="s">
        <v>1313</v>
      </c>
      <c r="C255" s="1" t="s">
        <v>1314</v>
      </c>
      <c r="D255" s="1" t="s">
        <v>1184</v>
      </c>
      <c r="E255" s="1" t="s">
        <v>729</v>
      </c>
      <c r="F255" s="1" t="s">
        <v>647</v>
      </c>
      <c r="G255" s="1">
        <v>277.91000000000003</v>
      </c>
    </row>
    <row r="256" spans="2:7">
      <c r="B256" s="1" t="s">
        <v>1315</v>
      </c>
      <c r="C256" s="1" t="s">
        <v>1316</v>
      </c>
      <c r="D256" s="1" t="s">
        <v>732</v>
      </c>
      <c r="E256" s="1" t="s">
        <v>729</v>
      </c>
      <c r="F256" s="1" t="s">
        <v>646</v>
      </c>
      <c r="G256" s="1">
        <v>514.82000000000005</v>
      </c>
    </row>
    <row r="257" spans="2:7">
      <c r="B257" s="1" t="s">
        <v>1317</v>
      </c>
      <c r="C257" s="1" t="s">
        <v>1318</v>
      </c>
      <c r="D257" s="1" t="s">
        <v>732</v>
      </c>
      <c r="E257" s="1" t="s">
        <v>729</v>
      </c>
      <c r="F257" s="1" t="s">
        <v>646</v>
      </c>
      <c r="G257" s="1">
        <v>0</v>
      </c>
    </row>
    <row r="258" spans="2:7">
      <c r="B258" s="1" t="s">
        <v>1319</v>
      </c>
      <c r="C258" s="1" t="s">
        <v>1320</v>
      </c>
      <c r="D258" s="1" t="s">
        <v>743</v>
      </c>
      <c r="E258" s="1" t="s">
        <v>729</v>
      </c>
      <c r="F258" s="1" t="s">
        <v>971</v>
      </c>
      <c r="G258" s="1">
        <v>0</v>
      </c>
    </row>
    <row r="259" spans="2:7">
      <c r="B259" s="1" t="s">
        <v>1321</v>
      </c>
      <c r="C259" s="1" t="s">
        <v>1322</v>
      </c>
      <c r="D259" s="1" t="s">
        <v>743</v>
      </c>
      <c r="E259" s="1" t="s">
        <v>729</v>
      </c>
      <c r="F259" s="1" t="s">
        <v>1102</v>
      </c>
      <c r="G259" s="1">
        <v>0</v>
      </c>
    </row>
    <row r="260" spans="2:7">
      <c r="B260" s="1" t="s">
        <v>1323</v>
      </c>
      <c r="C260" s="1" t="s">
        <v>1324</v>
      </c>
      <c r="D260" s="1" t="s">
        <v>724</v>
      </c>
      <c r="E260" s="1" t="s">
        <v>729</v>
      </c>
      <c r="F260" s="1" t="s">
        <v>1129</v>
      </c>
      <c r="G260" s="1">
        <v>3462.68</v>
      </c>
    </row>
    <row r="261" spans="2:7">
      <c r="B261" s="1" t="s">
        <v>1325</v>
      </c>
      <c r="C261" s="1" t="s">
        <v>1326</v>
      </c>
      <c r="D261" s="1" t="s">
        <v>724</v>
      </c>
      <c r="E261" s="1" t="s">
        <v>729</v>
      </c>
      <c r="F261" s="1" t="s">
        <v>1129</v>
      </c>
      <c r="G261" s="1">
        <v>0</v>
      </c>
    </row>
    <row r="262" spans="2:7">
      <c r="B262" s="1" t="s">
        <v>1327</v>
      </c>
      <c r="C262" s="1" t="s">
        <v>1328</v>
      </c>
      <c r="D262" s="1" t="s">
        <v>724</v>
      </c>
      <c r="E262" s="1" t="s">
        <v>729</v>
      </c>
      <c r="F262" s="1" t="s">
        <v>1219</v>
      </c>
      <c r="G262" s="1">
        <v>5133.6000000000004</v>
      </c>
    </row>
    <row r="263" spans="2:7">
      <c r="B263" s="1" t="s">
        <v>1329</v>
      </c>
      <c r="C263" s="1" t="s">
        <v>1330</v>
      </c>
      <c r="D263" s="1" t="s">
        <v>732</v>
      </c>
      <c r="E263" s="1" t="s">
        <v>729</v>
      </c>
      <c r="F263" s="1" t="s">
        <v>646</v>
      </c>
      <c r="G263" s="1">
        <v>57065.49</v>
      </c>
    </row>
    <row r="264" spans="2:7">
      <c r="B264" s="1" t="s">
        <v>1331</v>
      </c>
      <c r="C264" s="1" t="s">
        <v>1332</v>
      </c>
      <c r="D264" s="1" t="s">
        <v>721</v>
      </c>
      <c r="E264" s="1" t="s">
        <v>703</v>
      </c>
      <c r="F264" s="1" t="s">
        <v>1333</v>
      </c>
      <c r="G264" s="1">
        <v>0</v>
      </c>
    </row>
    <row r="265" spans="2:7">
      <c r="B265" s="1" t="s">
        <v>1334</v>
      </c>
      <c r="C265" s="1" t="s">
        <v>1335</v>
      </c>
      <c r="D265" s="1" t="s">
        <v>724</v>
      </c>
      <c r="E265" s="1" t="s">
        <v>729</v>
      </c>
      <c r="F265" s="1" t="s">
        <v>953</v>
      </c>
      <c r="G265" s="1">
        <v>0</v>
      </c>
    </row>
    <row r="266" spans="2:7">
      <c r="B266" s="1" t="s">
        <v>1336</v>
      </c>
      <c r="C266" s="1" t="s">
        <v>1337</v>
      </c>
      <c r="D266" s="1" t="s">
        <v>724</v>
      </c>
      <c r="E266" s="1" t="s">
        <v>729</v>
      </c>
      <c r="F266" s="1" t="s">
        <v>1338</v>
      </c>
      <c r="G266" s="1">
        <v>0</v>
      </c>
    </row>
    <row r="267" spans="2:7">
      <c r="B267" s="1" t="s">
        <v>1339</v>
      </c>
      <c r="C267" s="1" t="s">
        <v>1340</v>
      </c>
      <c r="D267" s="1" t="s">
        <v>724</v>
      </c>
      <c r="E267" s="1" t="s">
        <v>729</v>
      </c>
      <c r="F267" s="1" t="s">
        <v>726</v>
      </c>
      <c r="G267" s="1">
        <v>0</v>
      </c>
    </row>
    <row r="268" spans="2:7">
      <c r="B268" s="1" t="s">
        <v>1341</v>
      </c>
      <c r="C268" s="1" t="s">
        <v>1342</v>
      </c>
      <c r="D268" s="1" t="s">
        <v>724</v>
      </c>
      <c r="E268" s="1" t="s">
        <v>729</v>
      </c>
      <c r="F268" s="1" t="s">
        <v>1343</v>
      </c>
      <c r="G268" s="1">
        <v>0</v>
      </c>
    </row>
    <row r="269" spans="2:7">
      <c r="B269" s="1" t="s">
        <v>1344</v>
      </c>
      <c r="C269" s="1" t="s">
        <v>1345</v>
      </c>
      <c r="D269" s="1" t="s">
        <v>724</v>
      </c>
      <c r="E269" s="1" t="s">
        <v>729</v>
      </c>
      <c r="F269" s="1" t="s">
        <v>1096</v>
      </c>
      <c r="G269" s="1">
        <v>0</v>
      </c>
    </row>
    <row r="270" spans="2:7">
      <c r="B270" s="1" t="s">
        <v>1346</v>
      </c>
      <c r="C270" s="1" t="s">
        <v>1347</v>
      </c>
      <c r="D270" s="1" t="s">
        <v>721</v>
      </c>
      <c r="E270" s="1" t="s">
        <v>729</v>
      </c>
      <c r="F270" s="1" t="s">
        <v>959</v>
      </c>
      <c r="G270" s="1">
        <v>0</v>
      </c>
    </row>
    <row r="271" spans="2:7">
      <c r="B271" s="1" t="s">
        <v>1348</v>
      </c>
      <c r="C271" s="1" t="s">
        <v>1349</v>
      </c>
      <c r="D271" s="1" t="s">
        <v>721</v>
      </c>
      <c r="E271" s="1" t="s">
        <v>729</v>
      </c>
      <c r="F271" s="1" t="s">
        <v>1350</v>
      </c>
      <c r="G271" s="1">
        <v>0</v>
      </c>
    </row>
    <row r="272" spans="2:7">
      <c r="B272" s="1" t="s">
        <v>1351</v>
      </c>
      <c r="C272" s="1" t="s">
        <v>1352</v>
      </c>
      <c r="D272" s="1" t="s">
        <v>743</v>
      </c>
      <c r="E272" s="1" t="s">
        <v>729</v>
      </c>
      <c r="F272" s="1" t="s">
        <v>1353</v>
      </c>
      <c r="G272" s="1">
        <v>2426.4</v>
      </c>
    </row>
    <row r="273" spans="2:7">
      <c r="B273" s="1" t="s">
        <v>1354</v>
      </c>
      <c r="C273" s="1" t="s">
        <v>1355</v>
      </c>
      <c r="D273" s="1" t="s">
        <v>743</v>
      </c>
      <c r="E273" s="1" t="s">
        <v>729</v>
      </c>
      <c r="F273" s="1" t="s">
        <v>792</v>
      </c>
      <c r="G273" s="1">
        <v>0</v>
      </c>
    </row>
    <row r="274" spans="2:7">
      <c r="B274" s="1" t="s">
        <v>1356</v>
      </c>
      <c r="C274" s="1" t="s">
        <v>1357</v>
      </c>
      <c r="D274" s="1" t="s">
        <v>724</v>
      </c>
      <c r="E274" s="1" t="s">
        <v>729</v>
      </c>
      <c r="F274" s="1" t="s">
        <v>1152</v>
      </c>
      <c r="G274" s="1">
        <v>0</v>
      </c>
    </row>
    <row r="275" spans="2:7">
      <c r="B275" s="1" t="s">
        <v>1358</v>
      </c>
      <c r="C275" s="1" t="s">
        <v>1359</v>
      </c>
      <c r="D275" s="1" t="s">
        <v>721</v>
      </c>
      <c r="E275" s="1" t="s">
        <v>729</v>
      </c>
      <c r="F275" s="1" t="s">
        <v>959</v>
      </c>
      <c r="G275" s="1">
        <v>0</v>
      </c>
    </row>
    <row r="276" spans="2:7">
      <c r="B276" s="1" t="s">
        <v>1360</v>
      </c>
      <c r="C276" s="1" t="s">
        <v>1361</v>
      </c>
      <c r="D276" s="1" t="s">
        <v>732</v>
      </c>
      <c r="E276" s="1" t="s">
        <v>729</v>
      </c>
      <c r="F276" s="1" t="s">
        <v>1362</v>
      </c>
      <c r="G276" s="1">
        <v>0</v>
      </c>
    </row>
    <row r="277" spans="2:7">
      <c r="B277" s="1" t="s">
        <v>1363</v>
      </c>
      <c r="C277" s="1" t="s">
        <v>1364</v>
      </c>
      <c r="D277" s="1" t="s">
        <v>743</v>
      </c>
      <c r="E277" s="1" t="s">
        <v>729</v>
      </c>
      <c r="F277" s="1" t="s">
        <v>1365</v>
      </c>
      <c r="G277" s="1">
        <v>0</v>
      </c>
    </row>
    <row r="278" spans="2:7">
      <c r="B278" s="1" t="s">
        <v>1366</v>
      </c>
      <c r="C278" s="1" t="s">
        <v>1367</v>
      </c>
      <c r="D278" s="1" t="s">
        <v>743</v>
      </c>
      <c r="E278" s="1" t="s">
        <v>729</v>
      </c>
      <c r="F278" s="1" t="s">
        <v>971</v>
      </c>
      <c r="G278" s="1">
        <v>0</v>
      </c>
    </row>
    <row r="279" spans="2:7">
      <c r="B279" s="1" t="s">
        <v>1368</v>
      </c>
      <c r="C279" s="1" t="s">
        <v>1369</v>
      </c>
      <c r="D279" s="1" t="s">
        <v>729</v>
      </c>
      <c r="E279" s="1" t="s">
        <v>703</v>
      </c>
      <c r="F279" s="1" t="s">
        <v>646</v>
      </c>
      <c r="G279" s="1">
        <v>0</v>
      </c>
    </row>
    <row r="280" spans="2:7">
      <c r="B280" s="1" t="s">
        <v>1370</v>
      </c>
      <c r="C280" s="1" t="s">
        <v>1371</v>
      </c>
      <c r="D280" s="1" t="s">
        <v>732</v>
      </c>
      <c r="E280" s="1" t="s">
        <v>594</v>
      </c>
      <c r="F280" s="1" t="s">
        <v>646</v>
      </c>
      <c r="G280" s="1">
        <v>0</v>
      </c>
    </row>
    <row r="281" spans="2:7">
      <c r="B281" s="1" t="s">
        <v>1372</v>
      </c>
      <c r="C281" s="1" t="s">
        <v>1373</v>
      </c>
      <c r="D281" s="1" t="s">
        <v>724</v>
      </c>
      <c r="E281" s="1" t="s">
        <v>729</v>
      </c>
      <c r="F281" s="1" t="s">
        <v>645</v>
      </c>
      <c r="G281" s="1">
        <v>0</v>
      </c>
    </row>
    <row r="282" spans="2:7">
      <c r="B282" s="1" t="s">
        <v>1374</v>
      </c>
      <c r="C282" s="1" t="s">
        <v>1375</v>
      </c>
      <c r="D282" s="1" t="s">
        <v>721</v>
      </c>
      <c r="E282" s="1" t="s">
        <v>729</v>
      </c>
      <c r="F282" s="1" t="s">
        <v>704</v>
      </c>
      <c r="G282" s="1">
        <v>0</v>
      </c>
    </row>
    <row r="283" spans="2:7">
      <c r="B283" s="1" t="s">
        <v>1376</v>
      </c>
      <c r="C283" s="1" t="s">
        <v>1377</v>
      </c>
      <c r="D283" s="1" t="s">
        <v>743</v>
      </c>
      <c r="E283" s="1" t="s">
        <v>729</v>
      </c>
      <c r="F283" s="1" t="s">
        <v>1073</v>
      </c>
      <c r="G283" s="1">
        <v>0</v>
      </c>
    </row>
    <row r="284" spans="2:7">
      <c r="B284" s="1" t="s">
        <v>1378</v>
      </c>
      <c r="C284" s="1" t="s">
        <v>1379</v>
      </c>
      <c r="D284" s="1" t="s">
        <v>721</v>
      </c>
      <c r="E284" s="1" t="s">
        <v>729</v>
      </c>
      <c r="F284" s="1" t="s">
        <v>1206</v>
      </c>
      <c r="G284" s="1">
        <v>0</v>
      </c>
    </row>
    <row r="285" spans="2:7">
      <c r="B285" s="1" t="s">
        <v>1380</v>
      </c>
      <c r="C285" s="1" t="s">
        <v>1381</v>
      </c>
      <c r="D285" s="1" t="s">
        <v>724</v>
      </c>
      <c r="E285" s="1" t="s">
        <v>669</v>
      </c>
      <c r="F285" s="1" t="s">
        <v>645</v>
      </c>
      <c r="G285" s="1">
        <v>0</v>
      </c>
    </row>
    <row r="286" spans="2:7">
      <c r="B286" s="1" t="s">
        <v>1382</v>
      </c>
      <c r="C286" s="1" t="s">
        <v>1383</v>
      </c>
      <c r="D286" s="1" t="s">
        <v>732</v>
      </c>
      <c r="E286" s="1" t="s">
        <v>1040</v>
      </c>
      <c r="F286" s="1" t="s">
        <v>611</v>
      </c>
      <c r="G286" s="1">
        <v>-1126250.5</v>
      </c>
    </row>
    <row r="287" spans="2:7">
      <c r="B287" s="1" t="s">
        <v>1384</v>
      </c>
      <c r="C287" s="1" t="s">
        <v>1385</v>
      </c>
      <c r="D287" s="1" t="s">
        <v>724</v>
      </c>
      <c r="E287" s="1" t="s">
        <v>729</v>
      </c>
      <c r="F287" s="1" t="s">
        <v>1386</v>
      </c>
      <c r="G287" s="1">
        <v>0</v>
      </c>
    </row>
    <row r="288" spans="2:7">
      <c r="B288" s="1" t="s">
        <v>1387</v>
      </c>
      <c r="C288" s="1" t="s">
        <v>1388</v>
      </c>
      <c r="D288" s="1" t="s">
        <v>743</v>
      </c>
      <c r="E288" s="1" t="s">
        <v>729</v>
      </c>
      <c r="F288" s="1" t="s">
        <v>1389</v>
      </c>
      <c r="G288" s="1">
        <v>-127.4</v>
      </c>
    </row>
    <row r="289" spans="2:7">
      <c r="B289" s="1" t="s">
        <v>1390</v>
      </c>
      <c r="C289" s="1" t="s">
        <v>1391</v>
      </c>
      <c r="D289" s="1" t="s">
        <v>743</v>
      </c>
      <c r="E289" s="1" t="s">
        <v>729</v>
      </c>
      <c r="F289" s="1" t="s">
        <v>1392</v>
      </c>
      <c r="G289" s="1">
        <v>0</v>
      </c>
    </row>
    <row r="290" spans="2:7">
      <c r="B290" s="1" t="s">
        <v>1393</v>
      </c>
      <c r="C290" s="1" t="s">
        <v>1394</v>
      </c>
      <c r="D290" s="1" t="s">
        <v>732</v>
      </c>
      <c r="E290" s="1" t="s">
        <v>594</v>
      </c>
      <c r="F290" s="1" t="s">
        <v>646</v>
      </c>
      <c r="G290" s="1">
        <v>0</v>
      </c>
    </row>
    <row r="291" spans="2:7">
      <c r="B291" s="1" t="s">
        <v>1395</v>
      </c>
      <c r="C291" s="1" t="s">
        <v>1396</v>
      </c>
      <c r="D291" s="1" t="s">
        <v>724</v>
      </c>
      <c r="E291" s="1" t="s">
        <v>813</v>
      </c>
      <c r="F291" s="1" t="s">
        <v>1397</v>
      </c>
      <c r="G291" s="1">
        <v>0</v>
      </c>
    </row>
    <row r="292" spans="2:7">
      <c r="B292" s="1" t="s">
        <v>1398</v>
      </c>
      <c r="C292" s="1" t="s">
        <v>1399</v>
      </c>
      <c r="D292" s="1" t="s">
        <v>743</v>
      </c>
      <c r="E292" s="1" t="s">
        <v>703</v>
      </c>
      <c r="F292" s="1" t="s">
        <v>615</v>
      </c>
      <c r="G292" s="1">
        <v>-1237565</v>
      </c>
    </row>
    <row r="293" spans="2:7">
      <c r="B293" s="1" t="s">
        <v>1400</v>
      </c>
      <c r="C293" s="1" t="s">
        <v>1401</v>
      </c>
      <c r="D293" s="1" t="s">
        <v>724</v>
      </c>
      <c r="E293" s="1" t="s">
        <v>813</v>
      </c>
      <c r="F293" s="1" t="s">
        <v>573</v>
      </c>
      <c r="G293" s="1">
        <v>-537540.68000000005</v>
      </c>
    </row>
    <row r="294" spans="2:7">
      <c r="B294" s="1" t="s">
        <v>1402</v>
      </c>
      <c r="C294" s="1" t="s">
        <v>1403</v>
      </c>
      <c r="D294" s="1" t="s">
        <v>724</v>
      </c>
      <c r="E294" s="1" t="s">
        <v>669</v>
      </c>
      <c r="F294" s="1" t="s">
        <v>645</v>
      </c>
      <c r="G294" s="1">
        <v>0</v>
      </c>
    </row>
    <row r="295" spans="2:7">
      <c r="B295" s="1" t="s">
        <v>1404</v>
      </c>
      <c r="C295" s="1" t="s">
        <v>1405</v>
      </c>
      <c r="D295" s="1" t="s">
        <v>743</v>
      </c>
      <c r="E295" s="1" t="s">
        <v>691</v>
      </c>
      <c r="F295" s="1" t="s">
        <v>1406</v>
      </c>
      <c r="G295" s="1">
        <v>0</v>
      </c>
    </row>
    <row r="296" spans="2:7">
      <c r="B296" s="1" t="s">
        <v>1407</v>
      </c>
      <c r="C296" s="1" t="s">
        <v>1408</v>
      </c>
      <c r="D296" s="1" t="s">
        <v>721</v>
      </c>
      <c r="E296" s="1" t="s">
        <v>703</v>
      </c>
      <c r="F296" s="1" t="s">
        <v>1409</v>
      </c>
      <c r="G296" s="1">
        <v>0</v>
      </c>
    </row>
    <row r="297" spans="2:7">
      <c r="B297" s="1" t="s">
        <v>1410</v>
      </c>
      <c r="C297" s="1" t="s">
        <v>1411</v>
      </c>
      <c r="D297" s="1" t="s">
        <v>743</v>
      </c>
      <c r="E297" s="1" t="s">
        <v>729</v>
      </c>
      <c r="F297" s="1" t="s">
        <v>1412</v>
      </c>
      <c r="G297" s="1">
        <v>0</v>
      </c>
    </row>
    <row r="298" spans="2:7">
      <c r="B298" s="1" t="s">
        <v>1413</v>
      </c>
      <c r="C298" s="1" t="s">
        <v>1414</v>
      </c>
      <c r="D298" s="1" t="s">
        <v>732</v>
      </c>
      <c r="E298" s="1" t="s">
        <v>729</v>
      </c>
      <c r="F298" s="1" t="s">
        <v>1415</v>
      </c>
      <c r="G298" s="1">
        <v>249.99</v>
      </c>
    </row>
    <row r="299" spans="2:7">
      <c r="B299" s="1" t="s">
        <v>1416</v>
      </c>
      <c r="C299" s="1" t="s">
        <v>1417</v>
      </c>
      <c r="D299" s="1" t="s">
        <v>721</v>
      </c>
      <c r="E299" s="1" t="s">
        <v>729</v>
      </c>
      <c r="F299" s="1" t="s">
        <v>1350</v>
      </c>
      <c r="G299" s="1">
        <v>0</v>
      </c>
    </row>
    <row r="300" spans="2:7">
      <c r="B300" s="1" t="s">
        <v>1418</v>
      </c>
      <c r="C300" s="1" t="s">
        <v>1419</v>
      </c>
      <c r="D300" s="1" t="s">
        <v>732</v>
      </c>
      <c r="E300" s="1" t="s">
        <v>1420</v>
      </c>
      <c r="F300" s="1" t="s">
        <v>608</v>
      </c>
      <c r="G300" s="1">
        <v>0</v>
      </c>
    </row>
    <row r="301" spans="2:7">
      <c r="B301" s="1" t="s">
        <v>1421</v>
      </c>
      <c r="C301" s="1" t="s">
        <v>1422</v>
      </c>
      <c r="D301" s="1" t="s">
        <v>743</v>
      </c>
      <c r="E301" s="1" t="s">
        <v>650</v>
      </c>
      <c r="F301" s="1" t="s">
        <v>636</v>
      </c>
      <c r="G301" s="1">
        <v>269969.86</v>
      </c>
    </row>
    <row r="302" spans="2:7">
      <c r="B302" s="1" t="s">
        <v>1423</v>
      </c>
      <c r="C302" s="1" t="s">
        <v>1424</v>
      </c>
      <c r="D302" s="1" t="s">
        <v>743</v>
      </c>
      <c r="E302" s="1" t="s">
        <v>650</v>
      </c>
      <c r="F302" s="1" t="s">
        <v>639</v>
      </c>
      <c r="G302" s="1">
        <v>806723.7</v>
      </c>
    </row>
    <row r="303" spans="2:7">
      <c r="B303" s="1" t="s">
        <v>1425</v>
      </c>
      <c r="C303" s="1" t="s">
        <v>1426</v>
      </c>
      <c r="D303" s="1" t="s">
        <v>743</v>
      </c>
      <c r="E303" s="1" t="s">
        <v>691</v>
      </c>
      <c r="F303" s="1" t="s">
        <v>1427</v>
      </c>
      <c r="G303" s="1">
        <v>0</v>
      </c>
    </row>
    <row r="304" spans="2:7">
      <c r="B304" s="1" t="s">
        <v>1428</v>
      </c>
      <c r="C304" s="1" t="s">
        <v>1429</v>
      </c>
      <c r="D304" s="1" t="s">
        <v>732</v>
      </c>
      <c r="E304" s="1" t="s">
        <v>740</v>
      </c>
      <c r="F304" s="1" t="s">
        <v>1430</v>
      </c>
      <c r="G304" s="1">
        <v>0</v>
      </c>
    </row>
    <row r="305" spans="2:7">
      <c r="B305" s="1" t="s">
        <v>1431</v>
      </c>
      <c r="C305" s="1" t="s">
        <v>1432</v>
      </c>
      <c r="D305" s="1" t="s">
        <v>724</v>
      </c>
      <c r="E305" s="1" t="s">
        <v>725</v>
      </c>
      <c r="F305" s="1" t="s">
        <v>1138</v>
      </c>
      <c r="G305" s="1">
        <v>0</v>
      </c>
    </row>
    <row r="306" spans="2:7">
      <c r="B306" s="1" t="s">
        <v>1433</v>
      </c>
      <c r="C306" s="1" t="s">
        <v>1434</v>
      </c>
      <c r="D306" s="1" t="s">
        <v>743</v>
      </c>
      <c r="E306" s="1" t="s">
        <v>691</v>
      </c>
      <c r="F306" s="1" t="s">
        <v>641</v>
      </c>
      <c r="G306" s="1">
        <v>96069.06</v>
      </c>
    </row>
    <row r="307" spans="2:7">
      <c r="B307" s="1" t="s">
        <v>1435</v>
      </c>
      <c r="C307" s="1" t="s">
        <v>1436</v>
      </c>
      <c r="D307" s="1" t="s">
        <v>724</v>
      </c>
      <c r="E307" s="1" t="s">
        <v>703</v>
      </c>
      <c r="F307" s="1" t="s">
        <v>645</v>
      </c>
      <c r="G307" s="1">
        <v>0</v>
      </c>
    </row>
    <row r="308" spans="2:7">
      <c r="B308" s="1" t="s">
        <v>1437</v>
      </c>
      <c r="C308" s="1" t="s">
        <v>1438</v>
      </c>
      <c r="D308" s="1" t="s">
        <v>743</v>
      </c>
      <c r="E308" s="1" t="s">
        <v>669</v>
      </c>
      <c r="F308" s="1" t="s">
        <v>698</v>
      </c>
      <c r="G308" s="1">
        <v>-465382.42</v>
      </c>
    </row>
    <row r="309" spans="2:7">
      <c r="B309" s="1" t="s">
        <v>1439</v>
      </c>
      <c r="C309" s="1" t="s">
        <v>1440</v>
      </c>
      <c r="D309" s="1" t="s">
        <v>721</v>
      </c>
      <c r="E309" s="1" t="s">
        <v>669</v>
      </c>
      <c r="F309" s="1" t="s">
        <v>588</v>
      </c>
      <c r="G309" s="1">
        <v>1201.52</v>
      </c>
    </row>
    <row r="310" spans="2:7">
      <c r="B310" s="1" t="s">
        <v>1441</v>
      </c>
      <c r="C310" s="1" t="s">
        <v>1442</v>
      </c>
      <c r="D310" s="1" t="s">
        <v>732</v>
      </c>
      <c r="E310" s="1" t="s">
        <v>733</v>
      </c>
      <c r="F310" s="1" t="s">
        <v>1443</v>
      </c>
      <c r="G310" s="1">
        <v>-101580</v>
      </c>
    </row>
    <row r="311" spans="2:7">
      <c r="B311" s="1" t="s">
        <v>1444</v>
      </c>
      <c r="C311" s="1" t="s">
        <v>1445</v>
      </c>
      <c r="D311" s="1" t="s">
        <v>724</v>
      </c>
      <c r="E311" s="1" t="s">
        <v>813</v>
      </c>
      <c r="F311" s="1" t="s">
        <v>1008</v>
      </c>
      <c r="G311" s="1">
        <v>4896</v>
      </c>
    </row>
    <row r="312" spans="2:7">
      <c r="B312" s="1" t="s">
        <v>1446</v>
      </c>
      <c r="C312" s="1" t="s">
        <v>1447</v>
      </c>
      <c r="D312" s="1" t="s">
        <v>724</v>
      </c>
      <c r="E312" s="1" t="s">
        <v>703</v>
      </c>
      <c r="F312" s="1" t="s">
        <v>645</v>
      </c>
      <c r="G312" s="1">
        <v>30000</v>
      </c>
    </row>
    <row r="313" spans="2:7">
      <c r="B313" s="1" t="s">
        <v>1448</v>
      </c>
      <c r="C313" s="1" t="s">
        <v>1449</v>
      </c>
      <c r="D313" s="1" t="s">
        <v>721</v>
      </c>
      <c r="E313" s="1" t="s">
        <v>650</v>
      </c>
      <c r="F313" s="1" t="s">
        <v>1450</v>
      </c>
      <c r="G313" s="1">
        <v>97797.17</v>
      </c>
    </row>
    <row r="314" spans="2:7">
      <c r="B314" s="1" t="s">
        <v>1452</v>
      </c>
      <c r="C314" s="1" t="s">
        <v>1453</v>
      </c>
      <c r="D314" s="1" t="s">
        <v>732</v>
      </c>
      <c r="E314" s="1" t="s">
        <v>703</v>
      </c>
      <c r="F314" s="1" t="s">
        <v>603</v>
      </c>
      <c r="G314" s="1">
        <v>0</v>
      </c>
    </row>
    <row r="315" spans="2:7">
      <c r="B315" s="1" t="s">
        <v>1454</v>
      </c>
      <c r="C315" s="1" t="s">
        <v>640</v>
      </c>
      <c r="D315" s="1" t="s">
        <v>743</v>
      </c>
      <c r="E315" s="1" t="s">
        <v>703</v>
      </c>
      <c r="F315" s="1" t="s">
        <v>636</v>
      </c>
      <c r="G315" s="1">
        <v>0</v>
      </c>
    </row>
    <row r="316" spans="2:7">
      <c r="B316" s="1" t="s">
        <v>1455</v>
      </c>
      <c r="C316" s="1" t="s">
        <v>1456</v>
      </c>
      <c r="D316" s="1" t="s">
        <v>721</v>
      </c>
      <c r="E316" s="1" t="s">
        <v>729</v>
      </c>
      <c r="F316" s="1" t="s">
        <v>584</v>
      </c>
      <c r="G316" s="1">
        <v>0</v>
      </c>
    </row>
    <row r="317" spans="2:7">
      <c r="B317" s="1" t="s">
        <v>1457</v>
      </c>
      <c r="C317" s="1" t="s">
        <v>1458</v>
      </c>
      <c r="D317" s="1" t="s">
        <v>724</v>
      </c>
      <c r="E317" s="1" t="s">
        <v>703</v>
      </c>
      <c r="F317" s="1" t="s">
        <v>1459</v>
      </c>
      <c r="G317" s="1">
        <v>0</v>
      </c>
    </row>
    <row r="318" spans="2:7">
      <c r="B318" s="1" t="s">
        <v>1460</v>
      </c>
      <c r="C318" s="1" t="s">
        <v>1461</v>
      </c>
      <c r="D318" s="1" t="s">
        <v>743</v>
      </c>
      <c r="E318" s="1" t="s">
        <v>703</v>
      </c>
      <c r="F318" s="1" t="s">
        <v>634</v>
      </c>
      <c r="G318" s="1">
        <v>1124</v>
      </c>
    </row>
    <row r="319" spans="2:7">
      <c r="B319" s="1" t="s">
        <v>1462</v>
      </c>
      <c r="C319" s="1" t="s">
        <v>631</v>
      </c>
      <c r="D319" s="1" t="s">
        <v>743</v>
      </c>
      <c r="E319" s="1" t="s">
        <v>729</v>
      </c>
      <c r="F319" s="1" t="s">
        <v>764</v>
      </c>
      <c r="G319" s="1">
        <v>4674.3599999999997</v>
      </c>
    </row>
    <row r="320" spans="2:7">
      <c r="B320" s="1" t="s">
        <v>1463</v>
      </c>
      <c r="C320" s="1" t="s">
        <v>630</v>
      </c>
      <c r="D320" s="1" t="s">
        <v>743</v>
      </c>
      <c r="E320" s="1" t="s">
        <v>729</v>
      </c>
      <c r="F320" s="1" t="s">
        <v>750</v>
      </c>
      <c r="G320" s="1">
        <v>0</v>
      </c>
    </row>
    <row r="321" spans="2:7">
      <c r="B321" s="1" t="s">
        <v>1464</v>
      </c>
      <c r="C321" s="1" t="s">
        <v>614</v>
      </c>
      <c r="D321" s="1" t="s">
        <v>743</v>
      </c>
      <c r="E321" s="1" t="s">
        <v>729</v>
      </c>
      <c r="F321" s="1" t="s">
        <v>1930</v>
      </c>
      <c r="G321" s="1">
        <v>0</v>
      </c>
    </row>
    <row r="322" spans="2:7">
      <c r="B322" s="1" t="s">
        <v>1465</v>
      </c>
      <c r="C322" s="1" t="s">
        <v>1466</v>
      </c>
      <c r="D322" s="1" t="s">
        <v>743</v>
      </c>
      <c r="E322" s="1" t="s">
        <v>703</v>
      </c>
      <c r="F322" s="1" t="s">
        <v>1467</v>
      </c>
      <c r="G322" s="1">
        <v>0</v>
      </c>
    </row>
    <row r="323" spans="2:7">
      <c r="B323" s="1" t="s">
        <v>1468</v>
      </c>
      <c r="C323" s="1" t="s">
        <v>1469</v>
      </c>
      <c r="D323" s="1" t="s">
        <v>724</v>
      </c>
      <c r="E323" s="1" t="s">
        <v>703</v>
      </c>
      <c r="F323" s="1" t="s">
        <v>1470</v>
      </c>
      <c r="G323" s="1">
        <v>1971</v>
      </c>
    </row>
    <row r="324" spans="2:7">
      <c r="B324" s="1" t="s">
        <v>1471</v>
      </c>
      <c r="C324" s="1" t="s">
        <v>1472</v>
      </c>
      <c r="D324" s="1" t="s">
        <v>743</v>
      </c>
      <c r="E324" s="1" t="s">
        <v>703</v>
      </c>
      <c r="F324" s="1" t="s">
        <v>634</v>
      </c>
      <c r="G324" s="1">
        <v>0</v>
      </c>
    </row>
    <row r="325" spans="2:7">
      <c r="B325" s="1" t="s">
        <v>1473</v>
      </c>
      <c r="C325" s="1" t="s">
        <v>1474</v>
      </c>
      <c r="D325" s="1" t="s">
        <v>743</v>
      </c>
      <c r="E325" s="1" t="s">
        <v>703</v>
      </c>
      <c r="F325" s="1" t="s">
        <v>634</v>
      </c>
      <c r="G325" s="1">
        <v>0</v>
      </c>
    </row>
    <row r="326" spans="2:7">
      <c r="B326" s="1" t="s">
        <v>1475</v>
      </c>
      <c r="C326" s="1" t="s">
        <v>1476</v>
      </c>
      <c r="D326" s="1" t="s">
        <v>743</v>
      </c>
      <c r="E326" s="1" t="s">
        <v>703</v>
      </c>
      <c r="F326" s="1" t="s">
        <v>670</v>
      </c>
      <c r="G326" s="1">
        <v>0</v>
      </c>
    </row>
    <row r="327" spans="2:7">
      <c r="B327" s="1" t="s">
        <v>1477</v>
      </c>
      <c r="C327" s="1" t="s">
        <v>1478</v>
      </c>
      <c r="D327" s="1" t="s">
        <v>743</v>
      </c>
      <c r="E327" s="1" t="s">
        <v>703</v>
      </c>
      <c r="F327" s="1" t="s">
        <v>687</v>
      </c>
      <c r="G327" s="1">
        <v>0</v>
      </c>
    </row>
    <row r="328" spans="2:7">
      <c r="B328" s="1" t="s">
        <v>1479</v>
      </c>
      <c r="C328" s="1" t="s">
        <v>1480</v>
      </c>
      <c r="D328" s="1" t="s">
        <v>724</v>
      </c>
      <c r="E328" s="1" t="s">
        <v>703</v>
      </c>
      <c r="F328" s="1" t="s">
        <v>696</v>
      </c>
      <c r="G328" s="1">
        <v>0</v>
      </c>
    </row>
    <row r="329" spans="2:7">
      <c r="B329" s="1" t="s">
        <v>1481</v>
      </c>
      <c r="C329" s="1" t="s">
        <v>1482</v>
      </c>
      <c r="D329" s="1" t="s">
        <v>743</v>
      </c>
      <c r="E329" s="1" t="s">
        <v>703</v>
      </c>
      <c r="F329" s="1" t="s">
        <v>626</v>
      </c>
      <c r="G329" s="1">
        <v>0</v>
      </c>
    </row>
    <row r="330" spans="2:7">
      <c r="B330" s="1" t="s">
        <v>1483</v>
      </c>
      <c r="C330" s="1" t="s">
        <v>1484</v>
      </c>
      <c r="D330" s="1" t="s">
        <v>724</v>
      </c>
      <c r="E330" s="1" t="s">
        <v>703</v>
      </c>
      <c r="F330" s="1" t="s">
        <v>1485</v>
      </c>
      <c r="G330" s="1">
        <v>0</v>
      </c>
    </row>
    <row r="331" spans="2:7">
      <c r="B331" s="1" t="s">
        <v>1486</v>
      </c>
      <c r="C331" s="1" t="s">
        <v>1487</v>
      </c>
      <c r="D331" s="1" t="s">
        <v>724</v>
      </c>
      <c r="E331" s="1" t="s">
        <v>703</v>
      </c>
      <c r="F331" s="1" t="s">
        <v>1488</v>
      </c>
      <c r="G331" s="1">
        <v>0</v>
      </c>
    </row>
    <row r="332" spans="2:7">
      <c r="B332" s="1" t="s">
        <v>1489</v>
      </c>
      <c r="C332" s="1" t="s">
        <v>1490</v>
      </c>
      <c r="D332" s="1" t="s">
        <v>721</v>
      </c>
      <c r="E332" s="1" t="s">
        <v>703</v>
      </c>
      <c r="F332" s="1" t="s">
        <v>1491</v>
      </c>
      <c r="G332" s="1">
        <v>0</v>
      </c>
    </row>
    <row r="333" spans="2:7">
      <c r="B333" s="1" t="s">
        <v>1492</v>
      </c>
      <c r="C333" s="1" t="s">
        <v>1493</v>
      </c>
      <c r="D333" s="1" t="s">
        <v>724</v>
      </c>
      <c r="E333" s="1" t="s">
        <v>703</v>
      </c>
      <c r="F333" s="1" t="s">
        <v>696</v>
      </c>
      <c r="G333" s="1">
        <v>0</v>
      </c>
    </row>
    <row r="334" spans="2:7">
      <c r="B334" s="1" t="s">
        <v>1494</v>
      </c>
      <c r="C334" s="1" t="s">
        <v>1495</v>
      </c>
      <c r="D334" s="1" t="s">
        <v>724</v>
      </c>
      <c r="E334" s="1" t="s">
        <v>703</v>
      </c>
      <c r="F334" s="1" t="s">
        <v>700</v>
      </c>
      <c r="G334" s="1">
        <v>0</v>
      </c>
    </row>
    <row r="335" spans="2:7">
      <c r="B335" s="1" t="s">
        <v>1496</v>
      </c>
      <c r="C335" s="1" t="s">
        <v>1497</v>
      </c>
      <c r="D335" s="1" t="s">
        <v>743</v>
      </c>
      <c r="E335" s="1" t="s">
        <v>703</v>
      </c>
      <c r="F335" s="1" t="s">
        <v>1930</v>
      </c>
      <c r="G335" s="1">
        <v>0</v>
      </c>
    </row>
    <row r="336" spans="2:7">
      <c r="B336" s="1" t="s">
        <v>1498</v>
      </c>
      <c r="C336" s="1" t="s">
        <v>1499</v>
      </c>
      <c r="D336" s="1" t="s">
        <v>743</v>
      </c>
      <c r="E336" s="1" t="s">
        <v>703</v>
      </c>
      <c r="F336" s="1" t="s">
        <v>646</v>
      </c>
      <c r="G336" s="1">
        <v>0</v>
      </c>
    </row>
    <row r="337" spans="2:7">
      <c r="B337" s="1" t="s">
        <v>1500</v>
      </c>
      <c r="C337" s="1" t="s">
        <v>622</v>
      </c>
      <c r="D337" s="1" t="s">
        <v>743</v>
      </c>
      <c r="E337" s="1" t="s">
        <v>703</v>
      </c>
      <c r="F337" s="1" t="s">
        <v>623</v>
      </c>
      <c r="G337" s="1">
        <v>0</v>
      </c>
    </row>
    <row r="338" spans="2:7">
      <c r="B338" s="1" t="s">
        <v>1501</v>
      </c>
      <c r="C338" s="1" t="s">
        <v>1502</v>
      </c>
      <c r="D338" s="1" t="s">
        <v>732</v>
      </c>
      <c r="E338" s="1" t="s">
        <v>703</v>
      </c>
      <c r="F338" s="1" t="s">
        <v>711</v>
      </c>
      <c r="G338" s="1">
        <v>0</v>
      </c>
    </row>
    <row r="339" spans="2:7">
      <c r="B339" s="1" t="s">
        <v>1503</v>
      </c>
      <c r="C339" s="1" t="s">
        <v>1504</v>
      </c>
      <c r="D339" s="1" t="s">
        <v>729</v>
      </c>
      <c r="E339" s="1" t="s">
        <v>740</v>
      </c>
      <c r="F339" s="1" t="s">
        <v>605</v>
      </c>
      <c r="G339" s="1">
        <v>0</v>
      </c>
    </row>
    <row r="340" spans="2:7">
      <c r="B340" s="1" t="s">
        <v>1505</v>
      </c>
      <c r="C340" s="1" t="s">
        <v>1506</v>
      </c>
      <c r="D340" s="1" t="s">
        <v>732</v>
      </c>
      <c r="E340" s="1" t="s">
        <v>729</v>
      </c>
      <c r="F340" s="1" t="s">
        <v>646</v>
      </c>
      <c r="G340" s="1">
        <v>0</v>
      </c>
    </row>
    <row r="341" spans="2:7">
      <c r="B341" s="1" t="s">
        <v>1507</v>
      </c>
      <c r="C341" s="1" t="s">
        <v>1508</v>
      </c>
      <c r="D341" s="1" t="s">
        <v>732</v>
      </c>
      <c r="E341" s="1" t="s">
        <v>729</v>
      </c>
      <c r="F341" s="1" t="s">
        <v>646</v>
      </c>
      <c r="G341" s="1">
        <v>0</v>
      </c>
    </row>
    <row r="342" spans="2:7">
      <c r="B342" s="1" t="s">
        <v>1509</v>
      </c>
      <c r="C342" s="1" t="s">
        <v>1510</v>
      </c>
      <c r="D342" s="1" t="s">
        <v>732</v>
      </c>
      <c r="E342" s="1" t="s">
        <v>729</v>
      </c>
      <c r="F342" s="1" t="s">
        <v>646</v>
      </c>
      <c r="G342" s="1">
        <v>0</v>
      </c>
    </row>
    <row r="343" spans="2:7">
      <c r="B343" s="1" t="s">
        <v>1511</v>
      </c>
      <c r="C343" s="1" t="s">
        <v>1512</v>
      </c>
      <c r="D343" s="1" t="s">
        <v>721</v>
      </c>
      <c r="E343" s="1" t="s">
        <v>703</v>
      </c>
      <c r="F343" s="1" t="s">
        <v>1513</v>
      </c>
      <c r="G343" s="1">
        <v>1</v>
      </c>
    </row>
    <row r="344" spans="2:7">
      <c r="B344" s="1" t="s">
        <v>1514</v>
      </c>
      <c r="C344" s="1" t="s">
        <v>1515</v>
      </c>
      <c r="D344" s="1" t="s">
        <v>743</v>
      </c>
      <c r="E344" s="1" t="s">
        <v>703</v>
      </c>
      <c r="F344" s="1" t="s">
        <v>635</v>
      </c>
      <c r="G344" s="1">
        <v>0</v>
      </c>
    </row>
    <row r="345" spans="2:7">
      <c r="B345" s="1" t="s">
        <v>1516</v>
      </c>
      <c r="C345" s="1" t="s">
        <v>1517</v>
      </c>
      <c r="D345" s="1" t="s">
        <v>724</v>
      </c>
      <c r="E345" s="1" t="s">
        <v>703</v>
      </c>
      <c r="F345" s="1" t="s">
        <v>655</v>
      </c>
      <c r="G345" s="1">
        <v>0</v>
      </c>
    </row>
    <row r="346" spans="2:7">
      <c r="B346" s="1" t="s">
        <v>1518</v>
      </c>
      <c r="C346" s="1" t="s">
        <v>1519</v>
      </c>
      <c r="D346" s="1" t="s">
        <v>743</v>
      </c>
      <c r="E346" s="1" t="s">
        <v>703</v>
      </c>
      <c r="F346" s="1" t="s">
        <v>615</v>
      </c>
      <c r="G346" s="1">
        <v>0.99</v>
      </c>
    </row>
    <row r="347" spans="2:7">
      <c r="B347" s="1" t="s">
        <v>1520</v>
      </c>
      <c r="C347" s="1" t="s">
        <v>1521</v>
      </c>
      <c r="D347" s="1" t="s">
        <v>721</v>
      </c>
      <c r="E347" s="1" t="s">
        <v>703</v>
      </c>
      <c r="F347" s="1" t="s">
        <v>589</v>
      </c>
      <c r="G347" s="1">
        <v>11217.13</v>
      </c>
    </row>
    <row r="348" spans="2:7">
      <c r="B348" s="1" t="s">
        <v>1522</v>
      </c>
      <c r="C348" s="1" t="s">
        <v>1523</v>
      </c>
      <c r="D348" s="1" t="s">
        <v>724</v>
      </c>
      <c r="E348" s="1" t="s">
        <v>703</v>
      </c>
      <c r="F348" s="1" t="s">
        <v>655</v>
      </c>
      <c r="G348" s="1">
        <v>0</v>
      </c>
    </row>
    <row r="349" spans="2:7">
      <c r="B349" s="1" t="s">
        <v>1524</v>
      </c>
      <c r="C349" s="1" t="s">
        <v>1525</v>
      </c>
      <c r="D349" s="1" t="s">
        <v>743</v>
      </c>
      <c r="E349" s="1" t="s">
        <v>703</v>
      </c>
      <c r="F349" s="1" t="s">
        <v>662</v>
      </c>
      <c r="G349" s="1">
        <v>0</v>
      </c>
    </row>
    <row r="350" spans="2:7">
      <c r="B350" s="1" t="s">
        <v>1526</v>
      </c>
      <c r="C350" s="1" t="s">
        <v>1527</v>
      </c>
      <c r="D350" s="1" t="s">
        <v>743</v>
      </c>
      <c r="E350" s="1" t="s">
        <v>703</v>
      </c>
      <c r="F350" s="1" t="s">
        <v>685</v>
      </c>
      <c r="G350" s="1">
        <v>0</v>
      </c>
    </row>
    <row r="351" spans="2:7">
      <c r="B351" s="1" t="s">
        <v>1528</v>
      </c>
      <c r="C351" s="1" t="s">
        <v>1529</v>
      </c>
      <c r="D351" s="1" t="s">
        <v>724</v>
      </c>
      <c r="E351" s="1" t="s">
        <v>703</v>
      </c>
      <c r="F351" s="1" t="s">
        <v>646</v>
      </c>
      <c r="G351" s="1">
        <v>0</v>
      </c>
    </row>
    <row r="352" spans="2:7">
      <c r="B352" s="1" t="s">
        <v>1530</v>
      </c>
      <c r="C352" s="1" t="s">
        <v>1531</v>
      </c>
      <c r="D352" s="1" t="s">
        <v>732</v>
      </c>
      <c r="E352" s="1" t="s">
        <v>703</v>
      </c>
      <c r="F352" s="1" t="s">
        <v>603</v>
      </c>
      <c r="G352" s="1">
        <v>0</v>
      </c>
    </row>
    <row r="353" spans="2:7">
      <c r="B353" s="1" t="s">
        <v>1532</v>
      </c>
      <c r="C353" s="1" t="s">
        <v>1533</v>
      </c>
      <c r="D353" s="1" t="s">
        <v>724</v>
      </c>
      <c r="E353" s="1" t="s">
        <v>703</v>
      </c>
      <c r="F353" s="1" t="s">
        <v>655</v>
      </c>
      <c r="G353" s="1">
        <v>0</v>
      </c>
    </row>
    <row r="354" spans="2:7">
      <c r="B354" s="1" t="s">
        <v>1534</v>
      </c>
      <c r="C354" s="1" t="s">
        <v>1535</v>
      </c>
      <c r="D354" s="1" t="s">
        <v>721</v>
      </c>
      <c r="E354" s="1" t="s">
        <v>703</v>
      </c>
      <c r="F354" s="1" t="s">
        <v>1536</v>
      </c>
      <c r="G354" s="1">
        <v>0</v>
      </c>
    </row>
    <row r="355" spans="2:7">
      <c r="B355" s="1" t="s">
        <v>1537</v>
      </c>
      <c r="C355" s="1" t="s">
        <v>1538</v>
      </c>
      <c r="D355" s="1" t="s">
        <v>724</v>
      </c>
      <c r="E355" s="1" t="s">
        <v>703</v>
      </c>
      <c r="F355" s="1" t="s">
        <v>1539</v>
      </c>
      <c r="G355" s="1">
        <v>0</v>
      </c>
    </row>
    <row r="356" spans="2:7">
      <c r="B356" s="1" t="s">
        <v>1540</v>
      </c>
      <c r="C356" s="1" t="s">
        <v>1541</v>
      </c>
      <c r="D356" s="1" t="s">
        <v>724</v>
      </c>
      <c r="E356" s="1" t="s">
        <v>703</v>
      </c>
      <c r="F356" s="1" t="s">
        <v>1542</v>
      </c>
      <c r="G356" s="1">
        <v>0</v>
      </c>
    </row>
    <row r="357" spans="2:7">
      <c r="B357" s="1" t="s">
        <v>1543</v>
      </c>
      <c r="C357" s="1" t="s">
        <v>1544</v>
      </c>
      <c r="D357" s="1" t="s">
        <v>724</v>
      </c>
      <c r="E357" s="1" t="s">
        <v>703</v>
      </c>
      <c r="F357" s="1" t="s">
        <v>1545</v>
      </c>
      <c r="G357" s="1">
        <v>0</v>
      </c>
    </row>
    <row r="358" spans="2:7">
      <c r="B358" s="1" t="s">
        <v>1546</v>
      </c>
      <c r="C358" s="1" t="s">
        <v>1547</v>
      </c>
      <c r="D358" s="1" t="s">
        <v>724</v>
      </c>
      <c r="E358" s="1" t="s">
        <v>703</v>
      </c>
      <c r="F358" s="1" t="s">
        <v>665</v>
      </c>
      <c r="G358" s="1">
        <v>2975.76</v>
      </c>
    </row>
    <row r="359" spans="2:7">
      <c r="B359" s="1" t="s">
        <v>1548</v>
      </c>
      <c r="C359" s="1" t="s">
        <v>1549</v>
      </c>
      <c r="D359" s="1" t="s">
        <v>724</v>
      </c>
      <c r="E359" s="1" t="s">
        <v>703</v>
      </c>
      <c r="F359" s="1" t="s">
        <v>658</v>
      </c>
      <c r="G359" s="1">
        <v>0</v>
      </c>
    </row>
    <row r="360" spans="2:7">
      <c r="B360" s="1" t="s">
        <v>1550</v>
      </c>
      <c r="C360" s="1" t="s">
        <v>1551</v>
      </c>
      <c r="D360" s="1" t="s">
        <v>724</v>
      </c>
      <c r="E360" s="1" t="s">
        <v>703</v>
      </c>
      <c r="F360" s="1" t="s">
        <v>655</v>
      </c>
      <c r="G360" s="1">
        <v>207.4</v>
      </c>
    </row>
    <row r="361" spans="2:7">
      <c r="B361" s="1" t="s">
        <v>1552</v>
      </c>
      <c r="C361" s="1" t="s">
        <v>1553</v>
      </c>
      <c r="D361" s="1" t="s">
        <v>743</v>
      </c>
      <c r="E361" s="1" t="s">
        <v>729</v>
      </c>
      <c r="F361" s="1" t="s">
        <v>1554</v>
      </c>
      <c r="G361" s="1">
        <v>0</v>
      </c>
    </row>
    <row r="362" spans="2:7">
      <c r="B362" s="1" t="s">
        <v>1555</v>
      </c>
      <c r="C362" s="1" t="s">
        <v>1556</v>
      </c>
      <c r="D362" s="1" t="s">
        <v>743</v>
      </c>
      <c r="E362" s="1" t="s">
        <v>703</v>
      </c>
      <c r="F362" s="1" t="s">
        <v>613</v>
      </c>
      <c r="G362" s="1">
        <v>0</v>
      </c>
    </row>
    <row r="363" spans="2:7">
      <c r="B363" s="1" t="s">
        <v>1557</v>
      </c>
      <c r="C363" s="1" t="s">
        <v>1558</v>
      </c>
      <c r="D363" s="1" t="s">
        <v>732</v>
      </c>
      <c r="E363" s="1" t="s">
        <v>703</v>
      </c>
      <c r="F363" s="1" t="s">
        <v>646</v>
      </c>
      <c r="G363" s="1">
        <v>0</v>
      </c>
    </row>
    <row r="364" spans="2:7">
      <c r="B364" s="1" t="s">
        <v>1559</v>
      </c>
      <c r="C364" s="1" t="s">
        <v>1560</v>
      </c>
      <c r="D364" s="1" t="s">
        <v>721</v>
      </c>
      <c r="E364" s="1" t="s">
        <v>729</v>
      </c>
      <c r="F364" s="1" t="s">
        <v>1561</v>
      </c>
      <c r="G364" s="1">
        <v>0</v>
      </c>
    </row>
    <row r="365" spans="2:7">
      <c r="B365" s="1" t="s">
        <v>1562</v>
      </c>
      <c r="C365" s="1" t="s">
        <v>1563</v>
      </c>
      <c r="D365" s="1" t="s">
        <v>732</v>
      </c>
      <c r="E365" s="1" t="s">
        <v>703</v>
      </c>
      <c r="F365" s="1" t="s">
        <v>711</v>
      </c>
      <c r="G365" s="1">
        <v>0</v>
      </c>
    </row>
    <row r="366" spans="2:7">
      <c r="B366" s="1" t="s">
        <v>1564</v>
      </c>
      <c r="C366" s="1" t="s">
        <v>1565</v>
      </c>
      <c r="D366" s="1" t="s">
        <v>721</v>
      </c>
      <c r="E366" s="1" t="s">
        <v>703</v>
      </c>
      <c r="F366" s="1" t="s">
        <v>1566</v>
      </c>
      <c r="G366" s="1">
        <v>3.13</v>
      </c>
    </row>
    <row r="367" spans="2:7">
      <c r="B367" s="1" t="s">
        <v>1567</v>
      </c>
      <c r="C367" s="1" t="s">
        <v>1568</v>
      </c>
      <c r="D367" s="1" t="s">
        <v>732</v>
      </c>
      <c r="E367" s="1" t="s">
        <v>729</v>
      </c>
      <c r="F367" s="1" t="s">
        <v>1569</v>
      </c>
      <c r="G367" s="1">
        <v>0</v>
      </c>
    </row>
    <row r="368" spans="2:7">
      <c r="B368" s="1" t="s">
        <v>1570</v>
      </c>
      <c r="C368" s="1" t="s">
        <v>1571</v>
      </c>
      <c r="D368" s="1" t="s">
        <v>743</v>
      </c>
      <c r="E368" s="1" t="s">
        <v>703</v>
      </c>
      <c r="F368" s="1" t="s">
        <v>646</v>
      </c>
      <c r="G368" s="1">
        <v>0</v>
      </c>
    </row>
    <row r="369" spans="2:7">
      <c r="B369" s="1" t="s">
        <v>1572</v>
      </c>
      <c r="C369" s="1" t="s">
        <v>620</v>
      </c>
      <c r="D369" s="1" t="s">
        <v>743</v>
      </c>
      <c r="E369" s="1" t="s">
        <v>703</v>
      </c>
      <c r="F369" s="1" t="s">
        <v>747</v>
      </c>
      <c r="G369" s="1">
        <v>0</v>
      </c>
    </row>
    <row r="370" spans="2:7">
      <c r="B370" s="1" t="s">
        <v>1573</v>
      </c>
      <c r="C370" s="1" t="s">
        <v>1574</v>
      </c>
      <c r="D370" s="1" t="s">
        <v>743</v>
      </c>
      <c r="E370" s="1" t="s">
        <v>703</v>
      </c>
      <c r="F370" s="1" t="s">
        <v>613</v>
      </c>
      <c r="G370" s="1">
        <v>0</v>
      </c>
    </row>
    <row r="371" spans="2:7">
      <c r="B371" s="1" t="s">
        <v>1575</v>
      </c>
      <c r="C371" s="1" t="s">
        <v>1576</v>
      </c>
      <c r="D371" s="1" t="s">
        <v>724</v>
      </c>
      <c r="E371" s="1" t="s">
        <v>703</v>
      </c>
      <c r="F371" s="1" t="s">
        <v>673</v>
      </c>
      <c r="G371" s="1">
        <v>0</v>
      </c>
    </row>
    <row r="372" spans="2:7">
      <c r="B372" s="1" t="s">
        <v>1577</v>
      </c>
      <c r="C372" s="1" t="s">
        <v>1578</v>
      </c>
      <c r="D372" s="1" t="s">
        <v>743</v>
      </c>
      <c r="E372" s="1" t="s">
        <v>729</v>
      </c>
      <c r="F372" s="1" t="s">
        <v>646</v>
      </c>
      <c r="G372" s="1">
        <v>0</v>
      </c>
    </row>
    <row r="373" spans="2:7">
      <c r="B373" s="1" t="s">
        <v>1579</v>
      </c>
      <c r="C373" s="1" t="s">
        <v>1580</v>
      </c>
      <c r="D373" s="1" t="s">
        <v>721</v>
      </c>
      <c r="E373" s="1" t="s">
        <v>729</v>
      </c>
      <c r="F373" s="1" t="s">
        <v>704</v>
      </c>
      <c r="G373" s="1">
        <v>0</v>
      </c>
    </row>
    <row r="374" spans="2:7">
      <c r="B374" s="1" t="s">
        <v>1581</v>
      </c>
      <c r="C374" s="1" t="s">
        <v>624</v>
      </c>
      <c r="D374" s="1" t="s">
        <v>729</v>
      </c>
      <c r="E374" s="1" t="s">
        <v>703</v>
      </c>
      <c r="F374" s="1" t="s">
        <v>1582</v>
      </c>
      <c r="G374" s="1">
        <v>0</v>
      </c>
    </row>
    <row r="375" spans="2:7">
      <c r="B375" s="1" t="s">
        <v>1583</v>
      </c>
      <c r="C375" s="1" t="s">
        <v>1584</v>
      </c>
      <c r="D375" s="1" t="s">
        <v>732</v>
      </c>
      <c r="E375" s="1" t="s">
        <v>703</v>
      </c>
      <c r="F375" s="1" t="s">
        <v>603</v>
      </c>
      <c r="G375" s="1">
        <v>0</v>
      </c>
    </row>
    <row r="376" spans="2:7">
      <c r="B376" s="1" t="s">
        <v>1585</v>
      </c>
      <c r="C376" s="1" t="s">
        <v>1586</v>
      </c>
      <c r="D376" s="1" t="s">
        <v>743</v>
      </c>
      <c r="E376" s="1" t="s">
        <v>703</v>
      </c>
      <c r="F376" s="1" t="s">
        <v>701</v>
      </c>
      <c r="G376" s="1">
        <v>0</v>
      </c>
    </row>
    <row r="377" spans="2:7">
      <c r="B377" s="1" t="s">
        <v>1587</v>
      </c>
      <c r="C377" s="1" t="s">
        <v>1588</v>
      </c>
      <c r="D377" s="1" t="s">
        <v>724</v>
      </c>
      <c r="E377" s="1" t="s">
        <v>703</v>
      </c>
      <c r="F377" s="1" t="s">
        <v>660</v>
      </c>
      <c r="G377" s="1">
        <v>0</v>
      </c>
    </row>
    <row r="378" spans="2:7">
      <c r="B378" s="1" t="s">
        <v>1589</v>
      </c>
      <c r="C378" s="1" t="s">
        <v>632</v>
      </c>
      <c r="D378" s="1" t="s">
        <v>743</v>
      </c>
      <c r="E378" s="1" t="s">
        <v>703</v>
      </c>
      <c r="F378" s="1" t="s">
        <v>633</v>
      </c>
      <c r="G378" s="1">
        <v>0</v>
      </c>
    </row>
    <row r="379" spans="2:7">
      <c r="B379" s="1" t="s">
        <v>1590</v>
      </c>
      <c r="C379" s="1" t="s">
        <v>1591</v>
      </c>
      <c r="D379" s="1" t="s">
        <v>743</v>
      </c>
      <c r="E379" s="1" t="s">
        <v>703</v>
      </c>
      <c r="F379" s="1" t="s">
        <v>677</v>
      </c>
      <c r="G379" s="1">
        <v>0</v>
      </c>
    </row>
    <row r="380" spans="2:7">
      <c r="B380" s="1" t="s">
        <v>1592</v>
      </c>
      <c r="C380" s="1" t="s">
        <v>1593</v>
      </c>
      <c r="D380" s="1" t="s">
        <v>724</v>
      </c>
      <c r="E380" s="1" t="s">
        <v>703</v>
      </c>
      <c r="F380" s="1" t="s">
        <v>1594</v>
      </c>
      <c r="G380" s="1">
        <v>0</v>
      </c>
    </row>
    <row r="381" spans="2:7">
      <c r="B381" s="1" t="s">
        <v>1595</v>
      </c>
      <c r="C381" s="1" t="s">
        <v>1596</v>
      </c>
      <c r="D381" s="1" t="s">
        <v>724</v>
      </c>
      <c r="E381" s="1" t="s">
        <v>703</v>
      </c>
      <c r="F381" s="1" t="s">
        <v>1597</v>
      </c>
      <c r="G381" s="1">
        <v>0</v>
      </c>
    </row>
    <row r="382" spans="2:7">
      <c r="B382" s="1" t="s">
        <v>1598</v>
      </c>
      <c r="C382" s="1" t="s">
        <v>1599</v>
      </c>
      <c r="D382" s="1" t="s">
        <v>743</v>
      </c>
      <c r="E382" s="1" t="s">
        <v>703</v>
      </c>
      <c r="F382" s="1" t="s">
        <v>699</v>
      </c>
      <c r="G382" s="1">
        <v>0</v>
      </c>
    </row>
    <row r="383" spans="2:7">
      <c r="B383" s="1" t="s">
        <v>1600</v>
      </c>
      <c r="C383" s="1" t="s">
        <v>1601</v>
      </c>
      <c r="D383" s="1" t="s">
        <v>724</v>
      </c>
      <c r="E383" s="1" t="s">
        <v>703</v>
      </c>
      <c r="F383" s="1" t="s">
        <v>577</v>
      </c>
      <c r="G383" s="1">
        <v>0</v>
      </c>
    </row>
    <row r="384" spans="2:7">
      <c r="B384" s="1" t="s">
        <v>1602</v>
      </c>
      <c r="C384" s="1" t="s">
        <v>1603</v>
      </c>
      <c r="D384" s="1" t="s">
        <v>721</v>
      </c>
      <c r="E384" s="1" t="s">
        <v>703</v>
      </c>
      <c r="F384" s="1" t="s">
        <v>590</v>
      </c>
      <c r="G384" s="1">
        <v>0</v>
      </c>
    </row>
    <row r="385" spans="2:7">
      <c r="B385" s="1" t="s">
        <v>1604</v>
      </c>
      <c r="C385" s="1" t="s">
        <v>1605</v>
      </c>
      <c r="D385" s="1" t="s">
        <v>721</v>
      </c>
      <c r="E385" s="1" t="s">
        <v>703</v>
      </c>
      <c r="F385" s="1" t="s">
        <v>1606</v>
      </c>
      <c r="G385" s="1">
        <v>125144.6</v>
      </c>
    </row>
    <row r="386" spans="2:7">
      <c r="B386" s="1" t="s">
        <v>1607</v>
      </c>
      <c r="C386" s="1" t="s">
        <v>1608</v>
      </c>
      <c r="D386" s="1" t="s">
        <v>724</v>
      </c>
      <c r="E386" s="1" t="s">
        <v>703</v>
      </c>
      <c r="F386" s="1" t="s">
        <v>591</v>
      </c>
      <c r="G386" s="1">
        <v>0</v>
      </c>
    </row>
    <row r="387" spans="2:7">
      <c r="B387" s="1" t="s">
        <v>1609</v>
      </c>
      <c r="C387" s="1" t="s">
        <v>1610</v>
      </c>
      <c r="D387" s="1" t="s">
        <v>724</v>
      </c>
      <c r="E387" s="1" t="s">
        <v>703</v>
      </c>
      <c r="F387" s="1" t="s">
        <v>646</v>
      </c>
      <c r="G387" s="1">
        <v>0</v>
      </c>
    </row>
    <row r="388" spans="2:7">
      <c r="B388" s="1" t="s">
        <v>1611</v>
      </c>
      <c r="C388" s="1" t="s">
        <v>1612</v>
      </c>
      <c r="D388" s="1" t="s">
        <v>724</v>
      </c>
      <c r="E388" s="1" t="s">
        <v>703</v>
      </c>
      <c r="F388" s="1" t="s">
        <v>655</v>
      </c>
      <c r="G388" s="1">
        <v>0</v>
      </c>
    </row>
    <row r="389" spans="2:7">
      <c r="B389" s="1" t="s">
        <v>1613</v>
      </c>
      <c r="C389" s="1" t="s">
        <v>1614</v>
      </c>
      <c r="D389" s="1" t="s">
        <v>724</v>
      </c>
      <c r="E389" s="1" t="s">
        <v>703</v>
      </c>
      <c r="F389" s="1" t="s">
        <v>1545</v>
      </c>
      <c r="G389" s="1">
        <v>0</v>
      </c>
    </row>
    <row r="390" spans="2:7">
      <c r="B390" s="1" t="s">
        <v>1615</v>
      </c>
      <c r="C390" s="1" t="s">
        <v>638</v>
      </c>
      <c r="D390" s="1" t="s">
        <v>743</v>
      </c>
      <c r="E390" s="1" t="s">
        <v>703</v>
      </c>
      <c r="F390" s="1" t="s">
        <v>777</v>
      </c>
      <c r="G390" s="1">
        <v>0</v>
      </c>
    </row>
    <row r="391" spans="2:7">
      <c r="B391" s="1" t="s">
        <v>1616</v>
      </c>
      <c r="C391" s="1" t="s">
        <v>1617</v>
      </c>
      <c r="D391" s="1" t="s">
        <v>732</v>
      </c>
      <c r="E391" s="1" t="s">
        <v>729</v>
      </c>
      <c r="F391" s="1" t="s">
        <v>600</v>
      </c>
      <c r="G391" s="1">
        <v>0</v>
      </c>
    </row>
    <row r="392" spans="2:7">
      <c r="B392" s="1" t="s">
        <v>1618</v>
      </c>
      <c r="C392" s="1" t="s">
        <v>1619</v>
      </c>
      <c r="D392" s="1" t="s">
        <v>743</v>
      </c>
      <c r="E392" s="1" t="s">
        <v>703</v>
      </c>
      <c r="F392" s="1" t="s">
        <v>1931</v>
      </c>
      <c r="G392" s="1">
        <v>0</v>
      </c>
    </row>
    <row r="393" spans="2:7">
      <c r="B393" s="1" t="s">
        <v>1620</v>
      </c>
      <c r="C393" s="1" t="s">
        <v>1621</v>
      </c>
      <c r="D393" s="1" t="s">
        <v>743</v>
      </c>
      <c r="E393" s="1" t="s">
        <v>703</v>
      </c>
      <c r="F393" s="1" t="s">
        <v>641</v>
      </c>
      <c r="G393" s="1">
        <v>0</v>
      </c>
    </row>
    <row r="394" spans="2:7">
      <c r="B394" s="1" t="s">
        <v>1622</v>
      </c>
      <c r="C394" s="1" t="s">
        <v>1623</v>
      </c>
      <c r="D394" s="1" t="s">
        <v>724</v>
      </c>
      <c r="E394" s="1" t="s">
        <v>729</v>
      </c>
      <c r="F394" s="1" t="s">
        <v>1624</v>
      </c>
      <c r="G394" s="1">
        <v>0</v>
      </c>
    </row>
    <row r="395" spans="2:7">
      <c r="B395" s="1" t="s">
        <v>1625</v>
      </c>
      <c r="C395" s="1" t="s">
        <v>1626</v>
      </c>
      <c r="D395" s="1" t="s">
        <v>721</v>
      </c>
      <c r="E395" s="1" t="s">
        <v>703</v>
      </c>
      <c r="F395" s="1" t="s">
        <v>941</v>
      </c>
      <c r="G395" s="1">
        <v>0</v>
      </c>
    </row>
    <row r="396" spans="2:7">
      <c r="B396" s="1" t="s">
        <v>1627</v>
      </c>
      <c r="C396" s="1" t="s">
        <v>1628</v>
      </c>
      <c r="D396" s="1" t="s">
        <v>743</v>
      </c>
      <c r="E396" s="1" t="s">
        <v>703</v>
      </c>
      <c r="F396" s="1" t="s">
        <v>641</v>
      </c>
      <c r="G396" s="1">
        <v>0</v>
      </c>
    </row>
    <row r="397" spans="2:7">
      <c r="B397" s="1" t="s">
        <v>1629</v>
      </c>
      <c r="C397" s="1" t="s">
        <v>1630</v>
      </c>
      <c r="D397" s="1" t="s">
        <v>732</v>
      </c>
      <c r="E397" s="1" t="s">
        <v>703</v>
      </c>
      <c r="F397" s="1" t="s">
        <v>603</v>
      </c>
      <c r="G397" s="1">
        <v>0</v>
      </c>
    </row>
    <row r="398" spans="2:7">
      <c r="B398" s="1" t="s">
        <v>1631</v>
      </c>
      <c r="C398" s="1" t="s">
        <v>617</v>
      </c>
      <c r="D398" s="1" t="s">
        <v>743</v>
      </c>
      <c r="E398" s="1" t="s">
        <v>703</v>
      </c>
      <c r="F398" s="1" t="s">
        <v>618</v>
      </c>
      <c r="G398" s="1">
        <v>0</v>
      </c>
    </row>
    <row r="399" spans="2:7">
      <c r="B399" s="1" t="s">
        <v>1632</v>
      </c>
      <c r="C399" s="1" t="s">
        <v>1633</v>
      </c>
      <c r="D399" s="1" t="s">
        <v>743</v>
      </c>
      <c r="E399" s="1" t="s">
        <v>703</v>
      </c>
      <c r="F399" s="1" t="s">
        <v>1634</v>
      </c>
      <c r="G399" s="1">
        <v>0</v>
      </c>
    </row>
    <row r="400" spans="2:7">
      <c r="B400" s="1" t="s">
        <v>1635</v>
      </c>
      <c r="C400" s="1" t="s">
        <v>1636</v>
      </c>
      <c r="D400" s="1" t="s">
        <v>743</v>
      </c>
      <c r="E400" s="1" t="s">
        <v>703</v>
      </c>
      <c r="F400" s="1" t="s">
        <v>682</v>
      </c>
      <c r="G400" s="1">
        <v>0</v>
      </c>
    </row>
    <row r="401" spans="2:7">
      <c r="B401" s="1" t="s">
        <v>1637</v>
      </c>
      <c r="C401" s="1" t="s">
        <v>1638</v>
      </c>
      <c r="D401" s="1" t="s">
        <v>743</v>
      </c>
      <c r="E401" s="1" t="s">
        <v>703</v>
      </c>
      <c r="F401" s="1" t="s">
        <v>674</v>
      </c>
      <c r="G401" s="1">
        <v>0</v>
      </c>
    </row>
    <row r="402" spans="2:7">
      <c r="B402" s="1" t="s">
        <v>1639</v>
      </c>
      <c r="C402" s="1" t="s">
        <v>1640</v>
      </c>
      <c r="D402" s="1" t="s">
        <v>743</v>
      </c>
      <c r="E402" s="1" t="s">
        <v>703</v>
      </c>
      <c r="F402" s="1" t="s">
        <v>1641</v>
      </c>
      <c r="G402" s="1">
        <v>0</v>
      </c>
    </row>
    <row r="403" spans="2:7">
      <c r="B403" s="1" t="s">
        <v>1642</v>
      </c>
      <c r="C403" s="1" t="s">
        <v>1643</v>
      </c>
      <c r="D403" s="1" t="s">
        <v>724</v>
      </c>
      <c r="E403" s="1" t="s">
        <v>703</v>
      </c>
      <c r="F403" s="1" t="s">
        <v>692</v>
      </c>
      <c r="G403" s="1">
        <v>0</v>
      </c>
    </row>
    <row r="404" spans="2:7">
      <c r="B404" s="1" t="s">
        <v>1644</v>
      </c>
      <c r="C404" s="1" t="s">
        <v>1645</v>
      </c>
      <c r="D404" s="1" t="s">
        <v>724</v>
      </c>
      <c r="E404" s="1" t="s">
        <v>703</v>
      </c>
      <c r="F404" s="1" t="s">
        <v>675</v>
      </c>
      <c r="G404" s="1">
        <v>0</v>
      </c>
    </row>
    <row r="405" spans="2:7">
      <c r="B405" s="1" t="s">
        <v>1646</v>
      </c>
      <c r="C405" s="1" t="s">
        <v>1647</v>
      </c>
      <c r="D405" s="1" t="s">
        <v>724</v>
      </c>
      <c r="E405" s="1" t="s">
        <v>703</v>
      </c>
      <c r="F405" s="1" t="s">
        <v>696</v>
      </c>
      <c r="G405" s="1">
        <v>0</v>
      </c>
    </row>
    <row r="406" spans="2:7">
      <c r="B406" s="1" t="s">
        <v>1648</v>
      </c>
      <c r="C406" s="1" t="s">
        <v>1649</v>
      </c>
      <c r="D406" s="1" t="s">
        <v>743</v>
      </c>
      <c r="E406" s="1" t="s">
        <v>703</v>
      </c>
      <c r="F406" s="1" t="s">
        <v>626</v>
      </c>
      <c r="G406" s="1">
        <v>0</v>
      </c>
    </row>
    <row r="407" spans="2:7">
      <c r="B407" s="1" t="s">
        <v>1650</v>
      </c>
      <c r="C407" s="1" t="s">
        <v>1651</v>
      </c>
      <c r="D407" s="1" t="s">
        <v>732</v>
      </c>
      <c r="E407" s="1" t="s">
        <v>703</v>
      </c>
      <c r="F407" s="1" t="s">
        <v>646</v>
      </c>
      <c r="G407" s="1">
        <v>-12914</v>
      </c>
    </row>
    <row r="408" spans="2:7">
      <c r="B408" s="1" t="s">
        <v>1652</v>
      </c>
      <c r="C408" s="1" t="s">
        <v>1653</v>
      </c>
      <c r="D408" s="1" t="s">
        <v>724</v>
      </c>
      <c r="E408" s="1" t="s">
        <v>703</v>
      </c>
      <c r="F408" s="1" t="s">
        <v>1654</v>
      </c>
      <c r="G408" s="1">
        <v>0</v>
      </c>
    </row>
    <row r="409" spans="2:7">
      <c r="B409" s="1" t="s">
        <v>1655</v>
      </c>
      <c r="C409" s="1" t="s">
        <v>1656</v>
      </c>
      <c r="D409" s="1" t="s">
        <v>743</v>
      </c>
      <c r="E409" s="1" t="s">
        <v>703</v>
      </c>
      <c r="F409" s="1" t="s">
        <v>664</v>
      </c>
      <c r="G409" s="1">
        <v>0</v>
      </c>
    </row>
    <row r="410" spans="2:7">
      <c r="B410" s="1" t="s">
        <v>1657</v>
      </c>
      <c r="C410" s="1" t="s">
        <v>1658</v>
      </c>
      <c r="D410" s="1" t="s">
        <v>743</v>
      </c>
      <c r="E410" s="1" t="s">
        <v>703</v>
      </c>
      <c r="F410" s="1" t="s">
        <v>623</v>
      </c>
      <c r="G410" s="1">
        <v>0</v>
      </c>
    </row>
    <row r="411" spans="2:7">
      <c r="B411" s="1" t="s">
        <v>1659</v>
      </c>
      <c r="C411" s="1" t="s">
        <v>1660</v>
      </c>
      <c r="D411" s="1" t="s">
        <v>724</v>
      </c>
      <c r="E411" s="1" t="s">
        <v>703</v>
      </c>
      <c r="F411" s="1" t="s">
        <v>655</v>
      </c>
      <c r="G411" s="1">
        <v>0</v>
      </c>
    </row>
    <row r="412" spans="2:7">
      <c r="B412" s="1" t="s">
        <v>1661</v>
      </c>
      <c r="C412" s="1" t="s">
        <v>1662</v>
      </c>
      <c r="D412" s="1" t="s">
        <v>724</v>
      </c>
      <c r="E412" s="1" t="s">
        <v>703</v>
      </c>
      <c r="F412" s="1" t="s">
        <v>686</v>
      </c>
      <c r="G412" s="1">
        <v>0</v>
      </c>
    </row>
    <row r="413" spans="2:7">
      <c r="B413" s="1" t="s">
        <v>1663</v>
      </c>
      <c r="C413" s="1" t="s">
        <v>1664</v>
      </c>
      <c r="D413" s="1" t="s">
        <v>743</v>
      </c>
      <c r="E413" s="1" t="s">
        <v>703</v>
      </c>
      <c r="F413" s="1" t="s">
        <v>644</v>
      </c>
      <c r="G413" s="1">
        <v>0</v>
      </c>
    </row>
    <row r="414" spans="2:7">
      <c r="B414" s="1" t="s">
        <v>1665</v>
      </c>
      <c r="C414" s="1" t="s">
        <v>1666</v>
      </c>
      <c r="D414" s="1" t="s">
        <v>743</v>
      </c>
      <c r="E414" s="1" t="s">
        <v>703</v>
      </c>
      <c r="F414" s="1" t="s">
        <v>662</v>
      </c>
      <c r="G414" s="1">
        <v>0</v>
      </c>
    </row>
    <row r="415" spans="2:7">
      <c r="B415" s="1" t="s">
        <v>1667</v>
      </c>
      <c r="C415" s="1" t="s">
        <v>1668</v>
      </c>
      <c r="D415" s="1" t="s">
        <v>724</v>
      </c>
      <c r="E415" s="1" t="s">
        <v>703</v>
      </c>
      <c r="F415" s="1" t="s">
        <v>1669</v>
      </c>
      <c r="G415" s="1">
        <v>0</v>
      </c>
    </row>
    <row r="416" spans="2:7">
      <c r="B416" s="1" t="s">
        <v>1670</v>
      </c>
      <c r="C416" s="1" t="s">
        <v>1671</v>
      </c>
      <c r="D416" s="1" t="s">
        <v>743</v>
      </c>
      <c r="E416" s="1" t="s">
        <v>703</v>
      </c>
      <c r="F416" s="1" t="s">
        <v>625</v>
      </c>
      <c r="G416" s="1">
        <v>0</v>
      </c>
    </row>
    <row r="417" spans="2:7">
      <c r="B417" s="1" t="s">
        <v>1672</v>
      </c>
      <c r="C417" s="1" t="s">
        <v>1673</v>
      </c>
      <c r="D417" s="1" t="s">
        <v>743</v>
      </c>
      <c r="E417" s="1" t="s">
        <v>703</v>
      </c>
      <c r="F417" s="1" t="s">
        <v>1674</v>
      </c>
      <c r="G417" s="1">
        <v>399.01</v>
      </c>
    </row>
    <row r="418" spans="2:7">
      <c r="B418" s="1" t="s">
        <v>1675</v>
      </c>
      <c r="C418" s="1" t="s">
        <v>1676</v>
      </c>
      <c r="D418" s="1" t="s">
        <v>743</v>
      </c>
      <c r="E418" s="1" t="s">
        <v>703</v>
      </c>
      <c r="F418" s="1" t="s">
        <v>1467</v>
      </c>
      <c r="G418" s="1">
        <v>-119.2</v>
      </c>
    </row>
    <row r="419" spans="2:7">
      <c r="B419" s="1" t="s">
        <v>1677</v>
      </c>
      <c r="C419" s="1" t="s">
        <v>619</v>
      </c>
      <c r="D419" s="1" t="s">
        <v>743</v>
      </c>
      <c r="E419" s="1" t="s">
        <v>703</v>
      </c>
      <c r="F419" s="1" t="s">
        <v>1678</v>
      </c>
      <c r="G419" s="1">
        <v>5023</v>
      </c>
    </row>
    <row r="420" spans="2:7">
      <c r="B420" s="1" t="s">
        <v>1679</v>
      </c>
      <c r="C420" s="1" t="s">
        <v>1680</v>
      </c>
      <c r="D420" s="1" t="s">
        <v>724</v>
      </c>
      <c r="E420" s="1" t="s">
        <v>703</v>
      </c>
      <c r="F420" s="1" t="s">
        <v>665</v>
      </c>
      <c r="G420" s="1">
        <v>0</v>
      </c>
    </row>
    <row r="421" spans="2:7">
      <c r="B421" s="1" t="s">
        <v>1681</v>
      </c>
      <c r="C421" s="1" t="s">
        <v>1682</v>
      </c>
      <c r="D421" s="1" t="s">
        <v>743</v>
      </c>
      <c r="E421" s="1" t="s">
        <v>703</v>
      </c>
      <c r="F421" s="1" t="s">
        <v>637</v>
      </c>
      <c r="G421" s="1">
        <v>0</v>
      </c>
    </row>
    <row r="422" spans="2:7">
      <c r="B422" s="1" t="s">
        <v>1683</v>
      </c>
      <c r="C422" s="1" t="s">
        <v>1684</v>
      </c>
      <c r="D422" s="1" t="s">
        <v>724</v>
      </c>
      <c r="E422" s="1" t="s">
        <v>703</v>
      </c>
      <c r="F422" s="1" t="s">
        <v>1685</v>
      </c>
      <c r="G422" s="1">
        <v>0</v>
      </c>
    </row>
    <row r="423" spans="2:7">
      <c r="B423" s="1" t="s">
        <v>1686</v>
      </c>
      <c r="C423" s="1" t="s">
        <v>1687</v>
      </c>
      <c r="D423" s="1" t="s">
        <v>724</v>
      </c>
      <c r="E423" s="1" t="s">
        <v>703</v>
      </c>
      <c r="F423" s="1" t="s">
        <v>709</v>
      </c>
      <c r="G423" s="1">
        <v>0</v>
      </c>
    </row>
    <row r="424" spans="2:7">
      <c r="B424" s="1" t="s">
        <v>1688</v>
      </c>
      <c r="C424" s="1" t="s">
        <v>1689</v>
      </c>
      <c r="D424" s="1" t="s">
        <v>721</v>
      </c>
      <c r="E424" s="1" t="s">
        <v>703</v>
      </c>
      <c r="F424" s="1" t="s">
        <v>705</v>
      </c>
      <c r="G424" s="1">
        <v>0</v>
      </c>
    </row>
    <row r="425" spans="2:7">
      <c r="B425" s="1" t="s">
        <v>1690</v>
      </c>
      <c r="C425" s="1" t="s">
        <v>1691</v>
      </c>
      <c r="D425" s="1" t="s">
        <v>721</v>
      </c>
      <c r="E425" s="1" t="s">
        <v>703</v>
      </c>
      <c r="F425" s="1" t="s">
        <v>1692</v>
      </c>
      <c r="G425" s="1">
        <v>0</v>
      </c>
    </row>
    <row r="426" spans="2:7">
      <c r="B426" s="1" t="s">
        <v>1693</v>
      </c>
      <c r="C426" s="1" t="s">
        <v>1694</v>
      </c>
      <c r="D426" s="1" t="s">
        <v>724</v>
      </c>
      <c r="E426" s="1" t="s">
        <v>703</v>
      </c>
      <c r="F426" s="1" t="s">
        <v>655</v>
      </c>
      <c r="G426" s="1">
        <v>0</v>
      </c>
    </row>
    <row r="427" spans="2:7">
      <c r="B427" s="1" t="s">
        <v>1695</v>
      </c>
      <c r="C427" s="1" t="s">
        <v>1696</v>
      </c>
      <c r="D427" s="1" t="s">
        <v>724</v>
      </c>
      <c r="E427" s="1" t="s">
        <v>703</v>
      </c>
      <c r="F427" s="1" t="s">
        <v>657</v>
      </c>
      <c r="G427" s="1">
        <v>0</v>
      </c>
    </row>
    <row r="428" spans="2:7">
      <c r="B428" s="1" t="s">
        <v>1697</v>
      </c>
      <c r="C428" s="1" t="s">
        <v>1698</v>
      </c>
      <c r="D428" s="1" t="s">
        <v>724</v>
      </c>
      <c r="E428" s="1" t="s">
        <v>703</v>
      </c>
      <c r="F428" s="1" t="s">
        <v>655</v>
      </c>
      <c r="G428" s="1">
        <v>0</v>
      </c>
    </row>
    <row r="429" spans="2:7">
      <c r="B429" s="1" t="s">
        <v>1699</v>
      </c>
      <c r="C429" s="1" t="s">
        <v>1700</v>
      </c>
      <c r="D429" s="1" t="s">
        <v>724</v>
      </c>
      <c r="E429" s="1" t="s">
        <v>703</v>
      </c>
      <c r="F429" s="1" t="s">
        <v>666</v>
      </c>
      <c r="G429" s="1">
        <v>0</v>
      </c>
    </row>
    <row r="430" spans="2:7">
      <c r="B430" s="1" t="s">
        <v>1701</v>
      </c>
      <c r="C430" s="1" t="s">
        <v>1702</v>
      </c>
      <c r="D430" s="1" t="s">
        <v>724</v>
      </c>
      <c r="E430" s="1" t="s">
        <v>703</v>
      </c>
      <c r="F430" s="1" t="s">
        <v>666</v>
      </c>
      <c r="G430" s="1">
        <v>0</v>
      </c>
    </row>
    <row r="431" spans="2:7">
      <c r="B431" s="1" t="s">
        <v>1703</v>
      </c>
      <c r="C431" s="1" t="s">
        <v>1704</v>
      </c>
      <c r="D431" s="1" t="s">
        <v>724</v>
      </c>
      <c r="E431" s="1" t="s">
        <v>703</v>
      </c>
      <c r="F431" s="1" t="s">
        <v>1705</v>
      </c>
      <c r="G431" s="1">
        <v>0</v>
      </c>
    </row>
    <row r="432" spans="2:7">
      <c r="B432" s="1" t="s">
        <v>1706</v>
      </c>
      <c r="C432" s="1" t="s">
        <v>1707</v>
      </c>
      <c r="D432" s="1" t="s">
        <v>743</v>
      </c>
      <c r="E432" s="1" t="s">
        <v>703</v>
      </c>
      <c r="F432" s="1" t="s">
        <v>1467</v>
      </c>
      <c r="G432" s="1">
        <v>0</v>
      </c>
    </row>
    <row r="433" spans="2:7">
      <c r="B433" s="1" t="s">
        <v>1708</v>
      </c>
      <c r="C433" s="1" t="s">
        <v>1709</v>
      </c>
      <c r="D433" s="1" t="s">
        <v>743</v>
      </c>
      <c r="E433" s="1" t="s">
        <v>703</v>
      </c>
      <c r="F433" s="1" t="s">
        <v>695</v>
      </c>
      <c r="G433" s="1">
        <v>0</v>
      </c>
    </row>
    <row r="434" spans="2:7">
      <c r="B434" s="1" t="s">
        <v>1710</v>
      </c>
      <c r="C434" s="1" t="s">
        <v>1711</v>
      </c>
      <c r="D434" s="1" t="s">
        <v>724</v>
      </c>
      <c r="E434" s="1" t="s">
        <v>703</v>
      </c>
      <c r="F434" s="1" t="s">
        <v>592</v>
      </c>
      <c r="G434" s="1">
        <v>0</v>
      </c>
    </row>
    <row r="435" spans="2:7">
      <c r="B435" s="1" t="s">
        <v>1712</v>
      </c>
      <c r="C435" s="1" t="s">
        <v>1713</v>
      </c>
      <c r="D435" s="1" t="s">
        <v>724</v>
      </c>
      <c r="E435" s="1" t="s">
        <v>703</v>
      </c>
      <c r="F435" s="1" t="s">
        <v>656</v>
      </c>
      <c r="G435" s="1">
        <v>616.74</v>
      </c>
    </row>
    <row r="436" spans="2:7">
      <c r="B436" s="1" t="s">
        <v>1714</v>
      </c>
      <c r="C436" s="1" t="s">
        <v>1715</v>
      </c>
      <c r="D436" s="1" t="s">
        <v>743</v>
      </c>
      <c r="E436" s="1" t="s">
        <v>703</v>
      </c>
      <c r="F436" s="1" t="s">
        <v>629</v>
      </c>
      <c r="G436" s="1">
        <v>0</v>
      </c>
    </row>
    <row r="437" spans="2:7">
      <c r="B437" s="1" t="s">
        <v>1716</v>
      </c>
      <c r="C437" s="1" t="s">
        <v>1717</v>
      </c>
      <c r="D437" s="1" t="s">
        <v>724</v>
      </c>
      <c r="E437" s="1" t="s">
        <v>703</v>
      </c>
      <c r="F437" s="1" t="s">
        <v>655</v>
      </c>
      <c r="G437" s="1">
        <v>0</v>
      </c>
    </row>
    <row r="438" spans="2:7">
      <c r="B438" s="1" t="s">
        <v>1718</v>
      </c>
      <c r="C438" s="1" t="s">
        <v>1719</v>
      </c>
      <c r="D438" s="1" t="s">
        <v>724</v>
      </c>
      <c r="E438" s="1" t="s">
        <v>703</v>
      </c>
      <c r="F438" s="1" t="s">
        <v>696</v>
      </c>
      <c r="G438" s="1">
        <v>0</v>
      </c>
    </row>
    <row r="439" spans="2:7">
      <c r="B439" s="1" t="s">
        <v>1720</v>
      </c>
      <c r="C439" s="1" t="s">
        <v>1721</v>
      </c>
      <c r="D439" s="1" t="s">
        <v>732</v>
      </c>
      <c r="E439" s="1" t="s">
        <v>703</v>
      </c>
      <c r="F439" s="1" t="s">
        <v>611</v>
      </c>
      <c r="G439" s="1">
        <v>17592.48</v>
      </c>
    </row>
    <row r="440" spans="2:7">
      <c r="B440" s="1" t="s">
        <v>1722</v>
      </c>
      <c r="C440" s="1" t="s">
        <v>1723</v>
      </c>
      <c r="D440" s="1" t="s">
        <v>724</v>
      </c>
      <c r="E440" s="1" t="s">
        <v>703</v>
      </c>
      <c r="F440" s="1" t="s">
        <v>658</v>
      </c>
      <c r="G440" s="1">
        <v>0</v>
      </c>
    </row>
    <row r="441" spans="2:7">
      <c r="B441" s="1" t="s">
        <v>1724</v>
      </c>
      <c r="C441" s="1" t="s">
        <v>1725</v>
      </c>
      <c r="D441" s="1" t="s">
        <v>724</v>
      </c>
      <c r="E441" s="1" t="s">
        <v>703</v>
      </c>
      <c r="F441" s="1" t="s">
        <v>1726</v>
      </c>
      <c r="G441" s="1">
        <v>-76765.42</v>
      </c>
    </row>
    <row r="442" spans="2:7">
      <c r="B442" s="1" t="s">
        <v>1727</v>
      </c>
      <c r="C442" s="1" t="s">
        <v>1728</v>
      </c>
      <c r="D442" s="1" t="s">
        <v>732</v>
      </c>
      <c r="E442" s="1" t="s">
        <v>594</v>
      </c>
      <c r="F442" s="1" t="s">
        <v>648</v>
      </c>
      <c r="G442" s="1">
        <v>0</v>
      </c>
    </row>
    <row r="443" spans="2:7">
      <c r="B443" s="1" t="s">
        <v>1729</v>
      </c>
      <c r="C443" s="1" t="s">
        <v>1730</v>
      </c>
      <c r="D443" s="1" t="s">
        <v>721</v>
      </c>
      <c r="E443" s="1" t="s">
        <v>703</v>
      </c>
      <c r="F443" s="1" t="s">
        <v>1731</v>
      </c>
      <c r="G443" s="1">
        <v>-393767</v>
      </c>
    </row>
    <row r="444" spans="2:7">
      <c r="B444" s="1" t="s">
        <v>1732</v>
      </c>
      <c r="C444" s="1" t="s">
        <v>1733</v>
      </c>
      <c r="D444" s="1" t="s">
        <v>729</v>
      </c>
      <c r="E444" s="1" t="s">
        <v>703</v>
      </c>
      <c r="F444" s="1" t="s">
        <v>1451</v>
      </c>
      <c r="G444" s="1">
        <v>0</v>
      </c>
    </row>
    <row r="445" spans="2:7">
      <c r="B445" s="1" t="s">
        <v>1734</v>
      </c>
      <c r="C445" s="1" t="s">
        <v>1735</v>
      </c>
      <c r="D445" s="1" t="s">
        <v>724</v>
      </c>
      <c r="E445" s="1" t="s">
        <v>703</v>
      </c>
      <c r="F445" s="1" t="s">
        <v>692</v>
      </c>
      <c r="G445" s="1">
        <v>0</v>
      </c>
    </row>
    <row r="446" spans="2:7">
      <c r="B446" s="1" t="s">
        <v>1736</v>
      </c>
      <c r="C446" s="1" t="s">
        <v>1737</v>
      </c>
      <c r="D446" s="1" t="s">
        <v>724</v>
      </c>
      <c r="E446" s="1" t="s">
        <v>703</v>
      </c>
      <c r="F446" s="1" t="s">
        <v>1738</v>
      </c>
      <c r="G446" s="1">
        <v>0</v>
      </c>
    </row>
    <row r="447" spans="2:7">
      <c r="B447" s="1" t="s">
        <v>1739</v>
      </c>
      <c r="C447" s="1" t="s">
        <v>1740</v>
      </c>
      <c r="D447" s="1" t="s">
        <v>743</v>
      </c>
      <c r="E447" s="1" t="s">
        <v>703</v>
      </c>
      <c r="F447" s="1" t="s">
        <v>1741</v>
      </c>
      <c r="G447" s="1">
        <v>0</v>
      </c>
    </row>
    <row r="448" spans="2:7">
      <c r="B448" s="1" t="s">
        <v>1742</v>
      </c>
      <c r="C448" s="1" t="s">
        <v>1743</v>
      </c>
      <c r="D448" s="1" t="s">
        <v>743</v>
      </c>
      <c r="E448" s="1" t="s">
        <v>650</v>
      </c>
      <c r="F448" s="1" t="s">
        <v>634</v>
      </c>
      <c r="G448" s="1">
        <v>117642.86</v>
      </c>
    </row>
    <row r="449" spans="2:7">
      <c r="B449" s="1" t="s">
        <v>1744</v>
      </c>
      <c r="C449" s="1" t="s">
        <v>1745</v>
      </c>
      <c r="D449" s="1" t="s">
        <v>721</v>
      </c>
      <c r="E449" s="1" t="s">
        <v>703</v>
      </c>
      <c r="F449" s="1" t="s">
        <v>704</v>
      </c>
      <c r="G449" s="1">
        <v>0</v>
      </c>
    </row>
    <row r="450" spans="2:7">
      <c r="B450" s="1" t="s">
        <v>1746</v>
      </c>
      <c r="C450" s="1" t="s">
        <v>1747</v>
      </c>
      <c r="D450" s="1" t="s">
        <v>743</v>
      </c>
      <c r="E450" s="1" t="s">
        <v>703</v>
      </c>
      <c r="F450" s="1" t="s">
        <v>1931</v>
      </c>
      <c r="G450" s="1">
        <v>0</v>
      </c>
    </row>
    <row r="451" spans="2:7">
      <c r="B451" s="1" t="s">
        <v>1748</v>
      </c>
      <c r="C451" s="1" t="s">
        <v>1749</v>
      </c>
      <c r="D451" s="1" t="s">
        <v>743</v>
      </c>
      <c r="E451" s="1" t="s">
        <v>703</v>
      </c>
      <c r="F451" s="1" t="s">
        <v>636</v>
      </c>
      <c r="G451" s="1">
        <v>68.06</v>
      </c>
    </row>
    <row r="452" spans="2:7">
      <c r="B452" s="1" t="s">
        <v>1750</v>
      </c>
      <c r="C452" s="1" t="s">
        <v>1751</v>
      </c>
      <c r="D452" s="1" t="s">
        <v>743</v>
      </c>
      <c r="E452" s="1" t="s">
        <v>703</v>
      </c>
      <c r="F452" s="1" t="s">
        <v>616</v>
      </c>
      <c r="G452" s="1">
        <v>3574</v>
      </c>
    </row>
    <row r="453" spans="2:7">
      <c r="B453" s="1" t="s">
        <v>1752</v>
      </c>
      <c r="C453" s="1" t="s">
        <v>1753</v>
      </c>
      <c r="D453" s="1" t="s">
        <v>724</v>
      </c>
      <c r="E453" s="1" t="s">
        <v>703</v>
      </c>
      <c r="F453" s="1" t="s">
        <v>1470</v>
      </c>
      <c r="G453" s="1">
        <v>0</v>
      </c>
    </row>
    <row r="454" spans="2:7">
      <c r="B454" s="1" t="s">
        <v>1754</v>
      </c>
      <c r="C454" s="1" t="s">
        <v>1755</v>
      </c>
      <c r="D454" s="1" t="s">
        <v>724</v>
      </c>
      <c r="E454" s="1" t="s">
        <v>703</v>
      </c>
      <c r="F454" s="1" t="s">
        <v>1756</v>
      </c>
      <c r="G454" s="1">
        <v>0</v>
      </c>
    </row>
    <row r="455" spans="2:7">
      <c r="B455" s="1" t="s">
        <v>1757</v>
      </c>
      <c r="C455" s="1" t="s">
        <v>1758</v>
      </c>
      <c r="D455" s="1" t="s">
        <v>724</v>
      </c>
      <c r="E455" s="1" t="s">
        <v>813</v>
      </c>
      <c r="F455" s="1" t="s">
        <v>663</v>
      </c>
      <c r="G455" s="1">
        <v>11397.34</v>
      </c>
    </row>
    <row r="456" spans="2:7">
      <c r="B456" s="1" t="s">
        <v>1759</v>
      </c>
      <c r="C456" s="1" t="s">
        <v>1760</v>
      </c>
      <c r="D456" s="1" t="s">
        <v>724</v>
      </c>
      <c r="E456" s="1" t="s">
        <v>729</v>
      </c>
      <c r="F456" s="1" t="s">
        <v>686</v>
      </c>
      <c r="G456" s="1">
        <v>0</v>
      </c>
    </row>
    <row r="457" spans="2:7">
      <c r="B457" s="1" t="s">
        <v>1761</v>
      </c>
      <c r="C457" s="1" t="s">
        <v>1762</v>
      </c>
      <c r="D457" s="1" t="s">
        <v>724</v>
      </c>
      <c r="E457" s="1" t="s">
        <v>858</v>
      </c>
      <c r="F457" s="1" t="s">
        <v>686</v>
      </c>
      <c r="G457" s="1">
        <v>0</v>
      </c>
    </row>
    <row r="458" spans="2:7">
      <c r="B458" s="1" t="s">
        <v>1763</v>
      </c>
      <c r="C458" s="1" t="s">
        <v>1764</v>
      </c>
      <c r="D458" s="1" t="s">
        <v>743</v>
      </c>
      <c r="E458" s="1" t="s">
        <v>691</v>
      </c>
      <c r="F458" s="1" t="s">
        <v>642</v>
      </c>
      <c r="G458" s="1">
        <v>0</v>
      </c>
    </row>
    <row r="459" spans="2:7">
      <c r="B459" s="1" t="s">
        <v>1765</v>
      </c>
      <c r="C459" s="1" t="s">
        <v>1766</v>
      </c>
      <c r="D459" s="1" t="s">
        <v>724</v>
      </c>
      <c r="E459" s="1" t="s">
        <v>813</v>
      </c>
      <c r="F459" s="1" t="s">
        <v>1767</v>
      </c>
      <c r="G459" s="1">
        <v>-736705.1</v>
      </c>
    </row>
    <row r="460" spans="2:7">
      <c r="B460" s="1" t="s">
        <v>1768</v>
      </c>
      <c r="C460" s="1" t="s">
        <v>1769</v>
      </c>
      <c r="D460" s="1" t="s">
        <v>721</v>
      </c>
      <c r="E460" s="1" t="s">
        <v>669</v>
      </c>
      <c r="F460" s="1" t="s">
        <v>1770</v>
      </c>
      <c r="G460" s="1">
        <v>-1474338.36</v>
      </c>
    </row>
    <row r="461" spans="2:7">
      <c r="B461" s="1" t="s">
        <v>1771</v>
      </c>
      <c r="C461" s="1" t="s">
        <v>1772</v>
      </c>
      <c r="D461" s="1" t="s">
        <v>724</v>
      </c>
      <c r="E461" s="1" t="s">
        <v>836</v>
      </c>
      <c r="F461" s="1" t="s">
        <v>656</v>
      </c>
      <c r="G461" s="1">
        <v>-49997</v>
      </c>
    </row>
    <row r="462" spans="2:7">
      <c r="B462" s="1" t="s">
        <v>1773</v>
      </c>
      <c r="C462" s="1" t="s">
        <v>1774</v>
      </c>
      <c r="D462" s="1" t="s">
        <v>721</v>
      </c>
      <c r="E462" s="1" t="s">
        <v>703</v>
      </c>
      <c r="F462" s="1" t="s">
        <v>580</v>
      </c>
      <c r="G462" s="1">
        <v>-235627.85</v>
      </c>
    </row>
    <row r="463" spans="2:7">
      <c r="B463" s="1" t="s">
        <v>1775</v>
      </c>
      <c r="C463" s="1" t="s">
        <v>1776</v>
      </c>
      <c r="D463" s="1" t="s">
        <v>721</v>
      </c>
      <c r="E463" s="1" t="s">
        <v>1777</v>
      </c>
      <c r="F463" s="1" t="s">
        <v>1778</v>
      </c>
      <c r="G463" s="1">
        <v>-267360.01</v>
      </c>
    </row>
    <row r="464" spans="2:7">
      <c r="B464" s="1" t="s">
        <v>1779</v>
      </c>
      <c r="C464" s="1" t="s">
        <v>1780</v>
      </c>
      <c r="D464" s="1" t="s">
        <v>724</v>
      </c>
      <c r="E464" s="1" t="s">
        <v>858</v>
      </c>
      <c r="F464" s="1" t="s">
        <v>686</v>
      </c>
      <c r="G464" s="1">
        <v>164213.29</v>
      </c>
    </row>
    <row r="465" spans="2:7">
      <c r="B465" s="1" t="s">
        <v>1781</v>
      </c>
      <c r="C465" s="1" t="s">
        <v>1782</v>
      </c>
      <c r="D465" s="1" t="s">
        <v>724</v>
      </c>
      <c r="E465" s="1" t="s">
        <v>669</v>
      </c>
      <c r="F465" s="1" t="s">
        <v>655</v>
      </c>
      <c r="G465" s="1">
        <v>0</v>
      </c>
    </row>
    <row r="466" spans="2:7">
      <c r="B466" s="1" t="s">
        <v>1783</v>
      </c>
      <c r="C466" s="1" t="s">
        <v>1784</v>
      </c>
      <c r="D466" s="1" t="s">
        <v>732</v>
      </c>
      <c r="E466" s="1" t="s">
        <v>733</v>
      </c>
      <c r="F466" s="1" t="s">
        <v>601</v>
      </c>
      <c r="G466" s="1">
        <v>-25900.87</v>
      </c>
    </row>
    <row r="467" spans="2:7">
      <c r="B467" s="1" t="s">
        <v>1785</v>
      </c>
      <c r="C467" s="1" t="s">
        <v>1786</v>
      </c>
      <c r="D467" s="1" t="s">
        <v>743</v>
      </c>
      <c r="E467" s="1" t="s">
        <v>691</v>
      </c>
      <c r="F467" s="1" t="s">
        <v>642</v>
      </c>
      <c r="G467" s="1">
        <v>3.33</v>
      </c>
    </row>
    <row r="468" spans="2:7">
      <c r="B468" s="1" t="s">
        <v>1787</v>
      </c>
      <c r="C468" s="1" t="s">
        <v>1788</v>
      </c>
      <c r="D468" s="1" t="s">
        <v>724</v>
      </c>
      <c r="E468" s="1" t="s">
        <v>841</v>
      </c>
      <c r="F468" s="1" t="s">
        <v>712</v>
      </c>
      <c r="G468" s="1">
        <v>-32690.080000000002</v>
      </c>
    </row>
    <row r="469" spans="2:7">
      <c r="B469" s="1" t="s">
        <v>1789</v>
      </c>
      <c r="C469" s="1" t="s">
        <v>1790</v>
      </c>
      <c r="D469" s="1" t="s">
        <v>724</v>
      </c>
      <c r="E469" s="1" t="s">
        <v>836</v>
      </c>
      <c r="F469" s="1" t="s">
        <v>656</v>
      </c>
      <c r="G469" s="1">
        <v>2134.7199999999998</v>
      </c>
    </row>
    <row r="470" spans="2:7">
      <c r="B470" s="1" t="s">
        <v>1791</v>
      </c>
      <c r="C470" s="1" t="s">
        <v>1792</v>
      </c>
      <c r="D470" s="1" t="s">
        <v>724</v>
      </c>
      <c r="E470" s="1" t="s">
        <v>725</v>
      </c>
      <c r="F470" s="1" t="s">
        <v>683</v>
      </c>
      <c r="G470" s="1">
        <v>61567.63</v>
      </c>
    </row>
    <row r="471" spans="2:7">
      <c r="B471" s="1" t="s">
        <v>1793</v>
      </c>
      <c r="C471" s="1" t="s">
        <v>1794</v>
      </c>
      <c r="D471" s="1" t="s">
        <v>724</v>
      </c>
      <c r="E471" s="1" t="s">
        <v>729</v>
      </c>
      <c r="F471" s="1" t="s">
        <v>686</v>
      </c>
      <c r="G471" s="1">
        <v>0</v>
      </c>
    </row>
    <row r="472" spans="2:7">
      <c r="B472" s="1" t="s">
        <v>1795</v>
      </c>
      <c r="C472" s="1" t="s">
        <v>1796</v>
      </c>
      <c r="D472" s="1" t="s">
        <v>724</v>
      </c>
      <c r="E472" s="1" t="s">
        <v>703</v>
      </c>
      <c r="F472" s="1" t="s">
        <v>655</v>
      </c>
      <c r="G472" s="1">
        <v>0</v>
      </c>
    </row>
    <row r="473" spans="2:7">
      <c r="B473" s="1" t="s">
        <v>1797</v>
      </c>
      <c r="C473" s="1" t="s">
        <v>1798</v>
      </c>
      <c r="D473" s="1" t="s">
        <v>724</v>
      </c>
      <c r="E473" s="1" t="s">
        <v>725</v>
      </c>
      <c r="F473" s="1" t="s">
        <v>702</v>
      </c>
      <c r="G473" s="1">
        <v>22993.29</v>
      </c>
    </row>
    <row r="474" spans="2:7">
      <c r="B474" s="1" t="s">
        <v>1799</v>
      </c>
      <c r="C474" s="1" t="s">
        <v>1800</v>
      </c>
      <c r="D474" s="1" t="s">
        <v>721</v>
      </c>
      <c r="E474" s="1" t="s">
        <v>703</v>
      </c>
      <c r="F474" s="1" t="s">
        <v>586</v>
      </c>
      <c r="G474" s="1">
        <v>-3211320.2</v>
      </c>
    </row>
    <row r="475" spans="2:7">
      <c r="B475" s="1" t="s">
        <v>1801</v>
      </c>
      <c r="C475" s="1" t="s">
        <v>1802</v>
      </c>
      <c r="D475" s="1" t="s">
        <v>732</v>
      </c>
      <c r="E475" s="1" t="s">
        <v>594</v>
      </c>
      <c r="F475" s="1" t="s">
        <v>648</v>
      </c>
      <c r="G475" s="1">
        <v>-16033242.699999999</v>
      </c>
    </row>
    <row r="476" spans="2:7">
      <c r="B476" s="1" t="s">
        <v>1803</v>
      </c>
      <c r="C476" s="1" t="s">
        <v>1804</v>
      </c>
      <c r="D476" s="1" t="s">
        <v>724</v>
      </c>
      <c r="E476" s="1" t="s">
        <v>703</v>
      </c>
      <c r="F476" s="1" t="s">
        <v>655</v>
      </c>
      <c r="G476" s="1">
        <v>-319145.82</v>
      </c>
    </row>
    <row r="477" spans="2:7">
      <c r="B477" s="1" t="s">
        <v>1805</v>
      </c>
      <c r="C477" s="1" t="s">
        <v>1806</v>
      </c>
      <c r="D477" s="1" t="s">
        <v>724</v>
      </c>
      <c r="E477" s="1" t="s">
        <v>703</v>
      </c>
      <c r="F477" s="1" t="s">
        <v>655</v>
      </c>
      <c r="G477" s="1">
        <v>-234700</v>
      </c>
    </row>
    <row r="478" spans="2:7">
      <c r="B478" s="1" t="s">
        <v>1807</v>
      </c>
      <c r="C478" s="1" t="s">
        <v>1808</v>
      </c>
      <c r="D478" s="1" t="s">
        <v>721</v>
      </c>
      <c r="E478" s="1" t="s">
        <v>650</v>
      </c>
      <c r="F478" s="1" t="s">
        <v>1809</v>
      </c>
      <c r="G478" s="1">
        <v>309754.34999999998</v>
      </c>
    </row>
    <row r="479" spans="2:7">
      <c r="B479" s="1" t="s">
        <v>1810</v>
      </c>
      <c r="C479" s="1" t="s">
        <v>1811</v>
      </c>
      <c r="D479" s="1" t="s">
        <v>743</v>
      </c>
      <c r="E479" s="1" t="s">
        <v>650</v>
      </c>
      <c r="F479" s="1" t="s">
        <v>777</v>
      </c>
      <c r="G479" s="1">
        <v>3627.27</v>
      </c>
    </row>
    <row r="480" spans="2:7">
      <c r="B480" s="1" t="s">
        <v>1812</v>
      </c>
      <c r="C480" s="1" t="s">
        <v>1813</v>
      </c>
      <c r="D480" s="1" t="s">
        <v>721</v>
      </c>
      <c r="E480" s="1" t="s">
        <v>703</v>
      </c>
      <c r="F480" s="1" t="s">
        <v>689</v>
      </c>
      <c r="G480" s="1">
        <v>-78217.16</v>
      </c>
    </row>
    <row r="481" spans="2:7">
      <c r="B481" s="1" t="s">
        <v>1814</v>
      </c>
      <c r="C481" s="1" t="s">
        <v>1815</v>
      </c>
      <c r="D481" s="1" t="s">
        <v>724</v>
      </c>
      <c r="E481" s="1" t="s">
        <v>703</v>
      </c>
      <c r="F481" s="1" t="s">
        <v>655</v>
      </c>
      <c r="G481" s="1">
        <v>-110410.64</v>
      </c>
    </row>
    <row r="482" spans="2:7">
      <c r="B482" s="1" t="s">
        <v>1816</v>
      </c>
      <c r="C482" s="1" t="s">
        <v>1817</v>
      </c>
      <c r="D482" s="1" t="s">
        <v>732</v>
      </c>
      <c r="E482" s="1" t="s">
        <v>733</v>
      </c>
      <c r="F482" s="1" t="s">
        <v>1818</v>
      </c>
      <c r="G482" s="1">
        <v>184.24</v>
      </c>
    </row>
    <row r="483" spans="2:7">
      <c r="B483" s="1" t="s">
        <v>1819</v>
      </c>
      <c r="C483" s="1" t="s">
        <v>1820</v>
      </c>
      <c r="D483" s="1" t="s">
        <v>743</v>
      </c>
      <c r="E483" s="1" t="s">
        <v>650</v>
      </c>
      <c r="F483" s="1" t="s">
        <v>637</v>
      </c>
      <c r="G483" s="1">
        <v>688030.1</v>
      </c>
    </row>
    <row r="484" spans="2:7">
      <c r="B484" s="1" t="s">
        <v>1821</v>
      </c>
      <c r="C484" s="1" t="s">
        <v>1822</v>
      </c>
      <c r="D484" s="1" t="s">
        <v>721</v>
      </c>
      <c r="E484" s="1" t="s">
        <v>703</v>
      </c>
      <c r="F484" s="1" t="s">
        <v>582</v>
      </c>
      <c r="G484" s="1">
        <v>180513.1</v>
      </c>
    </row>
    <row r="485" spans="2:7">
      <c r="B485" s="1" t="s">
        <v>1823</v>
      </c>
      <c r="C485" s="1" t="s">
        <v>1824</v>
      </c>
      <c r="D485" s="1" t="s">
        <v>743</v>
      </c>
      <c r="E485" s="1" t="s">
        <v>691</v>
      </c>
      <c r="F485" s="1" t="s">
        <v>1825</v>
      </c>
      <c r="G485" s="1">
        <v>-192963.17</v>
      </c>
    </row>
    <row r="486" spans="2:7">
      <c r="B486" s="1" t="s">
        <v>1826</v>
      </c>
      <c r="C486" s="1" t="s">
        <v>1827</v>
      </c>
      <c r="D486" s="1" t="s">
        <v>732</v>
      </c>
      <c r="E486" s="1" t="s">
        <v>703</v>
      </c>
      <c r="F486" s="1" t="s">
        <v>646</v>
      </c>
      <c r="G486" s="1">
        <v>0</v>
      </c>
    </row>
    <row r="487" spans="2:7">
      <c r="B487" s="1" t="s">
        <v>1828</v>
      </c>
      <c r="C487" s="1" t="s">
        <v>1829</v>
      </c>
      <c r="D487" s="1" t="s">
        <v>743</v>
      </c>
      <c r="E487" s="1" t="s">
        <v>703</v>
      </c>
      <c r="F487" s="1" t="s">
        <v>1830</v>
      </c>
      <c r="G487" s="1">
        <v>0</v>
      </c>
    </row>
    <row r="488" spans="2:7">
      <c r="B488" s="1" t="s">
        <v>1831</v>
      </c>
      <c r="C488" s="1" t="s">
        <v>1832</v>
      </c>
      <c r="D488" s="1" t="s">
        <v>743</v>
      </c>
      <c r="E488" s="1" t="s">
        <v>703</v>
      </c>
      <c r="F488" s="1" t="s">
        <v>682</v>
      </c>
      <c r="G488" s="1">
        <v>-164530.14000000001</v>
      </c>
    </row>
    <row r="489" spans="2:7">
      <c r="B489" s="1" t="s">
        <v>1833</v>
      </c>
      <c r="C489" s="1" t="s">
        <v>1834</v>
      </c>
      <c r="D489" s="1" t="s">
        <v>729</v>
      </c>
      <c r="E489" s="1" t="s">
        <v>594</v>
      </c>
      <c r="F489" s="1" t="s">
        <v>646</v>
      </c>
      <c r="G489" s="1">
        <v>0</v>
      </c>
    </row>
    <row r="490" spans="2:7">
      <c r="B490" s="1" t="s">
        <v>1835</v>
      </c>
      <c r="C490" s="1" t="s">
        <v>1836</v>
      </c>
      <c r="D490" s="1" t="s">
        <v>732</v>
      </c>
      <c r="E490" s="1" t="s">
        <v>594</v>
      </c>
      <c r="F490" s="1" t="s">
        <v>646</v>
      </c>
      <c r="G490" s="1">
        <v>0</v>
      </c>
    </row>
    <row r="491" spans="2:7">
      <c r="B491" s="1" t="s">
        <v>1837</v>
      </c>
      <c r="C491" s="1" t="s">
        <v>1838</v>
      </c>
      <c r="D491" s="1" t="s">
        <v>721</v>
      </c>
      <c r="E491" s="1" t="s">
        <v>650</v>
      </c>
      <c r="F491" s="1" t="s">
        <v>1839</v>
      </c>
      <c r="G491" s="1">
        <v>-20799.349999999999</v>
      </c>
    </row>
    <row r="492" spans="2:7">
      <c r="B492" s="1" t="s">
        <v>1840</v>
      </c>
      <c r="C492" s="1" t="s">
        <v>1841</v>
      </c>
      <c r="D492" s="1" t="s">
        <v>724</v>
      </c>
      <c r="E492" s="1" t="s">
        <v>813</v>
      </c>
      <c r="F492" s="1" t="s">
        <v>1842</v>
      </c>
      <c r="G492" s="1">
        <v>23058.240000000002</v>
      </c>
    </row>
    <row r="493" spans="2:7">
      <c r="B493" s="1" t="s">
        <v>1843</v>
      </c>
      <c r="C493" s="1" t="s">
        <v>1844</v>
      </c>
      <c r="D493" s="1" t="s">
        <v>743</v>
      </c>
      <c r="E493" s="1" t="s">
        <v>669</v>
      </c>
      <c r="F493" s="1" t="s">
        <v>1845</v>
      </c>
      <c r="G493" s="1">
        <v>17744.43</v>
      </c>
    </row>
    <row r="494" spans="2:7">
      <c r="B494" s="1" t="s">
        <v>1846</v>
      </c>
      <c r="C494" s="1" t="s">
        <v>1847</v>
      </c>
      <c r="D494" s="1" t="s">
        <v>724</v>
      </c>
      <c r="E494" s="1" t="s">
        <v>841</v>
      </c>
      <c r="F494" s="1" t="s">
        <v>673</v>
      </c>
      <c r="G494" s="1">
        <v>792381.2</v>
      </c>
    </row>
    <row r="495" spans="2:7">
      <c r="B495" s="1" t="s">
        <v>1848</v>
      </c>
      <c r="C495" s="1" t="s">
        <v>1849</v>
      </c>
      <c r="D495" s="1" t="s">
        <v>732</v>
      </c>
      <c r="E495" s="1" t="s">
        <v>733</v>
      </c>
      <c r="F495" s="1" t="s">
        <v>1850</v>
      </c>
      <c r="G495" s="1">
        <v>0</v>
      </c>
    </row>
    <row r="496" spans="2:7">
      <c r="B496" s="1" t="s">
        <v>1851</v>
      </c>
      <c r="C496" s="1" t="s">
        <v>1852</v>
      </c>
      <c r="D496" s="1" t="s">
        <v>743</v>
      </c>
      <c r="E496" s="1" t="s">
        <v>650</v>
      </c>
      <c r="F496" s="1" t="s">
        <v>688</v>
      </c>
      <c r="G496" s="1">
        <v>99903.4</v>
      </c>
    </row>
    <row r="497" spans="2:7">
      <c r="B497" s="1" t="s">
        <v>1853</v>
      </c>
      <c r="C497" s="1" t="s">
        <v>1854</v>
      </c>
      <c r="D497" s="1" t="s">
        <v>721</v>
      </c>
      <c r="E497" s="1" t="s">
        <v>669</v>
      </c>
      <c r="F497" s="1" t="s">
        <v>704</v>
      </c>
      <c r="G497" s="1">
        <v>202354.84</v>
      </c>
    </row>
    <row r="498" spans="2:7">
      <c r="B498" s="1" t="s">
        <v>1855</v>
      </c>
      <c r="C498" s="1" t="s">
        <v>1856</v>
      </c>
      <c r="D498" s="1" t="s">
        <v>721</v>
      </c>
      <c r="E498" s="1" t="s">
        <v>650</v>
      </c>
      <c r="F498" s="1" t="s">
        <v>1857</v>
      </c>
      <c r="G498" s="1">
        <v>0</v>
      </c>
    </row>
    <row r="499" spans="2:7">
      <c r="B499" s="1" t="s">
        <v>1858</v>
      </c>
      <c r="C499" s="1" t="s">
        <v>1859</v>
      </c>
      <c r="D499" s="1" t="s">
        <v>724</v>
      </c>
      <c r="E499" s="1" t="s">
        <v>725</v>
      </c>
      <c r="F499" s="1" t="s">
        <v>675</v>
      </c>
      <c r="G499" s="1">
        <v>17315</v>
      </c>
    </row>
    <row r="500" spans="2:7">
      <c r="B500" s="1" t="s">
        <v>1860</v>
      </c>
      <c r="C500" s="1" t="s">
        <v>1861</v>
      </c>
      <c r="D500" s="1" t="s">
        <v>724</v>
      </c>
      <c r="E500" s="1" t="s">
        <v>858</v>
      </c>
      <c r="F500" s="1" t="s">
        <v>679</v>
      </c>
      <c r="G500" s="1">
        <v>0</v>
      </c>
    </row>
    <row r="501" spans="2:7">
      <c r="B501" s="1" t="s">
        <v>1862</v>
      </c>
      <c r="C501" s="1" t="s">
        <v>1863</v>
      </c>
      <c r="D501" s="1" t="s">
        <v>724</v>
      </c>
      <c r="E501" s="1" t="s">
        <v>858</v>
      </c>
      <c r="F501" s="1" t="s">
        <v>1864</v>
      </c>
      <c r="G501" s="1">
        <v>553992.92000000004</v>
      </c>
    </row>
    <row r="502" spans="2:7">
      <c r="B502" s="1" t="s">
        <v>1865</v>
      </c>
      <c r="C502" s="1" t="s">
        <v>1866</v>
      </c>
      <c r="D502" s="1" t="s">
        <v>743</v>
      </c>
      <c r="E502" s="1" t="s">
        <v>703</v>
      </c>
      <c r="F502" s="1" t="s">
        <v>1594</v>
      </c>
      <c r="G502" s="1">
        <v>-195105.98</v>
      </c>
    </row>
    <row r="503" spans="2:7">
      <c r="B503" s="1" t="s">
        <v>1867</v>
      </c>
      <c r="C503" s="1" t="s">
        <v>1868</v>
      </c>
      <c r="D503" s="1" t="s">
        <v>743</v>
      </c>
      <c r="E503" s="1" t="s">
        <v>691</v>
      </c>
      <c r="F503" s="1" t="s">
        <v>643</v>
      </c>
      <c r="G503" s="1">
        <v>0</v>
      </c>
    </row>
    <row r="504" spans="2:7">
      <c r="B504" s="1" t="s">
        <v>1869</v>
      </c>
      <c r="C504" s="1" t="s">
        <v>1870</v>
      </c>
      <c r="D504" s="1" t="s">
        <v>724</v>
      </c>
      <c r="E504" s="1" t="s">
        <v>725</v>
      </c>
      <c r="F504" s="1" t="s">
        <v>683</v>
      </c>
      <c r="G504" s="1">
        <v>69588.27</v>
      </c>
    </row>
    <row r="505" spans="2:7">
      <c r="B505" s="1" t="s">
        <v>1871</v>
      </c>
      <c r="C505" s="1" t="s">
        <v>1872</v>
      </c>
      <c r="D505" s="1" t="s">
        <v>1873</v>
      </c>
      <c r="E505" s="1" t="s">
        <v>703</v>
      </c>
      <c r="F505" s="1" t="s">
        <v>646</v>
      </c>
      <c r="G505" s="1">
        <v>0</v>
      </c>
    </row>
    <row r="506" spans="2:7">
      <c r="B506" s="1" t="s">
        <v>1874</v>
      </c>
      <c r="C506" s="1" t="s">
        <v>1875</v>
      </c>
      <c r="D506" s="1" t="s">
        <v>743</v>
      </c>
      <c r="E506" s="1" t="s">
        <v>703</v>
      </c>
      <c r="F506" s="1" t="s">
        <v>1003</v>
      </c>
      <c r="G506" s="1">
        <v>25963</v>
      </c>
    </row>
    <row r="507" spans="2:7">
      <c r="B507" s="1" t="s">
        <v>1876</v>
      </c>
      <c r="C507" s="1" t="s">
        <v>1877</v>
      </c>
      <c r="D507" s="1" t="s">
        <v>724</v>
      </c>
      <c r="E507" s="1" t="s">
        <v>858</v>
      </c>
      <c r="F507" s="1" t="s">
        <v>678</v>
      </c>
      <c r="G507" s="1">
        <v>40770.980000000003</v>
      </c>
    </row>
    <row r="508" spans="2:7">
      <c r="B508" s="1" t="s">
        <v>1878</v>
      </c>
      <c r="C508" s="1" t="s">
        <v>1879</v>
      </c>
      <c r="D508" s="1" t="s">
        <v>721</v>
      </c>
      <c r="E508" s="1" t="s">
        <v>650</v>
      </c>
      <c r="F508" s="1" t="s">
        <v>1880</v>
      </c>
      <c r="G508" s="1">
        <v>45288.82</v>
      </c>
    </row>
    <row r="509" spans="2:7">
      <c r="B509" s="1" t="s">
        <v>1881</v>
      </c>
      <c r="C509" s="1" t="s">
        <v>1882</v>
      </c>
      <c r="D509" s="1" t="s">
        <v>724</v>
      </c>
      <c r="E509" s="1" t="s">
        <v>813</v>
      </c>
      <c r="F509" s="1" t="s">
        <v>653</v>
      </c>
      <c r="G509" s="1">
        <v>-84443.13</v>
      </c>
    </row>
    <row r="510" spans="2:7">
      <c r="B510" s="1" t="s">
        <v>1883</v>
      </c>
      <c r="C510" s="1" t="s">
        <v>1884</v>
      </c>
      <c r="D510" s="1" t="s">
        <v>732</v>
      </c>
      <c r="E510" s="1" t="s">
        <v>1040</v>
      </c>
      <c r="F510" s="1" t="s">
        <v>611</v>
      </c>
      <c r="G510" s="1">
        <v>-594994.93999999994</v>
      </c>
    </row>
    <row r="511" spans="2:7">
      <c r="B511" s="1" t="s">
        <v>1885</v>
      </c>
      <c r="C511" s="1" t="s">
        <v>1886</v>
      </c>
      <c r="D511" s="1" t="s">
        <v>645</v>
      </c>
      <c r="E511" s="1" t="s">
        <v>703</v>
      </c>
      <c r="F511" s="1" t="s">
        <v>645</v>
      </c>
      <c r="G511" s="1">
        <v>0</v>
      </c>
    </row>
    <row r="512" spans="2:7">
      <c r="B512" s="1" t="s">
        <v>1887</v>
      </c>
      <c r="C512" s="1" t="s">
        <v>1888</v>
      </c>
      <c r="D512" s="1" t="s">
        <v>645</v>
      </c>
      <c r="E512" s="1" t="s">
        <v>669</v>
      </c>
      <c r="F512" s="1" t="s">
        <v>1731</v>
      </c>
      <c r="G512" s="1">
        <v>0</v>
      </c>
    </row>
    <row r="513" spans="2:7">
      <c r="B513" s="1" t="s">
        <v>1889</v>
      </c>
      <c r="C513" s="1" t="s">
        <v>1890</v>
      </c>
      <c r="D513" s="1" t="s">
        <v>743</v>
      </c>
      <c r="E513" s="1" t="s">
        <v>669</v>
      </c>
      <c r="F513" s="1" t="s">
        <v>1891</v>
      </c>
      <c r="G513" s="1">
        <v>-2135.96</v>
      </c>
    </row>
    <row r="514" spans="2:7">
      <c r="B514" s="1" t="s">
        <v>1892</v>
      </c>
      <c r="C514" s="1" t="s">
        <v>1893</v>
      </c>
      <c r="D514" s="1" t="s">
        <v>724</v>
      </c>
      <c r="E514" s="1" t="s">
        <v>669</v>
      </c>
      <c r="F514" s="1" t="s">
        <v>655</v>
      </c>
      <c r="G514" s="1">
        <v>-388399.92</v>
      </c>
    </row>
    <row r="515" spans="2:7">
      <c r="B515" s="1" t="s">
        <v>1894</v>
      </c>
      <c r="C515" s="1" t="s">
        <v>1895</v>
      </c>
      <c r="D515" s="1" t="s">
        <v>732</v>
      </c>
      <c r="E515" s="1" t="s">
        <v>740</v>
      </c>
      <c r="F515" s="1" t="s">
        <v>651</v>
      </c>
      <c r="G515" s="1">
        <v>-30042.84</v>
      </c>
    </row>
    <row r="516" spans="2:7">
      <c r="B516" s="1" t="s">
        <v>1896</v>
      </c>
      <c r="C516" s="1" t="s">
        <v>1897</v>
      </c>
      <c r="D516" s="1" t="s">
        <v>743</v>
      </c>
      <c r="E516" s="1" t="s">
        <v>650</v>
      </c>
      <c r="F516" s="1" t="s">
        <v>1898</v>
      </c>
      <c r="G516" s="1">
        <v>-15456.66</v>
      </c>
    </row>
    <row r="517" spans="2:7">
      <c r="B517" s="1" t="s">
        <v>1899</v>
      </c>
      <c r="C517" s="1" t="s">
        <v>1900</v>
      </c>
      <c r="D517" s="1" t="s">
        <v>721</v>
      </c>
      <c r="E517" s="1"/>
      <c r="F517" s="1" t="s">
        <v>591</v>
      </c>
      <c r="G517" s="1">
        <v>32031.02</v>
      </c>
    </row>
    <row r="518" spans="2:7">
      <c r="B518" s="1" t="s">
        <v>1901</v>
      </c>
      <c r="C518" s="1" t="s">
        <v>1902</v>
      </c>
      <c r="D518" s="1" t="s">
        <v>732</v>
      </c>
      <c r="E518" s="1" t="s">
        <v>740</v>
      </c>
      <c r="F518" s="1" t="s">
        <v>599</v>
      </c>
      <c r="G518" s="1">
        <v>0</v>
      </c>
    </row>
    <row r="519" spans="2:7">
      <c r="B519" s="1" t="s">
        <v>1903</v>
      </c>
      <c r="C519" s="1" t="s">
        <v>1904</v>
      </c>
      <c r="D519" s="1" t="s">
        <v>732</v>
      </c>
      <c r="E519" s="1" t="s">
        <v>594</v>
      </c>
      <c r="F519" s="1" t="s">
        <v>648</v>
      </c>
      <c r="G519" s="1">
        <v>-920382.27</v>
      </c>
    </row>
    <row r="520" spans="2:7">
      <c r="B520" s="1" t="s">
        <v>1905</v>
      </c>
      <c r="C520" s="1" t="s">
        <v>1906</v>
      </c>
      <c r="D520" s="1" t="s">
        <v>1873</v>
      </c>
      <c r="E520" s="1" t="s">
        <v>703</v>
      </c>
      <c r="F520" s="1" t="s">
        <v>634</v>
      </c>
      <c r="G520" s="1">
        <v>0</v>
      </c>
    </row>
    <row r="521" spans="2:7">
      <c r="B521" s="1" t="s">
        <v>1907</v>
      </c>
      <c r="C521" s="1" t="s">
        <v>1908</v>
      </c>
      <c r="D521" s="1" t="s">
        <v>1777</v>
      </c>
      <c r="E521" s="1" t="s">
        <v>703</v>
      </c>
      <c r="F521" s="1" t="s">
        <v>653</v>
      </c>
      <c r="G521" s="1">
        <v>0</v>
      </c>
    </row>
    <row r="522" spans="2:7">
      <c r="B522" s="1" t="s">
        <v>1909</v>
      </c>
      <c r="C522" s="1" t="s">
        <v>1910</v>
      </c>
      <c r="D522" s="1" t="s">
        <v>1873</v>
      </c>
      <c r="E522" s="1" t="s">
        <v>703</v>
      </c>
      <c r="F522" s="1" t="s">
        <v>744</v>
      </c>
      <c r="G522" s="1">
        <v>0</v>
      </c>
    </row>
    <row r="523" spans="2:7">
      <c r="B523" s="1" t="s">
        <v>1911</v>
      </c>
      <c r="C523" s="1" t="s">
        <v>1912</v>
      </c>
      <c r="D523" s="1" t="s">
        <v>1873</v>
      </c>
      <c r="E523" s="1" t="s">
        <v>703</v>
      </c>
      <c r="F523" s="1" t="s">
        <v>655</v>
      </c>
      <c r="G523" s="1">
        <v>-9551.52</v>
      </c>
    </row>
    <row r="524" spans="2:7">
      <c r="B524" s="1" t="s">
        <v>1913</v>
      </c>
      <c r="C524" s="1" t="s">
        <v>1914</v>
      </c>
      <c r="D524" s="1" t="s">
        <v>732</v>
      </c>
      <c r="E524" s="1" t="s">
        <v>1777</v>
      </c>
      <c r="F524" s="1" t="s">
        <v>646</v>
      </c>
      <c r="G524" s="1">
        <v>0</v>
      </c>
    </row>
    <row r="525" spans="2:7">
      <c r="B525" s="1" t="s">
        <v>0</v>
      </c>
      <c r="C525" s="1" t="s">
        <v>1</v>
      </c>
      <c r="D525" s="1" t="s">
        <v>1873</v>
      </c>
      <c r="E525" s="1" t="s">
        <v>703</v>
      </c>
      <c r="F525" s="1" t="s">
        <v>675</v>
      </c>
      <c r="G525" s="1">
        <v>0</v>
      </c>
    </row>
    <row r="526" spans="2:7">
      <c r="B526" s="1" t="s">
        <v>2</v>
      </c>
      <c r="C526" s="1" t="s">
        <v>3</v>
      </c>
      <c r="D526" s="1" t="s">
        <v>1873</v>
      </c>
      <c r="E526" s="1" t="s">
        <v>703</v>
      </c>
      <c r="F526" s="1" t="s">
        <v>626</v>
      </c>
      <c r="G526" s="1">
        <v>0</v>
      </c>
    </row>
    <row r="527" spans="2:7">
      <c r="B527" s="1" t="s">
        <v>4</v>
      </c>
      <c r="C527" s="1" t="s">
        <v>5</v>
      </c>
      <c r="D527" s="1" t="s">
        <v>732</v>
      </c>
      <c r="E527" s="1" t="s">
        <v>594</v>
      </c>
      <c r="F527" s="1" t="s">
        <v>648</v>
      </c>
      <c r="G527" s="1">
        <v>-1580874.66</v>
      </c>
    </row>
    <row r="528" spans="2:7">
      <c r="B528" s="1" t="s">
        <v>6</v>
      </c>
      <c r="C528" s="1" t="s">
        <v>7</v>
      </c>
      <c r="D528" s="1" t="s">
        <v>732</v>
      </c>
      <c r="E528" s="1" t="s">
        <v>733</v>
      </c>
      <c r="F528" s="1" t="s">
        <v>8</v>
      </c>
      <c r="G528" s="1">
        <v>-3193.23</v>
      </c>
    </row>
    <row r="529" spans="2:7">
      <c r="B529" s="1" t="s">
        <v>9</v>
      </c>
      <c r="C529" s="1" t="s">
        <v>10</v>
      </c>
      <c r="D529" s="1" t="s">
        <v>732</v>
      </c>
      <c r="E529" s="1" t="s">
        <v>740</v>
      </c>
      <c r="F529" s="1" t="s">
        <v>607</v>
      </c>
      <c r="G529" s="1">
        <v>-0.62</v>
      </c>
    </row>
    <row r="530" spans="2:7">
      <c r="B530" s="1" t="s">
        <v>11</v>
      </c>
      <c r="C530" s="1" t="s">
        <v>12</v>
      </c>
      <c r="D530" s="1" t="s">
        <v>732</v>
      </c>
      <c r="E530" s="1" t="s">
        <v>733</v>
      </c>
      <c r="F530" s="1" t="s">
        <v>602</v>
      </c>
      <c r="G530" s="1">
        <v>-3990.88</v>
      </c>
    </row>
    <row r="531" spans="2:7">
      <c r="B531" s="1" t="s">
        <v>13</v>
      </c>
      <c r="C531" s="1" t="s">
        <v>14</v>
      </c>
      <c r="D531" s="1" t="s">
        <v>1777</v>
      </c>
      <c r="E531" s="1" t="s">
        <v>703</v>
      </c>
      <c r="F531" s="1" t="s">
        <v>591</v>
      </c>
      <c r="G531" s="1">
        <v>0</v>
      </c>
    </row>
    <row r="532" spans="2:7">
      <c r="B532" s="1" t="s">
        <v>15</v>
      </c>
      <c r="C532" s="1" t="s">
        <v>16</v>
      </c>
      <c r="D532" s="1" t="s">
        <v>1873</v>
      </c>
      <c r="E532" s="1" t="s">
        <v>703</v>
      </c>
      <c r="F532" s="1" t="s">
        <v>646</v>
      </c>
      <c r="G532" s="1">
        <v>0</v>
      </c>
    </row>
    <row r="533" spans="2:7">
      <c r="B533" s="1" t="s">
        <v>17</v>
      </c>
      <c r="C533" s="1" t="s">
        <v>18</v>
      </c>
      <c r="D533" s="1" t="s">
        <v>1873</v>
      </c>
      <c r="E533" s="1" t="s">
        <v>703</v>
      </c>
      <c r="F533" s="1" t="s">
        <v>777</v>
      </c>
      <c r="G533" s="1">
        <v>0</v>
      </c>
    </row>
    <row r="534" spans="2:7">
      <c r="B534" s="1" t="s">
        <v>19</v>
      </c>
      <c r="C534" s="1" t="s">
        <v>20</v>
      </c>
      <c r="D534" s="1" t="s">
        <v>732</v>
      </c>
      <c r="E534" s="1" t="s">
        <v>733</v>
      </c>
      <c r="F534" s="1" t="s">
        <v>21</v>
      </c>
      <c r="G534" s="1">
        <v>0</v>
      </c>
    </row>
    <row r="535" spans="2:7">
      <c r="B535" s="1" t="s">
        <v>22</v>
      </c>
      <c r="C535" s="1" t="s">
        <v>23</v>
      </c>
      <c r="D535" s="1" t="s">
        <v>724</v>
      </c>
      <c r="E535" s="1" t="s">
        <v>703</v>
      </c>
      <c r="F535" s="1" t="s">
        <v>655</v>
      </c>
      <c r="G535" s="1">
        <v>50979.12</v>
      </c>
    </row>
    <row r="536" spans="2:7">
      <c r="B536" s="1" t="s">
        <v>24</v>
      </c>
      <c r="C536" s="1" t="s">
        <v>25</v>
      </c>
      <c r="D536" s="1" t="s">
        <v>721</v>
      </c>
      <c r="E536" s="1" t="s">
        <v>703</v>
      </c>
      <c r="F536" s="1" t="s">
        <v>26</v>
      </c>
      <c r="G536" s="1">
        <v>-51925.33</v>
      </c>
    </row>
    <row r="537" spans="2:7">
      <c r="B537" s="1" t="s">
        <v>27</v>
      </c>
      <c r="C537" s="1" t="s">
        <v>28</v>
      </c>
      <c r="D537" s="1" t="s">
        <v>1873</v>
      </c>
      <c r="E537" s="1" t="s">
        <v>703</v>
      </c>
      <c r="F537" s="1" t="s">
        <v>704</v>
      </c>
      <c r="G537" s="1">
        <v>0</v>
      </c>
    </row>
    <row r="538" spans="2:7">
      <c r="B538" s="1" t="s">
        <v>29</v>
      </c>
      <c r="C538" s="1" t="s">
        <v>30</v>
      </c>
      <c r="D538" s="1" t="s">
        <v>724</v>
      </c>
      <c r="E538" s="1" t="s">
        <v>669</v>
      </c>
      <c r="F538" s="1" t="s">
        <v>655</v>
      </c>
      <c r="G538" s="1">
        <v>43660.31</v>
      </c>
    </row>
    <row r="539" spans="2:7">
      <c r="B539" s="1" t="s">
        <v>31</v>
      </c>
      <c r="C539" s="1" t="s">
        <v>32</v>
      </c>
      <c r="D539" s="1" t="s">
        <v>724</v>
      </c>
      <c r="E539" s="1" t="s">
        <v>669</v>
      </c>
      <c r="F539" s="1" t="s">
        <v>655</v>
      </c>
      <c r="G539" s="1">
        <v>88994.75</v>
      </c>
    </row>
    <row r="540" spans="2:7">
      <c r="B540" s="1" t="s">
        <v>33</v>
      </c>
      <c r="C540" s="1" t="s">
        <v>34</v>
      </c>
      <c r="D540" s="1" t="s">
        <v>743</v>
      </c>
      <c r="E540" s="1" t="s">
        <v>691</v>
      </c>
      <c r="F540" s="1" t="s">
        <v>643</v>
      </c>
      <c r="G540" s="1">
        <v>19471.900000000001</v>
      </c>
    </row>
    <row r="541" spans="2:7">
      <c r="B541" s="1" t="s">
        <v>35</v>
      </c>
      <c r="C541" s="1" t="s">
        <v>36</v>
      </c>
      <c r="D541" s="1" t="s">
        <v>724</v>
      </c>
      <c r="E541" s="1" t="s">
        <v>669</v>
      </c>
      <c r="F541" s="1" t="s">
        <v>655</v>
      </c>
      <c r="G541" s="1">
        <v>41178.93</v>
      </c>
    </row>
    <row r="542" spans="2:7">
      <c r="B542" s="1" t="s">
        <v>37</v>
      </c>
      <c r="C542" s="1" t="s">
        <v>38</v>
      </c>
      <c r="D542" s="1" t="s">
        <v>724</v>
      </c>
      <c r="E542" s="1" t="s">
        <v>669</v>
      </c>
      <c r="F542" s="1" t="s">
        <v>655</v>
      </c>
      <c r="G542" s="1">
        <v>444.69</v>
      </c>
    </row>
    <row r="543" spans="2:7">
      <c r="B543" s="1" t="s">
        <v>39</v>
      </c>
      <c r="C543" s="1" t="s">
        <v>40</v>
      </c>
      <c r="D543" s="1" t="s">
        <v>724</v>
      </c>
      <c r="E543" s="1" t="s">
        <v>669</v>
      </c>
      <c r="F543" s="1" t="s">
        <v>655</v>
      </c>
      <c r="G543" s="1">
        <v>-241624.89</v>
      </c>
    </row>
    <row r="544" spans="2:7">
      <c r="B544" s="1" t="s">
        <v>41</v>
      </c>
      <c r="C544" s="1" t="s">
        <v>42</v>
      </c>
      <c r="D544" s="1" t="s">
        <v>1873</v>
      </c>
      <c r="E544" s="1" t="s">
        <v>703</v>
      </c>
      <c r="F544" s="1" t="s">
        <v>655</v>
      </c>
      <c r="G544" s="1">
        <v>0</v>
      </c>
    </row>
    <row r="545" spans="2:7">
      <c r="B545" s="1" t="s">
        <v>43</v>
      </c>
      <c r="C545" s="1" t="s">
        <v>44</v>
      </c>
      <c r="D545" s="1" t="s">
        <v>1873</v>
      </c>
      <c r="E545" s="1" t="s">
        <v>703</v>
      </c>
      <c r="F545" s="1" t="s">
        <v>655</v>
      </c>
      <c r="G545" s="1">
        <v>0</v>
      </c>
    </row>
    <row r="546" spans="2:7">
      <c r="B546" s="1" t="s">
        <v>45</v>
      </c>
      <c r="C546" s="1" t="s">
        <v>46</v>
      </c>
      <c r="D546" s="1" t="s">
        <v>1873</v>
      </c>
      <c r="E546" s="1" t="s">
        <v>703</v>
      </c>
      <c r="F546" s="1" t="s">
        <v>689</v>
      </c>
      <c r="G546" s="1">
        <v>9317.32</v>
      </c>
    </row>
    <row r="547" spans="2:7">
      <c r="B547" s="1" t="s">
        <v>47</v>
      </c>
      <c r="C547" s="1" t="s">
        <v>48</v>
      </c>
      <c r="D547" s="1" t="s">
        <v>1873</v>
      </c>
      <c r="E547" s="1" t="s">
        <v>703</v>
      </c>
      <c r="F547" s="1" t="s">
        <v>689</v>
      </c>
      <c r="G547" s="1">
        <v>0</v>
      </c>
    </row>
    <row r="548" spans="2:7">
      <c r="B548" s="1" t="s">
        <v>49</v>
      </c>
      <c r="C548" s="1" t="s">
        <v>50</v>
      </c>
      <c r="D548" s="1" t="s">
        <v>1873</v>
      </c>
      <c r="E548" s="1" t="s">
        <v>703</v>
      </c>
      <c r="F548" s="1" t="s">
        <v>613</v>
      </c>
      <c r="G548" s="1">
        <v>0</v>
      </c>
    </row>
    <row r="549" spans="2:7">
      <c r="B549" s="1" t="s">
        <v>51</v>
      </c>
      <c r="C549" s="1" t="s">
        <v>52</v>
      </c>
      <c r="D549" s="1" t="s">
        <v>1873</v>
      </c>
      <c r="E549" s="1" t="s">
        <v>703</v>
      </c>
      <c r="F549" s="1" t="s">
        <v>651</v>
      </c>
      <c r="G549" s="1">
        <v>281.93</v>
      </c>
    </row>
    <row r="550" spans="2:7">
      <c r="B550" s="1" t="s">
        <v>53</v>
      </c>
      <c r="C550" s="1" t="s">
        <v>54</v>
      </c>
      <c r="D550" s="1" t="s">
        <v>732</v>
      </c>
      <c r="E550" s="1" t="s">
        <v>740</v>
      </c>
      <c r="F550" s="1" t="s">
        <v>600</v>
      </c>
      <c r="G550" s="1">
        <v>-4141.7299999999996</v>
      </c>
    </row>
    <row r="551" spans="2:7">
      <c r="B551" s="1" t="s">
        <v>55</v>
      </c>
      <c r="C551" s="1" t="s">
        <v>56</v>
      </c>
      <c r="D551" s="1" t="s">
        <v>1873</v>
      </c>
      <c r="E551" s="1" t="s">
        <v>703</v>
      </c>
      <c r="F551" s="1" t="s">
        <v>57</v>
      </c>
      <c r="G551" s="1">
        <v>0</v>
      </c>
    </row>
    <row r="552" spans="2:7">
      <c r="B552" s="1" t="s">
        <v>58</v>
      </c>
      <c r="C552" s="1" t="s">
        <v>59</v>
      </c>
      <c r="D552" s="1" t="s">
        <v>743</v>
      </c>
      <c r="E552" s="1" t="s">
        <v>703</v>
      </c>
      <c r="F552" s="1" t="s">
        <v>60</v>
      </c>
      <c r="G552" s="1">
        <v>0</v>
      </c>
    </row>
    <row r="553" spans="2:7">
      <c r="B553" s="1" t="s">
        <v>61</v>
      </c>
      <c r="C553" s="1" t="s">
        <v>62</v>
      </c>
      <c r="D553" s="1" t="s">
        <v>743</v>
      </c>
      <c r="E553" s="1" t="s">
        <v>703</v>
      </c>
      <c r="F553" s="1" t="s">
        <v>60</v>
      </c>
      <c r="G553" s="1">
        <v>0</v>
      </c>
    </row>
    <row r="554" spans="2:7">
      <c r="B554" s="1" t="s">
        <v>63</v>
      </c>
      <c r="C554" s="1" t="s">
        <v>64</v>
      </c>
      <c r="D554" s="1" t="s">
        <v>743</v>
      </c>
      <c r="E554" s="1" t="s">
        <v>669</v>
      </c>
      <c r="F554" s="1" t="s">
        <v>695</v>
      </c>
      <c r="G554" s="1">
        <v>5760.57</v>
      </c>
    </row>
    <row r="555" spans="2:7">
      <c r="B555" s="1" t="s">
        <v>65</v>
      </c>
      <c r="C555" s="1" t="s">
        <v>66</v>
      </c>
      <c r="D555" s="1" t="s">
        <v>721</v>
      </c>
      <c r="E555" s="1" t="s">
        <v>669</v>
      </c>
      <c r="F555" s="1" t="s">
        <v>589</v>
      </c>
      <c r="G555" s="1">
        <v>24566.7</v>
      </c>
    </row>
    <row r="556" spans="2:7">
      <c r="B556" s="1" t="s">
        <v>67</v>
      </c>
      <c r="C556" s="1" t="s">
        <v>68</v>
      </c>
      <c r="D556" s="1" t="s">
        <v>732</v>
      </c>
      <c r="E556" s="1" t="s">
        <v>740</v>
      </c>
      <c r="F556" s="1" t="s">
        <v>596</v>
      </c>
      <c r="G556" s="1">
        <v>0</v>
      </c>
    </row>
    <row r="557" spans="2:7">
      <c r="B557" s="1" t="s">
        <v>69</v>
      </c>
      <c r="C557" s="1" t="s">
        <v>70</v>
      </c>
      <c r="D557" s="1" t="s">
        <v>732</v>
      </c>
      <c r="E557" s="1" t="s">
        <v>703</v>
      </c>
      <c r="F557" s="1" t="s">
        <v>8</v>
      </c>
      <c r="G557" s="1">
        <v>0</v>
      </c>
    </row>
    <row r="558" spans="2:7">
      <c r="B558" s="1" t="s">
        <v>71</v>
      </c>
      <c r="C558" s="1" t="s">
        <v>72</v>
      </c>
      <c r="D558" s="1" t="s">
        <v>732</v>
      </c>
      <c r="E558" s="1" t="s">
        <v>703</v>
      </c>
      <c r="F558" s="1" t="s">
        <v>73</v>
      </c>
      <c r="G558" s="1">
        <v>0</v>
      </c>
    </row>
    <row r="559" spans="2:7">
      <c r="B559" s="1" t="s">
        <v>74</v>
      </c>
      <c r="C559" s="1" t="s">
        <v>75</v>
      </c>
      <c r="D559" s="1" t="s">
        <v>732</v>
      </c>
      <c r="E559" s="1" t="s">
        <v>733</v>
      </c>
      <c r="F559" s="1" t="s">
        <v>76</v>
      </c>
      <c r="G559" s="1">
        <v>-234765.38</v>
      </c>
    </row>
    <row r="560" spans="2:7">
      <c r="B560" s="1" t="s">
        <v>77</v>
      </c>
      <c r="C560" s="1" t="s">
        <v>78</v>
      </c>
      <c r="D560" s="1" t="s">
        <v>724</v>
      </c>
      <c r="E560" s="1" t="s">
        <v>725</v>
      </c>
      <c r="F560" s="1" t="s">
        <v>667</v>
      </c>
      <c r="G560" s="1">
        <v>0</v>
      </c>
    </row>
    <row r="561" spans="2:7">
      <c r="B561" s="1" t="s">
        <v>79</v>
      </c>
      <c r="C561" s="1" t="s">
        <v>80</v>
      </c>
      <c r="D561" s="1" t="s">
        <v>743</v>
      </c>
      <c r="E561" s="1" t="s">
        <v>669</v>
      </c>
      <c r="F561" s="1" t="s">
        <v>783</v>
      </c>
      <c r="G561" s="1">
        <v>-369024.82</v>
      </c>
    </row>
    <row r="562" spans="2:7">
      <c r="B562" s="1" t="s">
        <v>81</v>
      </c>
      <c r="C562" s="1" t="s">
        <v>82</v>
      </c>
      <c r="D562" s="1" t="s">
        <v>721</v>
      </c>
      <c r="E562" s="1" t="s">
        <v>650</v>
      </c>
      <c r="F562" s="1" t="s">
        <v>83</v>
      </c>
      <c r="G562" s="1">
        <v>456283.58</v>
      </c>
    </row>
    <row r="563" spans="2:7">
      <c r="B563" s="1" t="s">
        <v>84</v>
      </c>
      <c r="C563" s="1" t="s">
        <v>85</v>
      </c>
      <c r="D563" s="1" t="s">
        <v>721</v>
      </c>
      <c r="E563" s="1" t="s">
        <v>650</v>
      </c>
      <c r="F563" s="1" t="s">
        <v>86</v>
      </c>
      <c r="G563" s="1">
        <v>354737.45</v>
      </c>
    </row>
    <row r="564" spans="2:7">
      <c r="B564" s="1" t="s">
        <v>87</v>
      </c>
      <c r="C564" s="1" t="s">
        <v>88</v>
      </c>
      <c r="D564" s="1" t="s">
        <v>1873</v>
      </c>
      <c r="E564" s="1" t="s">
        <v>89</v>
      </c>
      <c r="F564" s="1" t="s">
        <v>656</v>
      </c>
      <c r="G564" s="1">
        <v>516.91</v>
      </c>
    </row>
    <row r="565" spans="2:7">
      <c r="B565" s="1" t="s">
        <v>90</v>
      </c>
      <c r="C565" s="1" t="s">
        <v>91</v>
      </c>
      <c r="D565" s="1" t="s">
        <v>743</v>
      </c>
      <c r="E565" s="1" t="s">
        <v>703</v>
      </c>
      <c r="F565" s="1" t="s">
        <v>1931</v>
      </c>
      <c r="G565" s="1">
        <v>0</v>
      </c>
    </row>
    <row r="566" spans="2:7">
      <c r="B566" s="1" t="s">
        <v>92</v>
      </c>
      <c r="C566" s="1" t="s">
        <v>93</v>
      </c>
      <c r="D566" s="1" t="s">
        <v>721</v>
      </c>
      <c r="E566" s="1" t="s">
        <v>703</v>
      </c>
      <c r="F566" s="1" t="s">
        <v>707</v>
      </c>
      <c r="G566" s="1">
        <v>0</v>
      </c>
    </row>
    <row r="567" spans="2:7">
      <c r="B567" s="1" t="s">
        <v>94</v>
      </c>
      <c r="C567" s="1" t="s">
        <v>95</v>
      </c>
      <c r="D567" s="1" t="s">
        <v>724</v>
      </c>
      <c r="E567" s="1" t="s">
        <v>858</v>
      </c>
      <c r="F567" s="1" t="s">
        <v>686</v>
      </c>
      <c r="G567" s="1">
        <v>2766791.36</v>
      </c>
    </row>
    <row r="568" spans="2:7">
      <c r="B568" s="1" t="s">
        <v>96</v>
      </c>
      <c r="C568" s="1" t="s">
        <v>97</v>
      </c>
      <c r="D568" s="1" t="s">
        <v>732</v>
      </c>
      <c r="E568" s="1" t="s">
        <v>733</v>
      </c>
      <c r="F568" s="1" t="s">
        <v>1818</v>
      </c>
      <c r="G568" s="1">
        <v>-25.7</v>
      </c>
    </row>
    <row r="569" spans="2:7">
      <c r="B569" s="1" t="s">
        <v>98</v>
      </c>
      <c r="C569" s="1" t="s">
        <v>99</v>
      </c>
      <c r="D569" s="1" t="s">
        <v>743</v>
      </c>
      <c r="E569" s="1" t="s">
        <v>703</v>
      </c>
      <c r="F569" s="1" t="s">
        <v>627</v>
      </c>
      <c r="G569" s="1">
        <v>0</v>
      </c>
    </row>
    <row r="570" spans="2:7">
      <c r="B570" s="1" t="s">
        <v>100</v>
      </c>
      <c r="C570" s="1" t="s">
        <v>101</v>
      </c>
      <c r="D570" s="1" t="s">
        <v>1184</v>
      </c>
      <c r="E570" s="1" t="s">
        <v>703</v>
      </c>
      <c r="F570" s="1" t="s">
        <v>611</v>
      </c>
      <c r="G570" s="1">
        <v>0</v>
      </c>
    </row>
    <row r="571" spans="2:7">
      <c r="B571" s="1" t="s">
        <v>102</v>
      </c>
      <c r="C571" s="1" t="s">
        <v>103</v>
      </c>
      <c r="D571" s="1" t="s">
        <v>721</v>
      </c>
      <c r="E571" s="1" t="s">
        <v>703</v>
      </c>
      <c r="F571" s="1" t="s">
        <v>693</v>
      </c>
      <c r="G571" s="1">
        <v>521.20000000000005</v>
      </c>
    </row>
    <row r="572" spans="2:7">
      <c r="B572" s="1" t="s">
        <v>104</v>
      </c>
      <c r="C572" s="1" t="s">
        <v>105</v>
      </c>
      <c r="D572" s="1" t="s">
        <v>721</v>
      </c>
      <c r="E572" s="1" t="s">
        <v>703</v>
      </c>
      <c r="F572" s="1" t="s">
        <v>106</v>
      </c>
      <c r="G572" s="1">
        <v>0</v>
      </c>
    </row>
    <row r="573" spans="2:7">
      <c r="B573" s="1" t="s">
        <v>107</v>
      </c>
      <c r="C573" s="1" t="s">
        <v>108</v>
      </c>
      <c r="D573" s="1" t="s">
        <v>732</v>
      </c>
      <c r="E573" s="1" t="s">
        <v>594</v>
      </c>
      <c r="F573" s="1" t="s">
        <v>648</v>
      </c>
      <c r="G573" s="1">
        <v>10041196.49</v>
      </c>
    </row>
    <row r="574" spans="2:7">
      <c r="B574" s="1" t="s">
        <v>109</v>
      </c>
      <c r="C574" s="1" t="s">
        <v>110</v>
      </c>
      <c r="D574" s="1" t="s">
        <v>1873</v>
      </c>
      <c r="E574" s="1" t="s">
        <v>703</v>
      </c>
      <c r="F574" s="1" t="s">
        <v>111</v>
      </c>
      <c r="G574" s="1">
        <v>0</v>
      </c>
    </row>
    <row r="575" spans="2:7">
      <c r="B575" s="1" t="s">
        <v>112</v>
      </c>
      <c r="C575" s="1" t="s">
        <v>113</v>
      </c>
      <c r="D575" s="1" t="s">
        <v>732</v>
      </c>
      <c r="E575" s="1" t="s">
        <v>594</v>
      </c>
      <c r="F575" s="1" t="s">
        <v>656</v>
      </c>
      <c r="G575" s="1">
        <v>180944.05</v>
      </c>
    </row>
    <row r="576" spans="2:7">
      <c r="B576" s="1" t="s">
        <v>114</v>
      </c>
      <c r="C576" s="1" t="s">
        <v>115</v>
      </c>
      <c r="D576" s="1" t="s">
        <v>743</v>
      </c>
      <c r="E576" s="1" t="s">
        <v>703</v>
      </c>
      <c r="F576" s="1" t="s">
        <v>642</v>
      </c>
      <c r="G576" s="1">
        <v>0</v>
      </c>
    </row>
    <row r="577" spans="2:7">
      <c r="B577" s="1" t="s">
        <v>116</v>
      </c>
      <c r="C577" s="1" t="s">
        <v>117</v>
      </c>
      <c r="D577" s="1" t="s">
        <v>743</v>
      </c>
      <c r="E577" s="1" t="s">
        <v>703</v>
      </c>
      <c r="F577" s="1" t="s">
        <v>118</v>
      </c>
      <c r="G577" s="1">
        <v>0</v>
      </c>
    </row>
    <row r="578" spans="2:7">
      <c r="B578" s="1" t="s">
        <v>119</v>
      </c>
      <c r="C578" s="1" t="s">
        <v>120</v>
      </c>
      <c r="D578" s="1" t="s">
        <v>743</v>
      </c>
      <c r="E578" s="1" t="s">
        <v>703</v>
      </c>
      <c r="F578" s="1" t="s">
        <v>626</v>
      </c>
      <c r="G578" s="1">
        <v>0</v>
      </c>
    </row>
    <row r="579" spans="2:7">
      <c r="B579" s="1" t="s">
        <v>121</v>
      </c>
      <c r="C579" s="1" t="s">
        <v>122</v>
      </c>
      <c r="D579" s="1" t="s">
        <v>743</v>
      </c>
      <c r="E579" s="1" t="s">
        <v>703</v>
      </c>
      <c r="F579" s="1" t="s">
        <v>662</v>
      </c>
      <c r="G579" s="1">
        <v>872800.67</v>
      </c>
    </row>
    <row r="580" spans="2:7">
      <c r="B580" s="1" t="s">
        <v>123</v>
      </c>
      <c r="C580" s="1" t="s">
        <v>124</v>
      </c>
      <c r="D580" s="1" t="s">
        <v>724</v>
      </c>
      <c r="E580" s="1" t="s">
        <v>858</v>
      </c>
      <c r="F580" s="1" t="s">
        <v>681</v>
      </c>
      <c r="G580" s="1">
        <v>112229.13</v>
      </c>
    </row>
    <row r="581" spans="2:7">
      <c r="B581" s="1" t="s">
        <v>125</v>
      </c>
      <c r="C581" s="1" t="s">
        <v>126</v>
      </c>
      <c r="D581" s="1" t="s">
        <v>732</v>
      </c>
      <c r="E581" s="1" t="s">
        <v>1420</v>
      </c>
      <c r="F581" s="1" t="s">
        <v>612</v>
      </c>
      <c r="G581" s="1">
        <v>3528503</v>
      </c>
    </row>
    <row r="582" spans="2:7">
      <c r="B582" s="1" t="s">
        <v>127</v>
      </c>
      <c r="C582" s="1" t="s">
        <v>128</v>
      </c>
      <c r="D582" s="1" t="s">
        <v>732</v>
      </c>
      <c r="E582" s="1" t="s">
        <v>1420</v>
      </c>
      <c r="F582" s="1" t="s">
        <v>609</v>
      </c>
      <c r="G582" s="1">
        <v>-860005.33</v>
      </c>
    </row>
    <row r="583" spans="2:7">
      <c r="B583" s="1" t="s">
        <v>129</v>
      </c>
      <c r="C583" s="1" t="s">
        <v>130</v>
      </c>
      <c r="D583" s="1" t="s">
        <v>743</v>
      </c>
      <c r="E583" s="1" t="s">
        <v>691</v>
      </c>
      <c r="F583" s="1" t="s">
        <v>641</v>
      </c>
      <c r="G583" s="1">
        <v>371692.58</v>
      </c>
    </row>
    <row r="584" spans="2:7">
      <c r="B584" s="1" t="s">
        <v>131</v>
      </c>
      <c r="C584" s="1" t="s">
        <v>132</v>
      </c>
      <c r="D584" s="1" t="s">
        <v>1873</v>
      </c>
      <c r="E584" s="1" t="s">
        <v>703</v>
      </c>
      <c r="F584" s="1" t="s">
        <v>705</v>
      </c>
      <c r="G584" s="1">
        <v>0</v>
      </c>
    </row>
    <row r="585" spans="2:7">
      <c r="B585" s="1" t="s">
        <v>133</v>
      </c>
      <c r="C585" s="1" t="s">
        <v>134</v>
      </c>
      <c r="D585" s="1" t="s">
        <v>1873</v>
      </c>
      <c r="E585" s="1" t="s">
        <v>703</v>
      </c>
      <c r="F585" s="1" t="s">
        <v>696</v>
      </c>
      <c r="G585" s="1">
        <v>0</v>
      </c>
    </row>
    <row r="586" spans="2:7">
      <c r="B586" s="1" t="s">
        <v>135</v>
      </c>
      <c r="C586" s="1" t="s">
        <v>136</v>
      </c>
      <c r="D586" s="1" t="s">
        <v>1777</v>
      </c>
      <c r="E586" s="1" t="s">
        <v>703</v>
      </c>
      <c r="F586" s="1" t="s">
        <v>616</v>
      </c>
      <c r="G586" s="1">
        <v>0</v>
      </c>
    </row>
    <row r="587" spans="2:7">
      <c r="B587" s="1" t="s">
        <v>137</v>
      </c>
      <c r="C587" s="1" t="s">
        <v>138</v>
      </c>
      <c r="D587" s="1" t="s">
        <v>724</v>
      </c>
      <c r="E587" s="1" t="s">
        <v>813</v>
      </c>
      <c r="F587" s="1" t="s">
        <v>575</v>
      </c>
      <c r="G587" s="1">
        <v>-552625.6</v>
      </c>
    </row>
    <row r="588" spans="2:7">
      <c r="B588" s="1" t="s">
        <v>139</v>
      </c>
      <c r="C588" s="1" t="s">
        <v>140</v>
      </c>
      <c r="D588" s="1" t="s">
        <v>1777</v>
      </c>
      <c r="E588" s="1" t="s">
        <v>703</v>
      </c>
      <c r="F588" s="1" t="s">
        <v>635</v>
      </c>
      <c r="G588" s="1">
        <v>0</v>
      </c>
    </row>
    <row r="589" spans="2:7">
      <c r="B589" s="1" t="s">
        <v>141</v>
      </c>
      <c r="C589" s="1" t="s">
        <v>142</v>
      </c>
      <c r="D589" s="1" t="s">
        <v>724</v>
      </c>
      <c r="E589" s="1" t="s">
        <v>669</v>
      </c>
      <c r="F589" s="1" t="s">
        <v>655</v>
      </c>
      <c r="G589" s="1">
        <v>0</v>
      </c>
    </row>
    <row r="590" spans="2:7">
      <c r="B590" s="1" t="s">
        <v>143</v>
      </c>
      <c r="C590" s="1" t="s">
        <v>144</v>
      </c>
      <c r="D590" s="1" t="s">
        <v>1777</v>
      </c>
      <c r="E590" s="1" t="s">
        <v>703</v>
      </c>
      <c r="F590" s="1" t="s">
        <v>696</v>
      </c>
      <c r="G590" s="1">
        <v>0</v>
      </c>
    </row>
    <row r="591" spans="2:7">
      <c r="B591" s="1" t="s">
        <v>145</v>
      </c>
      <c r="C591" s="1" t="s">
        <v>146</v>
      </c>
      <c r="D591" s="1" t="s">
        <v>1777</v>
      </c>
      <c r="E591" s="1" t="s">
        <v>703</v>
      </c>
      <c r="F591" s="1" t="s">
        <v>570</v>
      </c>
      <c r="G591" s="1">
        <v>0</v>
      </c>
    </row>
    <row r="592" spans="2:7">
      <c r="B592" s="1" t="s">
        <v>147</v>
      </c>
      <c r="C592" s="1" t="s">
        <v>148</v>
      </c>
      <c r="D592" s="1" t="s">
        <v>1777</v>
      </c>
      <c r="E592" s="1" t="s">
        <v>703</v>
      </c>
      <c r="F592" s="1" t="s">
        <v>589</v>
      </c>
      <c r="G592" s="1">
        <v>0</v>
      </c>
    </row>
    <row r="593" spans="2:7">
      <c r="B593" s="1" t="s">
        <v>149</v>
      </c>
      <c r="C593" s="1" t="s">
        <v>150</v>
      </c>
      <c r="D593" s="1" t="s">
        <v>1777</v>
      </c>
      <c r="E593" s="1" t="s">
        <v>703</v>
      </c>
      <c r="F593" s="1" t="s">
        <v>673</v>
      </c>
      <c r="G593" s="1">
        <v>0</v>
      </c>
    </row>
    <row r="594" spans="2:7">
      <c r="B594" s="1" t="s">
        <v>151</v>
      </c>
      <c r="C594" s="1" t="s">
        <v>152</v>
      </c>
      <c r="D594" s="1" t="s">
        <v>732</v>
      </c>
      <c r="E594" s="1" t="s">
        <v>733</v>
      </c>
      <c r="F594" s="1" t="s">
        <v>605</v>
      </c>
      <c r="G594" s="1">
        <v>1351.51</v>
      </c>
    </row>
    <row r="595" spans="2:7">
      <c r="B595" s="1" t="s">
        <v>153</v>
      </c>
      <c r="C595" s="1" t="s">
        <v>154</v>
      </c>
      <c r="D595" s="1" t="s">
        <v>724</v>
      </c>
      <c r="E595" s="1" t="s">
        <v>836</v>
      </c>
      <c r="F595" s="1" t="s">
        <v>656</v>
      </c>
      <c r="G595" s="1">
        <v>-52337.09</v>
      </c>
    </row>
    <row r="596" spans="2:7">
      <c r="B596" s="1" t="s">
        <v>155</v>
      </c>
      <c r="C596" s="1" t="s">
        <v>156</v>
      </c>
      <c r="D596" s="1" t="s">
        <v>721</v>
      </c>
      <c r="E596" s="1" t="s">
        <v>669</v>
      </c>
      <c r="F596" s="1" t="s">
        <v>157</v>
      </c>
      <c r="G596" s="1">
        <v>50362.83</v>
      </c>
    </row>
    <row r="597" spans="2:7">
      <c r="B597" s="1" t="s">
        <v>158</v>
      </c>
      <c r="C597" s="1" t="s">
        <v>159</v>
      </c>
      <c r="D597" s="1" t="s">
        <v>1777</v>
      </c>
      <c r="E597" s="1" t="s">
        <v>703</v>
      </c>
      <c r="F597" s="1" t="s">
        <v>623</v>
      </c>
      <c r="G597" s="1">
        <v>0</v>
      </c>
    </row>
    <row r="598" spans="2:7">
      <c r="B598" s="1" t="s">
        <v>160</v>
      </c>
      <c r="C598" s="1" t="s">
        <v>161</v>
      </c>
      <c r="D598" s="1" t="s">
        <v>724</v>
      </c>
      <c r="E598" s="1" t="s">
        <v>813</v>
      </c>
      <c r="F598" s="1" t="s">
        <v>577</v>
      </c>
      <c r="G598" s="1">
        <v>0</v>
      </c>
    </row>
    <row r="599" spans="2:7">
      <c r="B599" s="1" t="s">
        <v>162</v>
      </c>
      <c r="C599" s="1" t="s">
        <v>163</v>
      </c>
      <c r="D599" s="1" t="s">
        <v>724</v>
      </c>
      <c r="E599" s="1" t="s">
        <v>841</v>
      </c>
      <c r="F599" s="1" t="s">
        <v>649</v>
      </c>
      <c r="G599" s="1">
        <v>0</v>
      </c>
    </row>
    <row r="600" spans="2:7">
      <c r="B600" s="1" t="s">
        <v>164</v>
      </c>
      <c r="C600" s="1" t="s">
        <v>165</v>
      </c>
      <c r="D600" s="1" t="s">
        <v>724</v>
      </c>
      <c r="E600" s="1" t="s">
        <v>841</v>
      </c>
      <c r="F600" s="1" t="s">
        <v>665</v>
      </c>
      <c r="G600" s="1">
        <v>0</v>
      </c>
    </row>
    <row r="601" spans="2:7">
      <c r="B601" s="1" t="s">
        <v>166</v>
      </c>
      <c r="C601" s="1" t="s">
        <v>167</v>
      </c>
      <c r="D601" s="1" t="s">
        <v>724</v>
      </c>
      <c r="E601" s="1" t="s">
        <v>836</v>
      </c>
      <c r="F601" s="1" t="s">
        <v>168</v>
      </c>
      <c r="G601" s="1">
        <v>0</v>
      </c>
    </row>
    <row r="602" spans="2:7">
      <c r="B602" s="1" t="s">
        <v>169</v>
      </c>
      <c r="C602" s="1" t="s">
        <v>170</v>
      </c>
      <c r="D602" s="1" t="s">
        <v>724</v>
      </c>
      <c r="E602" s="1" t="s">
        <v>841</v>
      </c>
      <c r="F602" s="1" t="s">
        <v>1000</v>
      </c>
      <c r="G602" s="1">
        <v>53734.1</v>
      </c>
    </row>
    <row r="603" spans="2:7">
      <c r="B603" s="1" t="s">
        <v>171</v>
      </c>
      <c r="C603" s="1" t="s">
        <v>172</v>
      </c>
      <c r="D603" s="1" t="s">
        <v>724</v>
      </c>
      <c r="E603" s="1" t="s">
        <v>841</v>
      </c>
      <c r="F603" s="1" t="s">
        <v>708</v>
      </c>
      <c r="G603" s="1">
        <v>0</v>
      </c>
    </row>
    <row r="604" spans="2:7">
      <c r="B604" s="1" t="s">
        <v>173</v>
      </c>
      <c r="C604" s="1" t="s">
        <v>174</v>
      </c>
      <c r="D604" s="1" t="s">
        <v>724</v>
      </c>
      <c r="E604" s="1" t="s">
        <v>725</v>
      </c>
      <c r="F604" s="1" t="s">
        <v>683</v>
      </c>
      <c r="G604" s="1">
        <v>1257923.1100000001</v>
      </c>
    </row>
    <row r="605" spans="2:7">
      <c r="B605" s="1" t="s">
        <v>175</v>
      </c>
      <c r="C605" s="1" t="s">
        <v>176</v>
      </c>
      <c r="D605" s="1" t="s">
        <v>743</v>
      </c>
      <c r="E605" s="1" t="s">
        <v>650</v>
      </c>
      <c r="F605" s="1" t="s">
        <v>636</v>
      </c>
      <c r="G605" s="1">
        <v>10617.6</v>
      </c>
    </row>
    <row r="606" spans="2:7">
      <c r="B606" s="1" t="s">
        <v>177</v>
      </c>
      <c r="C606" s="1" t="s">
        <v>178</v>
      </c>
      <c r="D606" s="1" t="s">
        <v>724</v>
      </c>
      <c r="E606" s="1" t="s">
        <v>813</v>
      </c>
      <c r="F606" s="1" t="s">
        <v>179</v>
      </c>
      <c r="G606" s="1">
        <v>214974.55</v>
      </c>
    </row>
    <row r="607" spans="2:7">
      <c r="B607" s="1" t="s">
        <v>180</v>
      </c>
      <c r="C607" s="1" t="s">
        <v>181</v>
      </c>
      <c r="D607" s="1" t="s">
        <v>732</v>
      </c>
      <c r="E607" s="1" t="s">
        <v>733</v>
      </c>
      <c r="F607" s="1" t="s">
        <v>603</v>
      </c>
      <c r="G607" s="1">
        <v>959.36</v>
      </c>
    </row>
    <row r="608" spans="2:7">
      <c r="B608" s="1" t="s">
        <v>182</v>
      </c>
      <c r="C608" s="1" t="s">
        <v>183</v>
      </c>
      <c r="D608" s="1" t="s">
        <v>724</v>
      </c>
      <c r="E608" s="1" t="s">
        <v>841</v>
      </c>
      <c r="F608" s="1" t="s">
        <v>184</v>
      </c>
      <c r="G608" s="1">
        <v>69479.16</v>
      </c>
    </row>
    <row r="609" spans="2:7">
      <c r="B609" s="1" t="s">
        <v>185</v>
      </c>
      <c r="C609" s="1" t="s">
        <v>186</v>
      </c>
      <c r="D609" s="1" t="s">
        <v>732</v>
      </c>
      <c r="E609" s="1" t="s">
        <v>703</v>
      </c>
      <c r="F609" s="1" t="s">
        <v>187</v>
      </c>
      <c r="G609" s="1">
        <v>0</v>
      </c>
    </row>
    <row r="610" spans="2:7">
      <c r="B610" s="1" t="s">
        <v>188</v>
      </c>
      <c r="C610" s="1" t="s">
        <v>189</v>
      </c>
      <c r="D610" s="1" t="s">
        <v>724</v>
      </c>
      <c r="E610" s="1" t="s">
        <v>703</v>
      </c>
      <c r="F610" s="1" t="s">
        <v>683</v>
      </c>
      <c r="G610" s="1">
        <v>0</v>
      </c>
    </row>
    <row r="611" spans="2:7">
      <c r="B611" s="1" t="s">
        <v>190</v>
      </c>
      <c r="C611" s="1" t="s">
        <v>191</v>
      </c>
      <c r="D611" s="1" t="s">
        <v>721</v>
      </c>
      <c r="E611" s="1" t="s">
        <v>703</v>
      </c>
      <c r="F611" s="1" t="s">
        <v>192</v>
      </c>
      <c r="G611" s="1">
        <v>0</v>
      </c>
    </row>
    <row r="612" spans="2:7">
      <c r="B612" s="1" t="s">
        <v>193</v>
      </c>
      <c r="C612" s="1" t="s">
        <v>194</v>
      </c>
      <c r="D612" s="1" t="s">
        <v>721</v>
      </c>
      <c r="E612" s="1" t="s">
        <v>703</v>
      </c>
      <c r="F612" s="1" t="s">
        <v>1536</v>
      </c>
      <c r="G612" s="1">
        <v>0</v>
      </c>
    </row>
    <row r="613" spans="2:7">
      <c r="B613" s="1" t="s">
        <v>195</v>
      </c>
      <c r="C613" s="1" t="s">
        <v>196</v>
      </c>
      <c r="D613" s="1" t="s">
        <v>1777</v>
      </c>
      <c r="E613" s="1" t="s">
        <v>703</v>
      </c>
      <c r="F613" s="1" t="s">
        <v>197</v>
      </c>
      <c r="G613" s="1">
        <v>0</v>
      </c>
    </row>
    <row r="614" spans="2:7">
      <c r="B614" s="1" t="s">
        <v>198</v>
      </c>
      <c r="C614" s="1" t="s">
        <v>199</v>
      </c>
      <c r="D614" s="1" t="s">
        <v>724</v>
      </c>
      <c r="E614" s="1" t="s">
        <v>813</v>
      </c>
      <c r="F614" s="1" t="s">
        <v>200</v>
      </c>
      <c r="G614" s="1">
        <v>5767.74</v>
      </c>
    </row>
    <row r="615" spans="2:7">
      <c r="B615" s="1" t="s">
        <v>201</v>
      </c>
      <c r="C615" s="1" t="s">
        <v>202</v>
      </c>
      <c r="D615" s="1" t="s">
        <v>724</v>
      </c>
      <c r="E615" s="1" t="s">
        <v>836</v>
      </c>
      <c r="F615" s="1" t="s">
        <v>656</v>
      </c>
      <c r="G615" s="1">
        <v>1749327.96</v>
      </c>
    </row>
    <row r="616" spans="2:7">
      <c r="B616" s="1" t="s">
        <v>203</v>
      </c>
      <c r="C616" s="1" t="s">
        <v>204</v>
      </c>
      <c r="D616" s="1" t="s">
        <v>732</v>
      </c>
      <c r="E616" s="1" t="s">
        <v>740</v>
      </c>
      <c r="F616" s="1" t="s">
        <v>598</v>
      </c>
      <c r="G616" s="1">
        <v>1241.19</v>
      </c>
    </row>
    <row r="617" spans="2:7">
      <c r="B617" s="1" t="s">
        <v>205</v>
      </c>
      <c r="C617" s="1" t="s">
        <v>206</v>
      </c>
      <c r="D617" s="1" t="s">
        <v>732</v>
      </c>
      <c r="E617" s="1" t="s">
        <v>733</v>
      </c>
      <c r="F617" s="1" t="s">
        <v>606</v>
      </c>
      <c r="G617" s="1">
        <v>55.32</v>
      </c>
    </row>
    <row r="618" spans="2:7">
      <c r="B618" s="1" t="s">
        <v>207</v>
      </c>
      <c r="C618" s="1" t="s">
        <v>208</v>
      </c>
      <c r="D618" s="1" t="s">
        <v>724</v>
      </c>
      <c r="E618" s="1" t="s">
        <v>669</v>
      </c>
      <c r="F618" s="1" t="s">
        <v>655</v>
      </c>
      <c r="G618" s="1">
        <v>296389.19</v>
      </c>
    </row>
    <row r="619" spans="2:7">
      <c r="B619" s="1" t="s">
        <v>209</v>
      </c>
      <c r="C619" s="1" t="s">
        <v>210</v>
      </c>
      <c r="D619" s="1" t="s">
        <v>724</v>
      </c>
      <c r="E619" s="1" t="s">
        <v>813</v>
      </c>
      <c r="F619" s="1" t="s">
        <v>706</v>
      </c>
      <c r="G619" s="1">
        <v>-1565.84</v>
      </c>
    </row>
    <row r="620" spans="2:7">
      <c r="B620" s="1" t="s">
        <v>211</v>
      </c>
      <c r="C620" s="1" t="s">
        <v>212</v>
      </c>
      <c r="D620" s="1" t="s">
        <v>724</v>
      </c>
      <c r="E620" s="1" t="s">
        <v>836</v>
      </c>
      <c r="F620" s="1" t="s">
        <v>656</v>
      </c>
      <c r="G620" s="1">
        <v>4764.47</v>
      </c>
    </row>
    <row r="621" spans="2:7">
      <c r="B621" s="1" t="s">
        <v>213</v>
      </c>
      <c r="C621" s="1" t="s">
        <v>214</v>
      </c>
      <c r="D621" s="1" t="s">
        <v>732</v>
      </c>
      <c r="E621" s="1" t="s">
        <v>729</v>
      </c>
      <c r="F621" s="1" t="s">
        <v>595</v>
      </c>
      <c r="G621" s="1">
        <v>-33934.410000000003</v>
      </c>
    </row>
    <row r="622" spans="2:7">
      <c r="B622" s="1" t="s">
        <v>215</v>
      </c>
      <c r="C622" s="1" t="s">
        <v>216</v>
      </c>
      <c r="D622" s="1" t="s">
        <v>743</v>
      </c>
      <c r="E622" s="1" t="s">
        <v>650</v>
      </c>
      <c r="F622" s="1" t="s">
        <v>774</v>
      </c>
      <c r="G622" s="1">
        <v>204876.25</v>
      </c>
    </row>
    <row r="623" spans="2:7">
      <c r="B623" s="1" t="s">
        <v>217</v>
      </c>
      <c r="C623" s="1" t="s">
        <v>218</v>
      </c>
      <c r="D623" s="1" t="s">
        <v>743</v>
      </c>
      <c r="E623" s="1" t="s">
        <v>650</v>
      </c>
      <c r="F623" s="1" t="s">
        <v>750</v>
      </c>
      <c r="G623" s="1">
        <v>59989.72</v>
      </c>
    </row>
    <row r="624" spans="2:7">
      <c r="B624" s="1" t="s">
        <v>219</v>
      </c>
      <c r="C624" s="1" t="s">
        <v>220</v>
      </c>
      <c r="D624" s="1" t="s">
        <v>724</v>
      </c>
      <c r="E624" s="1" t="s">
        <v>703</v>
      </c>
      <c r="F624" s="1" t="s">
        <v>655</v>
      </c>
      <c r="G624" s="1">
        <v>1562288.84</v>
      </c>
    </row>
    <row r="625" spans="2:7">
      <c r="B625" s="1" t="s">
        <v>221</v>
      </c>
      <c r="C625" s="1" t="s">
        <v>222</v>
      </c>
      <c r="D625" s="1" t="s">
        <v>724</v>
      </c>
      <c r="E625" s="1" t="s">
        <v>669</v>
      </c>
      <c r="F625" s="1" t="s">
        <v>655</v>
      </c>
      <c r="G625" s="1">
        <v>15500.15</v>
      </c>
    </row>
    <row r="626" spans="2:7">
      <c r="B626" s="1" t="s">
        <v>223</v>
      </c>
      <c r="C626" s="1" t="s">
        <v>224</v>
      </c>
      <c r="D626" s="1" t="s">
        <v>721</v>
      </c>
      <c r="E626" s="1" t="s">
        <v>703</v>
      </c>
      <c r="F626" s="1" t="s">
        <v>689</v>
      </c>
      <c r="G626" s="1">
        <v>953002.8</v>
      </c>
    </row>
    <row r="627" spans="2:7">
      <c r="B627" s="1" t="s">
        <v>225</v>
      </c>
      <c r="C627" s="1" t="s">
        <v>226</v>
      </c>
      <c r="D627" s="1" t="s">
        <v>732</v>
      </c>
      <c r="E627" s="1" t="s">
        <v>740</v>
      </c>
      <c r="F627" s="1" t="s">
        <v>654</v>
      </c>
      <c r="G627" s="1">
        <v>10395.120000000001</v>
      </c>
    </row>
    <row r="628" spans="2:7">
      <c r="B628" s="1" t="s">
        <v>227</v>
      </c>
      <c r="C628" s="1" t="s">
        <v>228</v>
      </c>
      <c r="D628" s="1" t="s">
        <v>721</v>
      </c>
      <c r="E628" s="1" t="s">
        <v>669</v>
      </c>
      <c r="F628" s="1" t="s">
        <v>941</v>
      </c>
      <c r="G628" s="1">
        <v>-208140.64</v>
      </c>
    </row>
    <row r="629" spans="2:7">
      <c r="B629" s="1" t="s">
        <v>229</v>
      </c>
      <c r="C629" s="1" t="s">
        <v>230</v>
      </c>
      <c r="D629" s="1" t="s">
        <v>743</v>
      </c>
      <c r="E629" s="1" t="s">
        <v>703</v>
      </c>
      <c r="F629" s="1" t="s">
        <v>672</v>
      </c>
      <c r="G629" s="1">
        <v>898727.19</v>
      </c>
    </row>
    <row r="630" spans="2:7">
      <c r="B630" s="1" t="s">
        <v>231</v>
      </c>
      <c r="C630" s="1" t="s">
        <v>232</v>
      </c>
      <c r="D630" s="1" t="s">
        <v>732</v>
      </c>
      <c r="E630" s="1" t="s">
        <v>594</v>
      </c>
      <c r="F630" s="1" t="s">
        <v>648</v>
      </c>
      <c r="G630" s="1">
        <v>-4511.74</v>
      </c>
    </row>
    <row r="631" spans="2:7">
      <c r="B631" s="1" t="s">
        <v>233</v>
      </c>
      <c r="C631" s="1" t="s">
        <v>234</v>
      </c>
      <c r="D631" s="1" t="s">
        <v>721</v>
      </c>
      <c r="E631" s="1" t="s">
        <v>650</v>
      </c>
      <c r="F631" s="1" t="s">
        <v>591</v>
      </c>
      <c r="G631" s="1">
        <v>46109.48</v>
      </c>
    </row>
    <row r="632" spans="2:7">
      <c r="B632" s="1" t="s">
        <v>235</v>
      </c>
      <c r="C632" s="1" t="s">
        <v>236</v>
      </c>
      <c r="D632" s="1" t="s">
        <v>724</v>
      </c>
      <c r="E632" s="1" t="s">
        <v>725</v>
      </c>
      <c r="F632" s="1" t="s">
        <v>683</v>
      </c>
      <c r="G632" s="1">
        <v>17713.689999999999</v>
      </c>
    </row>
    <row r="633" spans="2:7">
      <c r="B633" s="1" t="s">
        <v>237</v>
      </c>
      <c r="C633" s="1" t="s">
        <v>238</v>
      </c>
      <c r="D633" s="1" t="s">
        <v>724</v>
      </c>
      <c r="E633" s="1" t="s">
        <v>669</v>
      </c>
      <c r="F633" s="1" t="s">
        <v>655</v>
      </c>
      <c r="G633" s="1">
        <v>547603.89</v>
      </c>
    </row>
    <row r="634" spans="2:7">
      <c r="B634" s="1" t="s">
        <v>239</v>
      </c>
      <c r="C634" s="1" t="s">
        <v>240</v>
      </c>
      <c r="D634" s="1" t="s">
        <v>724</v>
      </c>
      <c r="E634" s="1" t="s">
        <v>725</v>
      </c>
      <c r="F634" s="1" t="s">
        <v>241</v>
      </c>
      <c r="G634" s="1">
        <v>8963.44</v>
      </c>
    </row>
    <row r="635" spans="2:7">
      <c r="B635" s="1" t="s">
        <v>242</v>
      </c>
      <c r="C635" s="1" t="s">
        <v>243</v>
      </c>
      <c r="D635" s="1" t="s">
        <v>732</v>
      </c>
      <c r="E635" s="1" t="s">
        <v>733</v>
      </c>
      <c r="F635" s="1" t="s">
        <v>244</v>
      </c>
      <c r="G635" s="1">
        <v>414.03</v>
      </c>
    </row>
    <row r="636" spans="2:7">
      <c r="B636" s="1" t="s">
        <v>245</v>
      </c>
      <c r="C636" s="1" t="s">
        <v>246</v>
      </c>
      <c r="D636" s="1" t="s">
        <v>743</v>
      </c>
      <c r="E636" s="1" t="s">
        <v>703</v>
      </c>
      <c r="F636" s="1" t="s">
        <v>247</v>
      </c>
      <c r="G636" s="1">
        <v>12.87</v>
      </c>
    </row>
    <row r="637" spans="2:7">
      <c r="B637" s="1" t="s">
        <v>248</v>
      </c>
      <c r="C637" s="1" t="s">
        <v>249</v>
      </c>
      <c r="D637" s="1" t="s">
        <v>732</v>
      </c>
      <c r="E637" s="1" t="s">
        <v>703</v>
      </c>
      <c r="F637" s="1" t="s">
        <v>646</v>
      </c>
      <c r="G637" s="1">
        <v>11.13</v>
      </c>
    </row>
    <row r="638" spans="2:7">
      <c r="B638" s="1" t="s">
        <v>250</v>
      </c>
      <c r="C638" s="1" t="s">
        <v>251</v>
      </c>
      <c r="D638" s="1" t="s">
        <v>721</v>
      </c>
      <c r="E638" s="1" t="s">
        <v>703</v>
      </c>
      <c r="F638" s="1" t="s">
        <v>585</v>
      </c>
      <c r="G638" s="1">
        <v>98277.69</v>
      </c>
    </row>
    <row r="639" spans="2:7">
      <c r="B639" s="1" t="s">
        <v>252</v>
      </c>
      <c r="C639" s="1" t="s">
        <v>253</v>
      </c>
      <c r="D639" s="1" t="s">
        <v>732</v>
      </c>
      <c r="E639" s="1" t="s">
        <v>703</v>
      </c>
      <c r="F639" s="1" t="s">
        <v>254</v>
      </c>
      <c r="G639" s="1">
        <v>0</v>
      </c>
    </row>
    <row r="640" spans="2:7">
      <c r="B640" s="1" t="s">
        <v>255</v>
      </c>
      <c r="C640" s="1" t="s">
        <v>256</v>
      </c>
      <c r="D640" s="1" t="s">
        <v>724</v>
      </c>
      <c r="E640" s="1" t="s">
        <v>703</v>
      </c>
      <c r="F640" s="1" t="s">
        <v>241</v>
      </c>
      <c r="G640" s="1">
        <v>23025.09</v>
      </c>
    </row>
    <row r="641" spans="2:7">
      <c r="B641" s="1" t="s">
        <v>257</v>
      </c>
      <c r="C641" s="1" t="s">
        <v>258</v>
      </c>
      <c r="D641" s="1" t="s">
        <v>743</v>
      </c>
      <c r="E641" s="1" t="s">
        <v>703</v>
      </c>
      <c r="F641" s="1" t="s">
        <v>259</v>
      </c>
      <c r="G641" s="1">
        <v>-41.54</v>
      </c>
    </row>
    <row r="642" spans="2:7">
      <c r="B642" s="1" t="s">
        <v>260</v>
      </c>
      <c r="C642" s="1" t="s">
        <v>261</v>
      </c>
      <c r="D642" s="1" t="s">
        <v>971</v>
      </c>
      <c r="E642" s="1" t="s">
        <v>703</v>
      </c>
      <c r="F642" s="1" t="s">
        <v>635</v>
      </c>
      <c r="G642" s="1">
        <v>26151.75</v>
      </c>
    </row>
    <row r="643" spans="2:7">
      <c r="B643" s="1" t="s">
        <v>262</v>
      </c>
      <c r="C643" s="1" t="s">
        <v>263</v>
      </c>
      <c r="D643" s="1" t="s">
        <v>732</v>
      </c>
      <c r="E643" s="1" t="s">
        <v>1420</v>
      </c>
      <c r="F643" s="1" t="s">
        <v>609</v>
      </c>
      <c r="G643" s="1">
        <v>0</v>
      </c>
    </row>
    <row r="644" spans="2:7">
      <c r="B644" s="1" t="s">
        <v>264</v>
      </c>
      <c r="C644" s="1" t="s">
        <v>265</v>
      </c>
      <c r="D644" s="1" t="s">
        <v>724</v>
      </c>
      <c r="E644" s="1" t="s">
        <v>841</v>
      </c>
      <c r="F644" s="1" t="s">
        <v>572</v>
      </c>
      <c r="G644" s="1">
        <v>3002.33</v>
      </c>
    </row>
    <row r="645" spans="2:7">
      <c r="B645" s="1" t="s">
        <v>266</v>
      </c>
      <c r="C645" s="1" t="s">
        <v>267</v>
      </c>
      <c r="D645" s="1" t="s">
        <v>743</v>
      </c>
      <c r="E645" s="1" t="s">
        <v>669</v>
      </c>
      <c r="F645" s="1" t="s">
        <v>259</v>
      </c>
      <c r="G645" s="1">
        <v>146.57</v>
      </c>
    </row>
    <row r="646" spans="2:7">
      <c r="B646" s="1" t="s">
        <v>268</v>
      </c>
      <c r="C646" s="1" t="s">
        <v>269</v>
      </c>
      <c r="D646" s="1" t="s">
        <v>721</v>
      </c>
      <c r="E646" s="1" t="s">
        <v>703</v>
      </c>
      <c r="F646" s="1" t="s">
        <v>1491</v>
      </c>
      <c r="G646" s="1">
        <v>214667.84</v>
      </c>
    </row>
    <row r="647" spans="2:7">
      <c r="B647" s="1" t="s">
        <v>270</v>
      </c>
      <c r="C647" s="1" t="s">
        <v>271</v>
      </c>
      <c r="D647" s="1" t="s">
        <v>721</v>
      </c>
      <c r="E647" s="1" t="s">
        <v>703</v>
      </c>
      <c r="F647" s="1" t="s">
        <v>584</v>
      </c>
      <c r="G647" s="1">
        <v>31837.38</v>
      </c>
    </row>
    <row r="648" spans="2:7">
      <c r="B648" s="1" t="s">
        <v>272</v>
      </c>
      <c r="C648" s="1" t="s">
        <v>273</v>
      </c>
      <c r="D648" s="1" t="s">
        <v>721</v>
      </c>
      <c r="E648" s="1" t="s">
        <v>703</v>
      </c>
      <c r="F648" s="1" t="s">
        <v>668</v>
      </c>
      <c r="G648" s="1">
        <v>1802992.22</v>
      </c>
    </row>
    <row r="649" spans="2:7">
      <c r="B649" s="1" t="s">
        <v>274</v>
      </c>
      <c r="C649" s="1" t="s">
        <v>275</v>
      </c>
      <c r="D649" s="1" t="s">
        <v>724</v>
      </c>
      <c r="E649" s="1" t="s">
        <v>836</v>
      </c>
      <c r="F649" s="1" t="s">
        <v>656</v>
      </c>
      <c r="G649" s="1">
        <v>4636.34</v>
      </c>
    </row>
    <row r="650" spans="2:7">
      <c r="B650" s="1" t="s">
        <v>276</v>
      </c>
      <c r="C650" s="1" t="s">
        <v>277</v>
      </c>
      <c r="D650" s="1" t="s">
        <v>732</v>
      </c>
      <c r="E650" s="1" t="s">
        <v>733</v>
      </c>
      <c r="F650" s="1" t="s">
        <v>278</v>
      </c>
      <c r="G650" s="1">
        <v>-120063.34</v>
      </c>
    </row>
    <row r="651" spans="2:7">
      <c r="B651" s="1" t="s">
        <v>279</v>
      </c>
      <c r="C651" s="1" t="s">
        <v>280</v>
      </c>
      <c r="D651" s="1" t="s">
        <v>724</v>
      </c>
      <c r="E651" s="1" t="s">
        <v>703</v>
      </c>
      <c r="F651" s="1" t="s">
        <v>281</v>
      </c>
      <c r="G651" s="1">
        <v>0</v>
      </c>
    </row>
    <row r="652" spans="2:7">
      <c r="B652" s="1" t="s">
        <v>282</v>
      </c>
      <c r="C652" s="1" t="s">
        <v>283</v>
      </c>
      <c r="D652" s="1" t="s">
        <v>721</v>
      </c>
      <c r="E652" s="1" t="s">
        <v>669</v>
      </c>
      <c r="F652" s="1" t="s">
        <v>704</v>
      </c>
      <c r="G652" s="1">
        <v>0</v>
      </c>
    </row>
    <row r="653" spans="2:7">
      <c r="B653" s="1" t="s">
        <v>284</v>
      </c>
      <c r="C653" s="1" t="s">
        <v>285</v>
      </c>
      <c r="D653" s="1" t="s">
        <v>721</v>
      </c>
      <c r="E653" s="1" t="s">
        <v>650</v>
      </c>
      <c r="F653" s="1" t="s">
        <v>83</v>
      </c>
      <c r="G653" s="1">
        <v>10906981.6</v>
      </c>
    </row>
    <row r="654" spans="2:7">
      <c r="B654" s="1" t="s">
        <v>286</v>
      </c>
      <c r="C654" s="1" t="s">
        <v>287</v>
      </c>
      <c r="D654" s="1" t="s">
        <v>743</v>
      </c>
      <c r="E654" s="1" t="s">
        <v>703</v>
      </c>
      <c r="F654" s="1" t="s">
        <v>662</v>
      </c>
      <c r="G654" s="1">
        <v>52336.04</v>
      </c>
    </row>
    <row r="655" spans="2:7">
      <c r="B655" s="1" t="s">
        <v>288</v>
      </c>
      <c r="C655" s="1" t="s">
        <v>289</v>
      </c>
      <c r="D655" s="1" t="s">
        <v>743</v>
      </c>
      <c r="E655" s="1" t="s">
        <v>1777</v>
      </c>
      <c r="F655" s="1" t="s">
        <v>744</v>
      </c>
      <c r="G655" s="1">
        <v>26.13</v>
      </c>
    </row>
    <row r="656" spans="2:7">
      <c r="B656" s="1" t="s">
        <v>290</v>
      </c>
      <c r="C656" s="1" t="s">
        <v>291</v>
      </c>
      <c r="D656" s="1" t="s">
        <v>724</v>
      </c>
      <c r="E656" s="1" t="s">
        <v>841</v>
      </c>
      <c r="F656" s="1" t="s">
        <v>708</v>
      </c>
      <c r="G656" s="1">
        <v>-184087.89</v>
      </c>
    </row>
    <row r="657" spans="2:7">
      <c r="B657" s="1" t="s">
        <v>292</v>
      </c>
      <c r="C657" s="1" t="s">
        <v>293</v>
      </c>
      <c r="D657" s="1" t="s">
        <v>724</v>
      </c>
      <c r="E657" s="1" t="s">
        <v>725</v>
      </c>
      <c r="F657" s="1" t="s">
        <v>692</v>
      </c>
      <c r="G657" s="1">
        <v>289169.21000000002</v>
      </c>
    </row>
    <row r="658" spans="2:7">
      <c r="B658" s="1" t="s">
        <v>294</v>
      </c>
      <c r="C658" s="1" t="s">
        <v>295</v>
      </c>
      <c r="D658" s="1" t="s">
        <v>743</v>
      </c>
      <c r="E658" s="1" t="s">
        <v>1777</v>
      </c>
      <c r="F658" s="1" t="s">
        <v>643</v>
      </c>
      <c r="G658" s="1">
        <v>311.81</v>
      </c>
    </row>
    <row r="659" spans="2:7">
      <c r="B659" s="1" t="s">
        <v>296</v>
      </c>
      <c r="C659" s="1" t="s">
        <v>297</v>
      </c>
      <c r="D659" s="1" t="s">
        <v>724</v>
      </c>
      <c r="E659" s="1" t="s">
        <v>1777</v>
      </c>
      <c r="F659" s="1" t="s">
        <v>575</v>
      </c>
      <c r="G659" s="1">
        <v>2210.3200000000002</v>
      </c>
    </row>
    <row r="660" spans="2:7">
      <c r="B660" s="1" t="s">
        <v>298</v>
      </c>
      <c r="C660" s="1" t="s">
        <v>299</v>
      </c>
      <c r="D660" s="1" t="s">
        <v>724</v>
      </c>
      <c r="E660" s="1" t="s">
        <v>1777</v>
      </c>
      <c r="F660" s="1" t="s">
        <v>692</v>
      </c>
      <c r="G660" s="1">
        <v>361.39</v>
      </c>
    </row>
    <row r="661" spans="2:7">
      <c r="B661" s="1" t="s">
        <v>300</v>
      </c>
      <c r="C661" s="1" t="s">
        <v>301</v>
      </c>
      <c r="D661" s="1" t="s">
        <v>721</v>
      </c>
      <c r="E661" s="1" t="s">
        <v>1777</v>
      </c>
      <c r="F661" s="1" t="s">
        <v>710</v>
      </c>
      <c r="G661" s="1">
        <v>685.88</v>
      </c>
    </row>
    <row r="662" spans="2:7">
      <c r="B662" s="1" t="s">
        <v>302</v>
      </c>
      <c r="C662" s="1" t="s">
        <v>303</v>
      </c>
      <c r="D662" s="1" t="s">
        <v>732</v>
      </c>
      <c r="E662" s="1" t="s">
        <v>740</v>
      </c>
      <c r="F662" s="1" t="s">
        <v>187</v>
      </c>
      <c r="G662" s="1">
        <v>-736838.14</v>
      </c>
    </row>
    <row r="663" spans="2:7">
      <c r="B663" s="1" t="s">
        <v>304</v>
      </c>
      <c r="C663" s="1" t="s">
        <v>305</v>
      </c>
      <c r="D663" s="1" t="s">
        <v>724</v>
      </c>
      <c r="E663" s="1" t="s">
        <v>858</v>
      </c>
      <c r="F663" s="1" t="s">
        <v>686</v>
      </c>
      <c r="G663" s="1">
        <v>5248840.91</v>
      </c>
    </row>
    <row r="664" spans="2:7">
      <c r="B664" s="1" t="s">
        <v>306</v>
      </c>
      <c r="C664" s="1" t="s">
        <v>307</v>
      </c>
      <c r="D664" s="1" t="s">
        <v>724</v>
      </c>
      <c r="E664" s="1" t="s">
        <v>1777</v>
      </c>
      <c r="F664" s="1" t="s">
        <v>655</v>
      </c>
      <c r="G664" s="1">
        <v>0</v>
      </c>
    </row>
    <row r="665" spans="2:7">
      <c r="B665" s="1" t="s">
        <v>308</v>
      </c>
      <c r="C665" s="1" t="s">
        <v>309</v>
      </c>
      <c r="D665" s="1" t="s">
        <v>1777</v>
      </c>
      <c r="E665" s="1" t="s">
        <v>1777</v>
      </c>
      <c r="F665" s="1" t="s">
        <v>646</v>
      </c>
      <c r="G665" s="1">
        <v>-2318076.6</v>
      </c>
    </row>
    <row r="666" spans="2:7">
      <c r="B666" s="1" t="s">
        <v>310</v>
      </c>
      <c r="C666" s="1" t="s">
        <v>311</v>
      </c>
      <c r="D666" s="1" t="s">
        <v>732</v>
      </c>
      <c r="E666" s="1" t="s">
        <v>733</v>
      </c>
      <c r="F666" s="1" t="s">
        <v>604</v>
      </c>
      <c r="G666" s="1">
        <v>-305018.2</v>
      </c>
    </row>
    <row r="667" spans="2:7">
      <c r="B667" s="1" t="s">
        <v>312</v>
      </c>
      <c r="C667" s="1" t="s">
        <v>313</v>
      </c>
      <c r="D667" s="1" t="s">
        <v>721</v>
      </c>
      <c r="E667" s="1" t="s">
        <v>703</v>
      </c>
      <c r="F667" s="1" t="s">
        <v>583</v>
      </c>
      <c r="G667" s="1">
        <v>13915.17</v>
      </c>
    </row>
    <row r="668" spans="2:7">
      <c r="B668" s="1" t="s">
        <v>314</v>
      </c>
      <c r="C668" s="1" t="s">
        <v>315</v>
      </c>
      <c r="D668" s="1" t="s">
        <v>732</v>
      </c>
      <c r="E668" s="1" t="s">
        <v>740</v>
      </c>
      <c r="F668" s="1" t="s">
        <v>600</v>
      </c>
      <c r="G668" s="1">
        <v>2600.36</v>
      </c>
    </row>
    <row r="669" spans="2:7">
      <c r="B669" s="1" t="s">
        <v>316</v>
      </c>
      <c r="C669" s="1" t="s">
        <v>317</v>
      </c>
      <c r="D669" s="1" t="s">
        <v>721</v>
      </c>
      <c r="E669" s="1" t="s">
        <v>858</v>
      </c>
      <c r="F669" s="1" t="s">
        <v>157</v>
      </c>
      <c r="G669" s="1">
        <v>0</v>
      </c>
    </row>
    <row r="670" spans="2:7">
      <c r="B670" s="1" t="s">
        <v>318</v>
      </c>
      <c r="C670" s="1" t="s">
        <v>319</v>
      </c>
      <c r="D670" s="1" t="s">
        <v>721</v>
      </c>
      <c r="E670" s="1" t="s">
        <v>669</v>
      </c>
      <c r="F670" s="1" t="s">
        <v>705</v>
      </c>
      <c r="G670" s="1">
        <v>0</v>
      </c>
    </row>
    <row r="671" spans="2:7">
      <c r="B671" s="1" t="s">
        <v>320</v>
      </c>
      <c r="C671" s="1" t="s">
        <v>321</v>
      </c>
      <c r="D671" s="1" t="s">
        <v>721</v>
      </c>
      <c r="E671" s="1" t="s">
        <v>669</v>
      </c>
      <c r="F671" s="1" t="s">
        <v>705</v>
      </c>
      <c r="G671" s="1">
        <v>0</v>
      </c>
    </row>
    <row r="672" spans="2:7">
      <c r="B672" s="1" t="s">
        <v>322</v>
      </c>
      <c r="C672" s="1" t="s">
        <v>323</v>
      </c>
      <c r="D672" s="1" t="s">
        <v>724</v>
      </c>
      <c r="E672" s="1" t="s">
        <v>669</v>
      </c>
      <c r="F672" s="1" t="s">
        <v>655</v>
      </c>
      <c r="G672" s="1">
        <v>1681572.96</v>
      </c>
    </row>
    <row r="673" spans="2:7">
      <c r="B673" s="1" t="s">
        <v>324</v>
      </c>
      <c r="C673" s="1" t="s">
        <v>325</v>
      </c>
      <c r="D673" s="1" t="s">
        <v>732</v>
      </c>
      <c r="E673" s="1" t="s">
        <v>594</v>
      </c>
      <c r="F673" s="1" t="s">
        <v>646</v>
      </c>
      <c r="G673" s="1">
        <v>-7765483.1299999999</v>
      </c>
    </row>
    <row r="674" spans="2:7">
      <c r="B674" s="1" t="s">
        <v>326</v>
      </c>
      <c r="C674" s="1" t="s">
        <v>327</v>
      </c>
      <c r="D674" s="1" t="s">
        <v>732</v>
      </c>
      <c r="E674" s="1" t="s">
        <v>594</v>
      </c>
      <c r="F674" s="1" t="s">
        <v>648</v>
      </c>
      <c r="G674" s="1">
        <v>929568.09</v>
      </c>
    </row>
    <row r="675" spans="2:7">
      <c r="B675" s="1" t="s">
        <v>328</v>
      </c>
      <c r="C675" s="1" t="s">
        <v>329</v>
      </c>
      <c r="D675" s="1" t="s">
        <v>732</v>
      </c>
      <c r="E675" s="1" t="s">
        <v>594</v>
      </c>
      <c r="F675" s="1" t="s">
        <v>648</v>
      </c>
      <c r="G675" s="1">
        <v>-5601125.1100000003</v>
      </c>
    </row>
    <row r="676" spans="2:7">
      <c r="B676" s="1" t="s">
        <v>330</v>
      </c>
      <c r="C676" s="1" t="s">
        <v>331</v>
      </c>
      <c r="D676" s="1" t="s">
        <v>721</v>
      </c>
      <c r="E676" s="1" t="s">
        <v>703</v>
      </c>
      <c r="F676" s="1" t="s">
        <v>1491</v>
      </c>
      <c r="G676" s="1">
        <v>0</v>
      </c>
    </row>
    <row r="677" spans="2:7">
      <c r="B677" s="1" t="s">
        <v>332</v>
      </c>
      <c r="C677" s="1" t="s">
        <v>333</v>
      </c>
      <c r="D677" s="1" t="s">
        <v>724</v>
      </c>
      <c r="E677" s="1" t="s">
        <v>813</v>
      </c>
      <c r="F677" s="1" t="s">
        <v>334</v>
      </c>
      <c r="G677" s="1">
        <v>-69735.009999999995</v>
      </c>
    </row>
    <row r="678" spans="2:7">
      <c r="B678" s="1" t="s">
        <v>335</v>
      </c>
      <c r="C678" s="1" t="s">
        <v>336</v>
      </c>
      <c r="D678" s="1" t="s">
        <v>743</v>
      </c>
      <c r="E678" s="1" t="s">
        <v>703</v>
      </c>
      <c r="F678" s="1" t="s">
        <v>662</v>
      </c>
      <c r="G678" s="1">
        <v>19.91</v>
      </c>
    </row>
    <row r="679" spans="2:7">
      <c r="B679" s="1" t="s">
        <v>337</v>
      </c>
      <c r="C679" s="1" t="s">
        <v>338</v>
      </c>
      <c r="D679" s="1" t="s">
        <v>724</v>
      </c>
      <c r="E679" s="1" t="s">
        <v>725</v>
      </c>
      <c r="F679" s="1" t="s">
        <v>1451</v>
      </c>
      <c r="G679" s="1">
        <v>-79308.289999999994</v>
      </c>
    </row>
    <row r="680" spans="2:7">
      <c r="B680" s="1" t="s">
        <v>339</v>
      </c>
      <c r="C680" s="1" t="s">
        <v>340</v>
      </c>
      <c r="D680" s="1" t="s">
        <v>743</v>
      </c>
      <c r="E680" s="1" t="s">
        <v>703</v>
      </c>
      <c r="F680" s="1" t="s">
        <v>341</v>
      </c>
      <c r="G680" s="1">
        <v>90467.38</v>
      </c>
    </row>
    <row r="681" spans="2:7">
      <c r="B681" s="1" t="s">
        <v>342</v>
      </c>
      <c r="C681" s="1" t="s">
        <v>343</v>
      </c>
      <c r="D681" s="1" t="s">
        <v>743</v>
      </c>
      <c r="E681" s="1" t="s">
        <v>691</v>
      </c>
      <c r="F681" s="1" t="s">
        <v>1554</v>
      </c>
      <c r="G681" s="1">
        <v>0</v>
      </c>
    </row>
    <row r="682" spans="2:7">
      <c r="B682" s="1" t="s">
        <v>344</v>
      </c>
      <c r="C682" s="1" t="s">
        <v>345</v>
      </c>
      <c r="D682" s="1" t="s">
        <v>743</v>
      </c>
      <c r="E682" s="1" t="s">
        <v>703</v>
      </c>
      <c r="F682" s="1" t="s">
        <v>652</v>
      </c>
      <c r="G682" s="1">
        <v>0</v>
      </c>
    </row>
    <row r="683" spans="2:7">
      <c r="B683" s="1" t="s">
        <v>346</v>
      </c>
      <c r="C683" s="1" t="s">
        <v>347</v>
      </c>
      <c r="D683" s="1" t="s">
        <v>724</v>
      </c>
      <c r="E683" s="1" t="s">
        <v>841</v>
      </c>
      <c r="F683" s="1" t="s">
        <v>708</v>
      </c>
      <c r="G683" s="1">
        <v>533.04</v>
      </c>
    </row>
    <row r="684" spans="2:7">
      <c r="B684" s="1" t="s">
        <v>348</v>
      </c>
      <c r="C684" s="1" t="s">
        <v>349</v>
      </c>
      <c r="D684" s="1" t="s">
        <v>732</v>
      </c>
      <c r="E684" s="1" t="s">
        <v>1777</v>
      </c>
      <c r="F684" s="1" t="s">
        <v>646</v>
      </c>
      <c r="G684" s="1">
        <v>97.09</v>
      </c>
    </row>
    <row r="685" spans="2:7">
      <c r="B685" s="1" t="s">
        <v>350</v>
      </c>
      <c r="C685" s="1" t="s">
        <v>351</v>
      </c>
      <c r="D685" s="1" t="s">
        <v>721</v>
      </c>
      <c r="E685" s="1" t="s">
        <v>703</v>
      </c>
      <c r="F685" s="1" t="s">
        <v>671</v>
      </c>
      <c r="G685" s="1">
        <v>0</v>
      </c>
    </row>
    <row r="686" spans="2:7">
      <c r="B686" s="1" t="s">
        <v>352</v>
      </c>
      <c r="C686" s="1" t="s">
        <v>353</v>
      </c>
      <c r="D686" s="1" t="s">
        <v>721</v>
      </c>
      <c r="E686" s="1" t="s">
        <v>703</v>
      </c>
      <c r="F686" s="1" t="s">
        <v>689</v>
      </c>
      <c r="G686" s="1">
        <v>4.32</v>
      </c>
    </row>
    <row r="687" spans="2:7">
      <c r="B687" s="1" t="s">
        <v>354</v>
      </c>
      <c r="C687" s="1" t="s">
        <v>355</v>
      </c>
      <c r="D687" s="1" t="s">
        <v>732</v>
      </c>
      <c r="E687" s="1" t="s">
        <v>740</v>
      </c>
      <c r="F687" s="1" t="s">
        <v>597</v>
      </c>
      <c r="G687" s="1">
        <v>5288.83</v>
      </c>
    </row>
    <row r="688" spans="2:7">
      <c r="B688" s="1" t="s">
        <v>356</v>
      </c>
      <c r="C688" s="1" t="s">
        <v>357</v>
      </c>
      <c r="D688" s="1" t="s">
        <v>724</v>
      </c>
      <c r="E688" s="1" t="s">
        <v>725</v>
      </c>
      <c r="F688" s="1" t="s">
        <v>684</v>
      </c>
      <c r="G688" s="1">
        <v>9395.98</v>
      </c>
    </row>
    <row r="689" spans="2:7">
      <c r="B689" s="1" t="s">
        <v>358</v>
      </c>
      <c r="C689" s="1" t="s">
        <v>359</v>
      </c>
      <c r="D689" s="1" t="s">
        <v>724</v>
      </c>
      <c r="E689" s="1" t="s">
        <v>669</v>
      </c>
      <c r="F689" s="1" t="s">
        <v>655</v>
      </c>
      <c r="G689" s="1">
        <v>0</v>
      </c>
    </row>
    <row r="690" spans="2:7">
      <c r="B690" s="1" t="s">
        <v>360</v>
      </c>
      <c r="C690" s="1" t="s">
        <v>361</v>
      </c>
      <c r="D690" s="1" t="s">
        <v>743</v>
      </c>
      <c r="E690" s="1" t="s">
        <v>669</v>
      </c>
      <c r="F690" s="1" t="s">
        <v>699</v>
      </c>
      <c r="G690" s="1">
        <v>0</v>
      </c>
    </row>
    <row r="691" spans="2:7">
      <c r="B691" s="1" t="s">
        <v>362</v>
      </c>
      <c r="C691" s="1" t="s">
        <v>363</v>
      </c>
      <c r="D691" s="1" t="s">
        <v>724</v>
      </c>
      <c r="E691" s="1" t="s">
        <v>858</v>
      </c>
      <c r="F691" s="1" t="s">
        <v>683</v>
      </c>
      <c r="G691" s="1">
        <v>0</v>
      </c>
    </row>
    <row r="692" spans="2:7">
      <c r="B692" s="1" t="s">
        <v>364</v>
      </c>
      <c r="C692" s="1" t="s">
        <v>365</v>
      </c>
      <c r="D692" s="1" t="s">
        <v>721</v>
      </c>
      <c r="E692" s="1" t="s">
        <v>669</v>
      </c>
      <c r="F692" s="1" t="s">
        <v>1932</v>
      </c>
      <c r="G692" s="1">
        <v>6794.39</v>
      </c>
    </row>
    <row r="693" spans="2:7">
      <c r="B693" s="1" t="s">
        <v>366</v>
      </c>
      <c r="C693" s="1" t="s">
        <v>367</v>
      </c>
      <c r="D693" s="1" t="s">
        <v>721</v>
      </c>
      <c r="E693" s="1" t="s">
        <v>669</v>
      </c>
      <c r="F693" s="1" t="s">
        <v>368</v>
      </c>
      <c r="G693" s="1">
        <v>0</v>
      </c>
    </row>
    <row r="694" spans="2:7">
      <c r="B694" s="1" t="s">
        <v>369</v>
      </c>
      <c r="C694" s="1" t="s">
        <v>370</v>
      </c>
      <c r="D694" s="1" t="s">
        <v>724</v>
      </c>
      <c r="E694" s="1" t="s">
        <v>813</v>
      </c>
      <c r="F694" s="1" t="s">
        <v>371</v>
      </c>
      <c r="G694" s="1">
        <v>-56946.29</v>
      </c>
    </row>
    <row r="695" spans="2:7">
      <c r="B695" s="1" t="s">
        <v>372</v>
      </c>
      <c r="C695" s="1" t="s">
        <v>373</v>
      </c>
      <c r="D695" s="1" t="s">
        <v>724</v>
      </c>
      <c r="E695" s="1" t="s">
        <v>841</v>
      </c>
      <c r="F695" s="1" t="s">
        <v>571</v>
      </c>
      <c r="G695" s="1">
        <v>-998921.48</v>
      </c>
    </row>
    <row r="696" spans="2:7">
      <c r="B696" s="1" t="s">
        <v>374</v>
      </c>
      <c r="C696" s="1" t="s">
        <v>375</v>
      </c>
      <c r="D696" s="1" t="s">
        <v>721</v>
      </c>
      <c r="E696" s="1" t="s">
        <v>703</v>
      </c>
      <c r="F696" s="1" t="s">
        <v>376</v>
      </c>
      <c r="G696" s="1">
        <v>0</v>
      </c>
    </row>
    <row r="697" spans="2:7">
      <c r="B697" s="1" t="s">
        <v>377</v>
      </c>
      <c r="C697" s="1" t="s">
        <v>378</v>
      </c>
      <c r="D697" s="1" t="s">
        <v>721</v>
      </c>
      <c r="E697" s="1" t="s">
        <v>703</v>
      </c>
      <c r="F697" s="1" t="s">
        <v>379</v>
      </c>
      <c r="G697" s="1">
        <v>-2866062.17</v>
      </c>
    </row>
    <row r="698" spans="2:7">
      <c r="B698" s="1" t="s">
        <v>380</v>
      </c>
      <c r="C698" s="1" t="s">
        <v>381</v>
      </c>
      <c r="D698" s="1" t="s">
        <v>732</v>
      </c>
      <c r="E698" s="1" t="s">
        <v>740</v>
      </c>
      <c r="F698" s="1" t="s">
        <v>608</v>
      </c>
      <c r="G698" s="1">
        <v>-25847.5</v>
      </c>
    </row>
    <row r="699" spans="2:7">
      <c r="B699" s="1" t="s">
        <v>382</v>
      </c>
      <c r="C699" s="1" t="s">
        <v>383</v>
      </c>
      <c r="D699" s="1" t="s">
        <v>721</v>
      </c>
      <c r="E699" s="1" t="s">
        <v>1777</v>
      </c>
      <c r="F699" s="1" t="s">
        <v>588</v>
      </c>
      <c r="G699" s="1">
        <v>1661.44</v>
      </c>
    </row>
    <row r="700" spans="2:7">
      <c r="B700" s="1" t="s">
        <v>384</v>
      </c>
      <c r="C700" s="1" t="s">
        <v>385</v>
      </c>
      <c r="D700" s="1" t="s">
        <v>721</v>
      </c>
      <c r="E700" s="1" t="s">
        <v>650</v>
      </c>
      <c r="F700" s="1" t="s">
        <v>386</v>
      </c>
      <c r="G700" s="1">
        <v>0</v>
      </c>
    </row>
    <row r="701" spans="2:7">
      <c r="B701" s="1" t="s">
        <v>387</v>
      </c>
      <c r="C701" s="1" t="s">
        <v>388</v>
      </c>
      <c r="D701" s="1" t="s">
        <v>721</v>
      </c>
      <c r="E701" s="1" t="s">
        <v>650</v>
      </c>
      <c r="F701" s="1" t="s">
        <v>389</v>
      </c>
      <c r="G701" s="1">
        <v>0</v>
      </c>
    </row>
    <row r="702" spans="2:7">
      <c r="B702" s="1" t="s">
        <v>390</v>
      </c>
      <c r="C702" s="1" t="s">
        <v>391</v>
      </c>
      <c r="D702" s="1" t="s">
        <v>743</v>
      </c>
      <c r="E702" s="1" t="s">
        <v>703</v>
      </c>
      <c r="F702" s="1" t="s">
        <v>392</v>
      </c>
      <c r="G702" s="1">
        <v>1218.3</v>
      </c>
    </row>
    <row r="703" spans="2:7">
      <c r="B703" s="1" t="s">
        <v>393</v>
      </c>
      <c r="C703" s="1" t="s">
        <v>394</v>
      </c>
      <c r="D703" s="1" t="s">
        <v>724</v>
      </c>
      <c r="E703" s="1" t="s">
        <v>669</v>
      </c>
      <c r="F703" s="1" t="s">
        <v>655</v>
      </c>
      <c r="G703" s="1">
        <v>105991.42</v>
      </c>
    </row>
    <row r="704" spans="2:7">
      <c r="B704" s="1" t="s">
        <v>395</v>
      </c>
      <c r="C704" s="1" t="s">
        <v>396</v>
      </c>
      <c r="D704" s="1" t="s">
        <v>724</v>
      </c>
      <c r="E704" s="1" t="s">
        <v>813</v>
      </c>
      <c r="F704" s="1" t="s">
        <v>397</v>
      </c>
      <c r="G704" s="1">
        <v>41411.47</v>
      </c>
    </row>
    <row r="705" spans="2:7">
      <c r="B705" s="1" t="s">
        <v>398</v>
      </c>
      <c r="C705" s="1" t="s">
        <v>399</v>
      </c>
      <c r="D705" s="1" t="s">
        <v>743</v>
      </c>
      <c r="E705" s="1" t="s">
        <v>691</v>
      </c>
      <c r="F705" s="1" t="s">
        <v>400</v>
      </c>
      <c r="G705" s="1">
        <v>0</v>
      </c>
    </row>
    <row r="706" spans="2:7">
      <c r="B706" s="1" t="s">
        <v>401</v>
      </c>
      <c r="C706" s="1" t="s">
        <v>402</v>
      </c>
      <c r="D706" s="1" t="s">
        <v>724</v>
      </c>
      <c r="E706" s="1" t="s">
        <v>1777</v>
      </c>
      <c r="F706" s="1" t="s">
        <v>576</v>
      </c>
      <c r="G706" s="1">
        <v>585.55999999999995</v>
      </c>
    </row>
    <row r="707" spans="2:7">
      <c r="B707" s="1" t="s">
        <v>403</v>
      </c>
      <c r="C707" s="1" t="s">
        <v>404</v>
      </c>
      <c r="D707" s="1" t="s">
        <v>724</v>
      </c>
      <c r="E707" s="1" t="s">
        <v>858</v>
      </c>
      <c r="F707" s="1" t="s">
        <v>686</v>
      </c>
      <c r="G707" s="1">
        <v>-309045.2</v>
      </c>
    </row>
    <row r="708" spans="2:7">
      <c r="B708" s="1" t="s">
        <v>405</v>
      </c>
      <c r="C708" s="1" t="s">
        <v>406</v>
      </c>
      <c r="D708" s="1" t="s">
        <v>724</v>
      </c>
      <c r="E708" s="1" t="s">
        <v>858</v>
      </c>
      <c r="F708" s="1" t="s">
        <v>683</v>
      </c>
      <c r="G708" s="1">
        <v>-2918.32</v>
      </c>
    </row>
    <row r="709" spans="2:7">
      <c r="B709" s="1" t="s">
        <v>407</v>
      </c>
      <c r="C709" s="1" t="s">
        <v>408</v>
      </c>
      <c r="D709" s="1" t="s">
        <v>743</v>
      </c>
      <c r="E709" s="1" t="s">
        <v>691</v>
      </c>
      <c r="F709" s="1" t="s">
        <v>641</v>
      </c>
      <c r="G709" s="1">
        <v>54473.51</v>
      </c>
    </row>
    <row r="710" spans="2:7">
      <c r="B710" s="1" t="s">
        <v>409</v>
      </c>
      <c r="C710" s="1" t="s">
        <v>410</v>
      </c>
      <c r="D710" s="1" t="s">
        <v>721</v>
      </c>
      <c r="E710" s="1" t="s">
        <v>703</v>
      </c>
      <c r="F710" s="1" t="s">
        <v>1491</v>
      </c>
      <c r="G710" s="1">
        <v>-56791.15</v>
      </c>
    </row>
    <row r="711" spans="2:7">
      <c r="B711" s="1" t="s">
        <v>411</v>
      </c>
      <c r="C711" s="1" t="s">
        <v>412</v>
      </c>
      <c r="D711" s="1" t="s">
        <v>732</v>
      </c>
      <c r="E711" s="1" t="s">
        <v>1420</v>
      </c>
      <c r="F711" s="1" t="s">
        <v>610</v>
      </c>
      <c r="G711" s="1">
        <v>-704</v>
      </c>
    </row>
    <row r="712" spans="2:7">
      <c r="B712" s="1" t="s">
        <v>413</v>
      </c>
      <c r="C712" s="1" t="s">
        <v>414</v>
      </c>
      <c r="D712" s="1" t="s">
        <v>743</v>
      </c>
      <c r="E712" s="1" t="s">
        <v>703</v>
      </c>
      <c r="F712" s="1" t="s">
        <v>744</v>
      </c>
      <c r="G712" s="1">
        <v>0</v>
      </c>
    </row>
    <row r="713" spans="2:7">
      <c r="B713" s="1" t="s">
        <v>415</v>
      </c>
      <c r="C713" s="1" t="s">
        <v>416</v>
      </c>
      <c r="D713" s="1" t="s">
        <v>724</v>
      </c>
      <c r="E713" s="1" t="s">
        <v>1777</v>
      </c>
      <c r="F713" s="1" t="s">
        <v>417</v>
      </c>
      <c r="G713" s="1">
        <v>2298.5700000000002</v>
      </c>
    </row>
    <row r="714" spans="2:7">
      <c r="B714" s="1" t="s">
        <v>418</v>
      </c>
      <c r="C714" s="1" t="s">
        <v>419</v>
      </c>
      <c r="D714" s="1" t="s">
        <v>724</v>
      </c>
      <c r="E714" s="1" t="s">
        <v>669</v>
      </c>
      <c r="F714" s="1" t="s">
        <v>655</v>
      </c>
      <c r="G714" s="1">
        <v>-482604.88</v>
      </c>
    </row>
    <row r="715" spans="2:7">
      <c r="B715" s="1" t="s">
        <v>420</v>
      </c>
      <c r="C715" s="1" t="s">
        <v>421</v>
      </c>
      <c r="D715" s="1" t="s">
        <v>743</v>
      </c>
      <c r="E715" s="1" t="s">
        <v>650</v>
      </c>
      <c r="F715" s="1" t="s">
        <v>422</v>
      </c>
      <c r="G715" s="1">
        <v>0</v>
      </c>
    </row>
    <row r="716" spans="2:7">
      <c r="B716" s="1" t="s">
        <v>423</v>
      </c>
      <c r="C716" s="1" t="s">
        <v>424</v>
      </c>
      <c r="D716" s="1" t="s">
        <v>743</v>
      </c>
      <c r="E716" s="1" t="s">
        <v>691</v>
      </c>
      <c r="F716" s="1" t="s">
        <v>641</v>
      </c>
      <c r="G716" s="1">
        <v>0</v>
      </c>
    </row>
    <row r="717" spans="2:7">
      <c r="B717" s="1" t="s">
        <v>425</v>
      </c>
      <c r="C717" s="1" t="s">
        <v>426</v>
      </c>
      <c r="D717" s="1" t="s">
        <v>743</v>
      </c>
      <c r="E717" s="1" t="s">
        <v>669</v>
      </c>
      <c r="F717" s="1" t="s">
        <v>427</v>
      </c>
      <c r="G717" s="1">
        <v>26323.01</v>
      </c>
    </row>
    <row r="718" spans="2:7">
      <c r="B718" s="1" t="s">
        <v>428</v>
      </c>
      <c r="C718" s="1" t="s">
        <v>429</v>
      </c>
      <c r="D718" s="1" t="s">
        <v>721</v>
      </c>
      <c r="E718" s="1" t="s">
        <v>703</v>
      </c>
      <c r="F718" s="1" t="s">
        <v>586</v>
      </c>
      <c r="G718" s="1">
        <v>0</v>
      </c>
    </row>
    <row r="719" spans="2:7">
      <c r="B719" s="1" t="s">
        <v>430</v>
      </c>
      <c r="C719" s="1" t="s">
        <v>431</v>
      </c>
      <c r="D719" s="1" t="s">
        <v>724</v>
      </c>
      <c r="E719" s="1" t="s">
        <v>1777</v>
      </c>
      <c r="F719" s="1" t="s">
        <v>686</v>
      </c>
      <c r="G719" s="1">
        <v>83728.56</v>
      </c>
    </row>
    <row r="720" spans="2:7">
      <c r="B720" s="1" t="s">
        <v>432</v>
      </c>
      <c r="C720" s="1" t="s">
        <v>433</v>
      </c>
      <c r="D720" s="1" t="s">
        <v>721</v>
      </c>
      <c r="E720" s="1" t="s">
        <v>1777</v>
      </c>
      <c r="F720" s="1" t="s">
        <v>434</v>
      </c>
      <c r="G720" s="1">
        <v>8655.83</v>
      </c>
    </row>
    <row r="721" spans="2:7">
      <c r="B721" s="1" t="s">
        <v>435</v>
      </c>
      <c r="C721" s="1" t="s">
        <v>436</v>
      </c>
      <c r="D721" s="1" t="s">
        <v>743</v>
      </c>
      <c r="E721" s="1" t="s">
        <v>650</v>
      </c>
      <c r="F721" s="1" t="s">
        <v>634</v>
      </c>
      <c r="G721" s="1">
        <v>906119.39</v>
      </c>
    </row>
    <row r="722" spans="2:7">
      <c r="B722" s="1" t="s">
        <v>437</v>
      </c>
      <c r="C722" s="1" t="s">
        <v>438</v>
      </c>
      <c r="D722" s="1" t="s">
        <v>732</v>
      </c>
      <c r="E722" s="1" t="s">
        <v>1777</v>
      </c>
      <c r="F722" s="1" t="s">
        <v>651</v>
      </c>
      <c r="G722" s="1">
        <v>66.260000000000005</v>
      </c>
    </row>
    <row r="723" spans="2:7">
      <c r="B723" s="1" t="s">
        <v>439</v>
      </c>
      <c r="C723" s="1" t="s">
        <v>440</v>
      </c>
      <c r="D723" s="1" t="s">
        <v>732</v>
      </c>
      <c r="E723" s="1" t="s">
        <v>1777</v>
      </c>
      <c r="F723" s="1" t="s">
        <v>651</v>
      </c>
      <c r="G723" s="1">
        <v>12.96</v>
      </c>
    </row>
    <row r="724" spans="2:7">
      <c r="B724" s="1" t="s">
        <v>441</v>
      </c>
      <c r="C724" s="1" t="s">
        <v>442</v>
      </c>
      <c r="D724" s="1" t="s">
        <v>732</v>
      </c>
      <c r="E724" s="1" t="s">
        <v>1777</v>
      </c>
      <c r="F724" s="1" t="s">
        <v>607</v>
      </c>
      <c r="G724" s="1">
        <v>8.64</v>
      </c>
    </row>
    <row r="725" spans="2:7">
      <c r="B725" s="1" t="s">
        <v>443</v>
      </c>
      <c r="C725" s="1" t="s">
        <v>444</v>
      </c>
      <c r="D725" s="1" t="s">
        <v>732</v>
      </c>
      <c r="E725" s="1" t="s">
        <v>733</v>
      </c>
      <c r="F725" s="1" t="s">
        <v>601</v>
      </c>
      <c r="G725" s="1">
        <v>4.32</v>
      </c>
    </row>
    <row r="726" spans="2:7">
      <c r="B726" s="1" t="s">
        <v>445</v>
      </c>
      <c r="C726" s="1" t="s">
        <v>446</v>
      </c>
      <c r="D726" s="1" t="s">
        <v>732</v>
      </c>
      <c r="E726" s="1" t="s">
        <v>594</v>
      </c>
      <c r="F726" s="1" t="s">
        <v>646</v>
      </c>
      <c r="G726" s="1">
        <v>3112.24</v>
      </c>
    </row>
    <row r="727" spans="2:7">
      <c r="B727" s="1" t="s">
        <v>447</v>
      </c>
      <c r="C727" s="1" t="s">
        <v>448</v>
      </c>
      <c r="D727" s="1" t="s">
        <v>732</v>
      </c>
      <c r="E727" s="1" t="s">
        <v>1420</v>
      </c>
      <c r="F727" s="1" t="s">
        <v>595</v>
      </c>
      <c r="G727" s="1">
        <v>39.75</v>
      </c>
    </row>
    <row r="728" spans="2:7">
      <c r="B728" s="1" t="s">
        <v>449</v>
      </c>
      <c r="C728" s="1" t="s">
        <v>450</v>
      </c>
      <c r="D728" s="1" t="s">
        <v>732</v>
      </c>
      <c r="E728" s="1" t="s">
        <v>1777</v>
      </c>
      <c r="F728" s="1" t="s">
        <v>604</v>
      </c>
      <c r="G728" s="1">
        <v>3.57</v>
      </c>
    </row>
    <row r="729" spans="2:7">
      <c r="B729" s="1" t="s">
        <v>451</v>
      </c>
      <c r="C729" s="1" t="s">
        <v>452</v>
      </c>
      <c r="D729" s="1" t="s">
        <v>732</v>
      </c>
      <c r="E729" s="1" t="s">
        <v>1777</v>
      </c>
      <c r="F729" s="1" t="s">
        <v>598</v>
      </c>
      <c r="G729" s="1">
        <v>-155.68</v>
      </c>
    </row>
    <row r="730" spans="2:7">
      <c r="B730" s="1" t="s">
        <v>453</v>
      </c>
      <c r="C730" s="1" t="s">
        <v>454</v>
      </c>
      <c r="D730" s="1" t="s">
        <v>721</v>
      </c>
      <c r="E730" s="1" t="s">
        <v>703</v>
      </c>
      <c r="F730" s="1" t="s">
        <v>455</v>
      </c>
      <c r="G730" s="1">
        <v>30693.97</v>
      </c>
    </row>
    <row r="731" spans="2:7">
      <c r="B731" s="1" t="s">
        <v>456</v>
      </c>
      <c r="C731" s="1" t="s">
        <v>457</v>
      </c>
      <c r="D731" s="1" t="s">
        <v>724</v>
      </c>
      <c r="E731" s="1" t="s">
        <v>1777</v>
      </c>
      <c r="F731" s="1" t="s">
        <v>655</v>
      </c>
      <c r="G731" s="1">
        <v>48168.69</v>
      </c>
    </row>
    <row r="732" spans="2:7">
      <c r="B732" s="1" t="s">
        <v>458</v>
      </c>
      <c r="C732" s="1" t="s">
        <v>459</v>
      </c>
      <c r="D732" s="1" t="s">
        <v>724</v>
      </c>
      <c r="E732" s="1" t="s">
        <v>841</v>
      </c>
      <c r="F732" s="1" t="s">
        <v>657</v>
      </c>
      <c r="G732" s="1">
        <v>65265.82</v>
      </c>
    </row>
    <row r="733" spans="2:7">
      <c r="B733" s="1" t="s">
        <v>460</v>
      </c>
      <c r="C733" s="1" t="s">
        <v>461</v>
      </c>
      <c r="D733" s="1" t="s">
        <v>724</v>
      </c>
      <c r="E733" s="1" t="s">
        <v>1777</v>
      </c>
      <c r="F733" s="1" t="s">
        <v>690</v>
      </c>
      <c r="G733" s="1">
        <v>57.28</v>
      </c>
    </row>
    <row r="734" spans="2:7">
      <c r="B734" s="1" t="s">
        <v>462</v>
      </c>
      <c r="C734" s="1" t="s">
        <v>463</v>
      </c>
      <c r="D734" s="1" t="s">
        <v>724</v>
      </c>
      <c r="E734" s="1" t="s">
        <v>1777</v>
      </c>
      <c r="F734" s="1" t="s">
        <v>179</v>
      </c>
      <c r="G734" s="1">
        <v>1991.23</v>
      </c>
    </row>
    <row r="735" spans="2:7">
      <c r="B735" s="1" t="s">
        <v>464</v>
      </c>
      <c r="C735" s="1" t="s">
        <v>465</v>
      </c>
      <c r="D735" s="1" t="s">
        <v>743</v>
      </c>
      <c r="E735" s="1" t="s">
        <v>1777</v>
      </c>
      <c r="F735" s="1" t="s">
        <v>641</v>
      </c>
      <c r="G735" s="1">
        <v>541.67999999999995</v>
      </c>
    </row>
    <row r="736" spans="2:7">
      <c r="B736" s="1" t="s">
        <v>466</v>
      </c>
      <c r="C736" s="1" t="s">
        <v>467</v>
      </c>
      <c r="D736" s="1" t="s">
        <v>721</v>
      </c>
      <c r="E736" s="1" t="s">
        <v>1777</v>
      </c>
      <c r="F736" s="1" t="s">
        <v>689</v>
      </c>
      <c r="G736" s="1">
        <v>724.23</v>
      </c>
    </row>
    <row r="737" spans="2:7">
      <c r="B737" s="1" t="s">
        <v>468</v>
      </c>
      <c r="C737" s="1" t="s">
        <v>469</v>
      </c>
      <c r="D737" s="1" t="s">
        <v>721</v>
      </c>
      <c r="E737" s="1" t="s">
        <v>703</v>
      </c>
      <c r="F737" s="1" t="s">
        <v>470</v>
      </c>
      <c r="G737" s="1">
        <v>-149195.96</v>
      </c>
    </row>
    <row r="738" spans="2:7">
      <c r="B738" s="1" t="s">
        <v>471</v>
      </c>
      <c r="C738" s="1" t="s">
        <v>472</v>
      </c>
      <c r="D738" s="1" t="s">
        <v>721</v>
      </c>
      <c r="E738" s="1" t="s">
        <v>1777</v>
      </c>
      <c r="F738" s="1" t="s">
        <v>668</v>
      </c>
      <c r="G738" s="1">
        <v>6.48</v>
      </c>
    </row>
    <row r="739" spans="2:7">
      <c r="B739" s="1" t="s">
        <v>473</v>
      </c>
      <c r="C739" s="1" t="s">
        <v>474</v>
      </c>
      <c r="D739" s="1" t="s">
        <v>721</v>
      </c>
      <c r="E739" s="1" t="s">
        <v>1777</v>
      </c>
      <c r="F739" s="1" t="s">
        <v>704</v>
      </c>
      <c r="G739" s="1">
        <v>6.6</v>
      </c>
    </row>
    <row r="740" spans="2:7">
      <c r="B740" s="1" t="s">
        <v>475</v>
      </c>
      <c r="C740" s="1" t="s">
        <v>476</v>
      </c>
      <c r="D740" s="1" t="s">
        <v>724</v>
      </c>
      <c r="E740" s="1" t="s">
        <v>1777</v>
      </c>
      <c r="F740" s="1" t="s">
        <v>655</v>
      </c>
      <c r="G740" s="1">
        <v>-359558.83</v>
      </c>
    </row>
    <row r="741" spans="2:7">
      <c r="B741" s="1" t="s">
        <v>477</v>
      </c>
      <c r="C741" s="1" t="s">
        <v>478</v>
      </c>
      <c r="D741" s="1" t="s">
        <v>743</v>
      </c>
      <c r="E741" s="1" t="s">
        <v>1777</v>
      </c>
      <c r="F741" s="1" t="s">
        <v>641</v>
      </c>
      <c r="G741" s="1">
        <v>-383554.89</v>
      </c>
    </row>
    <row r="742" spans="2:7">
      <c r="B742" s="1" t="s">
        <v>479</v>
      </c>
      <c r="C742" s="1" t="s">
        <v>480</v>
      </c>
      <c r="D742" s="1" t="s">
        <v>721</v>
      </c>
      <c r="E742" s="1" t="s">
        <v>1777</v>
      </c>
      <c r="F742" s="1" t="s">
        <v>689</v>
      </c>
      <c r="G742" s="1">
        <v>173107.82</v>
      </c>
    </row>
    <row r="743" spans="2:7">
      <c r="B743" s="1" t="s">
        <v>481</v>
      </c>
      <c r="C743" s="1" t="s">
        <v>482</v>
      </c>
      <c r="D743" s="1" t="s">
        <v>732</v>
      </c>
      <c r="E743" s="1" t="s">
        <v>1777</v>
      </c>
      <c r="F743" s="1" t="s">
        <v>646</v>
      </c>
      <c r="G743" s="1">
        <v>194.57</v>
      </c>
    </row>
    <row r="744" spans="2:7">
      <c r="B744" s="1" t="s">
        <v>483</v>
      </c>
      <c r="C744" s="1" t="s">
        <v>484</v>
      </c>
      <c r="D744" s="1" t="s">
        <v>732</v>
      </c>
      <c r="E744" s="1" t="s">
        <v>1777</v>
      </c>
      <c r="F744" s="1" t="s">
        <v>646</v>
      </c>
      <c r="G744" s="1">
        <v>-164282.49</v>
      </c>
    </row>
    <row r="745" spans="2:7">
      <c r="B745" s="1" t="s">
        <v>485</v>
      </c>
      <c r="C745" s="1" t="s">
        <v>486</v>
      </c>
      <c r="D745" s="1" t="s">
        <v>732</v>
      </c>
      <c r="E745" s="1" t="s">
        <v>1777</v>
      </c>
      <c r="F745" s="1" t="s">
        <v>646</v>
      </c>
      <c r="G745" s="1">
        <v>-927480.1</v>
      </c>
    </row>
    <row r="746" spans="2:7">
      <c r="B746" s="1" t="s">
        <v>487</v>
      </c>
      <c r="C746" s="1" t="s">
        <v>488</v>
      </c>
      <c r="D746" s="1" t="s">
        <v>724</v>
      </c>
      <c r="E746" s="1" t="s">
        <v>1777</v>
      </c>
      <c r="F746" s="1" t="s">
        <v>683</v>
      </c>
      <c r="G746" s="1">
        <v>65.92</v>
      </c>
    </row>
    <row r="747" spans="2:7">
      <c r="B747" s="1" t="s">
        <v>489</v>
      </c>
      <c r="C747" s="1" t="s">
        <v>490</v>
      </c>
      <c r="D747" s="1" t="s">
        <v>724</v>
      </c>
      <c r="E747" s="1" t="s">
        <v>1777</v>
      </c>
      <c r="F747" s="1" t="s">
        <v>491</v>
      </c>
      <c r="G747" s="1">
        <v>2.2799999999999998</v>
      </c>
    </row>
    <row r="748" spans="2:7">
      <c r="B748" s="1" t="s">
        <v>492</v>
      </c>
      <c r="C748" s="1" t="s">
        <v>493</v>
      </c>
      <c r="D748" s="1" t="s">
        <v>724</v>
      </c>
      <c r="E748" s="1" t="s">
        <v>1777</v>
      </c>
      <c r="F748" s="1" t="s">
        <v>686</v>
      </c>
      <c r="G748" s="1">
        <v>5324.88</v>
      </c>
    </row>
    <row r="749" spans="2:7">
      <c r="B749" s="1" t="s">
        <v>494</v>
      </c>
      <c r="C749" s="1" t="s">
        <v>495</v>
      </c>
      <c r="D749" s="1" t="s">
        <v>724</v>
      </c>
      <c r="E749" s="1" t="s">
        <v>1777</v>
      </c>
      <c r="F749" s="1" t="s">
        <v>686</v>
      </c>
      <c r="G749" s="1">
        <v>12.96</v>
      </c>
    </row>
    <row r="750" spans="2:7">
      <c r="B750" s="1" t="s">
        <v>496</v>
      </c>
      <c r="C750" s="1" t="s">
        <v>497</v>
      </c>
      <c r="D750" s="1" t="s">
        <v>724</v>
      </c>
      <c r="E750" s="1" t="s">
        <v>1777</v>
      </c>
      <c r="F750" s="1" t="s">
        <v>686</v>
      </c>
      <c r="G750" s="1">
        <v>65.92</v>
      </c>
    </row>
    <row r="751" spans="2:7">
      <c r="B751" s="1" t="s">
        <v>498</v>
      </c>
      <c r="C751" s="1" t="s">
        <v>499</v>
      </c>
      <c r="D751" s="1" t="s">
        <v>724</v>
      </c>
      <c r="E751" s="1" t="s">
        <v>1777</v>
      </c>
      <c r="F751" s="1" t="s">
        <v>1451</v>
      </c>
      <c r="G751" s="1">
        <v>377.28</v>
      </c>
    </row>
    <row r="752" spans="2:7">
      <c r="B752" s="1" t="s">
        <v>500</v>
      </c>
      <c r="C752" s="1" t="s">
        <v>501</v>
      </c>
      <c r="D752" s="1" t="s">
        <v>732</v>
      </c>
      <c r="E752" s="1" t="s">
        <v>1777</v>
      </c>
      <c r="F752" s="1" t="s">
        <v>646</v>
      </c>
      <c r="G752" s="1">
        <v>9.0500000000000007</v>
      </c>
    </row>
    <row r="753" spans="2:7">
      <c r="B753" s="1" t="s">
        <v>502</v>
      </c>
      <c r="C753" s="1" t="s">
        <v>503</v>
      </c>
      <c r="D753" s="1" t="s">
        <v>743</v>
      </c>
      <c r="E753" s="1" t="s">
        <v>650</v>
      </c>
      <c r="F753" s="1" t="s">
        <v>636</v>
      </c>
      <c r="G753" s="1">
        <v>407755.7</v>
      </c>
    </row>
    <row r="754" spans="2:7">
      <c r="B754" s="1" t="s">
        <v>504</v>
      </c>
      <c r="C754" s="1" t="s">
        <v>505</v>
      </c>
      <c r="D754" s="1" t="s">
        <v>721</v>
      </c>
      <c r="E754" s="1" t="s">
        <v>703</v>
      </c>
      <c r="F754" s="1" t="s">
        <v>586</v>
      </c>
      <c r="G754" s="1">
        <v>-2740923.08</v>
      </c>
    </row>
    <row r="755" spans="2:7">
      <c r="B755" s="1" t="s">
        <v>506</v>
      </c>
      <c r="C755" s="1" t="s">
        <v>507</v>
      </c>
      <c r="D755" s="1" t="s">
        <v>743</v>
      </c>
      <c r="E755" s="1" t="s">
        <v>703</v>
      </c>
      <c r="F755" s="1" t="s">
        <v>744</v>
      </c>
      <c r="G755" s="1">
        <v>0</v>
      </c>
    </row>
    <row r="756" spans="2:7">
      <c r="B756" s="1" t="s">
        <v>508</v>
      </c>
      <c r="C756" s="1" t="s">
        <v>509</v>
      </c>
      <c r="D756" s="1" t="s">
        <v>743</v>
      </c>
      <c r="E756" s="1" t="s">
        <v>703</v>
      </c>
      <c r="F756" s="1" t="s">
        <v>510</v>
      </c>
      <c r="G756" s="1">
        <v>0</v>
      </c>
    </row>
    <row r="757" spans="2:7">
      <c r="B757" s="1" t="s">
        <v>511</v>
      </c>
      <c r="C757" s="1" t="s">
        <v>512</v>
      </c>
      <c r="D757" s="1" t="s">
        <v>743</v>
      </c>
      <c r="E757" s="1" t="s">
        <v>1777</v>
      </c>
      <c r="F757" s="1" t="s">
        <v>641</v>
      </c>
      <c r="G757" s="1">
        <v>0</v>
      </c>
    </row>
    <row r="758" spans="2:7">
      <c r="B758" s="1" t="s">
        <v>513</v>
      </c>
      <c r="C758" s="1" t="s">
        <v>514</v>
      </c>
      <c r="D758" s="1" t="s">
        <v>743</v>
      </c>
      <c r="E758" s="1" t="s">
        <v>1777</v>
      </c>
      <c r="F758" s="1" t="s">
        <v>641</v>
      </c>
      <c r="G758" s="1">
        <v>0</v>
      </c>
    </row>
    <row r="759" spans="2:7">
      <c r="B759" s="1" t="s">
        <v>515</v>
      </c>
      <c r="C759" s="1" t="s">
        <v>516</v>
      </c>
      <c r="D759" s="1" t="s">
        <v>724</v>
      </c>
      <c r="E759" s="1" t="s">
        <v>836</v>
      </c>
      <c r="F759" s="1" t="s">
        <v>656</v>
      </c>
      <c r="G759" s="1">
        <v>-153950.59</v>
      </c>
    </row>
    <row r="760" spans="2:7">
      <c r="B760" s="1" t="s">
        <v>517</v>
      </c>
      <c r="C760" s="1" t="s">
        <v>518</v>
      </c>
      <c r="D760" s="1" t="s">
        <v>724</v>
      </c>
      <c r="E760" s="1" t="s">
        <v>1777</v>
      </c>
      <c r="F760" s="1" t="s">
        <v>660</v>
      </c>
      <c r="G760" s="1">
        <v>2846.02</v>
      </c>
    </row>
    <row r="761" spans="2:7">
      <c r="B761" s="1" t="s">
        <v>519</v>
      </c>
      <c r="C761" s="1" t="s">
        <v>520</v>
      </c>
      <c r="D761" s="1" t="s">
        <v>721</v>
      </c>
      <c r="E761" s="1" t="s">
        <v>703</v>
      </c>
      <c r="F761" s="1" t="s">
        <v>521</v>
      </c>
      <c r="G761" s="1">
        <v>0</v>
      </c>
    </row>
    <row r="762" spans="2:7">
      <c r="B762" s="1" t="s">
        <v>522</v>
      </c>
      <c r="C762" s="1" t="s">
        <v>523</v>
      </c>
      <c r="D762" s="1" t="s">
        <v>721</v>
      </c>
      <c r="E762" s="1" t="s">
        <v>703</v>
      </c>
      <c r="F762" s="1" t="s">
        <v>524</v>
      </c>
      <c r="G762" s="1">
        <v>-2318076.6</v>
      </c>
    </row>
    <row r="763" spans="2:7">
      <c r="B763" s="1" t="s">
        <v>525</v>
      </c>
      <c r="C763" s="1" t="s">
        <v>526</v>
      </c>
      <c r="D763" s="1" t="s">
        <v>743</v>
      </c>
      <c r="E763" s="1" t="s">
        <v>1777</v>
      </c>
      <c r="F763" s="1" t="s">
        <v>687</v>
      </c>
      <c r="G763" s="1">
        <v>77.459999999999994</v>
      </c>
    </row>
    <row r="764" spans="2:7">
      <c r="B764" s="1" t="s">
        <v>527</v>
      </c>
      <c r="C764" s="1" t="s">
        <v>528</v>
      </c>
      <c r="D764" s="1" t="s">
        <v>721</v>
      </c>
      <c r="E764" s="1" t="s">
        <v>1777</v>
      </c>
      <c r="F764" s="1" t="s">
        <v>591</v>
      </c>
      <c r="G764" s="1">
        <v>46344.66</v>
      </c>
    </row>
    <row r="765" spans="2:7">
      <c r="B765" s="1" t="s">
        <v>529</v>
      </c>
      <c r="C765" s="1" t="s">
        <v>530</v>
      </c>
      <c r="D765" s="1" t="s">
        <v>721</v>
      </c>
      <c r="E765" s="1" t="s">
        <v>669</v>
      </c>
      <c r="F765" s="1" t="s">
        <v>531</v>
      </c>
      <c r="G765" s="1">
        <v>39166.79</v>
      </c>
    </row>
    <row r="766" spans="2:7">
      <c r="B766" s="1" t="s">
        <v>532</v>
      </c>
      <c r="C766" s="1" t="s">
        <v>533</v>
      </c>
      <c r="D766" s="1" t="s">
        <v>732</v>
      </c>
      <c r="E766" s="1" t="s">
        <v>1777</v>
      </c>
      <c r="F766" s="1" t="s">
        <v>254</v>
      </c>
      <c r="G766" s="1">
        <v>13.41</v>
      </c>
    </row>
    <row r="767" spans="2:7">
      <c r="B767" s="1" t="s">
        <v>534</v>
      </c>
      <c r="C767" s="1" t="s">
        <v>535</v>
      </c>
      <c r="D767" s="1" t="s">
        <v>732</v>
      </c>
      <c r="E767" s="1" t="s">
        <v>1777</v>
      </c>
      <c r="F767" s="1" t="s">
        <v>595</v>
      </c>
      <c r="G767" s="1">
        <v>-104.4</v>
      </c>
    </row>
    <row r="768" spans="2:7">
      <c r="B768" s="1" t="s">
        <v>536</v>
      </c>
      <c r="C768" s="1" t="s">
        <v>537</v>
      </c>
      <c r="D768" s="1" t="s">
        <v>732</v>
      </c>
      <c r="E768" s="1" t="s">
        <v>1777</v>
      </c>
      <c r="F768" s="1" t="s">
        <v>538</v>
      </c>
      <c r="G768" s="1">
        <v>3374.87</v>
      </c>
    </row>
    <row r="769" spans="2:7">
      <c r="B769" s="1" t="s">
        <v>539</v>
      </c>
      <c r="C769" s="1" t="s">
        <v>540</v>
      </c>
      <c r="D769" s="1" t="s">
        <v>724</v>
      </c>
      <c r="E769" s="1" t="s">
        <v>1777</v>
      </c>
      <c r="F769" s="1" t="s">
        <v>655</v>
      </c>
      <c r="G769" s="1">
        <v>9.09</v>
      </c>
    </row>
    <row r="770" spans="2:7">
      <c r="B770" s="1" t="s">
        <v>541</v>
      </c>
      <c r="C770" s="1" t="s">
        <v>542</v>
      </c>
      <c r="D770" s="1" t="s">
        <v>721</v>
      </c>
      <c r="E770" s="1" t="s">
        <v>1777</v>
      </c>
      <c r="F770" s="1" t="s">
        <v>689</v>
      </c>
      <c r="G770" s="1">
        <v>94547.61</v>
      </c>
    </row>
    <row r="771" spans="2:7">
      <c r="B771" s="1" t="s">
        <v>543</v>
      </c>
      <c r="C771" s="1" t="s">
        <v>544</v>
      </c>
      <c r="D771" s="1" t="s">
        <v>721</v>
      </c>
      <c r="E771" s="1" t="s">
        <v>669</v>
      </c>
      <c r="F771" s="1" t="s">
        <v>545</v>
      </c>
      <c r="G771" s="1">
        <v>0</v>
      </c>
    </row>
    <row r="772" spans="2:7">
      <c r="B772" s="1" t="s">
        <v>546</v>
      </c>
      <c r="C772" s="1" t="s">
        <v>547</v>
      </c>
      <c r="D772" s="1" t="s">
        <v>743</v>
      </c>
      <c r="E772" s="1" t="s">
        <v>1777</v>
      </c>
      <c r="F772" s="1" t="s">
        <v>641</v>
      </c>
      <c r="G772" s="1">
        <v>5581.28</v>
      </c>
    </row>
    <row r="773" spans="2:7">
      <c r="B773" s="1" t="s">
        <v>548</v>
      </c>
      <c r="C773" s="1" t="s">
        <v>549</v>
      </c>
      <c r="D773" s="1" t="s">
        <v>724</v>
      </c>
      <c r="E773" s="1" t="s">
        <v>725</v>
      </c>
      <c r="F773" s="1" t="s">
        <v>684</v>
      </c>
      <c r="G773" s="1">
        <v>297489</v>
      </c>
    </row>
    <row r="774" spans="2:7">
      <c r="B774" s="1" t="s">
        <v>550</v>
      </c>
      <c r="C774" s="1" t="s">
        <v>551</v>
      </c>
      <c r="D774" s="1" t="s">
        <v>743</v>
      </c>
      <c r="E774" s="1" t="s">
        <v>703</v>
      </c>
      <c r="F774" s="1" t="s">
        <v>1930</v>
      </c>
      <c r="G774" s="1">
        <v>0</v>
      </c>
    </row>
    <row r="775" spans="2:7">
      <c r="B775" s="1" t="s">
        <v>552</v>
      </c>
      <c r="C775" s="1" t="s">
        <v>553</v>
      </c>
      <c r="D775" s="1" t="s">
        <v>724</v>
      </c>
      <c r="E775" s="1" t="s">
        <v>841</v>
      </c>
      <c r="F775" s="1" t="s">
        <v>666</v>
      </c>
      <c r="G775" s="1">
        <v>-3833</v>
      </c>
    </row>
    <row r="776" spans="2:7">
      <c r="B776" s="1" t="s">
        <v>554</v>
      </c>
      <c r="C776" s="1" t="s">
        <v>555</v>
      </c>
      <c r="D776" s="1" t="s">
        <v>743</v>
      </c>
      <c r="E776" s="1" t="s">
        <v>1777</v>
      </c>
      <c r="F776" s="1" t="s">
        <v>556</v>
      </c>
      <c r="G776" s="1">
        <v>14211.68</v>
      </c>
    </row>
    <row r="777" spans="2:7">
      <c r="B777" s="1" t="s">
        <v>557</v>
      </c>
      <c r="C777" s="1" t="s">
        <v>558</v>
      </c>
      <c r="D777" s="1" t="s">
        <v>743</v>
      </c>
      <c r="E777" s="1" t="s">
        <v>703</v>
      </c>
      <c r="F777" s="1" t="s">
        <v>559</v>
      </c>
      <c r="G777" s="1">
        <v>1052276</v>
      </c>
    </row>
    <row r="778" spans="2:7">
      <c r="B778" s="1" t="s">
        <v>560</v>
      </c>
      <c r="C778" s="1" t="s">
        <v>561</v>
      </c>
      <c r="D778" s="1" t="s">
        <v>724</v>
      </c>
      <c r="E778" s="1" t="s">
        <v>813</v>
      </c>
      <c r="F778" s="1" t="s">
        <v>562</v>
      </c>
      <c r="G778" s="1">
        <v>-110497</v>
      </c>
    </row>
    <row r="779" spans="2:7">
      <c r="B779" s="1" t="s">
        <v>563</v>
      </c>
      <c r="C779" s="1" t="s">
        <v>564</v>
      </c>
      <c r="D779" s="1" t="s">
        <v>724</v>
      </c>
      <c r="E779" s="1" t="s">
        <v>669</v>
      </c>
      <c r="F779" s="1" t="s">
        <v>655</v>
      </c>
      <c r="G779" s="1">
        <v>1861164.3</v>
      </c>
    </row>
    <row r="780" spans="2:7">
      <c r="B780" s="1" t="s">
        <v>565</v>
      </c>
      <c r="C780" s="1" t="s">
        <v>566</v>
      </c>
      <c r="D780" s="1" t="s">
        <v>721</v>
      </c>
      <c r="E780" s="1" t="s">
        <v>650</v>
      </c>
      <c r="F780" s="1" t="s">
        <v>567</v>
      </c>
      <c r="G780" s="1">
        <v>-394743.8</v>
      </c>
    </row>
    <row r="781" spans="2:7">
      <c r="B781" s="1" t="s">
        <v>568</v>
      </c>
      <c r="C781" s="1" t="s">
        <v>569</v>
      </c>
      <c r="D781" s="1" t="s">
        <v>724</v>
      </c>
      <c r="E781" s="1" t="s">
        <v>669</v>
      </c>
      <c r="F781" s="1" t="s">
        <v>655</v>
      </c>
      <c r="G781" s="1">
        <v>-725937</v>
      </c>
    </row>
    <row r="782" spans="2:7">
      <c r="B782" s="1" t="s">
        <v>1915</v>
      </c>
      <c r="C782" s="1" t="s">
        <v>1916</v>
      </c>
      <c r="D782" s="1" t="s">
        <v>721</v>
      </c>
      <c r="E782" s="1" t="s">
        <v>703</v>
      </c>
      <c r="F782" s="1" t="s">
        <v>580</v>
      </c>
      <c r="G782" s="1">
        <v>2.71</v>
      </c>
    </row>
    <row r="783" spans="2:7">
      <c r="B783" s="1" t="s">
        <v>1917</v>
      </c>
      <c r="C783" s="1" t="s">
        <v>1918</v>
      </c>
      <c r="D783" s="1" t="s">
        <v>721</v>
      </c>
      <c r="E783" s="1" t="s">
        <v>1777</v>
      </c>
      <c r="F783" s="1" t="s">
        <v>1932</v>
      </c>
      <c r="G783" s="1">
        <v>48522.99</v>
      </c>
    </row>
    <row r="784" spans="2:7">
      <c r="B784" s="1" t="s">
        <v>1919</v>
      </c>
      <c r="C784" s="1" t="s">
        <v>1920</v>
      </c>
      <c r="D784" s="1" t="s">
        <v>743</v>
      </c>
      <c r="E784" s="1" t="s">
        <v>703</v>
      </c>
      <c r="F784" s="1" t="s">
        <v>118</v>
      </c>
      <c r="G784" s="1">
        <v>42045.53</v>
      </c>
    </row>
    <row r="785" spans="2:7">
      <c r="B785" s="1" t="s">
        <v>1921</v>
      </c>
      <c r="C785" s="1" t="s">
        <v>1922</v>
      </c>
      <c r="D785" s="1" t="s">
        <v>724</v>
      </c>
      <c r="E785" s="1" t="s">
        <v>858</v>
      </c>
      <c r="F785" s="1" t="s">
        <v>1923</v>
      </c>
      <c r="G785" s="1">
        <v>0</v>
      </c>
    </row>
    <row r="786" spans="2:7">
      <c r="B786" s="1" t="s">
        <v>1924</v>
      </c>
      <c r="C786" s="1" t="s">
        <v>1925</v>
      </c>
      <c r="D786" s="1" t="s">
        <v>724</v>
      </c>
      <c r="E786" s="1" t="s">
        <v>1777</v>
      </c>
      <c r="F786" s="1" t="s">
        <v>655</v>
      </c>
      <c r="G786" s="1">
        <v>47177.88</v>
      </c>
    </row>
    <row r="787" spans="2:7">
      <c r="B787" s="1" t="s">
        <v>1926</v>
      </c>
      <c r="C787" s="1" t="s">
        <v>1927</v>
      </c>
      <c r="D787" s="1" t="s">
        <v>724</v>
      </c>
      <c r="E787" s="1" t="s">
        <v>1777</v>
      </c>
      <c r="F787" s="1" t="s">
        <v>655</v>
      </c>
      <c r="G787" s="1">
        <v>14415.72</v>
      </c>
    </row>
    <row r="788" spans="2:7">
      <c r="B788" s="1" t="s">
        <v>1928</v>
      </c>
      <c r="C788" s="1" t="s">
        <v>1929</v>
      </c>
      <c r="D788" s="1" t="s">
        <v>724</v>
      </c>
      <c r="E788" s="1" t="s">
        <v>1777</v>
      </c>
      <c r="F788" s="1" t="s">
        <v>655</v>
      </c>
      <c r="G788" s="1">
        <v>33.049999999999997</v>
      </c>
    </row>
    <row r="789" spans="2:7">
      <c r="B789" s="1" t="s">
        <v>1933</v>
      </c>
      <c r="C789" s="1" t="s">
        <v>1934</v>
      </c>
      <c r="D789" s="1" t="s">
        <v>724</v>
      </c>
      <c r="E789" s="1" t="s">
        <v>813</v>
      </c>
      <c r="F789" s="1" t="s">
        <v>578</v>
      </c>
      <c r="G789" s="1">
        <v>13996.8</v>
      </c>
    </row>
    <row r="790" spans="2:7">
      <c r="B790" s="1" t="s">
        <v>1935</v>
      </c>
      <c r="C790" s="1" t="s">
        <v>1956</v>
      </c>
      <c r="D790" s="1" t="s">
        <v>743</v>
      </c>
      <c r="E790" s="1" t="s">
        <v>691</v>
      </c>
      <c r="F790" s="1" t="s">
        <v>1936</v>
      </c>
      <c r="G790" s="1">
        <v>117614.39999999999</v>
      </c>
    </row>
    <row r="791" spans="2:7">
      <c r="B791" s="1" t="s">
        <v>1937</v>
      </c>
      <c r="C791" s="1" t="s">
        <v>1938</v>
      </c>
      <c r="D791" s="1" t="s">
        <v>724</v>
      </c>
      <c r="E791" s="1" t="s">
        <v>813</v>
      </c>
      <c r="F791" s="1" t="s">
        <v>661</v>
      </c>
      <c r="G791" s="1">
        <v>1003839</v>
      </c>
    </row>
    <row r="792" spans="2:7">
      <c r="B792" s="1" t="s">
        <v>1939</v>
      </c>
      <c r="C792" s="1" t="s">
        <v>1940</v>
      </c>
      <c r="D792" s="1" t="s">
        <v>732</v>
      </c>
      <c r="E792" s="1" t="s">
        <v>1777</v>
      </c>
      <c r="F792" s="1" t="s">
        <v>538</v>
      </c>
      <c r="G792" s="1">
        <v>124800.68</v>
      </c>
    </row>
    <row r="793" spans="2:7">
      <c r="B793" s="1" t="s">
        <v>1941</v>
      </c>
      <c r="C793" s="1" t="s">
        <v>1942</v>
      </c>
      <c r="D793" s="1" t="s">
        <v>743</v>
      </c>
      <c r="E793" s="1" t="s">
        <v>703</v>
      </c>
      <c r="F793" s="1" t="s">
        <v>1943</v>
      </c>
      <c r="G793" s="1">
        <v>0</v>
      </c>
    </row>
    <row r="794" spans="2:7">
      <c r="B794" s="1" t="s">
        <v>1944</v>
      </c>
      <c r="C794" s="1" t="s">
        <v>1945</v>
      </c>
      <c r="D794" s="1" t="s">
        <v>743</v>
      </c>
      <c r="E794" s="1" t="s">
        <v>703</v>
      </c>
      <c r="F794" s="1" t="s">
        <v>1946</v>
      </c>
      <c r="G794" s="1">
        <v>0</v>
      </c>
    </row>
    <row r="795" spans="2:7">
      <c r="B795" s="1" t="s">
        <v>1947</v>
      </c>
      <c r="C795" s="1" t="s">
        <v>1948</v>
      </c>
      <c r="D795" s="1" t="s">
        <v>743</v>
      </c>
      <c r="E795" s="1" t="s">
        <v>703</v>
      </c>
      <c r="F795" s="1" t="s">
        <v>744</v>
      </c>
      <c r="G795" s="1">
        <v>0</v>
      </c>
    </row>
    <row r="796" spans="2:7">
      <c r="B796" s="1" t="s">
        <v>1949</v>
      </c>
      <c r="C796" s="1" t="s">
        <v>1950</v>
      </c>
      <c r="D796" s="1" t="s">
        <v>743</v>
      </c>
      <c r="E796" s="1" t="s">
        <v>703</v>
      </c>
      <c r="F796" s="1" t="s">
        <v>1951</v>
      </c>
      <c r="G796" s="1">
        <v>0</v>
      </c>
    </row>
    <row r="797" spans="2:7">
      <c r="B797" s="1" t="s">
        <v>1952</v>
      </c>
      <c r="C797" s="1" t="s">
        <v>1953</v>
      </c>
      <c r="D797" s="1" t="s">
        <v>743</v>
      </c>
      <c r="E797" s="1" t="s">
        <v>703</v>
      </c>
      <c r="F797" s="1" t="s">
        <v>1594</v>
      </c>
      <c r="G797" s="1">
        <v>0</v>
      </c>
    </row>
    <row r="798" spans="2:7">
      <c r="B798" s="1" t="s">
        <v>1954</v>
      </c>
      <c r="C798" s="1" t="s">
        <v>1955</v>
      </c>
      <c r="D798" s="1" t="s">
        <v>721</v>
      </c>
      <c r="E798" s="1" t="s">
        <v>703</v>
      </c>
      <c r="F798" s="1" t="s">
        <v>689</v>
      </c>
      <c r="G798" s="1">
        <v>0</v>
      </c>
    </row>
    <row r="799" spans="2:7">
      <c r="B799" s="1" t="s">
        <v>1957</v>
      </c>
      <c r="C799" s="1" t="s">
        <v>1958</v>
      </c>
      <c r="D799" s="1" t="s">
        <v>724</v>
      </c>
      <c r="E799" s="1" t="s">
        <v>1777</v>
      </c>
      <c r="F799" s="1" t="s">
        <v>655</v>
      </c>
      <c r="G799" s="1">
        <v>214691.11</v>
      </c>
    </row>
    <row r="800" spans="2:7">
      <c r="B800" s="1" t="s">
        <v>1959</v>
      </c>
      <c r="C800" s="1" t="s">
        <v>1960</v>
      </c>
      <c r="D800" s="1" t="s">
        <v>721</v>
      </c>
      <c r="E800" s="1" t="s">
        <v>703</v>
      </c>
      <c r="F800" s="1" t="s">
        <v>689</v>
      </c>
      <c r="G800" s="1">
        <v>-465511.08</v>
      </c>
    </row>
    <row r="801" spans="2:7">
      <c r="B801" s="1" t="s">
        <v>1963</v>
      </c>
      <c r="C801" s="1" t="s">
        <v>1964</v>
      </c>
      <c r="D801" s="1" t="s">
        <v>724</v>
      </c>
      <c r="E801" s="1" t="s">
        <v>725</v>
      </c>
      <c r="F801" s="1" t="s">
        <v>869</v>
      </c>
      <c r="G801" s="1">
        <v>0</v>
      </c>
    </row>
    <row r="802" spans="2:7">
      <c r="B802" s="1" t="s">
        <v>1965</v>
      </c>
      <c r="C802" s="1" t="s">
        <v>1966</v>
      </c>
      <c r="D802" s="1" t="s">
        <v>743</v>
      </c>
      <c r="E802" s="1" t="s">
        <v>669</v>
      </c>
      <c r="F802" s="1" t="s">
        <v>1967</v>
      </c>
      <c r="G802" s="1">
        <v>0</v>
      </c>
    </row>
    <row r="803" spans="2:7">
      <c r="B803" s="1" t="s">
        <v>1968</v>
      </c>
      <c r="C803" s="1" t="s">
        <v>1969</v>
      </c>
      <c r="D803" s="1" t="s">
        <v>724</v>
      </c>
      <c r="E803" s="1" t="s">
        <v>703</v>
      </c>
      <c r="F803" s="1" t="s">
        <v>655</v>
      </c>
      <c r="G803" s="1">
        <v>0</v>
      </c>
    </row>
    <row r="804" spans="2:7">
      <c r="B804" s="1" t="s">
        <v>1970</v>
      </c>
      <c r="C804" s="1" t="s">
        <v>1971</v>
      </c>
      <c r="D804" s="1" t="s">
        <v>724</v>
      </c>
      <c r="E804" s="1" t="s">
        <v>1777</v>
      </c>
      <c r="F804" s="1" t="s">
        <v>655</v>
      </c>
      <c r="G804" s="1">
        <v>3644500</v>
      </c>
    </row>
    <row r="805" spans="2:7">
      <c r="B805" s="1" t="s">
        <v>1972</v>
      </c>
      <c r="C805" s="1" t="s">
        <v>1977</v>
      </c>
      <c r="D805" s="1" t="s">
        <v>724</v>
      </c>
      <c r="E805" s="1" t="s">
        <v>813</v>
      </c>
      <c r="F805" s="1" t="s">
        <v>1973</v>
      </c>
      <c r="G805" s="1">
        <v>0</v>
      </c>
    </row>
    <row r="806" spans="2:7">
      <c r="B806" s="1" t="s">
        <v>1974</v>
      </c>
      <c r="C806" s="1" t="s">
        <v>1975</v>
      </c>
      <c r="D806" s="1" t="s">
        <v>721</v>
      </c>
      <c r="E806" s="1" t="s">
        <v>669</v>
      </c>
      <c r="F806" s="1" t="s">
        <v>1976</v>
      </c>
      <c r="G806" s="1">
        <v>0</v>
      </c>
    </row>
    <row r="807" spans="2:7">
      <c r="B807" s="1" t="s">
        <v>1978</v>
      </c>
      <c r="C807" s="1" t="s">
        <v>1979</v>
      </c>
      <c r="D807" s="1" t="s">
        <v>743</v>
      </c>
      <c r="E807" s="1" t="s">
        <v>703</v>
      </c>
      <c r="F807" s="1" t="s">
        <v>682</v>
      </c>
      <c r="G807" s="1">
        <v>0</v>
      </c>
    </row>
    <row r="808" spans="2:7">
      <c r="B808" s="1" t="s">
        <v>1980</v>
      </c>
      <c r="C808" s="1" t="s">
        <v>1981</v>
      </c>
      <c r="D808" s="1" t="s">
        <v>724</v>
      </c>
      <c r="E808" s="1" t="s">
        <v>1777</v>
      </c>
      <c r="F808" s="1" t="s">
        <v>655</v>
      </c>
      <c r="G808" s="1">
        <v>0</v>
      </c>
    </row>
    <row r="809" spans="2:7">
      <c r="B809" s="1" t="s">
        <v>1982</v>
      </c>
      <c r="C809" s="1" t="s">
        <v>1983</v>
      </c>
      <c r="D809" s="1" t="s">
        <v>724</v>
      </c>
      <c r="E809" s="1" t="s">
        <v>813</v>
      </c>
      <c r="F809" s="1" t="s">
        <v>709</v>
      </c>
      <c r="G809" s="1">
        <v>0</v>
      </c>
    </row>
    <row r="810" spans="2:7">
      <c r="B810" s="1" t="s">
        <v>1985</v>
      </c>
      <c r="C810" s="1" t="s">
        <v>1986</v>
      </c>
      <c r="D810" s="1" t="s">
        <v>724</v>
      </c>
      <c r="E810" s="1" t="s">
        <v>703</v>
      </c>
      <c r="F810" s="1" t="s">
        <v>655</v>
      </c>
      <c r="G810" s="1">
        <v>0</v>
      </c>
    </row>
    <row r="811" spans="2:7">
      <c r="B811" s="1" t="s">
        <v>1987</v>
      </c>
      <c r="C811" s="1" t="s">
        <v>1988</v>
      </c>
      <c r="D811" s="1" t="s">
        <v>724</v>
      </c>
      <c r="E811" s="1" t="s">
        <v>1777</v>
      </c>
      <c r="F811" s="1" t="s">
        <v>1989</v>
      </c>
      <c r="G811" s="1">
        <v>0</v>
      </c>
    </row>
    <row r="812" spans="2:7">
      <c r="B812" s="1" t="s">
        <v>1990</v>
      </c>
      <c r="C812" s="1" t="s">
        <v>1991</v>
      </c>
      <c r="D812" s="1" t="s">
        <v>743</v>
      </c>
      <c r="E812" s="1" t="s">
        <v>691</v>
      </c>
      <c r="F812" s="1" t="s">
        <v>641</v>
      </c>
      <c r="G812" s="1">
        <v>0</v>
      </c>
    </row>
    <row r="814" spans="2:7">
      <c r="G814">
        <f>SUM(ApValues)</f>
        <v>-13612813.82999998</v>
      </c>
    </row>
  </sheetData>
  <mergeCells count="1">
    <mergeCell ref="B1:G3"/>
  </mergeCells>
  <phoneticPr fontId="2" type="noConversion"/>
  <pageMargins left="0.7" right="0.7" top="0.75" bottom="0.75" header="0.3" footer="0.3"/>
  <pageSetup scale="68" orientation="portrait" r:id="rId1"/>
  <legacyDrawing r:id="rId2"/>
  <controls>
    <control shapeId="5123" r:id="rId3" name="DTPicker1"/>
  </control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80"/>
  <sheetViews>
    <sheetView tabSelected="1" topLeftCell="A256" workbookViewId="0">
      <selection activeCell="C114" sqref="C114:D119"/>
    </sheetView>
  </sheetViews>
  <sheetFormatPr defaultRowHeight="11.25"/>
  <cols>
    <col min="1" max="1" width="21" style="1" bestFit="1" customWidth="1"/>
    <col min="2" max="2" width="6.85546875" style="1" bestFit="1" customWidth="1"/>
    <col min="3" max="3" width="40.85546875" style="1" customWidth="1"/>
    <col min="4" max="4" width="12.42578125" style="1" bestFit="1" customWidth="1"/>
    <col min="5" max="5" width="5.85546875" style="1" bestFit="1" customWidth="1"/>
    <col min="6" max="6" width="11.5703125" style="1" bestFit="1" customWidth="1"/>
    <col min="7" max="7" width="7" style="1" bestFit="1" customWidth="1"/>
    <col min="8" max="16384" width="9.140625" style="1"/>
  </cols>
  <sheetData>
    <row r="1" spans="1:7">
      <c r="A1" s="1" t="s">
        <v>1992</v>
      </c>
      <c r="B1" s="1" t="s">
        <v>713</v>
      </c>
      <c r="C1" s="1" t="s">
        <v>1993</v>
      </c>
      <c r="D1" s="1" t="s">
        <v>1994</v>
      </c>
      <c r="E1" s="1" t="s">
        <v>1995</v>
      </c>
      <c r="F1" s="1" t="s">
        <v>1996</v>
      </c>
      <c r="G1" s="1" t="s">
        <v>1997</v>
      </c>
    </row>
    <row r="2" spans="1:7">
      <c r="A2" s="1" t="s">
        <v>2098</v>
      </c>
      <c r="B2" s="1" t="s">
        <v>741</v>
      </c>
      <c r="C2" s="1" t="s">
        <v>742</v>
      </c>
      <c r="D2" s="2">
        <v>41342</v>
      </c>
      <c r="E2" s="1">
        <v>15</v>
      </c>
      <c r="F2" s="1">
        <v>704630</v>
      </c>
      <c r="G2" s="1">
        <v>1</v>
      </c>
    </row>
    <row r="3" spans="1:7">
      <c r="A3" s="1" t="s">
        <v>2099</v>
      </c>
      <c r="B3" s="1" t="s">
        <v>741</v>
      </c>
      <c r="C3" s="1" t="s">
        <v>742</v>
      </c>
      <c r="D3" s="2">
        <v>41348</v>
      </c>
      <c r="E3" s="1">
        <v>20</v>
      </c>
      <c r="F3" s="1">
        <v>938701</v>
      </c>
      <c r="G3" s="1">
        <v>2</v>
      </c>
    </row>
    <row r="4" spans="1:7">
      <c r="A4" s="1" t="s">
        <v>2100</v>
      </c>
      <c r="B4" s="1" t="s">
        <v>741</v>
      </c>
      <c r="C4" s="1" t="s">
        <v>742</v>
      </c>
      <c r="D4" s="2">
        <v>41351</v>
      </c>
      <c r="E4" s="1">
        <v>7</v>
      </c>
      <c r="F4" s="1">
        <v>328828</v>
      </c>
      <c r="G4" s="1">
        <v>3</v>
      </c>
    </row>
    <row r="5" spans="1:7">
      <c r="A5" s="1" t="s">
        <v>2101</v>
      </c>
      <c r="B5" s="1" t="s">
        <v>741</v>
      </c>
      <c r="C5" s="1" t="s">
        <v>742</v>
      </c>
      <c r="D5" s="2">
        <v>41359</v>
      </c>
      <c r="E5" s="1">
        <v>15</v>
      </c>
      <c r="F5" s="1">
        <v>704631</v>
      </c>
      <c r="G5" s="1">
        <v>4</v>
      </c>
    </row>
    <row r="6" spans="1:7">
      <c r="A6" s="1" t="s">
        <v>2102</v>
      </c>
      <c r="B6" s="1" t="s">
        <v>741</v>
      </c>
      <c r="C6" s="1" t="s">
        <v>742</v>
      </c>
      <c r="D6" s="2">
        <v>41360</v>
      </c>
      <c r="E6" s="1">
        <v>3</v>
      </c>
      <c r="F6" s="1">
        <v>140926</v>
      </c>
      <c r="G6" s="1">
        <v>5</v>
      </c>
    </row>
    <row r="7" spans="1:7">
      <c r="A7" s="1" t="s">
        <v>2103</v>
      </c>
      <c r="B7" s="1" t="s">
        <v>745</v>
      </c>
      <c r="C7" s="1" t="s">
        <v>746</v>
      </c>
      <c r="D7" s="2">
        <v>41349</v>
      </c>
      <c r="E7" s="1">
        <v>7</v>
      </c>
      <c r="F7" s="1">
        <v>328828</v>
      </c>
      <c r="G7" s="1">
        <v>1</v>
      </c>
    </row>
    <row r="8" spans="1:7">
      <c r="A8" s="1" t="s">
        <v>2104</v>
      </c>
      <c r="B8" s="1" t="s">
        <v>748</v>
      </c>
      <c r="C8" s="1" t="s">
        <v>749</v>
      </c>
      <c r="D8" s="2">
        <v>41351</v>
      </c>
      <c r="E8" s="1">
        <v>2</v>
      </c>
      <c r="F8" s="1">
        <v>93951</v>
      </c>
      <c r="G8" s="1">
        <v>1</v>
      </c>
    </row>
    <row r="9" spans="1:7">
      <c r="A9" s="53" t="s">
        <v>2105</v>
      </c>
      <c r="B9" s="53" t="s">
        <v>748</v>
      </c>
      <c r="C9" s="53" t="s">
        <v>749</v>
      </c>
      <c r="D9" s="54">
        <v>41359</v>
      </c>
      <c r="E9" s="53">
        <v>5</v>
      </c>
      <c r="F9" s="53">
        <v>234877</v>
      </c>
      <c r="G9" s="53">
        <v>2</v>
      </c>
    </row>
    <row r="10" spans="1:7">
      <c r="A10" s="53" t="s">
        <v>2106</v>
      </c>
      <c r="B10" s="53" t="s">
        <v>753</v>
      </c>
      <c r="C10" s="53" t="s">
        <v>754</v>
      </c>
      <c r="D10" s="54">
        <v>41352</v>
      </c>
      <c r="E10" s="53">
        <v>8</v>
      </c>
      <c r="F10" s="53">
        <v>375803</v>
      </c>
      <c r="G10" s="53">
        <v>1</v>
      </c>
    </row>
    <row r="11" spans="1:7">
      <c r="A11" s="53" t="s">
        <v>2107</v>
      </c>
      <c r="B11" s="53" t="s">
        <v>762</v>
      </c>
      <c r="C11" s="53" t="s">
        <v>763</v>
      </c>
      <c r="D11" s="54">
        <v>41350</v>
      </c>
      <c r="E11" s="53">
        <v>1</v>
      </c>
      <c r="F11" s="53">
        <v>46503</v>
      </c>
      <c r="G11" s="53">
        <v>1</v>
      </c>
    </row>
    <row r="12" spans="1:7">
      <c r="A12" s="53" t="s">
        <v>2108</v>
      </c>
      <c r="B12" s="53" t="s">
        <v>762</v>
      </c>
      <c r="C12" s="53" t="s">
        <v>763</v>
      </c>
      <c r="D12" s="54">
        <v>41358</v>
      </c>
      <c r="E12" s="53">
        <v>10</v>
      </c>
      <c r="F12" s="53">
        <v>469754</v>
      </c>
      <c r="G12" s="53">
        <v>2</v>
      </c>
    </row>
    <row r="13" spans="1:7">
      <c r="A13" s="53" t="s">
        <v>2109</v>
      </c>
      <c r="B13" s="53" t="s">
        <v>762</v>
      </c>
      <c r="C13" s="53" t="s">
        <v>763</v>
      </c>
      <c r="D13" s="54">
        <v>41359</v>
      </c>
      <c r="E13" s="53">
        <v>20</v>
      </c>
      <c r="F13" s="53">
        <v>939507</v>
      </c>
      <c r="G13" s="53">
        <v>3</v>
      </c>
    </row>
    <row r="14" spans="1:7">
      <c r="A14" s="53" t="s">
        <v>2110</v>
      </c>
      <c r="B14" s="53" t="s">
        <v>765</v>
      </c>
      <c r="C14" s="53" t="s">
        <v>1984</v>
      </c>
      <c r="D14" s="54">
        <v>41351</v>
      </c>
      <c r="E14" s="53">
        <v>8</v>
      </c>
      <c r="F14" s="53">
        <v>375803</v>
      </c>
      <c r="G14" s="53">
        <v>1</v>
      </c>
    </row>
    <row r="15" spans="1:7">
      <c r="A15" s="53" t="s">
        <v>2111</v>
      </c>
      <c r="B15" s="53" t="s">
        <v>772</v>
      </c>
      <c r="C15" s="53" t="s">
        <v>773</v>
      </c>
      <c r="D15" s="54">
        <v>41350</v>
      </c>
      <c r="E15" s="53">
        <v>8</v>
      </c>
      <c r="F15" s="53">
        <v>373884</v>
      </c>
      <c r="G15" s="53">
        <v>1</v>
      </c>
    </row>
    <row r="16" spans="1:7">
      <c r="A16" s="53" t="s">
        <v>2112</v>
      </c>
      <c r="B16" s="53" t="s">
        <v>772</v>
      </c>
      <c r="C16" s="53" t="s">
        <v>773</v>
      </c>
      <c r="D16" s="54">
        <v>41358</v>
      </c>
      <c r="E16" s="53">
        <v>10</v>
      </c>
      <c r="F16" s="53">
        <v>469754</v>
      </c>
      <c r="G16" s="53">
        <v>2</v>
      </c>
    </row>
    <row r="17" spans="1:7">
      <c r="A17" s="53" t="s">
        <v>2113</v>
      </c>
      <c r="B17" s="53" t="s">
        <v>784</v>
      </c>
      <c r="C17" s="53" t="s">
        <v>785</v>
      </c>
      <c r="D17" s="54">
        <v>41352</v>
      </c>
      <c r="E17" s="53">
        <v>34</v>
      </c>
      <c r="F17" s="53">
        <v>1597162</v>
      </c>
      <c r="G17" s="53">
        <v>1</v>
      </c>
    </row>
    <row r="18" spans="1:7">
      <c r="A18" s="53" t="s">
        <v>2114</v>
      </c>
      <c r="B18" s="53" t="s">
        <v>784</v>
      </c>
      <c r="C18" s="53" t="s">
        <v>785</v>
      </c>
      <c r="D18" s="54">
        <v>41364</v>
      </c>
      <c r="E18" s="53">
        <v>40</v>
      </c>
      <c r="F18" s="53">
        <v>1879015</v>
      </c>
      <c r="G18" s="53">
        <v>2</v>
      </c>
    </row>
    <row r="19" spans="1:7">
      <c r="A19" s="53" t="s">
        <v>2115</v>
      </c>
      <c r="B19" s="53" t="s">
        <v>784</v>
      </c>
      <c r="C19" s="53" t="s">
        <v>785</v>
      </c>
      <c r="D19" s="54">
        <v>41364</v>
      </c>
      <c r="E19" s="53">
        <v>2</v>
      </c>
      <c r="F19" s="53">
        <v>93951</v>
      </c>
      <c r="G19" s="53">
        <v>3</v>
      </c>
    </row>
    <row r="20" spans="1:7">
      <c r="A20" s="53" t="s">
        <v>2116</v>
      </c>
      <c r="B20" s="53" t="s">
        <v>786</v>
      </c>
      <c r="C20" s="53" t="s">
        <v>787</v>
      </c>
      <c r="D20" s="54">
        <v>41345</v>
      </c>
      <c r="E20" s="53">
        <v>2</v>
      </c>
      <c r="F20" s="53">
        <v>93951</v>
      </c>
      <c r="G20" s="53">
        <v>1</v>
      </c>
    </row>
    <row r="21" spans="1:7">
      <c r="A21" s="53" t="s">
        <v>2117</v>
      </c>
      <c r="B21" s="53" t="s">
        <v>786</v>
      </c>
      <c r="C21" s="53" t="s">
        <v>787</v>
      </c>
      <c r="D21" s="54">
        <v>41349</v>
      </c>
      <c r="E21" s="53">
        <v>20</v>
      </c>
      <c r="F21" s="53">
        <v>939507</v>
      </c>
      <c r="G21" s="53">
        <v>2</v>
      </c>
    </row>
    <row r="22" spans="1:7">
      <c r="A22" s="53" t="s">
        <v>2118</v>
      </c>
      <c r="B22" s="53" t="s">
        <v>788</v>
      </c>
      <c r="C22" s="53" t="s">
        <v>789</v>
      </c>
      <c r="D22" s="54">
        <v>41349</v>
      </c>
      <c r="E22" s="53">
        <v>16</v>
      </c>
      <c r="F22" s="53">
        <v>748129</v>
      </c>
      <c r="G22" s="53">
        <v>1</v>
      </c>
    </row>
    <row r="23" spans="1:7">
      <c r="A23" s="53" t="s">
        <v>2119</v>
      </c>
      <c r="B23" s="53" t="s">
        <v>797</v>
      </c>
      <c r="C23" s="53" t="s">
        <v>798</v>
      </c>
      <c r="D23" s="54">
        <v>41359</v>
      </c>
      <c r="E23" s="53">
        <v>4</v>
      </c>
      <c r="F23" s="53">
        <v>186592</v>
      </c>
      <c r="G23" s="53">
        <v>1</v>
      </c>
    </row>
    <row r="24" spans="1:7">
      <c r="A24" s="53" t="s">
        <v>2125</v>
      </c>
      <c r="B24" s="53" t="s">
        <v>801</v>
      </c>
      <c r="C24" s="53" t="s">
        <v>802</v>
      </c>
      <c r="D24" s="54">
        <v>41342</v>
      </c>
      <c r="E24" s="53">
        <v>43</v>
      </c>
      <c r="F24" s="53">
        <v>2010551</v>
      </c>
      <c r="G24" s="53">
        <v>1</v>
      </c>
    </row>
    <row r="25" spans="1:7">
      <c r="A25" s="53" t="s">
        <v>2120</v>
      </c>
      <c r="B25" s="53" t="s">
        <v>801</v>
      </c>
      <c r="C25" s="53" t="s">
        <v>802</v>
      </c>
      <c r="D25" s="54">
        <v>41346</v>
      </c>
      <c r="E25" s="53">
        <v>12</v>
      </c>
      <c r="F25" s="53">
        <v>563704</v>
      </c>
      <c r="G25" s="53">
        <v>2</v>
      </c>
    </row>
    <row r="26" spans="1:7">
      <c r="A26" s="53" t="s">
        <v>2121</v>
      </c>
      <c r="B26" s="53" t="s">
        <v>801</v>
      </c>
      <c r="C26" s="53" t="s">
        <v>802</v>
      </c>
      <c r="D26" s="54">
        <v>41347</v>
      </c>
      <c r="E26" s="53">
        <v>9</v>
      </c>
      <c r="F26" s="53">
        <v>422778</v>
      </c>
      <c r="G26" s="53">
        <v>3</v>
      </c>
    </row>
    <row r="27" spans="1:7">
      <c r="A27" s="53" t="s">
        <v>2122</v>
      </c>
      <c r="B27" s="53" t="s">
        <v>801</v>
      </c>
      <c r="C27" s="53" t="s">
        <v>802</v>
      </c>
      <c r="D27" s="54">
        <v>41353</v>
      </c>
      <c r="E27" s="53">
        <v>1</v>
      </c>
      <c r="F27" s="53">
        <v>46975</v>
      </c>
      <c r="G27" s="53">
        <v>4</v>
      </c>
    </row>
    <row r="28" spans="1:7">
      <c r="A28" s="53" t="s">
        <v>2126</v>
      </c>
      <c r="B28" s="53" t="s">
        <v>801</v>
      </c>
      <c r="C28" s="53" t="s">
        <v>802</v>
      </c>
      <c r="D28" s="54">
        <v>41353</v>
      </c>
      <c r="E28" s="53">
        <v>22</v>
      </c>
      <c r="F28" s="53">
        <v>1033458</v>
      </c>
      <c r="G28" s="53">
        <v>5</v>
      </c>
    </row>
    <row r="29" spans="1:7">
      <c r="A29" s="53" t="s">
        <v>2123</v>
      </c>
      <c r="B29" s="53" t="s">
        <v>801</v>
      </c>
      <c r="C29" s="53" t="s">
        <v>802</v>
      </c>
      <c r="D29" s="54">
        <v>41363</v>
      </c>
      <c r="E29" s="53">
        <v>35</v>
      </c>
      <c r="F29" s="53">
        <v>1644138</v>
      </c>
      <c r="G29" s="53">
        <v>6</v>
      </c>
    </row>
    <row r="30" spans="1:7">
      <c r="A30" s="53" t="s">
        <v>2124</v>
      </c>
      <c r="B30" s="53" t="s">
        <v>801</v>
      </c>
      <c r="C30" s="53" t="s">
        <v>802</v>
      </c>
      <c r="D30" s="54">
        <v>41363</v>
      </c>
      <c r="E30" s="53">
        <v>10</v>
      </c>
      <c r="F30" s="53">
        <v>469754</v>
      </c>
      <c r="G30" s="53">
        <v>7</v>
      </c>
    </row>
    <row r="31" spans="1:7">
      <c r="A31" s="53" t="s">
        <v>2127</v>
      </c>
      <c r="B31" s="53" t="s">
        <v>803</v>
      </c>
      <c r="C31" s="53" t="s">
        <v>804</v>
      </c>
      <c r="D31" s="54">
        <v>41353</v>
      </c>
      <c r="E31" s="53">
        <v>10</v>
      </c>
      <c r="F31" s="53">
        <v>469754</v>
      </c>
      <c r="G31" s="53">
        <v>1</v>
      </c>
    </row>
    <row r="32" spans="1:7">
      <c r="A32" s="53" t="s">
        <v>2128</v>
      </c>
      <c r="B32" s="53" t="s">
        <v>805</v>
      </c>
      <c r="C32" s="53" t="s">
        <v>806</v>
      </c>
      <c r="D32" s="54">
        <v>41348</v>
      </c>
      <c r="E32" s="53">
        <v>15</v>
      </c>
      <c r="F32" s="53">
        <v>704577</v>
      </c>
      <c r="G32" s="53">
        <v>1</v>
      </c>
    </row>
    <row r="33" spans="1:7">
      <c r="A33" s="53" t="s">
        <v>2129</v>
      </c>
      <c r="B33" s="53" t="s">
        <v>805</v>
      </c>
      <c r="C33" s="53" t="s">
        <v>806</v>
      </c>
      <c r="D33" s="54">
        <v>41353</v>
      </c>
      <c r="E33" s="53">
        <v>10</v>
      </c>
      <c r="F33" s="53">
        <v>469754</v>
      </c>
      <c r="G33" s="53">
        <v>2</v>
      </c>
    </row>
    <row r="34" spans="1:7">
      <c r="A34" s="53" t="s">
        <v>2130</v>
      </c>
      <c r="B34" s="53" t="s">
        <v>805</v>
      </c>
      <c r="C34" s="53" t="s">
        <v>806</v>
      </c>
      <c r="D34" s="54">
        <v>41359</v>
      </c>
      <c r="E34" s="53">
        <v>5</v>
      </c>
      <c r="F34" s="53">
        <v>234877</v>
      </c>
      <c r="G34" s="53">
        <v>3</v>
      </c>
    </row>
    <row r="35" spans="1:7">
      <c r="A35" s="53" t="s">
        <v>2131</v>
      </c>
      <c r="B35" s="53" t="s">
        <v>809</v>
      </c>
      <c r="C35" s="53" t="s">
        <v>810</v>
      </c>
      <c r="D35" s="54">
        <v>41353</v>
      </c>
      <c r="E35" s="53">
        <v>10</v>
      </c>
      <c r="F35" s="53">
        <v>469754</v>
      </c>
      <c r="G35" s="53">
        <v>1</v>
      </c>
    </row>
    <row r="36" spans="1:7">
      <c r="A36" s="53" t="s">
        <v>2132</v>
      </c>
      <c r="B36" s="53" t="s">
        <v>811</v>
      </c>
      <c r="C36" s="53" t="s">
        <v>812</v>
      </c>
      <c r="D36" s="54">
        <v>41340</v>
      </c>
      <c r="E36" s="53">
        <v>15</v>
      </c>
      <c r="F36" s="53">
        <v>703533</v>
      </c>
      <c r="G36" s="53">
        <v>1</v>
      </c>
    </row>
    <row r="37" spans="1:7">
      <c r="A37" s="53" t="s">
        <v>2133</v>
      </c>
      <c r="B37" s="53" t="s">
        <v>811</v>
      </c>
      <c r="C37" s="53" t="s">
        <v>812</v>
      </c>
      <c r="D37" s="54">
        <v>41351</v>
      </c>
      <c r="E37" s="53">
        <v>18</v>
      </c>
      <c r="F37" s="53">
        <v>845556</v>
      </c>
      <c r="G37" s="53">
        <v>2</v>
      </c>
    </row>
    <row r="38" spans="1:7">
      <c r="A38" s="53" t="s">
        <v>2134</v>
      </c>
      <c r="B38" s="53" t="s">
        <v>819</v>
      </c>
      <c r="C38" s="53" t="s">
        <v>820</v>
      </c>
      <c r="D38" s="54">
        <v>41354</v>
      </c>
      <c r="E38" s="53">
        <v>3</v>
      </c>
      <c r="F38" s="53">
        <v>140926</v>
      </c>
      <c r="G38" s="53">
        <v>1</v>
      </c>
    </row>
    <row r="39" spans="1:7">
      <c r="A39" s="53" t="s">
        <v>2135</v>
      </c>
      <c r="B39" s="53" t="s">
        <v>824</v>
      </c>
      <c r="C39" s="53" t="s">
        <v>825</v>
      </c>
      <c r="D39" s="54">
        <v>41347</v>
      </c>
      <c r="E39" s="53">
        <v>5</v>
      </c>
      <c r="F39" s="53">
        <v>234492</v>
      </c>
      <c r="G39" s="53">
        <v>1</v>
      </c>
    </row>
    <row r="40" spans="1:7">
      <c r="A40" s="53" t="s">
        <v>2136</v>
      </c>
      <c r="B40" s="53" t="s">
        <v>1998</v>
      </c>
      <c r="C40" s="53" t="s">
        <v>1999</v>
      </c>
      <c r="D40" s="54">
        <v>41345</v>
      </c>
      <c r="E40" s="53">
        <v>22</v>
      </c>
      <c r="F40" s="53">
        <v>1021960</v>
      </c>
      <c r="G40" s="53">
        <v>1</v>
      </c>
    </row>
    <row r="41" spans="1:7">
      <c r="A41" s="53" t="s">
        <v>2137</v>
      </c>
      <c r="B41" s="53" t="s">
        <v>837</v>
      </c>
      <c r="C41" s="53" t="s">
        <v>838</v>
      </c>
      <c r="D41" s="54">
        <v>41354</v>
      </c>
      <c r="E41" s="53">
        <v>21</v>
      </c>
      <c r="F41" s="53">
        <v>986483</v>
      </c>
      <c r="G41" s="53">
        <v>1</v>
      </c>
    </row>
    <row r="42" spans="1:7">
      <c r="A42" s="53" t="s">
        <v>2138</v>
      </c>
      <c r="B42" s="53" t="s">
        <v>837</v>
      </c>
      <c r="C42" s="53" t="s">
        <v>838</v>
      </c>
      <c r="D42" s="54">
        <v>41360</v>
      </c>
      <c r="E42" s="53">
        <v>15</v>
      </c>
      <c r="F42" s="53">
        <v>704630</v>
      </c>
      <c r="G42" s="53">
        <v>2</v>
      </c>
    </row>
    <row r="43" spans="1:7">
      <c r="A43" s="53" t="s">
        <v>2139</v>
      </c>
      <c r="B43" s="53" t="s">
        <v>843</v>
      </c>
      <c r="C43" s="53" t="s">
        <v>844</v>
      </c>
      <c r="D43" s="54">
        <v>41347</v>
      </c>
      <c r="E43" s="53">
        <v>5</v>
      </c>
      <c r="F43" s="53">
        <v>234680</v>
      </c>
      <c r="G43" s="53">
        <v>1</v>
      </c>
    </row>
    <row r="44" spans="1:7">
      <c r="A44" s="53" t="s">
        <v>2140</v>
      </c>
      <c r="B44" s="53" t="s">
        <v>850</v>
      </c>
      <c r="C44" s="53" t="s">
        <v>851</v>
      </c>
      <c r="D44" s="54">
        <v>41352</v>
      </c>
      <c r="E44" s="53">
        <v>21</v>
      </c>
      <c r="F44" s="53">
        <v>986482</v>
      </c>
      <c r="G44" s="53">
        <v>1</v>
      </c>
    </row>
    <row r="45" spans="1:7">
      <c r="A45" s="53" t="s">
        <v>2141</v>
      </c>
      <c r="B45" s="53" t="s">
        <v>850</v>
      </c>
      <c r="C45" s="53" t="s">
        <v>851</v>
      </c>
      <c r="D45" s="54">
        <v>41363</v>
      </c>
      <c r="E45" s="53">
        <v>9</v>
      </c>
      <c r="F45" s="53">
        <v>422778</v>
      </c>
      <c r="G45" s="53">
        <v>2</v>
      </c>
    </row>
    <row r="46" spans="1:7">
      <c r="A46" s="53" t="s">
        <v>2143</v>
      </c>
      <c r="B46" s="53" t="s">
        <v>852</v>
      </c>
      <c r="C46" s="53" t="s">
        <v>853</v>
      </c>
      <c r="D46" s="54">
        <v>41344</v>
      </c>
      <c r="E46" s="53">
        <v>49</v>
      </c>
      <c r="F46" s="53">
        <v>2294517</v>
      </c>
      <c r="G46" s="53">
        <v>1</v>
      </c>
    </row>
    <row r="47" spans="1:7">
      <c r="A47" s="53" t="s">
        <v>2144</v>
      </c>
      <c r="B47" s="53" t="s">
        <v>852</v>
      </c>
      <c r="C47" s="53" t="s">
        <v>853</v>
      </c>
      <c r="D47" s="54">
        <v>41344</v>
      </c>
      <c r="E47" s="53">
        <v>1</v>
      </c>
      <c r="F47" s="53">
        <v>46975</v>
      </c>
      <c r="G47" s="53">
        <v>2</v>
      </c>
    </row>
    <row r="48" spans="1:7">
      <c r="A48" s="53" t="s">
        <v>2142</v>
      </c>
      <c r="B48" s="53" t="s">
        <v>852</v>
      </c>
      <c r="C48" s="53" t="s">
        <v>853</v>
      </c>
      <c r="D48" s="54">
        <v>41363</v>
      </c>
      <c r="E48" s="53">
        <v>30</v>
      </c>
      <c r="F48" s="53">
        <v>1409261</v>
      </c>
      <c r="G48" s="53">
        <v>3</v>
      </c>
    </row>
    <row r="49" spans="1:7">
      <c r="A49" s="53" t="s">
        <v>2145</v>
      </c>
      <c r="B49" s="53" t="s">
        <v>854</v>
      </c>
      <c r="C49" s="53" t="s">
        <v>855</v>
      </c>
      <c r="D49" s="54">
        <v>41340</v>
      </c>
      <c r="E49" s="53">
        <v>29</v>
      </c>
      <c r="F49" s="53">
        <v>1362285</v>
      </c>
      <c r="G49" s="53">
        <v>1</v>
      </c>
    </row>
    <row r="50" spans="1:7">
      <c r="A50" s="53" t="s">
        <v>2146</v>
      </c>
      <c r="B50" s="53" t="s">
        <v>856</v>
      </c>
      <c r="C50" s="53" t="s">
        <v>857</v>
      </c>
      <c r="D50" s="54">
        <v>41347</v>
      </c>
      <c r="E50" s="53">
        <v>10</v>
      </c>
      <c r="F50" s="53">
        <v>468255</v>
      </c>
      <c r="G50" s="53">
        <v>1</v>
      </c>
    </row>
    <row r="51" spans="1:7">
      <c r="A51" s="53" t="s">
        <v>2147</v>
      </c>
      <c r="B51" s="53" t="s">
        <v>1961</v>
      </c>
      <c r="C51" s="53" t="s">
        <v>1962</v>
      </c>
      <c r="D51" s="54">
        <v>41347</v>
      </c>
      <c r="E51" s="53">
        <v>12</v>
      </c>
      <c r="F51" s="53">
        <v>563704</v>
      </c>
      <c r="G51" s="53">
        <v>1</v>
      </c>
    </row>
    <row r="52" spans="1:7">
      <c r="A52" s="53" t="s">
        <v>2148</v>
      </c>
      <c r="B52" s="53" t="s">
        <v>1961</v>
      </c>
      <c r="C52" s="53" t="s">
        <v>1962</v>
      </c>
      <c r="D52" s="54">
        <v>41349</v>
      </c>
      <c r="E52" s="53">
        <v>5</v>
      </c>
      <c r="F52" s="53">
        <v>234876.79999999999</v>
      </c>
      <c r="G52" s="53">
        <v>2</v>
      </c>
    </row>
    <row r="53" spans="1:7">
      <c r="A53" s="53" t="s">
        <v>2149</v>
      </c>
      <c r="B53" s="53" t="s">
        <v>865</v>
      </c>
      <c r="C53" s="53" t="s">
        <v>866</v>
      </c>
      <c r="D53" s="54">
        <v>41361</v>
      </c>
      <c r="E53" s="53">
        <v>44</v>
      </c>
      <c r="F53" s="53">
        <v>2066916</v>
      </c>
      <c r="G53" s="53">
        <v>1</v>
      </c>
    </row>
    <row r="54" spans="1:7">
      <c r="A54" s="53" t="s">
        <v>2150</v>
      </c>
      <c r="B54" s="53" t="s">
        <v>870</v>
      </c>
      <c r="C54" s="53" t="s">
        <v>871</v>
      </c>
      <c r="D54" s="54">
        <v>41347</v>
      </c>
      <c r="E54" s="53">
        <v>5</v>
      </c>
      <c r="F54" s="53">
        <v>233142</v>
      </c>
      <c r="G54" s="53">
        <v>1</v>
      </c>
    </row>
    <row r="55" spans="1:7">
      <c r="A55" s="53" t="s">
        <v>2151</v>
      </c>
      <c r="B55" s="53" t="s">
        <v>870</v>
      </c>
      <c r="C55" s="53" t="s">
        <v>871</v>
      </c>
      <c r="D55" s="54">
        <v>41358</v>
      </c>
      <c r="E55" s="53">
        <v>9</v>
      </c>
      <c r="F55" s="53">
        <v>422778</v>
      </c>
      <c r="G55" s="53">
        <v>2</v>
      </c>
    </row>
    <row r="56" spans="1:7">
      <c r="A56" s="53" t="s">
        <v>2152</v>
      </c>
      <c r="B56" s="53" t="s">
        <v>877</v>
      </c>
      <c r="C56" s="53" t="s">
        <v>878</v>
      </c>
      <c r="D56" s="54">
        <v>41345</v>
      </c>
      <c r="E56" s="53">
        <v>33</v>
      </c>
      <c r="F56" s="53">
        <v>1548055</v>
      </c>
      <c r="G56" s="53">
        <v>1</v>
      </c>
    </row>
    <row r="57" spans="1:7">
      <c r="A57" s="53" t="s">
        <v>2153</v>
      </c>
      <c r="B57" s="53" t="s">
        <v>877</v>
      </c>
      <c r="C57" s="53" t="s">
        <v>878</v>
      </c>
      <c r="D57" s="54">
        <v>41345</v>
      </c>
      <c r="E57" s="53">
        <v>2</v>
      </c>
      <c r="F57" s="53">
        <v>93951</v>
      </c>
      <c r="G57" s="53">
        <v>2</v>
      </c>
    </row>
    <row r="58" spans="1:7">
      <c r="A58" s="53" t="s">
        <v>2154</v>
      </c>
      <c r="B58" s="53" t="s">
        <v>877</v>
      </c>
      <c r="C58" s="53" t="s">
        <v>878</v>
      </c>
      <c r="D58" s="54">
        <v>41351</v>
      </c>
      <c r="E58" s="53">
        <v>32</v>
      </c>
      <c r="F58" s="53">
        <v>1503212</v>
      </c>
      <c r="G58" s="53">
        <v>3</v>
      </c>
    </row>
    <row r="59" spans="1:7">
      <c r="A59" s="53" t="s">
        <v>2155</v>
      </c>
      <c r="B59" s="53" t="s">
        <v>877</v>
      </c>
      <c r="C59" s="53" t="s">
        <v>878</v>
      </c>
      <c r="D59" s="54">
        <v>41361</v>
      </c>
      <c r="E59" s="53">
        <v>45</v>
      </c>
      <c r="F59" s="53">
        <v>2113891</v>
      </c>
      <c r="G59" s="53">
        <v>4</v>
      </c>
    </row>
    <row r="60" spans="1:7">
      <c r="A60" s="53" t="s">
        <v>2156</v>
      </c>
      <c r="B60" s="53" t="s">
        <v>2000</v>
      </c>
      <c r="C60" s="53" t="s">
        <v>2001</v>
      </c>
      <c r="D60" s="54">
        <v>41350</v>
      </c>
      <c r="E60" s="53">
        <v>29</v>
      </c>
      <c r="F60" s="53">
        <v>1358716</v>
      </c>
      <c r="G60" s="53">
        <v>1</v>
      </c>
    </row>
    <row r="61" spans="1:7">
      <c r="A61" s="53" t="s">
        <v>2157</v>
      </c>
      <c r="B61" s="53" t="s">
        <v>2158</v>
      </c>
      <c r="C61" s="53" t="s">
        <v>2159</v>
      </c>
      <c r="D61" s="54">
        <v>41348</v>
      </c>
      <c r="E61" s="53">
        <v>10</v>
      </c>
      <c r="F61" s="53">
        <v>469754</v>
      </c>
      <c r="G61" s="53">
        <v>1</v>
      </c>
    </row>
    <row r="62" spans="1:7">
      <c r="A62" s="53" t="s">
        <v>2160</v>
      </c>
      <c r="B62" s="53" t="s">
        <v>2158</v>
      </c>
      <c r="C62" s="53" t="s">
        <v>2159</v>
      </c>
      <c r="D62" s="54">
        <v>41351</v>
      </c>
      <c r="E62" s="53">
        <v>3</v>
      </c>
      <c r="F62" s="53">
        <v>140926</v>
      </c>
      <c r="G62" s="53">
        <v>2</v>
      </c>
    </row>
    <row r="63" spans="1:7">
      <c r="A63" s="53" t="s">
        <v>2161</v>
      </c>
      <c r="B63" s="53" t="s">
        <v>2158</v>
      </c>
      <c r="C63" s="53" t="s">
        <v>2159</v>
      </c>
      <c r="D63" s="54">
        <v>41360</v>
      </c>
      <c r="E63" s="53">
        <v>10</v>
      </c>
      <c r="F63" s="53">
        <v>469212</v>
      </c>
      <c r="G63" s="53">
        <v>3</v>
      </c>
    </row>
    <row r="64" spans="1:7">
      <c r="A64" s="53" t="s">
        <v>2162</v>
      </c>
      <c r="B64" s="53" t="s">
        <v>881</v>
      </c>
      <c r="C64" s="53" t="s">
        <v>882</v>
      </c>
      <c r="D64" s="54">
        <v>41348</v>
      </c>
      <c r="E64" s="53">
        <v>15</v>
      </c>
      <c r="F64" s="53">
        <v>703861</v>
      </c>
      <c r="G64" s="53">
        <v>1</v>
      </c>
    </row>
    <row r="65" spans="1:7">
      <c r="A65" s="53" t="s">
        <v>2163</v>
      </c>
      <c r="B65" s="53" t="s">
        <v>881</v>
      </c>
      <c r="C65" s="53" t="s">
        <v>882</v>
      </c>
      <c r="D65" s="54">
        <v>41359</v>
      </c>
      <c r="E65" s="53">
        <v>8</v>
      </c>
      <c r="F65" s="53">
        <v>375802</v>
      </c>
      <c r="G65" s="53">
        <v>2</v>
      </c>
    </row>
    <row r="66" spans="1:7">
      <c r="A66" s="53" t="s">
        <v>2164</v>
      </c>
      <c r="B66" s="53" t="s">
        <v>881</v>
      </c>
      <c r="C66" s="53" t="s">
        <v>882</v>
      </c>
      <c r="D66" s="54">
        <v>41360</v>
      </c>
      <c r="E66" s="53">
        <v>2</v>
      </c>
      <c r="F66" s="53">
        <v>93951</v>
      </c>
      <c r="G66" s="53">
        <v>3</v>
      </c>
    </row>
    <row r="67" spans="1:7">
      <c r="A67" s="53" t="s">
        <v>2165</v>
      </c>
      <c r="B67" s="53" t="s">
        <v>881</v>
      </c>
      <c r="C67" s="53" t="s">
        <v>882</v>
      </c>
      <c r="D67" s="54">
        <v>41360</v>
      </c>
      <c r="E67" s="53">
        <v>12</v>
      </c>
      <c r="F67" s="53">
        <v>563704</v>
      </c>
      <c r="G67" s="53">
        <v>4</v>
      </c>
    </row>
    <row r="68" spans="1:7">
      <c r="A68" s="53" t="s">
        <v>2166</v>
      </c>
      <c r="B68" s="53" t="s">
        <v>881</v>
      </c>
      <c r="C68" s="53" t="s">
        <v>882</v>
      </c>
      <c r="D68" s="54">
        <v>41364</v>
      </c>
      <c r="E68" s="53">
        <v>7</v>
      </c>
      <c r="F68" s="53">
        <v>328827</v>
      </c>
      <c r="G68" s="53">
        <v>5</v>
      </c>
    </row>
    <row r="69" spans="1:7">
      <c r="A69" s="53" t="s">
        <v>2168</v>
      </c>
      <c r="B69" s="53" t="s">
        <v>884</v>
      </c>
      <c r="C69" s="53" t="s">
        <v>885</v>
      </c>
      <c r="D69" s="54">
        <v>41348</v>
      </c>
      <c r="E69" s="53">
        <v>3</v>
      </c>
      <c r="F69" s="53">
        <v>140926</v>
      </c>
      <c r="G69" s="53">
        <v>1</v>
      </c>
    </row>
    <row r="70" spans="1:7">
      <c r="A70" s="53" t="s">
        <v>2167</v>
      </c>
      <c r="B70" s="53" t="s">
        <v>884</v>
      </c>
      <c r="C70" s="53" t="s">
        <v>885</v>
      </c>
      <c r="D70" s="54">
        <v>41361</v>
      </c>
      <c r="E70" s="53">
        <v>19</v>
      </c>
      <c r="F70" s="53">
        <v>892532</v>
      </c>
      <c r="G70" s="53">
        <v>2</v>
      </c>
    </row>
    <row r="71" spans="1:7">
      <c r="A71" s="53" t="s">
        <v>2171</v>
      </c>
      <c r="B71" s="53" t="s">
        <v>2016</v>
      </c>
      <c r="C71" s="53" t="s">
        <v>2017</v>
      </c>
      <c r="D71" s="54">
        <v>41347</v>
      </c>
      <c r="E71" s="53">
        <v>8</v>
      </c>
      <c r="F71" s="53">
        <v>375803</v>
      </c>
      <c r="G71" s="53">
        <v>1</v>
      </c>
    </row>
    <row r="72" spans="1:7">
      <c r="A72" s="53" t="s">
        <v>2169</v>
      </c>
      <c r="B72" s="53" t="s">
        <v>2016</v>
      </c>
      <c r="C72" s="53" t="s">
        <v>2017</v>
      </c>
      <c r="D72" s="54">
        <v>41363</v>
      </c>
      <c r="E72" s="53">
        <v>4</v>
      </c>
      <c r="F72" s="53">
        <v>187901</v>
      </c>
      <c r="G72" s="53">
        <v>2</v>
      </c>
    </row>
    <row r="73" spans="1:7">
      <c r="A73" s="53" t="s">
        <v>2170</v>
      </c>
      <c r="B73" s="53" t="s">
        <v>2016</v>
      </c>
      <c r="C73" s="53" t="s">
        <v>2017</v>
      </c>
      <c r="D73" s="54">
        <v>41363</v>
      </c>
      <c r="E73" s="53">
        <v>4</v>
      </c>
      <c r="F73" s="53">
        <v>187901</v>
      </c>
      <c r="G73" s="53">
        <v>3</v>
      </c>
    </row>
    <row r="74" spans="1:7">
      <c r="A74" s="53" t="s">
        <v>2174</v>
      </c>
      <c r="B74" s="53" t="s">
        <v>886</v>
      </c>
      <c r="C74" s="53" t="s">
        <v>887</v>
      </c>
      <c r="D74" s="54">
        <v>41347</v>
      </c>
      <c r="E74" s="53">
        <v>8</v>
      </c>
      <c r="F74" s="53">
        <v>375803</v>
      </c>
      <c r="G74" s="53">
        <v>1</v>
      </c>
    </row>
    <row r="75" spans="1:7">
      <c r="A75" s="53" t="s">
        <v>2172</v>
      </c>
      <c r="B75" s="53" t="s">
        <v>886</v>
      </c>
      <c r="C75" s="53" t="s">
        <v>887</v>
      </c>
      <c r="D75" s="54">
        <v>41363</v>
      </c>
      <c r="E75" s="53">
        <v>4</v>
      </c>
      <c r="F75" s="53">
        <v>187901</v>
      </c>
      <c r="G75" s="53">
        <v>2</v>
      </c>
    </row>
    <row r="76" spans="1:7">
      <c r="A76" s="53" t="s">
        <v>2173</v>
      </c>
      <c r="B76" s="53" t="s">
        <v>886</v>
      </c>
      <c r="C76" s="53" t="s">
        <v>887</v>
      </c>
      <c r="D76" s="54">
        <v>41363</v>
      </c>
      <c r="E76" s="53">
        <v>4</v>
      </c>
      <c r="F76" s="53">
        <v>187901</v>
      </c>
      <c r="G76" s="53">
        <v>3</v>
      </c>
    </row>
    <row r="77" spans="1:7">
      <c r="A77" s="53" t="s">
        <v>2175</v>
      </c>
      <c r="B77" s="53" t="s">
        <v>2002</v>
      </c>
      <c r="C77" s="53" t="s">
        <v>2003</v>
      </c>
      <c r="D77" s="54">
        <v>41350</v>
      </c>
      <c r="E77" s="53">
        <v>20</v>
      </c>
      <c r="F77" s="53">
        <v>933879</v>
      </c>
      <c r="G77" s="53">
        <v>1</v>
      </c>
    </row>
    <row r="78" spans="1:7">
      <c r="A78" s="53" t="s">
        <v>2177</v>
      </c>
      <c r="B78" s="53" t="s">
        <v>907</v>
      </c>
      <c r="C78" s="53" t="s">
        <v>908</v>
      </c>
      <c r="D78" s="54">
        <v>41348</v>
      </c>
      <c r="E78" s="53">
        <v>25</v>
      </c>
      <c r="F78" s="53">
        <v>1171492</v>
      </c>
      <c r="G78" s="53">
        <v>1</v>
      </c>
    </row>
    <row r="79" spans="1:7">
      <c r="A79" s="53" t="s">
        <v>2178</v>
      </c>
      <c r="B79" s="53" t="s">
        <v>907</v>
      </c>
      <c r="C79" s="53" t="s">
        <v>908</v>
      </c>
      <c r="D79" s="54">
        <v>41353</v>
      </c>
      <c r="E79" s="53">
        <v>20</v>
      </c>
      <c r="F79" s="53">
        <v>939507</v>
      </c>
      <c r="G79" s="53">
        <v>2</v>
      </c>
    </row>
    <row r="80" spans="1:7">
      <c r="A80" s="53" t="s">
        <v>2179</v>
      </c>
      <c r="B80" s="53" t="s">
        <v>907</v>
      </c>
      <c r="C80" s="53" t="s">
        <v>908</v>
      </c>
      <c r="D80" s="54">
        <v>41359</v>
      </c>
      <c r="E80" s="53">
        <v>20</v>
      </c>
      <c r="F80" s="53">
        <v>939507</v>
      </c>
      <c r="G80" s="53">
        <v>3</v>
      </c>
    </row>
    <row r="81" spans="1:7">
      <c r="A81" s="53" t="s">
        <v>2176</v>
      </c>
      <c r="B81" s="53" t="s">
        <v>907</v>
      </c>
      <c r="C81" s="53" t="s">
        <v>908</v>
      </c>
      <c r="D81" s="54">
        <v>41362</v>
      </c>
      <c r="E81" s="53">
        <v>8</v>
      </c>
      <c r="F81" s="53">
        <v>375803</v>
      </c>
      <c r="G81" s="53">
        <v>4</v>
      </c>
    </row>
    <row r="82" spans="1:7">
      <c r="A82" s="53" t="s">
        <v>2180</v>
      </c>
      <c r="B82" s="53" t="s">
        <v>909</v>
      </c>
      <c r="C82" s="53" t="s">
        <v>910</v>
      </c>
      <c r="D82" s="54">
        <v>41348</v>
      </c>
      <c r="E82" s="53">
        <v>5</v>
      </c>
      <c r="F82" s="53">
        <v>234444</v>
      </c>
      <c r="G82" s="53">
        <v>1</v>
      </c>
    </row>
    <row r="83" spans="1:7">
      <c r="A83" s="53" t="s">
        <v>2181</v>
      </c>
      <c r="B83" s="53" t="s">
        <v>909</v>
      </c>
      <c r="C83" s="53" t="s">
        <v>910</v>
      </c>
      <c r="D83" s="54">
        <v>41364</v>
      </c>
      <c r="E83" s="53">
        <v>6</v>
      </c>
      <c r="F83" s="53">
        <v>281852</v>
      </c>
      <c r="G83" s="53">
        <v>2</v>
      </c>
    </row>
    <row r="84" spans="1:7">
      <c r="A84" s="53" t="s">
        <v>2182</v>
      </c>
      <c r="B84" s="53" t="s">
        <v>911</v>
      </c>
      <c r="C84" s="53" t="s">
        <v>912</v>
      </c>
      <c r="D84" s="54">
        <v>41348</v>
      </c>
      <c r="E84" s="53">
        <v>25</v>
      </c>
      <c r="F84" s="53">
        <v>1174384</v>
      </c>
      <c r="G84" s="53">
        <v>1</v>
      </c>
    </row>
    <row r="85" spans="1:7">
      <c r="A85" s="53" t="s">
        <v>2183</v>
      </c>
      <c r="B85" s="53" t="s">
        <v>911</v>
      </c>
      <c r="C85" s="53" t="s">
        <v>912</v>
      </c>
      <c r="D85" s="54">
        <v>41358</v>
      </c>
      <c r="E85" s="53">
        <v>31</v>
      </c>
      <c r="F85" s="53">
        <v>1456236</v>
      </c>
      <c r="G85" s="53">
        <v>2</v>
      </c>
    </row>
    <row r="86" spans="1:7">
      <c r="A86" s="53" t="s">
        <v>2184</v>
      </c>
      <c r="B86" s="53" t="s">
        <v>911</v>
      </c>
      <c r="C86" s="53" t="s">
        <v>912</v>
      </c>
      <c r="D86" s="54">
        <v>41359</v>
      </c>
      <c r="E86" s="53">
        <v>13</v>
      </c>
      <c r="F86" s="53">
        <v>610680</v>
      </c>
      <c r="G86" s="53">
        <v>3</v>
      </c>
    </row>
    <row r="87" spans="1:7">
      <c r="A87" s="53" t="s">
        <v>2185</v>
      </c>
      <c r="B87" s="53" t="s">
        <v>911</v>
      </c>
      <c r="C87" s="53" t="s">
        <v>912</v>
      </c>
      <c r="D87" s="54">
        <v>41364</v>
      </c>
      <c r="E87" s="53">
        <v>35</v>
      </c>
      <c r="F87" s="53">
        <v>1644137.52</v>
      </c>
      <c r="G87" s="53">
        <v>4</v>
      </c>
    </row>
    <row r="88" spans="1:7">
      <c r="A88" s="53" t="s">
        <v>2186</v>
      </c>
      <c r="B88" s="53" t="s">
        <v>913</v>
      </c>
      <c r="C88" s="53" t="s">
        <v>914</v>
      </c>
      <c r="D88" s="54">
        <v>41354</v>
      </c>
      <c r="E88" s="53">
        <v>8</v>
      </c>
      <c r="F88" s="53">
        <v>375803</v>
      </c>
      <c r="G88" s="53">
        <v>1</v>
      </c>
    </row>
    <row r="89" spans="1:7">
      <c r="A89" s="53" t="s">
        <v>2187</v>
      </c>
      <c r="B89" s="53" t="s">
        <v>936</v>
      </c>
      <c r="C89" s="53" t="s">
        <v>937</v>
      </c>
      <c r="D89" s="54">
        <v>41340</v>
      </c>
      <c r="E89" s="53">
        <v>9</v>
      </c>
      <c r="F89" s="53">
        <v>422778</v>
      </c>
      <c r="G89" s="53">
        <v>1</v>
      </c>
    </row>
    <row r="90" spans="1:7">
      <c r="A90" s="53" t="s">
        <v>2188</v>
      </c>
      <c r="B90" s="53" t="s">
        <v>960</v>
      </c>
      <c r="C90" s="53" t="s">
        <v>961</v>
      </c>
      <c r="D90" s="54">
        <v>41353</v>
      </c>
      <c r="E90" s="53">
        <v>5</v>
      </c>
      <c r="F90" s="53">
        <v>234705</v>
      </c>
      <c r="G90" s="53">
        <v>1</v>
      </c>
    </row>
    <row r="91" spans="1:7">
      <c r="A91" s="53" t="s">
        <v>2190</v>
      </c>
      <c r="B91" s="53" t="s">
        <v>977</v>
      </c>
      <c r="C91" s="53" t="s">
        <v>978</v>
      </c>
      <c r="D91" s="54">
        <v>41342</v>
      </c>
      <c r="E91" s="53">
        <v>44</v>
      </c>
      <c r="F91" s="53">
        <v>2066916</v>
      </c>
      <c r="G91" s="53">
        <v>1</v>
      </c>
    </row>
    <row r="92" spans="1:7">
      <c r="A92" s="53" t="s">
        <v>2191</v>
      </c>
      <c r="B92" s="53" t="s">
        <v>977</v>
      </c>
      <c r="C92" s="53" t="s">
        <v>978</v>
      </c>
      <c r="D92" s="54">
        <v>41349</v>
      </c>
      <c r="E92" s="53">
        <v>30</v>
      </c>
      <c r="F92" s="53">
        <v>1409261</v>
      </c>
      <c r="G92" s="53">
        <v>2</v>
      </c>
    </row>
    <row r="93" spans="1:7">
      <c r="A93" s="53" t="s">
        <v>2192</v>
      </c>
      <c r="B93" s="53" t="s">
        <v>977</v>
      </c>
      <c r="C93" s="53" t="s">
        <v>978</v>
      </c>
      <c r="D93" s="54">
        <v>41352</v>
      </c>
      <c r="E93" s="53">
        <v>35</v>
      </c>
      <c r="F93" s="53">
        <v>1644138</v>
      </c>
      <c r="G93" s="53">
        <v>3</v>
      </c>
    </row>
    <row r="94" spans="1:7">
      <c r="A94" s="53" t="s">
        <v>2193</v>
      </c>
      <c r="B94" s="53" t="s">
        <v>977</v>
      </c>
      <c r="C94" s="53" t="s">
        <v>978</v>
      </c>
      <c r="D94" s="54">
        <v>41352</v>
      </c>
      <c r="E94" s="53">
        <v>5</v>
      </c>
      <c r="F94" s="53">
        <v>234877</v>
      </c>
      <c r="G94" s="53">
        <v>4</v>
      </c>
    </row>
    <row r="95" spans="1:7">
      <c r="A95" s="53" t="s">
        <v>2189</v>
      </c>
      <c r="B95" s="53" t="s">
        <v>977</v>
      </c>
      <c r="C95" s="53" t="s">
        <v>978</v>
      </c>
      <c r="D95" s="54">
        <v>41363</v>
      </c>
      <c r="E95" s="53">
        <v>41</v>
      </c>
      <c r="F95" s="53">
        <v>1925989</v>
      </c>
      <c r="G95" s="53">
        <v>5</v>
      </c>
    </row>
    <row r="96" spans="1:7">
      <c r="A96" s="53" t="s">
        <v>2194</v>
      </c>
      <c r="B96" s="53" t="s">
        <v>981</v>
      </c>
      <c r="C96" s="53" t="s">
        <v>982</v>
      </c>
      <c r="D96" s="54">
        <v>41359</v>
      </c>
      <c r="E96" s="53">
        <v>50</v>
      </c>
      <c r="F96" s="53">
        <v>2348768</v>
      </c>
      <c r="G96" s="53">
        <v>1</v>
      </c>
    </row>
    <row r="97" spans="1:7">
      <c r="A97" s="53" t="s">
        <v>2195</v>
      </c>
      <c r="B97" s="53" t="s">
        <v>996</v>
      </c>
      <c r="C97" s="53" t="s">
        <v>997</v>
      </c>
      <c r="D97" s="54">
        <v>41348</v>
      </c>
      <c r="E97" s="53">
        <v>2</v>
      </c>
      <c r="F97" s="53">
        <v>93609</v>
      </c>
      <c r="G97" s="53">
        <v>1</v>
      </c>
    </row>
    <row r="98" spans="1:7">
      <c r="A98" s="53" t="s">
        <v>2196</v>
      </c>
      <c r="B98" s="53" t="s">
        <v>996</v>
      </c>
      <c r="C98" s="53" t="s">
        <v>997</v>
      </c>
      <c r="D98" s="54">
        <v>41351</v>
      </c>
      <c r="E98" s="53">
        <v>2</v>
      </c>
      <c r="F98" s="53">
        <v>93951</v>
      </c>
      <c r="G98" s="53">
        <v>2</v>
      </c>
    </row>
    <row r="99" spans="1:7">
      <c r="A99" s="53" t="s">
        <v>2197</v>
      </c>
      <c r="B99" s="53" t="s">
        <v>996</v>
      </c>
      <c r="C99" s="53" t="s">
        <v>997</v>
      </c>
      <c r="D99" s="54">
        <v>41360</v>
      </c>
      <c r="E99" s="53">
        <v>5</v>
      </c>
      <c r="F99" s="53">
        <v>234877</v>
      </c>
      <c r="G99" s="53">
        <v>3</v>
      </c>
    </row>
    <row r="100" spans="1:7">
      <c r="A100" s="53" t="s">
        <v>2198</v>
      </c>
      <c r="B100" s="53" t="s">
        <v>998</v>
      </c>
      <c r="C100" s="53" t="s">
        <v>999</v>
      </c>
      <c r="D100" s="54">
        <v>41361</v>
      </c>
      <c r="E100" s="53">
        <v>7</v>
      </c>
      <c r="F100" s="53">
        <v>328828</v>
      </c>
      <c r="G100" s="53">
        <v>1</v>
      </c>
    </row>
    <row r="101" spans="1:7">
      <c r="A101" s="53" t="s">
        <v>2199</v>
      </c>
      <c r="B101" s="53" t="s">
        <v>1011</v>
      </c>
      <c r="C101" s="53" t="s">
        <v>581</v>
      </c>
      <c r="D101" s="54">
        <v>41348</v>
      </c>
      <c r="E101" s="53">
        <v>3</v>
      </c>
      <c r="F101" s="53">
        <v>140926</v>
      </c>
      <c r="G101" s="53">
        <v>1</v>
      </c>
    </row>
    <row r="102" spans="1:7">
      <c r="A102" s="53" t="s">
        <v>2200</v>
      </c>
      <c r="B102" s="53" t="s">
        <v>1013</v>
      </c>
      <c r="C102" s="53" t="s">
        <v>1014</v>
      </c>
      <c r="D102" s="54">
        <v>41351</v>
      </c>
      <c r="E102" s="53">
        <v>10</v>
      </c>
      <c r="F102" s="53">
        <v>469754</v>
      </c>
      <c r="G102" s="53">
        <v>1</v>
      </c>
    </row>
    <row r="103" spans="1:7">
      <c r="A103" s="53" t="s">
        <v>2201</v>
      </c>
      <c r="B103" s="53" t="s">
        <v>1013</v>
      </c>
      <c r="C103" s="53" t="s">
        <v>1014</v>
      </c>
      <c r="D103" s="54">
        <v>41351</v>
      </c>
      <c r="E103" s="53">
        <v>1</v>
      </c>
      <c r="F103" s="53">
        <v>46975</v>
      </c>
      <c r="G103" s="53">
        <v>2</v>
      </c>
    </row>
    <row r="104" spans="1:7">
      <c r="A104" s="53" t="s">
        <v>2202</v>
      </c>
      <c r="B104" s="53" t="s">
        <v>1013</v>
      </c>
      <c r="C104" s="53" t="s">
        <v>1014</v>
      </c>
      <c r="D104" s="54">
        <v>41358</v>
      </c>
      <c r="E104" s="53">
        <v>4</v>
      </c>
      <c r="F104" s="53">
        <v>187901</v>
      </c>
      <c r="G104" s="53">
        <v>3</v>
      </c>
    </row>
    <row r="105" spans="1:7">
      <c r="A105" s="53" t="s">
        <v>2203</v>
      </c>
      <c r="B105" s="53" t="s">
        <v>1016</v>
      </c>
      <c r="C105" s="53" t="s">
        <v>1017</v>
      </c>
      <c r="D105" s="54">
        <v>41350</v>
      </c>
      <c r="E105" s="53">
        <v>4</v>
      </c>
      <c r="F105" s="53">
        <v>187609</v>
      </c>
      <c r="G105" s="53">
        <v>1</v>
      </c>
    </row>
    <row r="106" spans="1:7">
      <c r="A106" s="53" t="s">
        <v>2204</v>
      </c>
      <c r="B106" s="53" t="s">
        <v>1016</v>
      </c>
      <c r="C106" s="53" t="s">
        <v>1017</v>
      </c>
      <c r="D106" s="54">
        <v>41351</v>
      </c>
      <c r="E106" s="53">
        <v>1</v>
      </c>
      <c r="F106" s="53">
        <v>46975</v>
      </c>
      <c r="G106" s="53">
        <v>2</v>
      </c>
    </row>
    <row r="107" spans="1:7">
      <c r="A107" s="53" t="s">
        <v>2205</v>
      </c>
      <c r="B107" s="53" t="s">
        <v>1016</v>
      </c>
      <c r="C107" s="53" t="s">
        <v>1017</v>
      </c>
      <c r="D107" s="54">
        <v>41358</v>
      </c>
      <c r="E107" s="53">
        <v>4</v>
      </c>
      <c r="F107" s="53">
        <v>187901</v>
      </c>
      <c r="G107" s="53">
        <v>3</v>
      </c>
    </row>
    <row r="108" spans="1:7">
      <c r="A108" s="53" t="s">
        <v>2206</v>
      </c>
      <c r="B108" s="53" t="s">
        <v>1016</v>
      </c>
      <c r="C108" s="53" t="s">
        <v>1017</v>
      </c>
      <c r="D108" s="54">
        <v>41359</v>
      </c>
      <c r="E108" s="53">
        <v>3</v>
      </c>
      <c r="F108" s="53">
        <v>140926</v>
      </c>
      <c r="G108" s="53">
        <v>4</v>
      </c>
    </row>
    <row r="109" spans="1:7">
      <c r="A109" s="53" t="s">
        <v>2207</v>
      </c>
      <c r="B109" s="53" t="s">
        <v>1027</v>
      </c>
      <c r="C109" s="53" t="s">
        <v>1028</v>
      </c>
      <c r="D109" s="54">
        <v>41350</v>
      </c>
      <c r="E109" s="53">
        <v>12</v>
      </c>
      <c r="F109" s="53">
        <v>563705</v>
      </c>
      <c r="G109" s="53">
        <v>1</v>
      </c>
    </row>
    <row r="110" spans="1:7">
      <c r="A110" s="53" t="s">
        <v>2208</v>
      </c>
      <c r="B110" s="53" t="s">
        <v>1027</v>
      </c>
      <c r="C110" s="53" t="s">
        <v>1028</v>
      </c>
      <c r="D110" s="54">
        <v>41358</v>
      </c>
      <c r="E110" s="53">
        <v>17</v>
      </c>
      <c r="F110" s="53">
        <v>798581</v>
      </c>
      <c r="G110" s="53">
        <v>2</v>
      </c>
    </row>
    <row r="111" spans="1:7">
      <c r="A111" s="53" t="s">
        <v>2209</v>
      </c>
      <c r="B111" s="53" t="s">
        <v>1027</v>
      </c>
      <c r="C111" s="53" t="s">
        <v>1028</v>
      </c>
      <c r="D111" s="54">
        <v>41363</v>
      </c>
      <c r="E111" s="53">
        <v>20</v>
      </c>
      <c r="F111" s="53">
        <v>939507</v>
      </c>
      <c r="G111" s="53">
        <v>3</v>
      </c>
    </row>
    <row r="112" spans="1:7">
      <c r="A112" s="53" t="s">
        <v>2210</v>
      </c>
      <c r="B112" s="53" t="s">
        <v>1031</v>
      </c>
      <c r="C112" s="53" t="s">
        <v>1032</v>
      </c>
      <c r="D112" s="54">
        <v>41351</v>
      </c>
      <c r="E112" s="53">
        <v>15</v>
      </c>
      <c r="F112" s="53">
        <v>704630</v>
      </c>
      <c r="G112" s="53">
        <v>1</v>
      </c>
    </row>
    <row r="113" spans="1:7">
      <c r="A113" s="53" t="s">
        <v>2211</v>
      </c>
      <c r="B113" s="53" t="s">
        <v>1033</v>
      </c>
      <c r="C113" s="53" t="s">
        <v>1034</v>
      </c>
      <c r="D113" s="54">
        <v>41345</v>
      </c>
      <c r="E113" s="53">
        <v>8</v>
      </c>
      <c r="F113" s="53">
        <v>375803</v>
      </c>
      <c r="G113" s="53">
        <v>1</v>
      </c>
    </row>
    <row r="114" spans="1:7">
      <c r="A114" s="53" t="s">
        <v>2214</v>
      </c>
      <c r="B114" s="53" t="s">
        <v>1035</v>
      </c>
      <c r="C114" s="53" t="s">
        <v>1036</v>
      </c>
      <c r="D114" s="54">
        <v>41339</v>
      </c>
      <c r="E114" s="53">
        <v>32</v>
      </c>
      <c r="F114" s="53">
        <v>1503212</v>
      </c>
      <c r="G114" s="53">
        <v>1</v>
      </c>
    </row>
    <row r="115" spans="1:7">
      <c r="A115" s="53" t="s">
        <v>2215</v>
      </c>
      <c r="B115" s="53" t="s">
        <v>1035</v>
      </c>
      <c r="C115" s="53" t="s">
        <v>1036</v>
      </c>
      <c r="D115" s="54">
        <v>41345</v>
      </c>
      <c r="E115" s="53">
        <v>86</v>
      </c>
      <c r="F115" s="53">
        <v>4039880.8</v>
      </c>
      <c r="G115" s="53">
        <v>2</v>
      </c>
    </row>
    <row r="116" spans="1:7">
      <c r="A116" s="53" t="s">
        <v>2216</v>
      </c>
      <c r="B116" s="53" t="s">
        <v>1035</v>
      </c>
      <c r="C116" s="53" t="s">
        <v>1036</v>
      </c>
      <c r="D116" s="54">
        <v>41345</v>
      </c>
      <c r="E116" s="53">
        <v>7</v>
      </c>
      <c r="F116" s="53">
        <v>328828</v>
      </c>
      <c r="G116" s="53">
        <v>3</v>
      </c>
    </row>
    <row r="117" spans="1:7">
      <c r="A117" s="53" t="s">
        <v>2212</v>
      </c>
      <c r="B117" s="53" t="s">
        <v>1035</v>
      </c>
      <c r="C117" s="53" t="s">
        <v>1036</v>
      </c>
      <c r="D117" s="54">
        <v>41345</v>
      </c>
      <c r="E117" s="53">
        <v>25</v>
      </c>
      <c r="F117" s="53">
        <v>1174384</v>
      </c>
      <c r="G117" s="53">
        <v>4</v>
      </c>
    </row>
    <row r="118" spans="1:7">
      <c r="A118" s="53" t="s">
        <v>2213</v>
      </c>
      <c r="B118" s="53" t="s">
        <v>1035</v>
      </c>
      <c r="C118" s="53" t="s">
        <v>1036</v>
      </c>
      <c r="D118" s="54">
        <v>41346</v>
      </c>
      <c r="E118" s="53">
        <v>1</v>
      </c>
      <c r="F118" s="53">
        <v>46975</v>
      </c>
      <c r="G118" s="53">
        <v>5</v>
      </c>
    </row>
    <row r="119" spans="1:7">
      <c r="A119" s="53" t="s">
        <v>2217</v>
      </c>
      <c r="B119" s="53" t="s">
        <v>1035</v>
      </c>
      <c r="C119" s="53" t="s">
        <v>1036</v>
      </c>
      <c r="D119" s="54">
        <v>41354</v>
      </c>
      <c r="E119" s="53">
        <v>98</v>
      </c>
      <c r="F119" s="53">
        <v>4603585</v>
      </c>
      <c r="G119" s="53">
        <v>6</v>
      </c>
    </row>
    <row r="120" spans="1:7">
      <c r="A120" s="53" t="s">
        <v>2218</v>
      </c>
      <c r="B120" s="53" t="s">
        <v>2004</v>
      </c>
      <c r="C120" s="53" t="s">
        <v>2005</v>
      </c>
      <c r="D120" s="54">
        <v>41363</v>
      </c>
      <c r="E120" s="53">
        <v>15</v>
      </c>
      <c r="F120" s="53">
        <v>704630</v>
      </c>
      <c r="G120" s="53">
        <v>1</v>
      </c>
    </row>
    <row r="121" spans="1:7">
      <c r="A121" s="53" t="s">
        <v>2219</v>
      </c>
      <c r="B121" s="53" t="s">
        <v>1038</v>
      </c>
      <c r="C121" s="53" t="s">
        <v>1039</v>
      </c>
      <c r="D121" s="54">
        <v>41347</v>
      </c>
      <c r="E121" s="53">
        <v>25</v>
      </c>
      <c r="F121" s="53">
        <v>1174384</v>
      </c>
      <c r="G121" s="53">
        <v>1</v>
      </c>
    </row>
    <row r="122" spans="1:7">
      <c r="A122" s="53" t="s">
        <v>2220</v>
      </c>
      <c r="B122" s="53" t="s">
        <v>1043</v>
      </c>
      <c r="C122" s="53" t="s">
        <v>1044</v>
      </c>
      <c r="D122" s="54">
        <v>41340</v>
      </c>
      <c r="E122" s="53">
        <v>15</v>
      </c>
      <c r="F122" s="53">
        <v>704630</v>
      </c>
      <c r="G122" s="53">
        <v>1</v>
      </c>
    </row>
    <row r="123" spans="1:7">
      <c r="A123" s="53" t="s">
        <v>2221</v>
      </c>
      <c r="B123" s="53" t="s">
        <v>1043</v>
      </c>
      <c r="C123" s="53" t="s">
        <v>1044</v>
      </c>
      <c r="D123" s="54">
        <v>41351</v>
      </c>
      <c r="E123" s="53">
        <v>30</v>
      </c>
      <c r="F123" s="53">
        <v>1409261</v>
      </c>
      <c r="G123" s="53">
        <v>2</v>
      </c>
    </row>
    <row r="124" spans="1:7">
      <c r="A124" s="53" t="s">
        <v>2222</v>
      </c>
      <c r="B124" s="53" t="s">
        <v>1043</v>
      </c>
      <c r="C124" s="53" t="s">
        <v>1044</v>
      </c>
      <c r="D124" s="54">
        <v>41360</v>
      </c>
      <c r="E124" s="53">
        <v>31</v>
      </c>
      <c r="F124" s="53">
        <v>1456236</v>
      </c>
      <c r="G124" s="53">
        <v>3</v>
      </c>
    </row>
    <row r="125" spans="1:7">
      <c r="A125" s="53" t="s">
        <v>2223</v>
      </c>
      <c r="B125" s="53" t="s">
        <v>1045</v>
      </c>
      <c r="C125" s="53" t="s">
        <v>1046</v>
      </c>
      <c r="D125" s="54">
        <v>41354</v>
      </c>
      <c r="E125" s="53">
        <v>3</v>
      </c>
      <c r="F125" s="53">
        <v>140926</v>
      </c>
      <c r="G125" s="53">
        <v>1</v>
      </c>
    </row>
    <row r="126" spans="1:7">
      <c r="A126" s="53" t="s">
        <v>2224</v>
      </c>
      <c r="B126" s="53" t="s">
        <v>1050</v>
      </c>
      <c r="C126" s="53" t="s">
        <v>1051</v>
      </c>
      <c r="D126" s="54">
        <v>41351</v>
      </c>
      <c r="E126" s="53">
        <v>8</v>
      </c>
      <c r="F126" s="53">
        <v>375803</v>
      </c>
      <c r="G126" s="53">
        <v>1</v>
      </c>
    </row>
    <row r="127" spans="1:7">
      <c r="A127" s="53" t="s">
        <v>2225</v>
      </c>
      <c r="B127" s="53" t="s">
        <v>1056</v>
      </c>
      <c r="C127" s="53" t="s">
        <v>1057</v>
      </c>
      <c r="D127" s="54">
        <v>41352</v>
      </c>
      <c r="E127" s="53">
        <v>14</v>
      </c>
      <c r="F127" s="53">
        <v>653615</v>
      </c>
      <c r="G127" s="53">
        <v>1</v>
      </c>
    </row>
    <row r="128" spans="1:7">
      <c r="A128" s="53" t="s">
        <v>2226</v>
      </c>
      <c r="B128" s="53" t="s">
        <v>1056</v>
      </c>
      <c r="C128" s="53" t="s">
        <v>1057</v>
      </c>
      <c r="D128" s="54">
        <v>41352</v>
      </c>
      <c r="E128" s="53">
        <v>6</v>
      </c>
      <c r="F128" s="53">
        <v>281852</v>
      </c>
      <c r="G128" s="53">
        <v>2</v>
      </c>
    </row>
    <row r="129" spans="1:7">
      <c r="A129" s="53" t="s">
        <v>2227</v>
      </c>
      <c r="B129" s="53" t="s">
        <v>1056</v>
      </c>
      <c r="C129" s="53" t="s">
        <v>1057</v>
      </c>
      <c r="D129" s="54">
        <v>41364</v>
      </c>
      <c r="E129" s="53">
        <v>20</v>
      </c>
      <c r="F129" s="53">
        <v>939507</v>
      </c>
      <c r="G129" s="53">
        <v>3</v>
      </c>
    </row>
    <row r="130" spans="1:7">
      <c r="A130" s="53" t="s">
        <v>2228</v>
      </c>
      <c r="B130" s="53" t="s">
        <v>1064</v>
      </c>
      <c r="C130" s="53" t="s">
        <v>1065</v>
      </c>
      <c r="D130" s="54">
        <v>41349</v>
      </c>
      <c r="E130" s="53">
        <v>5</v>
      </c>
      <c r="F130" s="53">
        <v>234877</v>
      </c>
      <c r="G130" s="53">
        <v>1</v>
      </c>
    </row>
    <row r="131" spans="1:7">
      <c r="A131" s="53" t="s">
        <v>2229</v>
      </c>
      <c r="B131" s="53" t="s">
        <v>1064</v>
      </c>
      <c r="C131" s="53" t="s">
        <v>1065</v>
      </c>
      <c r="D131" s="54">
        <v>41364</v>
      </c>
      <c r="E131" s="53">
        <v>35</v>
      </c>
      <c r="F131" s="53">
        <v>1644138</v>
      </c>
      <c r="G131" s="53">
        <v>2</v>
      </c>
    </row>
    <row r="132" spans="1:7">
      <c r="A132" s="53" t="s">
        <v>2230</v>
      </c>
      <c r="B132" s="53" t="s">
        <v>1064</v>
      </c>
      <c r="C132" s="53" t="s">
        <v>1065</v>
      </c>
      <c r="D132" s="54">
        <v>41364</v>
      </c>
      <c r="E132" s="53">
        <v>10</v>
      </c>
      <c r="F132" s="53">
        <v>469754</v>
      </c>
      <c r="G132" s="53">
        <v>3</v>
      </c>
    </row>
    <row r="133" spans="1:7">
      <c r="A133" s="53" t="s">
        <v>2231</v>
      </c>
      <c r="B133" s="53" t="s">
        <v>1064</v>
      </c>
      <c r="C133" s="53" t="s">
        <v>1065</v>
      </c>
      <c r="D133" s="54">
        <v>41364</v>
      </c>
      <c r="E133" s="53">
        <v>15</v>
      </c>
      <c r="F133" s="53">
        <v>704630</v>
      </c>
      <c r="G133" s="53">
        <v>4</v>
      </c>
    </row>
    <row r="134" spans="1:7">
      <c r="A134" s="53" t="s">
        <v>2232</v>
      </c>
      <c r="B134" s="53" t="s">
        <v>1066</v>
      </c>
      <c r="C134" s="53" t="s">
        <v>1067</v>
      </c>
      <c r="D134" s="54">
        <v>41348</v>
      </c>
      <c r="E134" s="53">
        <v>5</v>
      </c>
      <c r="F134" s="53">
        <v>234877</v>
      </c>
      <c r="G134" s="53">
        <v>1</v>
      </c>
    </row>
    <row r="135" spans="1:7">
      <c r="A135" s="53" t="s">
        <v>2233</v>
      </c>
      <c r="B135" s="53" t="s">
        <v>1066</v>
      </c>
      <c r="C135" s="53" t="s">
        <v>1067</v>
      </c>
      <c r="D135" s="54">
        <v>41350</v>
      </c>
      <c r="E135" s="53">
        <v>2</v>
      </c>
      <c r="F135" s="53">
        <v>92910</v>
      </c>
      <c r="G135" s="53">
        <v>2</v>
      </c>
    </row>
    <row r="136" spans="1:7">
      <c r="A136" s="53" t="s">
        <v>2234</v>
      </c>
      <c r="B136" s="53" t="s">
        <v>1066</v>
      </c>
      <c r="C136" s="53" t="s">
        <v>1067</v>
      </c>
      <c r="D136" s="54">
        <v>41360</v>
      </c>
      <c r="E136" s="53">
        <v>10</v>
      </c>
      <c r="F136" s="53">
        <v>469754</v>
      </c>
      <c r="G136" s="53">
        <v>3</v>
      </c>
    </row>
    <row r="137" spans="1:7">
      <c r="A137" s="53" t="s">
        <v>2235</v>
      </c>
      <c r="B137" s="53" t="s">
        <v>1068</v>
      </c>
      <c r="C137" s="53" t="s">
        <v>1069</v>
      </c>
      <c r="D137" s="54">
        <v>41349</v>
      </c>
      <c r="E137" s="53">
        <v>50</v>
      </c>
      <c r="F137" s="53">
        <v>2348768</v>
      </c>
      <c r="G137" s="53">
        <v>1</v>
      </c>
    </row>
    <row r="138" spans="1:7">
      <c r="A138" s="53" t="s">
        <v>2236</v>
      </c>
      <c r="B138" s="53" t="s">
        <v>1068</v>
      </c>
      <c r="C138" s="53" t="s">
        <v>1069</v>
      </c>
      <c r="D138" s="54">
        <v>41350</v>
      </c>
      <c r="E138" s="53">
        <v>19</v>
      </c>
      <c r="F138" s="53">
        <v>888308</v>
      </c>
      <c r="G138" s="53">
        <v>2</v>
      </c>
    </row>
    <row r="139" spans="1:7">
      <c r="A139" s="53" t="s">
        <v>2237</v>
      </c>
      <c r="B139" s="53" t="s">
        <v>1068</v>
      </c>
      <c r="C139" s="53" t="s">
        <v>1069</v>
      </c>
      <c r="D139" s="54">
        <v>41359</v>
      </c>
      <c r="E139" s="53">
        <v>22</v>
      </c>
      <c r="F139" s="53">
        <v>1033458</v>
      </c>
      <c r="G139" s="53">
        <v>3</v>
      </c>
    </row>
    <row r="140" spans="1:7">
      <c r="A140" s="53" t="s">
        <v>2238</v>
      </c>
      <c r="B140" s="53" t="s">
        <v>1382</v>
      </c>
      <c r="C140" s="53" t="s">
        <v>1383</v>
      </c>
      <c r="D140" s="54">
        <v>41347</v>
      </c>
      <c r="E140" s="53">
        <v>16</v>
      </c>
      <c r="F140" s="53">
        <v>751605.76000000001</v>
      </c>
      <c r="G140" s="53">
        <v>1</v>
      </c>
    </row>
    <row r="141" spans="1:7">
      <c r="A141" s="53" t="s">
        <v>2239</v>
      </c>
      <c r="B141" s="53" t="s">
        <v>1400</v>
      </c>
      <c r="C141" s="53" t="s">
        <v>1401</v>
      </c>
      <c r="D141" s="54">
        <v>41354</v>
      </c>
      <c r="E141" s="53">
        <v>7</v>
      </c>
      <c r="F141" s="53">
        <v>328828</v>
      </c>
      <c r="G141" s="53">
        <v>1</v>
      </c>
    </row>
    <row r="142" spans="1:7">
      <c r="A142" s="53" t="s">
        <v>2240</v>
      </c>
      <c r="B142" s="53" t="s">
        <v>1421</v>
      </c>
      <c r="C142" s="53" t="s">
        <v>1422</v>
      </c>
      <c r="D142" s="54">
        <v>41359</v>
      </c>
      <c r="E142" s="53">
        <v>5</v>
      </c>
      <c r="F142" s="53">
        <v>234877</v>
      </c>
      <c r="G142" s="53">
        <v>1</v>
      </c>
    </row>
    <row r="143" spans="1:7">
      <c r="A143" s="53" t="s">
        <v>2241</v>
      </c>
      <c r="B143" s="53" t="s">
        <v>1423</v>
      </c>
      <c r="C143" s="53" t="s">
        <v>1424</v>
      </c>
      <c r="D143" s="54">
        <v>41359</v>
      </c>
      <c r="E143" s="53">
        <v>5</v>
      </c>
      <c r="F143" s="53">
        <v>234877</v>
      </c>
      <c r="G143" s="53">
        <v>1</v>
      </c>
    </row>
    <row r="144" spans="1:7">
      <c r="A144" s="53" t="s">
        <v>2242</v>
      </c>
      <c r="B144" s="53" t="s">
        <v>1439</v>
      </c>
      <c r="C144" s="53" t="s">
        <v>1440</v>
      </c>
      <c r="D144" s="54">
        <v>41352</v>
      </c>
      <c r="E144" s="53">
        <v>4</v>
      </c>
      <c r="F144" s="53">
        <v>186828</v>
      </c>
      <c r="G144" s="53">
        <v>1</v>
      </c>
    </row>
    <row r="145" spans="1:7">
      <c r="A145" s="53" t="s">
        <v>2243</v>
      </c>
      <c r="B145" s="53" t="s">
        <v>1448</v>
      </c>
      <c r="C145" s="53" t="s">
        <v>1449</v>
      </c>
      <c r="D145" s="54">
        <v>41344</v>
      </c>
      <c r="E145" s="53">
        <v>10</v>
      </c>
      <c r="F145" s="53">
        <v>467484</v>
      </c>
      <c r="G145" s="53">
        <v>1</v>
      </c>
    </row>
    <row r="146" spans="1:7">
      <c r="A146" s="53" t="s">
        <v>2244</v>
      </c>
      <c r="B146" s="53" t="s">
        <v>1448</v>
      </c>
      <c r="C146" s="53" t="s">
        <v>1449</v>
      </c>
      <c r="D146" s="54">
        <v>41363</v>
      </c>
      <c r="E146" s="53">
        <v>15</v>
      </c>
      <c r="F146" s="53">
        <v>704631</v>
      </c>
      <c r="G146" s="53">
        <v>2</v>
      </c>
    </row>
    <row r="147" spans="1:7">
      <c r="A147" s="53" t="s">
        <v>2245</v>
      </c>
      <c r="B147" s="53" t="s">
        <v>1742</v>
      </c>
      <c r="C147" s="53" t="s">
        <v>1743</v>
      </c>
      <c r="D147" s="54">
        <v>41350</v>
      </c>
      <c r="E147" s="53">
        <v>7</v>
      </c>
      <c r="F147" s="53">
        <v>328393</v>
      </c>
      <c r="G147" s="53">
        <v>1</v>
      </c>
    </row>
    <row r="148" spans="1:7">
      <c r="A148" s="53" t="s">
        <v>2247</v>
      </c>
      <c r="B148" s="53" t="s">
        <v>1773</v>
      </c>
      <c r="C148" s="53" t="s">
        <v>1774</v>
      </c>
      <c r="D148" s="54">
        <v>41349</v>
      </c>
      <c r="E148" s="53">
        <v>5</v>
      </c>
      <c r="F148" s="53">
        <v>234876</v>
      </c>
      <c r="G148" s="53">
        <v>1</v>
      </c>
    </row>
    <row r="149" spans="1:7">
      <c r="A149" s="53" t="s">
        <v>2246</v>
      </c>
      <c r="B149" s="53" t="s">
        <v>1773</v>
      </c>
      <c r="C149" s="53" t="s">
        <v>1774</v>
      </c>
      <c r="D149" s="54">
        <v>41363</v>
      </c>
      <c r="E149" s="53">
        <v>10</v>
      </c>
      <c r="F149" s="53">
        <v>469754</v>
      </c>
      <c r="G149" s="53">
        <v>2</v>
      </c>
    </row>
    <row r="150" spans="1:7">
      <c r="A150" s="53" t="s">
        <v>2248</v>
      </c>
      <c r="B150" s="53" t="s">
        <v>1779</v>
      </c>
      <c r="C150" s="53" t="s">
        <v>1780</v>
      </c>
      <c r="D150" s="54">
        <v>41358</v>
      </c>
      <c r="E150" s="53">
        <v>8</v>
      </c>
      <c r="F150" s="53">
        <v>375803</v>
      </c>
      <c r="G150" s="53">
        <v>1</v>
      </c>
    </row>
    <row r="151" spans="1:7">
      <c r="A151" s="53" t="s">
        <v>2249</v>
      </c>
      <c r="B151" s="53" t="s">
        <v>1779</v>
      </c>
      <c r="C151" s="53" t="s">
        <v>1780</v>
      </c>
      <c r="D151" s="54">
        <v>41358</v>
      </c>
      <c r="E151" s="53">
        <v>2</v>
      </c>
      <c r="F151" s="53">
        <v>93951</v>
      </c>
      <c r="G151" s="53">
        <v>2</v>
      </c>
    </row>
    <row r="152" spans="1:7">
      <c r="A152" s="53" t="s">
        <v>2250</v>
      </c>
      <c r="B152" s="53" t="s">
        <v>1787</v>
      </c>
      <c r="C152" s="53" t="s">
        <v>1788</v>
      </c>
      <c r="D152" s="54">
        <v>41351</v>
      </c>
      <c r="E152" s="53">
        <v>15</v>
      </c>
      <c r="F152" s="53">
        <v>704630</v>
      </c>
      <c r="G152" s="53">
        <v>1</v>
      </c>
    </row>
    <row r="153" spans="1:7">
      <c r="A153" s="53" t="s">
        <v>2252</v>
      </c>
      <c r="B153" s="53" t="s">
        <v>1799</v>
      </c>
      <c r="C153" s="53" t="s">
        <v>1800</v>
      </c>
      <c r="D153" s="54">
        <v>41348</v>
      </c>
      <c r="E153" s="53">
        <v>40</v>
      </c>
      <c r="F153" s="53">
        <v>1879014</v>
      </c>
      <c r="G153" s="53">
        <v>1</v>
      </c>
    </row>
    <row r="154" spans="1:7">
      <c r="A154" s="53" t="s">
        <v>2253</v>
      </c>
      <c r="B154" s="53" t="s">
        <v>1799</v>
      </c>
      <c r="C154" s="53" t="s">
        <v>1800</v>
      </c>
      <c r="D154" s="54">
        <v>41349</v>
      </c>
      <c r="E154" s="53">
        <v>25</v>
      </c>
      <c r="F154" s="53">
        <v>1174384</v>
      </c>
      <c r="G154" s="53">
        <v>2</v>
      </c>
    </row>
    <row r="155" spans="1:7">
      <c r="A155" s="53" t="s">
        <v>2251</v>
      </c>
      <c r="B155" s="53" t="s">
        <v>1799</v>
      </c>
      <c r="C155" s="53" t="s">
        <v>1800</v>
      </c>
      <c r="D155" s="54">
        <v>41363</v>
      </c>
      <c r="E155" s="53">
        <v>15</v>
      </c>
      <c r="F155" s="53">
        <v>704630</v>
      </c>
      <c r="G155" s="53">
        <v>3</v>
      </c>
    </row>
    <row r="156" spans="1:7">
      <c r="A156" s="53" t="s">
        <v>2254</v>
      </c>
      <c r="B156" s="53" t="s">
        <v>1812</v>
      </c>
      <c r="C156" s="53" t="s">
        <v>1813</v>
      </c>
      <c r="D156" s="54">
        <v>41349</v>
      </c>
      <c r="E156" s="53">
        <v>42</v>
      </c>
      <c r="F156" s="53">
        <v>1972965</v>
      </c>
      <c r="G156" s="53">
        <v>1</v>
      </c>
    </row>
    <row r="157" spans="1:7">
      <c r="A157" s="53" t="s">
        <v>2255</v>
      </c>
      <c r="B157" s="53" t="s">
        <v>1812</v>
      </c>
      <c r="C157" s="53" t="s">
        <v>1813</v>
      </c>
      <c r="D157" s="54">
        <v>41349</v>
      </c>
      <c r="E157" s="53">
        <v>10</v>
      </c>
      <c r="F157" s="53">
        <v>469754</v>
      </c>
      <c r="G157" s="53">
        <v>2</v>
      </c>
    </row>
    <row r="158" spans="1:7">
      <c r="A158" s="53" t="s">
        <v>2256</v>
      </c>
      <c r="B158" s="53" t="s">
        <v>1814</v>
      </c>
      <c r="C158" s="53" t="s">
        <v>1815</v>
      </c>
      <c r="D158" s="54">
        <v>41352</v>
      </c>
      <c r="E158" s="53">
        <v>8</v>
      </c>
      <c r="F158" s="53">
        <v>375803</v>
      </c>
      <c r="G158" s="53">
        <v>1</v>
      </c>
    </row>
    <row r="159" spans="1:7">
      <c r="A159" s="53" t="s">
        <v>2257</v>
      </c>
      <c r="B159" s="53" t="s">
        <v>1814</v>
      </c>
      <c r="C159" s="53" t="s">
        <v>1815</v>
      </c>
      <c r="D159" s="54">
        <v>41352</v>
      </c>
      <c r="E159" s="53">
        <v>2</v>
      </c>
      <c r="F159" s="53">
        <v>93951</v>
      </c>
      <c r="G159" s="53">
        <v>2</v>
      </c>
    </row>
    <row r="160" spans="1:7">
      <c r="A160" s="53" t="s">
        <v>2258</v>
      </c>
      <c r="B160" s="53" t="s">
        <v>1819</v>
      </c>
      <c r="C160" s="53" t="s">
        <v>1820</v>
      </c>
      <c r="D160" s="54">
        <v>41359</v>
      </c>
      <c r="E160" s="53">
        <v>3</v>
      </c>
      <c r="F160" s="53">
        <v>140926</v>
      </c>
      <c r="G160" s="53">
        <v>1</v>
      </c>
    </row>
    <row r="161" spans="1:7">
      <c r="A161" s="53" t="s">
        <v>2259</v>
      </c>
      <c r="B161" s="53" t="s">
        <v>1831</v>
      </c>
      <c r="C161" s="53" t="s">
        <v>1832</v>
      </c>
      <c r="D161" s="54">
        <v>41348</v>
      </c>
      <c r="E161" s="53">
        <v>3</v>
      </c>
      <c r="F161" s="53">
        <v>140926</v>
      </c>
      <c r="G161" s="53">
        <v>1</v>
      </c>
    </row>
    <row r="162" spans="1:7">
      <c r="A162" s="53" t="s">
        <v>2260</v>
      </c>
      <c r="B162" s="53" t="s">
        <v>1840</v>
      </c>
      <c r="C162" s="53" t="s">
        <v>1841</v>
      </c>
      <c r="D162" s="54">
        <v>41354</v>
      </c>
      <c r="E162" s="53">
        <v>8</v>
      </c>
      <c r="F162" s="53">
        <v>375803</v>
      </c>
      <c r="G162" s="53">
        <v>1</v>
      </c>
    </row>
    <row r="163" spans="1:7">
      <c r="A163" s="53" t="s">
        <v>2261</v>
      </c>
      <c r="B163" s="53" t="s">
        <v>1843</v>
      </c>
      <c r="C163" s="53" t="s">
        <v>1844</v>
      </c>
      <c r="D163" s="54">
        <v>41349</v>
      </c>
      <c r="E163" s="53">
        <v>18</v>
      </c>
      <c r="F163" s="53">
        <v>845556</v>
      </c>
      <c r="G163" s="53">
        <v>1</v>
      </c>
    </row>
    <row r="164" spans="1:7">
      <c r="A164" s="53" t="s">
        <v>2262</v>
      </c>
      <c r="B164" s="53" t="s">
        <v>1851</v>
      </c>
      <c r="C164" s="53" t="s">
        <v>1852</v>
      </c>
      <c r="D164" s="54">
        <v>41358</v>
      </c>
      <c r="E164" s="53">
        <v>8</v>
      </c>
      <c r="F164" s="53">
        <v>375803</v>
      </c>
      <c r="G164" s="53">
        <v>1</v>
      </c>
    </row>
    <row r="165" spans="1:7">
      <c r="A165" s="53" t="s">
        <v>2263</v>
      </c>
      <c r="B165" s="53" t="s">
        <v>1853</v>
      </c>
      <c r="C165" s="53" t="s">
        <v>1854</v>
      </c>
      <c r="D165" s="54">
        <v>41352</v>
      </c>
      <c r="E165" s="53">
        <v>10</v>
      </c>
      <c r="F165" s="53">
        <v>469212</v>
      </c>
      <c r="G165" s="53">
        <v>1</v>
      </c>
    </row>
    <row r="166" spans="1:7">
      <c r="A166" s="53" t="s">
        <v>2264</v>
      </c>
      <c r="B166" s="53" t="s">
        <v>1862</v>
      </c>
      <c r="C166" s="53" t="s">
        <v>1863</v>
      </c>
      <c r="D166" s="54">
        <v>41347</v>
      </c>
      <c r="E166" s="53">
        <v>12</v>
      </c>
      <c r="F166" s="53">
        <v>562647</v>
      </c>
      <c r="G166" s="53">
        <v>1</v>
      </c>
    </row>
    <row r="167" spans="1:7">
      <c r="A167" s="53" t="s">
        <v>2265</v>
      </c>
      <c r="B167" s="53" t="s">
        <v>1862</v>
      </c>
      <c r="C167" s="53" t="s">
        <v>1863</v>
      </c>
      <c r="D167" s="54">
        <v>41351</v>
      </c>
      <c r="E167" s="53">
        <v>9</v>
      </c>
      <c r="F167" s="53">
        <v>422778</v>
      </c>
      <c r="G167" s="53">
        <v>2</v>
      </c>
    </row>
    <row r="168" spans="1:7">
      <c r="A168" s="53" t="s">
        <v>2266</v>
      </c>
      <c r="B168" s="53" t="s">
        <v>1862</v>
      </c>
      <c r="C168" s="53" t="s">
        <v>1863</v>
      </c>
      <c r="D168" s="54">
        <v>41358</v>
      </c>
      <c r="E168" s="53">
        <v>10</v>
      </c>
      <c r="F168" s="53">
        <v>469754</v>
      </c>
      <c r="G168" s="53">
        <v>3</v>
      </c>
    </row>
    <row r="169" spans="1:7">
      <c r="A169" s="53" t="s">
        <v>2267</v>
      </c>
      <c r="B169" s="53" t="s">
        <v>1865</v>
      </c>
      <c r="C169" s="53" t="s">
        <v>1866</v>
      </c>
      <c r="D169" s="54">
        <v>41348</v>
      </c>
      <c r="E169" s="53">
        <v>2</v>
      </c>
      <c r="F169" s="53">
        <v>93951</v>
      </c>
      <c r="G169" s="53">
        <v>1</v>
      </c>
    </row>
    <row r="170" spans="1:7">
      <c r="A170" s="53" t="s">
        <v>2268</v>
      </c>
      <c r="B170" s="53" t="s">
        <v>1869</v>
      </c>
      <c r="C170" s="53" t="s">
        <v>1870</v>
      </c>
      <c r="D170" s="54">
        <v>41347</v>
      </c>
      <c r="E170" s="53">
        <v>18</v>
      </c>
      <c r="F170" s="53">
        <v>845556</v>
      </c>
      <c r="G170" s="53">
        <v>1</v>
      </c>
    </row>
    <row r="171" spans="1:7">
      <c r="A171" s="53" t="s">
        <v>2269</v>
      </c>
      <c r="B171" s="53" t="s">
        <v>1869</v>
      </c>
      <c r="C171" s="53" t="s">
        <v>1870</v>
      </c>
      <c r="D171" s="54">
        <v>41349</v>
      </c>
      <c r="E171" s="53">
        <v>5</v>
      </c>
      <c r="F171" s="53">
        <v>234877</v>
      </c>
      <c r="G171" s="53">
        <v>2</v>
      </c>
    </row>
    <row r="172" spans="1:7">
      <c r="A172" s="53" t="s">
        <v>2270</v>
      </c>
      <c r="B172" s="53" t="s">
        <v>1869</v>
      </c>
      <c r="C172" s="53" t="s">
        <v>1870</v>
      </c>
      <c r="D172" s="54">
        <v>41363</v>
      </c>
      <c r="E172" s="53">
        <v>18</v>
      </c>
      <c r="F172" s="53">
        <v>845556</v>
      </c>
      <c r="G172" s="53">
        <v>3</v>
      </c>
    </row>
    <row r="173" spans="1:7">
      <c r="A173" s="53" t="s">
        <v>2271</v>
      </c>
      <c r="B173" s="53" t="s">
        <v>1878</v>
      </c>
      <c r="C173" s="53" t="s">
        <v>1879</v>
      </c>
      <c r="D173" s="54">
        <v>41363</v>
      </c>
      <c r="E173" s="53">
        <v>7</v>
      </c>
      <c r="F173" s="53">
        <v>328827</v>
      </c>
      <c r="G173" s="53">
        <v>1</v>
      </c>
    </row>
    <row r="174" spans="1:7">
      <c r="A174" s="53" t="s">
        <v>2272</v>
      </c>
      <c r="B174" s="53" t="s">
        <v>1883</v>
      </c>
      <c r="C174" s="53" t="s">
        <v>1884</v>
      </c>
      <c r="D174" s="54">
        <v>41347</v>
      </c>
      <c r="E174" s="53">
        <v>40</v>
      </c>
      <c r="F174" s="53">
        <v>1879014</v>
      </c>
      <c r="G174" s="53">
        <v>1</v>
      </c>
    </row>
    <row r="175" spans="1:7">
      <c r="A175" s="53" t="s">
        <v>2273</v>
      </c>
      <c r="B175" s="53" t="s">
        <v>1903</v>
      </c>
      <c r="C175" s="53" t="s">
        <v>1904</v>
      </c>
      <c r="D175" s="54">
        <v>41363</v>
      </c>
      <c r="E175" s="53">
        <v>1</v>
      </c>
      <c r="F175" s="53">
        <v>46975</v>
      </c>
      <c r="G175" s="53">
        <v>1</v>
      </c>
    </row>
    <row r="176" spans="1:7">
      <c r="A176" s="53" t="s">
        <v>2274</v>
      </c>
      <c r="B176" s="53" t="s">
        <v>1903</v>
      </c>
      <c r="C176" s="53" t="s">
        <v>1904</v>
      </c>
      <c r="D176" s="54">
        <v>41363</v>
      </c>
      <c r="E176" s="53">
        <v>1</v>
      </c>
      <c r="F176" s="53">
        <v>46975</v>
      </c>
      <c r="G176" s="53">
        <v>2</v>
      </c>
    </row>
    <row r="177" spans="1:7">
      <c r="A177" s="53" t="s">
        <v>2276</v>
      </c>
      <c r="B177" s="53" t="s">
        <v>22</v>
      </c>
      <c r="C177" s="53" t="s">
        <v>23</v>
      </c>
      <c r="D177" s="54">
        <v>41349</v>
      </c>
      <c r="E177" s="53">
        <v>15</v>
      </c>
      <c r="F177" s="53">
        <v>704630</v>
      </c>
      <c r="G177" s="53">
        <v>1</v>
      </c>
    </row>
    <row r="178" spans="1:7">
      <c r="A178" s="53" t="s">
        <v>2277</v>
      </c>
      <c r="B178" s="53" t="s">
        <v>22</v>
      </c>
      <c r="C178" s="53" t="s">
        <v>23</v>
      </c>
      <c r="D178" s="54">
        <v>41359</v>
      </c>
      <c r="E178" s="53">
        <v>12</v>
      </c>
      <c r="F178" s="53">
        <v>561432</v>
      </c>
      <c r="G178" s="53">
        <v>2</v>
      </c>
    </row>
    <row r="179" spans="1:7">
      <c r="A179" s="53" t="s">
        <v>2275</v>
      </c>
      <c r="B179" s="53" t="s">
        <v>22</v>
      </c>
      <c r="C179" s="53" t="s">
        <v>23</v>
      </c>
      <c r="D179" s="54">
        <v>41363</v>
      </c>
      <c r="E179" s="53">
        <v>9</v>
      </c>
      <c r="F179" s="53">
        <v>422778</v>
      </c>
      <c r="G179" s="53">
        <v>3</v>
      </c>
    </row>
    <row r="180" spans="1:7">
      <c r="A180" s="53" t="s">
        <v>2278</v>
      </c>
      <c r="B180" s="53" t="s">
        <v>29</v>
      </c>
      <c r="C180" s="53" t="s">
        <v>30</v>
      </c>
      <c r="D180" s="54">
        <v>41348</v>
      </c>
      <c r="E180" s="53">
        <v>20</v>
      </c>
      <c r="F180" s="53">
        <v>939271</v>
      </c>
      <c r="G180" s="53">
        <v>1</v>
      </c>
    </row>
    <row r="181" spans="1:7">
      <c r="A181" s="53" t="s">
        <v>2279</v>
      </c>
      <c r="B181" s="53" t="s">
        <v>31</v>
      </c>
      <c r="C181" s="53" t="s">
        <v>32</v>
      </c>
      <c r="D181" s="54">
        <v>41348</v>
      </c>
      <c r="E181" s="53">
        <v>20</v>
      </c>
      <c r="F181" s="53">
        <v>938653</v>
      </c>
      <c r="G181" s="53">
        <v>1</v>
      </c>
    </row>
    <row r="182" spans="1:7">
      <c r="A182" s="53" t="s">
        <v>2280</v>
      </c>
      <c r="B182" s="53" t="s">
        <v>31</v>
      </c>
      <c r="C182" s="53" t="s">
        <v>32</v>
      </c>
      <c r="D182" s="54">
        <v>41353</v>
      </c>
      <c r="E182" s="53">
        <v>10</v>
      </c>
      <c r="F182" s="53">
        <v>469754</v>
      </c>
      <c r="G182" s="53">
        <v>2</v>
      </c>
    </row>
    <row r="183" spans="1:7">
      <c r="A183" s="53" t="s">
        <v>2281</v>
      </c>
      <c r="B183" s="53" t="s">
        <v>39</v>
      </c>
      <c r="C183" s="53" t="s">
        <v>40</v>
      </c>
      <c r="D183" s="54">
        <v>41349</v>
      </c>
      <c r="E183" s="53">
        <v>3</v>
      </c>
      <c r="F183" s="53">
        <v>140926</v>
      </c>
      <c r="G183" s="53">
        <v>1</v>
      </c>
    </row>
    <row r="184" spans="1:7">
      <c r="A184" s="53" t="s">
        <v>2282</v>
      </c>
      <c r="B184" s="53" t="s">
        <v>63</v>
      </c>
      <c r="C184" s="53" t="s">
        <v>64</v>
      </c>
      <c r="D184" s="54">
        <v>41349</v>
      </c>
      <c r="E184" s="53">
        <v>3</v>
      </c>
      <c r="F184" s="53">
        <v>140926</v>
      </c>
      <c r="G184" s="53">
        <v>1</v>
      </c>
    </row>
    <row r="185" spans="1:7">
      <c r="A185" s="53" t="s">
        <v>2283</v>
      </c>
      <c r="B185" s="53" t="s">
        <v>65</v>
      </c>
      <c r="C185" s="53" t="s">
        <v>66</v>
      </c>
      <c r="D185" s="54">
        <v>41349</v>
      </c>
      <c r="E185" s="53">
        <v>5</v>
      </c>
      <c r="F185" s="53">
        <v>234877</v>
      </c>
      <c r="G185" s="53">
        <v>1</v>
      </c>
    </row>
    <row r="186" spans="1:7">
      <c r="A186" s="53" t="s">
        <v>2284</v>
      </c>
      <c r="B186" s="53" t="s">
        <v>79</v>
      </c>
      <c r="C186" s="53" t="s">
        <v>80</v>
      </c>
      <c r="D186" s="54">
        <v>41349</v>
      </c>
      <c r="E186" s="53">
        <v>20</v>
      </c>
      <c r="F186" s="53">
        <v>939507</v>
      </c>
      <c r="G186" s="53">
        <v>1</v>
      </c>
    </row>
    <row r="187" spans="1:7">
      <c r="A187" s="53" t="s">
        <v>2285</v>
      </c>
      <c r="B187" s="53" t="s">
        <v>81</v>
      </c>
      <c r="C187" s="53" t="s">
        <v>82</v>
      </c>
      <c r="D187" s="54">
        <v>41344</v>
      </c>
      <c r="E187" s="53">
        <v>10</v>
      </c>
      <c r="F187" s="53">
        <v>468011</v>
      </c>
      <c r="G187" s="53">
        <v>1</v>
      </c>
    </row>
    <row r="188" spans="1:7">
      <c r="A188" s="53" t="s">
        <v>2286</v>
      </c>
      <c r="B188" s="53" t="s">
        <v>81</v>
      </c>
      <c r="C188" s="53" t="s">
        <v>82</v>
      </c>
      <c r="D188" s="54">
        <v>41352</v>
      </c>
      <c r="E188" s="53">
        <v>10</v>
      </c>
      <c r="F188" s="53">
        <v>469754</v>
      </c>
      <c r="G188" s="53">
        <v>2</v>
      </c>
    </row>
    <row r="189" spans="1:7">
      <c r="A189" s="53" t="s">
        <v>2287</v>
      </c>
      <c r="B189" s="53" t="s">
        <v>81</v>
      </c>
      <c r="C189" s="53" t="s">
        <v>82</v>
      </c>
      <c r="D189" s="54">
        <v>41363</v>
      </c>
      <c r="E189" s="53">
        <v>16</v>
      </c>
      <c r="F189" s="53">
        <v>751606</v>
      </c>
      <c r="G189" s="53">
        <v>3</v>
      </c>
    </row>
    <row r="190" spans="1:7">
      <c r="A190" s="53" t="s">
        <v>2288</v>
      </c>
      <c r="B190" s="53" t="s">
        <v>94</v>
      </c>
      <c r="C190" s="53" t="s">
        <v>95</v>
      </c>
      <c r="D190" s="54">
        <v>41350</v>
      </c>
      <c r="E190" s="53">
        <v>12</v>
      </c>
      <c r="F190" s="53">
        <v>563705</v>
      </c>
      <c r="G190" s="53">
        <v>1</v>
      </c>
    </row>
    <row r="191" spans="1:7">
      <c r="A191" s="53" t="s">
        <v>2289</v>
      </c>
      <c r="B191" s="53" t="s">
        <v>94</v>
      </c>
      <c r="C191" s="53" t="s">
        <v>95</v>
      </c>
      <c r="D191" s="54">
        <v>41358</v>
      </c>
      <c r="E191" s="53">
        <v>16</v>
      </c>
      <c r="F191" s="53">
        <v>747240</v>
      </c>
      <c r="G191" s="53">
        <v>2</v>
      </c>
    </row>
    <row r="192" spans="1:7">
      <c r="A192" s="53" t="s">
        <v>2290</v>
      </c>
      <c r="B192" s="53" t="s">
        <v>94</v>
      </c>
      <c r="C192" s="53" t="s">
        <v>95</v>
      </c>
      <c r="D192" s="54">
        <v>41358</v>
      </c>
      <c r="E192" s="53">
        <v>1</v>
      </c>
      <c r="F192" s="53">
        <v>46975</v>
      </c>
      <c r="G192" s="53">
        <v>3</v>
      </c>
    </row>
    <row r="193" spans="1:7">
      <c r="A193" s="53" t="s">
        <v>2291</v>
      </c>
      <c r="B193" s="53" t="s">
        <v>94</v>
      </c>
      <c r="C193" s="53" t="s">
        <v>95</v>
      </c>
      <c r="D193" s="54">
        <v>41363</v>
      </c>
      <c r="E193" s="53">
        <v>20</v>
      </c>
      <c r="F193" s="53">
        <v>939507</v>
      </c>
      <c r="G193" s="53">
        <v>4</v>
      </c>
    </row>
    <row r="194" spans="1:7">
      <c r="A194" s="53" t="s">
        <v>2293</v>
      </c>
      <c r="B194" s="53" t="s">
        <v>107</v>
      </c>
      <c r="C194" s="53" t="s">
        <v>108</v>
      </c>
      <c r="D194" s="54">
        <v>41348</v>
      </c>
      <c r="E194" s="53">
        <v>5</v>
      </c>
      <c r="F194" s="53">
        <v>234877</v>
      </c>
      <c r="G194" s="53">
        <v>1</v>
      </c>
    </row>
    <row r="195" spans="1:7">
      <c r="A195" s="53" t="s">
        <v>2292</v>
      </c>
      <c r="B195" s="53" t="s">
        <v>107</v>
      </c>
      <c r="C195" s="53" t="s">
        <v>108</v>
      </c>
      <c r="D195" s="54">
        <v>41361</v>
      </c>
      <c r="E195" s="53">
        <v>10</v>
      </c>
      <c r="F195" s="53">
        <v>469754</v>
      </c>
      <c r="G195" s="53">
        <v>2</v>
      </c>
    </row>
    <row r="196" spans="1:7">
      <c r="A196" s="53" t="s">
        <v>2294</v>
      </c>
      <c r="B196" s="53" t="s">
        <v>121</v>
      </c>
      <c r="C196" s="53" t="s">
        <v>122</v>
      </c>
      <c r="D196" s="54">
        <v>41348</v>
      </c>
      <c r="E196" s="53">
        <v>2</v>
      </c>
      <c r="F196" s="53">
        <v>91989</v>
      </c>
      <c r="G196" s="53">
        <v>1</v>
      </c>
    </row>
    <row r="197" spans="1:7">
      <c r="A197" s="53" t="s">
        <v>2295</v>
      </c>
      <c r="B197" s="53" t="s">
        <v>121</v>
      </c>
      <c r="C197" s="53" t="s">
        <v>122</v>
      </c>
      <c r="D197" s="54">
        <v>41351</v>
      </c>
      <c r="E197" s="53">
        <v>4</v>
      </c>
      <c r="F197" s="53">
        <v>187901</v>
      </c>
      <c r="G197" s="53">
        <v>2</v>
      </c>
    </row>
    <row r="198" spans="1:7">
      <c r="A198" s="53" t="s">
        <v>2296</v>
      </c>
      <c r="B198" s="53" t="s">
        <v>121</v>
      </c>
      <c r="C198" s="53" t="s">
        <v>122</v>
      </c>
      <c r="D198" s="54">
        <v>41360</v>
      </c>
      <c r="E198" s="53">
        <v>17</v>
      </c>
      <c r="F198" s="53">
        <v>798581</v>
      </c>
      <c r="G198" s="53">
        <v>3</v>
      </c>
    </row>
    <row r="199" spans="1:7">
      <c r="A199" s="53" t="s">
        <v>2297</v>
      </c>
      <c r="B199" s="53" t="s">
        <v>123</v>
      </c>
      <c r="C199" s="53" t="s">
        <v>124</v>
      </c>
      <c r="D199" s="54">
        <v>41358</v>
      </c>
      <c r="E199" s="53">
        <v>7</v>
      </c>
      <c r="F199" s="53">
        <v>328282</v>
      </c>
      <c r="G199" s="53">
        <v>1</v>
      </c>
    </row>
    <row r="200" spans="1:7">
      <c r="A200" s="53" t="s">
        <v>2298</v>
      </c>
      <c r="B200" s="53" t="s">
        <v>123</v>
      </c>
      <c r="C200" s="53" t="s">
        <v>124</v>
      </c>
      <c r="D200" s="54">
        <v>41358</v>
      </c>
      <c r="E200" s="53">
        <v>1</v>
      </c>
      <c r="F200" s="53">
        <v>46975</v>
      </c>
      <c r="G200" s="53">
        <v>2</v>
      </c>
    </row>
    <row r="201" spans="1:7">
      <c r="A201" s="53" t="s">
        <v>2301</v>
      </c>
      <c r="B201" s="53" t="s">
        <v>129</v>
      </c>
      <c r="C201" s="53" t="s">
        <v>130</v>
      </c>
      <c r="D201" s="54">
        <v>41352</v>
      </c>
      <c r="E201" s="53">
        <v>17</v>
      </c>
      <c r="F201" s="53">
        <v>798581</v>
      </c>
      <c r="G201" s="53">
        <v>1</v>
      </c>
    </row>
    <row r="202" spans="1:7">
      <c r="A202" s="53" t="s">
        <v>2302</v>
      </c>
      <c r="B202" s="53" t="s">
        <v>129</v>
      </c>
      <c r="C202" s="53" t="s">
        <v>130</v>
      </c>
      <c r="D202" s="54">
        <v>41352</v>
      </c>
      <c r="E202" s="53">
        <v>3</v>
      </c>
      <c r="F202" s="53">
        <v>140926</v>
      </c>
      <c r="G202" s="53">
        <v>2</v>
      </c>
    </row>
    <row r="203" spans="1:7">
      <c r="A203" s="53" t="s">
        <v>2299</v>
      </c>
      <c r="B203" s="53" t="s">
        <v>129</v>
      </c>
      <c r="C203" s="53" t="s">
        <v>130</v>
      </c>
      <c r="D203" s="54">
        <v>41355</v>
      </c>
      <c r="E203" s="53">
        <v>7</v>
      </c>
      <c r="F203" s="53">
        <v>328828</v>
      </c>
      <c r="G203" s="53">
        <v>3</v>
      </c>
    </row>
    <row r="204" spans="1:7">
      <c r="A204" s="53" t="s">
        <v>2303</v>
      </c>
      <c r="B204" s="53" t="s">
        <v>129</v>
      </c>
      <c r="C204" s="53" t="s">
        <v>130</v>
      </c>
      <c r="D204" s="54">
        <v>41359</v>
      </c>
      <c r="E204" s="53">
        <v>20</v>
      </c>
      <c r="F204" s="53">
        <v>939507</v>
      </c>
      <c r="G204" s="53">
        <v>4</v>
      </c>
    </row>
    <row r="205" spans="1:7">
      <c r="A205" s="53" t="s">
        <v>2300</v>
      </c>
      <c r="B205" s="53" t="s">
        <v>129</v>
      </c>
      <c r="C205" s="53" t="s">
        <v>130</v>
      </c>
      <c r="D205" s="54">
        <v>41360</v>
      </c>
      <c r="E205" s="53">
        <v>12</v>
      </c>
      <c r="F205" s="53">
        <v>563704</v>
      </c>
      <c r="G205" s="53">
        <v>5</v>
      </c>
    </row>
    <row r="206" spans="1:7">
      <c r="A206" s="53" t="s">
        <v>2304</v>
      </c>
      <c r="B206" s="53" t="s">
        <v>155</v>
      </c>
      <c r="C206" s="53" t="s">
        <v>156</v>
      </c>
      <c r="D206" s="54">
        <v>41363</v>
      </c>
      <c r="E206" s="53">
        <v>5</v>
      </c>
      <c r="F206" s="53">
        <v>234877</v>
      </c>
      <c r="G206" s="53">
        <v>1</v>
      </c>
    </row>
    <row r="207" spans="1:7">
      <c r="A207" s="53" t="s">
        <v>2305</v>
      </c>
      <c r="B207" s="53" t="s">
        <v>173</v>
      </c>
      <c r="C207" s="53" t="s">
        <v>174</v>
      </c>
      <c r="D207" s="54">
        <v>41349</v>
      </c>
      <c r="E207" s="53">
        <v>15</v>
      </c>
      <c r="F207" s="53">
        <v>704630</v>
      </c>
      <c r="G207" s="53">
        <v>1</v>
      </c>
    </row>
    <row r="208" spans="1:7">
      <c r="A208" s="53" t="s">
        <v>2306</v>
      </c>
      <c r="B208" s="53" t="s">
        <v>177</v>
      </c>
      <c r="C208" s="53" t="s">
        <v>178</v>
      </c>
      <c r="D208" s="54">
        <v>41340</v>
      </c>
      <c r="E208" s="53">
        <v>10</v>
      </c>
      <c r="F208" s="53">
        <v>469278</v>
      </c>
      <c r="G208" s="53">
        <v>1</v>
      </c>
    </row>
    <row r="209" spans="1:7">
      <c r="A209" s="53" t="s">
        <v>2307</v>
      </c>
      <c r="B209" s="53" t="s">
        <v>177</v>
      </c>
      <c r="C209" s="53" t="s">
        <v>178</v>
      </c>
      <c r="D209" s="54">
        <v>41351</v>
      </c>
      <c r="E209" s="53">
        <v>8</v>
      </c>
      <c r="F209" s="53">
        <v>375802.88</v>
      </c>
      <c r="G209" s="53">
        <v>2</v>
      </c>
    </row>
    <row r="210" spans="1:7">
      <c r="A210" s="53" t="s">
        <v>2308</v>
      </c>
      <c r="B210" s="53" t="s">
        <v>182</v>
      </c>
      <c r="C210" s="53" t="s">
        <v>183</v>
      </c>
      <c r="D210" s="54">
        <v>41354</v>
      </c>
      <c r="E210" s="53">
        <v>6</v>
      </c>
      <c r="F210" s="53">
        <v>281852</v>
      </c>
      <c r="G210" s="53">
        <v>1</v>
      </c>
    </row>
    <row r="211" spans="1:7">
      <c r="A211" s="53" t="s">
        <v>2309</v>
      </c>
      <c r="B211" s="53" t="s">
        <v>201</v>
      </c>
      <c r="C211" s="53" t="s">
        <v>202</v>
      </c>
      <c r="D211" s="54">
        <v>41345</v>
      </c>
      <c r="E211" s="53">
        <v>24</v>
      </c>
      <c r="F211" s="53">
        <v>1124417</v>
      </c>
      <c r="G211" s="53">
        <v>1</v>
      </c>
    </row>
    <row r="212" spans="1:7">
      <c r="A212" s="53" t="s">
        <v>2310</v>
      </c>
      <c r="B212" s="53" t="s">
        <v>201</v>
      </c>
      <c r="C212" s="53" t="s">
        <v>202</v>
      </c>
      <c r="D212" s="54">
        <v>41345</v>
      </c>
      <c r="E212" s="53">
        <v>1</v>
      </c>
      <c r="F212" s="53">
        <v>46975</v>
      </c>
      <c r="G212" s="53">
        <v>2</v>
      </c>
    </row>
    <row r="213" spans="1:7">
      <c r="A213" s="53" t="s">
        <v>2311</v>
      </c>
      <c r="B213" s="53" t="s">
        <v>201</v>
      </c>
      <c r="C213" s="53" t="s">
        <v>202</v>
      </c>
      <c r="D213" s="54">
        <v>41360</v>
      </c>
      <c r="E213" s="53">
        <v>40</v>
      </c>
      <c r="F213" s="53">
        <v>1879015</v>
      </c>
      <c r="G213" s="53">
        <v>3</v>
      </c>
    </row>
    <row r="214" spans="1:7">
      <c r="A214" s="53" t="s">
        <v>2313</v>
      </c>
      <c r="B214" s="53" t="s">
        <v>207</v>
      </c>
      <c r="C214" s="53" t="s">
        <v>208</v>
      </c>
      <c r="D214" s="54">
        <v>41348</v>
      </c>
      <c r="E214" s="53">
        <v>10</v>
      </c>
      <c r="F214" s="53">
        <v>468354</v>
      </c>
      <c r="G214" s="53">
        <v>1</v>
      </c>
    </row>
    <row r="215" spans="1:7">
      <c r="A215" s="53" t="s">
        <v>2314</v>
      </c>
      <c r="B215" s="53" t="s">
        <v>207</v>
      </c>
      <c r="C215" s="53" t="s">
        <v>208</v>
      </c>
      <c r="D215" s="54">
        <v>41361</v>
      </c>
      <c r="E215" s="53">
        <v>8</v>
      </c>
      <c r="F215" s="53">
        <v>375803</v>
      </c>
      <c r="G215" s="53">
        <v>2</v>
      </c>
    </row>
    <row r="216" spans="1:7">
      <c r="A216" s="53" t="s">
        <v>2312</v>
      </c>
      <c r="B216" s="53" t="s">
        <v>207</v>
      </c>
      <c r="C216" s="53" t="s">
        <v>208</v>
      </c>
      <c r="D216" s="54">
        <v>41362</v>
      </c>
      <c r="E216" s="53">
        <v>10</v>
      </c>
      <c r="F216" s="53">
        <v>469754</v>
      </c>
      <c r="G216" s="53">
        <v>3</v>
      </c>
    </row>
    <row r="217" spans="1:7">
      <c r="A217" s="53" t="s">
        <v>2315</v>
      </c>
      <c r="B217" s="53" t="s">
        <v>211</v>
      </c>
      <c r="C217" s="53" t="s">
        <v>212</v>
      </c>
      <c r="D217" s="54">
        <v>41360</v>
      </c>
      <c r="E217" s="53">
        <v>6</v>
      </c>
      <c r="F217" s="53">
        <v>281036</v>
      </c>
      <c r="G217" s="53">
        <v>1</v>
      </c>
    </row>
    <row r="218" spans="1:7">
      <c r="A218" s="53" t="s">
        <v>2316</v>
      </c>
      <c r="B218" s="53" t="s">
        <v>213</v>
      </c>
      <c r="C218" s="53" t="s">
        <v>214</v>
      </c>
      <c r="D218" s="54">
        <v>41361</v>
      </c>
      <c r="E218" s="53">
        <v>7</v>
      </c>
      <c r="F218" s="53">
        <v>328828</v>
      </c>
      <c r="G218" s="53">
        <v>1</v>
      </c>
    </row>
    <row r="219" spans="1:7">
      <c r="A219" s="53" t="s">
        <v>2317</v>
      </c>
      <c r="B219" s="53" t="s">
        <v>213</v>
      </c>
      <c r="C219" s="53" t="s">
        <v>214</v>
      </c>
      <c r="D219" s="54">
        <v>41361</v>
      </c>
      <c r="E219" s="53">
        <v>3</v>
      </c>
      <c r="F219" s="53">
        <v>140926</v>
      </c>
      <c r="G219" s="53">
        <v>2</v>
      </c>
    </row>
    <row r="220" spans="1:7">
      <c r="A220" s="53" t="s">
        <v>2318</v>
      </c>
      <c r="B220" s="53" t="s">
        <v>215</v>
      </c>
      <c r="C220" s="53" t="s">
        <v>216</v>
      </c>
      <c r="D220" s="54">
        <v>41351</v>
      </c>
      <c r="E220" s="53">
        <v>8</v>
      </c>
      <c r="F220" s="53">
        <v>375803</v>
      </c>
      <c r="G220" s="53">
        <v>1</v>
      </c>
    </row>
    <row r="221" spans="1:7">
      <c r="A221" s="53" t="s">
        <v>2319</v>
      </c>
      <c r="B221" s="53" t="s">
        <v>215</v>
      </c>
      <c r="C221" s="53" t="s">
        <v>216</v>
      </c>
      <c r="D221" s="54">
        <v>41358</v>
      </c>
      <c r="E221" s="53">
        <v>5</v>
      </c>
      <c r="F221" s="53">
        <v>234877</v>
      </c>
      <c r="G221" s="53">
        <v>2</v>
      </c>
    </row>
    <row r="222" spans="1:7">
      <c r="A222" s="53" t="s">
        <v>2320</v>
      </c>
      <c r="B222" s="53" t="s">
        <v>217</v>
      </c>
      <c r="C222" s="53" t="s">
        <v>218</v>
      </c>
      <c r="D222" s="54">
        <v>41359</v>
      </c>
      <c r="E222" s="53">
        <v>3</v>
      </c>
      <c r="F222" s="53">
        <v>140926</v>
      </c>
      <c r="G222" s="53">
        <v>1</v>
      </c>
    </row>
    <row r="223" spans="1:7">
      <c r="A223" s="53" t="s">
        <v>2321</v>
      </c>
      <c r="B223" s="53" t="s">
        <v>219</v>
      </c>
      <c r="C223" s="53" t="s">
        <v>220</v>
      </c>
      <c r="D223" s="54">
        <v>41361</v>
      </c>
      <c r="E223" s="53">
        <v>65</v>
      </c>
      <c r="F223" s="53">
        <v>3053398</v>
      </c>
      <c r="G223" s="53">
        <v>1</v>
      </c>
    </row>
    <row r="224" spans="1:7">
      <c r="A224" s="53" t="s">
        <v>2322</v>
      </c>
      <c r="B224" s="53" t="s">
        <v>221</v>
      </c>
      <c r="C224" s="53" t="s">
        <v>222</v>
      </c>
      <c r="D224" s="54">
        <v>41346</v>
      </c>
      <c r="E224" s="53">
        <v>14</v>
      </c>
      <c r="F224" s="53">
        <v>657655</v>
      </c>
      <c r="G224" s="53">
        <v>1</v>
      </c>
    </row>
    <row r="225" spans="1:7">
      <c r="A225" s="53" t="s">
        <v>2323</v>
      </c>
      <c r="B225" s="53" t="s">
        <v>223</v>
      </c>
      <c r="C225" s="53" t="s">
        <v>224</v>
      </c>
      <c r="D225" s="54">
        <v>41346</v>
      </c>
      <c r="E225" s="53">
        <v>27</v>
      </c>
      <c r="F225" s="53">
        <v>1268335</v>
      </c>
      <c r="G225" s="53">
        <v>1</v>
      </c>
    </row>
    <row r="226" spans="1:7">
      <c r="A226" s="53" t="s">
        <v>2324</v>
      </c>
      <c r="B226" s="53" t="s">
        <v>233</v>
      </c>
      <c r="C226" s="53" t="s">
        <v>234</v>
      </c>
      <c r="D226" s="54">
        <v>41352</v>
      </c>
      <c r="E226" s="53">
        <v>8</v>
      </c>
      <c r="F226" s="53">
        <v>375803</v>
      </c>
      <c r="G226" s="53">
        <v>1</v>
      </c>
    </row>
    <row r="227" spans="1:7">
      <c r="A227" s="53" t="s">
        <v>2325</v>
      </c>
      <c r="B227" s="53" t="s">
        <v>237</v>
      </c>
      <c r="C227" s="53" t="s">
        <v>238</v>
      </c>
      <c r="D227" s="54">
        <v>41352</v>
      </c>
      <c r="E227" s="53">
        <v>10</v>
      </c>
      <c r="F227" s="53">
        <v>469754</v>
      </c>
      <c r="G227" s="53">
        <v>1</v>
      </c>
    </row>
    <row r="228" spans="1:7">
      <c r="A228" s="53" t="s">
        <v>2326</v>
      </c>
      <c r="B228" s="53" t="s">
        <v>264</v>
      </c>
      <c r="C228" s="53" t="s">
        <v>265</v>
      </c>
      <c r="D228" s="54">
        <v>41354</v>
      </c>
      <c r="E228" s="53">
        <v>3</v>
      </c>
      <c r="F228" s="53">
        <v>140926</v>
      </c>
      <c r="G228" s="53">
        <v>1</v>
      </c>
    </row>
    <row r="229" spans="1:7">
      <c r="A229" s="53" t="s">
        <v>2327</v>
      </c>
      <c r="B229" s="53" t="s">
        <v>268</v>
      </c>
      <c r="C229" s="53" t="s">
        <v>269</v>
      </c>
      <c r="D229" s="54">
        <v>41354</v>
      </c>
      <c r="E229" s="53">
        <v>16</v>
      </c>
      <c r="F229" s="53">
        <v>751606</v>
      </c>
      <c r="G229" s="53">
        <v>1</v>
      </c>
    </row>
    <row r="230" spans="1:7">
      <c r="A230" s="53" t="s">
        <v>2328</v>
      </c>
      <c r="B230" s="53" t="s">
        <v>270</v>
      </c>
      <c r="C230" s="53" t="s">
        <v>271</v>
      </c>
      <c r="D230" s="54">
        <v>41349</v>
      </c>
      <c r="E230" s="53">
        <v>3</v>
      </c>
      <c r="F230" s="53">
        <v>140926</v>
      </c>
      <c r="G230" s="53">
        <v>1</v>
      </c>
    </row>
    <row r="231" spans="1:7">
      <c r="A231" s="53" t="s">
        <v>2329</v>
      </c>
      <c r="B231" s="53" t="s">
        <v>272</v>
      </c>
      <c r="C231" s="53" t="s">
        <v>273</v>
      </c>
      <c r="D231" s="54">
        <v>41348</v>
      </c>
      <c r="E231" s="53">
        <v>20</v>
      </c>
      <c r="F231" s="53">
        <v>936648</v>
      </c>
      <c r="G231" s="53">
        <v>1</v>
      </c>
    </row>
    <row r="232" spans="1:7">
      <c r="A232" s="53" t="s">
        <v>2330</v>
      </c>
      <c r="B232" s="53" t="s">
        <v>284</v>
      </c>
      <c r="C232" s="53" t="s">
        <v>285</v>
      </c>
      <c r="D232" s="54">
        <v>41344</v>
      </c>
      <c r="E232" s="53">
        <v>19</v>
      </c>
      <c r="F232" s="53">
        <v>869857</v>
      </c>
      <c r="G232" s="53">
        <v>1</v>
      </c>
    </row>
    <row r="233" spans="1:7">
      <c r="A233" s="53" t="s">
        <v>2331</v>
      </c>
      <c r="B233" s="53" t="s">
        <v>284</v>
      </c>
      <c r="C233" s="53" t="s">
        <v>285</v>
      </c>
      <c r="D233" s="54">
        <v>41344</v>
      </c>
      <c r="E233" s="53">
        <v>1</v>
      </c>
      <c r="F233" s="53">
        <v>46975</v>
      </c>
      <c r="G233" s="53">
        <v>2</v>
      </c>
    </row>
    <row r="234" spans="1:7">
      <c r="A234" s="53" t="s">
        <v>2332</v>
      </c>
      <c r="B234" s="53" t="s">
        <v>284</v>
      </c>
      <c r="C234" s="53" t="s">
        <v>285</v>
      </c>
      <c r="D234" s="54">
        <v>41363</v>
      </c>
      <c r="E234" s="53">
        <v>20</v>
      </c>
      <c r="F234" s="53">
        <v>939507</v>
      </c>
      <c r="G234" s="53">
        <v>3</v>
      </c>
    </row>
    <row r="235" spans="1:7">
      <c r="A235" s="53" t="s">
        <v>2333</v>
      </c>
      <c r="B235" s="53" t="s">
        <v>286</v>
      </c>
      <c r="C235" s="53" t="s">
        <v>287</v>
      </c>
      <c r="D235" s="54">
        <v>41351</v>
      </c>
      <c r="E235" s="53">
        <v>2</v>
      </c>
      <c r="F235" s="53">
        <v>93951</v>
      </c>
      <c r="G235" s="53">
        <v>1</v>
      </c>
    </row>
    <row r="236" spans="1:7">
      <c r="A236" s="53" t="s">
        <v>2334</v>
      </c>
      <c r="B236" s="53" t="s">
        <v>286</v>
      </c>
      <c r="C236" s="53" t="s">
        <v>287</v>
      </c>
      <c r="D236" s="54">
        <v>41360</v>
      </c>
      <c r="E236" s="53">
        <v>7</v>
      </c>
      <c r="F236" s="53">
        <v>328828</v>
      </c>
      <c r="G236" s="53">
        <v>2</v>
      </c>
    </row>
    <row r="237" spans="1:7">
      <c r="A237" s="53" t="s">
        <v>2335</v>
      </c>
      <c r="B237" s="53" t="s">
        <v>292</v>
      </c>
      <c r="C237" s="53" t="s">
        <v>293</v>
      </c>
      <c r="D237" s="54">
        <v>41347</v>
      </c>
      <c r="E237" s="53">
        <v>12</v>
      </c>
      <c r="F237" s="53">
        <v>563223</v>
      </c>
      <c r="G237" s="53">
        <v>1</v>
      </c>
    </row>
    <row r="238" spans="1:7">
      <c r="A238" s="53" t="s">
        <v>2336</v>
      </c>
      <c r="B238" s="53" t="s">
        <v>292</v>
      </c>
      <c r="C238" s="53" t="s">
        <v>293</v>
      </c>
      <c r="D238" s="54">
        <v>41363</v>
      </c>
      <c r="E238" s="53">
        <v>10</v>
      </c>
      <c r="F238" s="53">
        <v>469754</v>
      </c>
      <c r="G238" s="53">
        <v>2</v>
      </c>
    </row>
    <row r="239" spans="1:7">
      <c r="A239" s="53" t="s">
        <v>2337</v>
      </c>
      <c r="B239" s="53" t="s">
        <v>304</v>
      </c>
      <c r="C239" s="53" t="s">
        <v>305</v>
      </c>
      <c r="D239" s="54">
        <v>41350</v>
      </c>
      <c r="E239" s="53">
        <v>12</v>
      </c>
      <c r="F239" s="53">
        <v>563704</v>
      </c>
      <c r="G239" s="53">
        <v>1</v>
      </c>
    </row>
    <row r="240" spans="1:7">
      <c r="A240" s="53" t="s">
        <v>2338</v>
      </c>
      <c r="B240" s="53" t="s">
        <v>304</v>
      </c>
      <c r="C240" s="53" t="s">
        <v>305</v>
      </c>
      <c r="D240" s="54">
        <v>41358</v>
      </c>
      <c r="E240" s="53">
        <v>17</v>
      </c>
      <c r="F240" s="53">
        <v>798581</v>
      </c>
      <c r="G240" s="53">
        <v>2</v>
      </c>
    </row>
    <row r="241" spans="1:7">
      <c r="A241" s="53" t="s">
        <v>2339</v>
      </c>
      <c r="B241" s="53" t="s">
        <v>304</v>
      </c>
      <c r="C241" s="53" t="s">
        <v>305</v>
      </c>
      <c r="D241" s="54">
        <v>41363</v>
      </c>
      <c r="E241" s="53">
        <v>20</v>
      </c>
      <c r="F241" s="53">
        <v>939507</v>
      </c>
      <c r="G241" s="53">
        <v>3</v>
      </c>
    </row>
    <row r="242" spans="1:7">
      <c r="A242" s="53" t="s">
        <v>2340</v>
      </c>
      <c r="B242" s="53" t="s">
        <v>312</v>
      </c>
      <c r="C242" s="53" t="s">
        <v>313</v>
      </c>
      <c r="D242" s="54">
        <v>41363</v>
      </c>
      <c r="E242" s="53">
        <v>5</v>
      </c>
      <c r="F242" s="53">
        <v>234877</v>
      </c>
      <c r="G242" s="53">
        <v>1</v>
      </c>
    </row>
    <row r="243" spans="1:7">
      <c r="A243" s="53" t="s">
        <v>2342</v>
      </c>
      <c r="B243" s="53" t="s">
        <v>322</v>
      </c>
      <c r="C243" s="53" t="s">
        <v>323</v>
      </c>
      <c r="D243" s="54">
        <v>41351</v>
      </c>
      <c r="E243" s="53">
        <v>15</v>
      </c>
      <c r="F243" s="53">
        <v>704630</v>
      </c>
      <c r="G243" s="53">
        <v>1</v>
      </c>
    </row>
    <row r="244" spans="1:7">
      <c r="A244" s="53" t="s">
        <v>2343</v>
      </c>
      <c r="B244" s="53" t="s">
        <v>322</v>
      </c>
      <c r="C244" s="53" t="s">
        <v>323</v>
      </c>
      <c r="D244" s="54">
        <v>41352</v>
      </c>
      <c r="E244" s="53">
        <v>30</v>
      </c>
      <c r="F244" s="53">
        <v>1409261</v>
      </c>
      <c r="G244" s="53">
        <v>2</v>
      </c>
    </row>
    <row r="245" spans="1:7">
      <c r="A245" s="53" t="s">
        <v>2344</v>
      </c>
      <c r="B245" s="53" t="s">
        <v>322</v>
      </c>
      <c r="C245" s="53" t="s">
        <v>323</v>
      </c>
      <c r="D245" s="54">
        <v>41359</v>
      </c>
      <c r="E245" s="53">
        <v>13</v>
      </c>
      <c r="F245" s="53">
        <v>606940</v>
      </c>
      <c r="G245" s="53">
        <v>3</v>
      </c>
    </row>
    <row r="246" spans="1:7">
      <c r="A246" s="53" t="s">
        <v>2341</v>
      </c>
      <c r="B246" s="53" t="s">
        <v>322</v>
      </c>
      <c r="C246" s="53" t="s">
        <v>323</v>
      </c>
      <c r="D246" s="54">
        <v>41363</v>
      </c>
      <c r="E246" s="53">
        <v>5</v>
      </c>
      <c r="F246" s="53">
        <v>234877</v>
      </c>
      <c r="G246" s="53">
        <v>4</v>
      </c>
    </row>
    <row r="247" spans="1:7">
      <c r="A247" s="53" t="s">
        <v>2347</v>
      </c>
      <c r="B247" s="53" t="s">
        <v>324</v>
      </c>
      <c r="C247" s="53" t="s">
        <v>325</v>
      </c>
      <c r="D247" s="54">
        <v>41348</v>
      </c>
      <c r="E247" s="53">
        <v>2</v>
      </c>
      <c r="F247" s="53">
        <v>93951</v>
      </c>
      <c r="G247" s="53">
        <v>1</v>
      </c>
    </row>
    <row r="248" spans="1:7">
      <c r="A248" s="53" t="s">
        <v>2348</v>
      </c>
      <c r="B248" s="53" t="s">
        <v>324</v>
      </c>
      <c r="C248" s="53" t="s">
        <v>325</v>
      </c>
      <c r="D248" s="54">
        <v>41348</v>
      </c>
      <c r="E248" s="53">
        <v>2</v>
      </c>
      <c r="F248" s="53">
        <v>93951</v>
      </c>
      <c r="G248" s="53">
        <v>2</v>
      </c>
    </row>
    <row r="249" spans="1:7">
      <c r="A249" s="53" t="s">
        <v>2345</v>
      </c>
      <c r="B249" s="53" t="s">
        <v>324</v>
      </c>
      <c r="C249" s="53" t="s">
        <v>325</v>
      </c>
      <c r="D249" s="54">
        <v>41363</v>
      </c>
      <c r="E249" s="53">
        <v>3</v>
      </c>
      <c r="F249" s="53">
        <v>140926</v>
      </c>
      <c r="G249" s="53">
        <v>3</v>
      </c>
    </row>
    <row r="250" spans="1:7">
      <c r="A250" s="53" t="s">
        <v>2346</v>
      </c>
      <c r="B250" s="53" t="s">
        <v>324</v>
      </c>
      <c r="C250" s="53" t="s">
        <v>325</v>
      </c>
      <c r="D250" s="54">
        <v>41363</v>
      </c>
      <c r="E250" s="53">
        <v>7</v>
      </c>
      <c r="F250" s="53">
        <v>328828</v>
      </c>
      <c r="G250" s="53">
        <v>4</v>
      </c>
    </row>
    <row r="251" spans="1:7">
      <c r="A251" s="53" t="s">
        <v>2349</v>
      </c>
      <c r="B251" s="53" t="s">
        <v>332</v>
      </c>
      <c r="C251" s="53" t="s">
        <v>333</v>
      </c>
      <c r="D251" s="54">
        <v>41351</v>
      </c>
      <c r="E251" s="53">
        <v>12</v>
      </c>
      <c r="F251" s="53">
        <v>563704</v>
      </c>
      <c r="G251" s="53">
        <v>1</v>
      </c>
    </row>
    <row r="252" spans="1:7">
      <c r="A252" s="53" t="s">
        <v>2350</v>
      </c>
      <c r="B252" s="53" t="s">
        <v>364</v>
      </c>
      <c r="C252" s="53" t="s">
        <v>365</v>
      </c>
      <c r="D252" s="54">
        <v>41363</v>
      </c>
      <c r="E252" s="53">
        <v>4</v>
      </c>
      <c r="F252" s="53">
        <v>187901</v>
      </c>
      <c r="G252" s="53">
        <v>1</v>
      </c>
    </row>
    <row r="253" spans="1:7">
      <c r="A253" s="53" t="s">
        <v>2352</v>
      </c>
      <c r="B253" s="53" t="s">
        <v>377</v>
      </c>
      <c r="C253" s="53" t="s">
        <v>378</v>
      </c>
      <c r="D253" s="54">
        <v>41348</v>
      </c>
      <c r="E253" s="53">
        <v>23</v>
      </c>
      <c r="F253" s="53">
        <v>1080433</v>
      </c>
      <c r="G253" s="53">
        <v>1</v>
      </c>
    </row>
    <row r="254" spans="1:7">
      <c r="A254" s="53" t="s">
        <v>2351</v>
      </c>
      <c r="B254" s="53" t="s">
        <v>377</v>
      </c>
      <c r="C254" s="53" t="s">
        <v>378</v>
      </c>
      <c r="D254" s="54">
        <v>41364</v>
      </c>
      <c r="E254" s="53">
        <v>33</v>
      </c>
      <c r="F254" s="53">
        <v>1550187</v>
      </c>
      <c r="G254" s="53">
        <v>2</v>
      </c>
    </row>
    <row r="255" spans="1:7">
      <c r="A255" s="53" t="s">
        <v>2353</v>
      </c>
      <c r="B255" s="53" t="s">
        <v>393</v>
      </c>
      <c r="C255" s="53" t="s">
        <v>394</v>
      </c>
      <c r="D255" s="54">
        <v>41353</v>
      </c>
      <c r="E255" s="53">
        <v>40</v>
      </c>
      <c r="F255" s="53">
        <v>1879014</v>
      </c>
      <c r="G255" s="53">
        <v>1</v>
      </c>
    </row>
    <row r="256" spans="1:7">
      <c r="A256" s="53" t="s">
        <v>2354</v>
      </c>
      <c r="B256" s="53" t="s">
        <v>393</v>
      </c>
      <c r="C256" s="53" t="s">
        <v>394</v>
      </c>
      <c r="D256" s="54">
        <v>41353</v>
      </c>
      <c r="E256" s="53">
        <v>30</v>
      </c>
      <c r="F256" s="53">
        <v>1409261</v>
      </c>
      <c r="G256" s="53">
        <v>2</v>
      </c>
    </row>
    <row r="257" spans="1:7">
      <c r="A257" s="53" t="s">
        <v>2355</v>
      </c>
      <c r="B257" s="53" t="s">
        <v>395</v>
      </c>
      <c r="C257" s="53" t="s">
        <v>396</v>
      </c>
      <c r="D257" s="54">
        <v>41360</v>
      </c>
      <c r="E257" s="53">
        <v>10</v>
      </c>
      <c r="F257" s="53">
        <v>469753</v>
      </c>
      <c r="G257" s="53">
        <v>1</v>
      </c>
    </row>
    <row r="258" spans="1:7">
      <c r="A258" s="53" t="s">
        <v>2356</v>
      </c>
      <c r="B258" s="53" t="s">
        <v>403</v>
      </c>
      <c r="C258" s="53" t="s">
        <v>404</v>
      </c>
      <c r="D258" s="54">
        <v>41359</v>
      </c>
      <c r="E258" s="53">
        <v>10</v>
      </c>
      <c r="F258" s="53">
        <v>469754</v>
      </c>
      <c r="G258" s="53">
        <v>1</v>
      </c>
    </row>
    <row r="259" spans="1:7">
      <c r="A259" s="53" t="s">
        <v>2357</v>
      </c>
      <c r="B259" s="53" t="s">
        <v>403</v>
      </c>
      <c r="C259" s="53" t="s">
        <v>404</v>
      </c>
      <c r="D259" s="54">
        <v>41359</v>
      </c>
      <c r="E259" s="53">
        <v>5</v>
      </c>
      <c r="F259" s="53">
        <v>234877</v>
      </c>
      <c r="G259" s="53">
        <v>2</v>
      </c>
    </row>
    <row r="260" spans="1:7">
      <c r="A260" s="53" t="s">
        <v>2358</v>
      </c>
      <c r="B260" s="53" t="s">
        <v>435</v>
      </c>
      <c r="C260" s="53" t="s">
        <v>436</v>
      </c>
      <c r="D260" s="54">
        <v>41350</v>
      </c>
      <c r="E260" s="53">
        <v>2</v>
      </c>
      <c r="F260" s="53">
        <v>93383</v>
      </c>
      <c r="G260" s="53">
        <v>1</v>
      </c>
    </row>
    <row r="261" spans="1:7">
      <c r="A261" s="53" t="s">
        <v>2359</v>
      </c>
      <c r="B261" s="53" t="s">
        <v>435</v>
      </c>
      <c r="C261" s="53" t="s">
        <v>436</v>
      </c>
      <c r="D261" s="54">
        <v>41358</v>
      </c>
      <c r="E261" s="53">
        <v>10</v>
      </c>
      <c r="F261" s="53">
        <v>469754</v>
      </c>
      <c r="G261" s="53">
        <v>2</v>
      </c>
    </row>
    <row r="262" spans="1:7">
      <c r="A262" s="53" t="s">
        <v>2360</v>
      </c>
      <c r="B262" s="53" t="s">
        <v>435</v>
      </c>
      <c r="C262" s="53" t="s">
        <v>436</v>
      </c>
      <c r="D262" s="54">
        <v>41359</v>
      </c>
      <c r="E262" s="53">
        <v>8</v>
      </c>
      <c r="F262" s="53">
        <v>375803</v>
      </c>
      <c r="G262" s="53">
        <v>3</v>
      </c>
    </row>
    <row r="263" spans="1:7">
      <c r="A263" s="53" t="s">
        <v>2361</v>
      </c>
      <c r="B263" s="53" t="s">
        <v>468</v>
      </c>
      <c r="C263" s="53" t="s">
        <v>469</v>
      </c>
      <c r="D263" s="54">
        <v>41349</v>
      </c>
      <c r="E263" s="53">
        <v>3</v>
      </c>
      <c r="F263" s="53">
        <v>140926</v>
      </c>
      <c r="G263" s="53">
        <v>1</v>
      </c>
    </row>
    <row r="264" spans="1:7">
      <c r="A264" s="53" t="s">
        <v>2362</v>
      </c>
      <c r="B264" s="53" t="s">
        <v>502</v>
      </c>
      <c r="C264" s="53" t="s">
        <v>503</v>
      </c>
      <c r="D264" s="54">
        <v>41359</v>
      </c>
      <c r="E264" s="53">
        <v>10</v>
      </c>
      <c r="F264" s="53">
        <v>469754</v>
      </c>
      <c r="G264" s="53">
        <v>1</v>
      </c>
    </row>
    <row r="265" spans="1:7">
      <c r="A265" s="53" t="s">
        <v>2364</v>
      </c>
      <c r="B265" s="53" t="s">
        <v>504</v>
      </c>
      <c r="C265" s="53" t="s">
        <v>505</v>
      </c>
      <c r="D265" s="54">
        <v>41347</v>
      </c>
      <c r="E265" s="53">
        <v>50</v>
      </c>
      <c r="F265" s="53">
        <v>2346116</v>
      </c>
      <c r="G265" s="53">
        <v>1</v>
      </c>
    </row>
    <row r="266" spans="1:7">
      <c r="A266" s="53" t="s">
        <v>2363</v>
      </c>
      <c r="B266" s="53" t="s">
        <v>504</v>
      </c>
      <c r="C266" s="53" t="s">
        <v>505</v>
      </c>
      <c r="D266" s="54">
        <v>41363</v>
      </c>
      <c r="E266" s="53">
        <v>47</v>
      </c>
      <c r="F266" s="53">
        <v>2207842</v>
      </c>
      <c r="G266" s="53">
        <v>2</v>
      </c>
    </row>
    <row r="267" spans="1:7">
      <c r="A267" s="53" t="s">
        <v>2365</v>
      </c>
      <c r="B267" s="53" t="s">
        <v>504</v>
      </c>
      <c r="C267" s="53" t="s">
        <v>505</v>
      </c>
      <c r="D267" s="54">
        <v>41364</v>
      </c>
      <c r="E267" s="53">
        <v>50</v>
      </c>
      <c r="F267" s="53">
        <v>2348768</v>
      </c>
      <c r="G267" s="53">
        <v>3</v>
      </c>
    </row>
    <row r="268" spans="1:7">
      <c r="A268" s="53" t="s">
        <v>2366</v>
      </c>
      <c r="B268" s="53" t="s">
        <v>548</v>
      </c>
      <c r="C268" s="53" t="s">
        <v>549</v>
      </c>
      <c r="D268" s="54">
        <v>41347</v>
      </c>
      <c r="E268" s="53">
        <v>10</v>
      </c>
      <c r="F268" s="53">
        <v>469754</v>
      </c>
      <c r="G268" s="53">
        <v>1</v>
      </c>
    </row>
    <row r="269" spans="1:7">
      <c r="A269" s="53" t="s">
        <v>2367</v>
      </c>
      <c r="B269" s="53" t="s">
        <v>557</v>
      </c>
      <c r="C269" s="53" t="s">
        <v>558</v>
      </c>
      <c r="D269" s="54">
        <v>41360</v>
      </c>
      <c r="E269" s="53">
        <v>3</v>
      </c>
      <c r="F269" s="53">
        <v>135909</v>
      </c>
      <c r="G269" s="53">
        <v>1</v>
      </c>
    </row>
    <row r="270" spans="1:7">
      <c r="A270" s="53" t="s">
        <v>2368</v>
      </c>
      <c r="B270" s="53" t="s">
        <v>1919</v>
      </c>
      <c r="C270" s="53" t="s">
        <v>1920</v>
      </c>
      <c r="D270" s="54">
        <v>41358</v>
      </c>
      <c r="E270" s="53">
        <v>9</v>
      </c>
      <c r="F270" s="53">
        <v>422778</v>
      </c>
      <c r="G270" s="53">
        <v>1</v>
      </c>
    </row>
    <row r="271" spans="1:7">
      <c r="A271" s="53" t="s">
        <v>2369</v>
      </c>
      <c r="B271" s="53" t="s">
        <v>1937</v>
      </c>
      <c r="C271" s="53" t="s">
        <v>1938</v>
      </c>
      <c r="D271" s="54">
        <v>41340</v>
      </c>
      <c r="E271" s="53">
        <v>10</v>
      </c>
      <c r="F271" s="53">
        <v>464932</v>
      </c>
      <c r="G271" s="53">
        <v>1</v>
      </c>
    </row>
    <row r="272" spans="1:7">
      <c r="A272" s="53" t="s">
        <v>2372</v>
      </c>
      <c r="B272" s="53" t="s">
        <v>1959</v>
      </c>
      <c r="C272" s="53" t="s">
        <v>1960</v>
      </c>
      <c r="D272" s="54">
        <v>41347</v>
      </c>
      <c r="E272" s="53">
        <v>12</v>
      </c>
      <c r="F272" s="53">
        <v>563704</v>
      </c>
      <c r="G272" s="53">
        <v>1</v>
      </c>
    </row>
    <row r="273" spans="1:7">
      <c r="A273" s="53" t="s">
        <v>2373</v>
      </c>
      <c r="B273" s="53" t="s">
        <v>1959</v>
      </c>
      <c r="C273" s="53" t="s">
        <v>1960</v>
      </c>
      <c r="D273" s="54">
        <v>41349</v>
      </c>
      <c r="E273" s="53">
        <v>4</v>
      </c>
      <c r="F273" s="53">
        <v>187901</v>
      </c>
      <c r="G273" s="53">
        <v>2</v>
      </c>
    </row>
    <row r="274" spans="1:7">
      <c r="A274" s="53" t="s">
        <v>2370</v>
      </c>
      <c r="B274" s="53" t="s">
        <v>1959</v>
      </c>
      <c r="C274" s="53" t="s">
        <v>1960</v>
      </c>
      <c r="D274" s="54">
        <v>41363</v>
      </c>
      <c r="E274" s="53">
        <v>3</v>
      </c>
      <c r="F274" s="53">
        <v>140926</v>
      </c>
      <c r="G274" s="53">
        <v>3</v>
      </c>
    </row>
    <row r="275" spans="1:7">
      <c r="A275" s="53" t="s">
        <v>2371</v>
      </c>
      <c r="B275" s="53" t="s">
        <v>1959</v>
      </c>
      <c r="C275" s="53" t="s">
        <v>1960</v>
      </c>
      <c r="D275" s="54">
        <v>41364</v>
      </c>
      <c r="E275" s="53">
        <v>35</v>
      </c>
      <c r="F275" s="53">
        <v>1644138</v>
      </c>
      <c r="G275" s="53">
        <v>4</v>
      </c>
    </row>
    <row r="276" spans="1:7">
      <c r="A276" s="53" t="s">
        <v>2374</v>
      </c>
      <c r="B276" s="53" t="s">
        <v>1963</v>
      </c>
      <c r="C276" s="53" t="s">
        <v>1964</v>
      </c>
      <c r="D276" s="54">
        <v>41349</v>
      </c>
      <c r="E276" s="53">
        <v>10</v>
      </c>
      <c r="F276" s="53">
        <v>469753.59999999998</v>
      </c>
      <c r="G276" s="53">
        <v>1</v>
      </c>
    </row>
    <row r="277" spans="1:7">
      <c r="A277" s="53" t="s">
        <v>2375</v>
      </c>
      <c r="B277" s="53" t="s">
        <v>1972</v>
      </c>
      <c r="C277" s="53" t="s">
        <v>1977</v>
      </c>
      <c r="D277" s="54">
        <v>41349</v>
      </c>
      <c r="E277" s="53">
        <v>17</v>
      </c>
      <c r="F277" s="53">
        <v>798581</v>
      </c>
      <c r="G277" s="53">
        <v>1</v>
      </c>
    </row>
    <row r="278" spans="1:7">
      <c r="A278" s="53" t="s">
        <v>2376</v>
      </c>
      <c r="B278" s="53" t="s">
        <v>1972</v>
      </c>
      <c r="C278" s="53" t="s">
        <v>1977</v>
      </c>
      <c r="D278" s="54">
        <v>41349</v>
      </c>
      <c r="E278" s="53">
        <v>1</v>
      </c>
      <c r="F278" s="53">
        <v>46975</v>
      </c>
      <c r="G278" s="53">
        <v>2</v>
      </c>
    </row>
    <row r="279" spans="1:7">
      <c r="A279" s="53" t="s">
        <v>2377</v>
      </c>
      <c r="B279" s="53" t="s">
        <v>1972</v>
      </c>
      <c r="C279" s="53" t="s">
        <v>1977</v>
      </c>
      <c r="D279" s="54">
        <v>41359</v>
      </c>
      <c r="E279" s="53">
        <v>5</v>
      </c>
      <c r="F279" s="53">
        <v>234876</v>
      </c>
      <c r="G279" s="53">
        <v>3</v>
      </c>
    </row>
    <row r="280" spans="1:7">
      <c r="A280" s="53" t="s">
        <v>2378</v>
      </c>
      <c r="B280" s="53" t="s">
        <v>1974</v>
      </c>
      <c r="C280" s="53" t="s">
        <v>1975</v>
      </c>
      <c r="D280" s="54">
        <v>41352</v>
      </c>
      <c r="E280" s="53">
        <v>16</v>
      </c>
      <c r="F280" s="53">
        <v>751606</v>
      </c>
      <c r="G280" s="53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86"/>
  <sheetViews>
    <sheetView topLeftCell="A151" workbookViewId="0">
      <selection activeCell="F166" sqref="F166"/>
    </sheetView>
  </sheetViews>
  <sheetFormatPr defaultRowHeight="11.25"/>
  <cols>
    <col min="1" max="1" width="14.28515625" style="1" bestFit="1" customWidth="1"/>
    <col min="2" max="2" width="17.28515625" style="1" bestFit="1" customWidth="1"/>
    <col min="3" max="3" width="13.85546875" style="1" bestFit="1" customWidth="1"/>
    <col min="4" max="4" width="7.28515625" style="1" bestFit="1" customWidth="1"/>
    <col min="5" max="5" width="9.5703125" style="1" bestFit="1" customWidth="1"/>
    <col min="6" max="6" width="7.85546875" style="1" bestFit="1" customWidth="1"/>
    <col min="7" max="7" width="41.7109375" style="1" bestFit="1" customWidth="1"/>
    <col min="8" max="8" width="14" style="1" bestFit="1" customWidth="1"/>
    <col min="9" max="9" width="13.7109375" style="1" bestFit="1" customWidth="1"/>
    <col min="10" max="16384" width="9.140625" style="1"/>
  </cols>
  <sheetData>
    <row r="1" spans="1:9">
      <c r="A1" s="1" t="s">
        <v>2006</v>
      </c>
      <c r="B1" s="1" t="s">
        <v>2007</v>
      </c>
      <c r="C1" s="1" t="s">
        <v>2008</v>
      </c>
      <c r="D1" s="1" t="s">
        <v>2009</v>
      </c>
      <c r="E1" s="1" t="s">
        <v>2010</v>
      </c>
      <c r="F1" s="1" t="s">
        <v>2011</v>
      </c>
      <c r="G1" s="1" t="s">
        <v>2012</v>
      </c>
      <c r="H1" s="1" t="s">
        <v>2013</v>
      </c>
      <c r="I1" s="1" t="s">
        <v>2014</v>
      </c>
    </row>
    <row r="2" spans="1:9">
      <c r="A2" s="1" t="s">
        <v>2015</v>
      </c>
      <c r="B2" s="1" t="s">
        <v>2379</v>
      </c>
      <c r="C2" s="2">
        <v>41351</v>
      </c>
      <c r="D2" s="1">
        <v>0</v>
      </c>
      <c r="E2" s="1">
        <v>7000</v>
      </c>
      <c r="F2" s="1" t="s">
        <v>719</v>
      </c>
      <c r="G2" s="1" t="s">
        <v>720</v>
      </c>
      <c r="H2" s="1" t="s">
        <v>721</v>
      </c>
      <c r="I2" s="1" t="s">
        <v>650</v>
      </c>
    </row>
    <row r="3" spans="1:9">
      <c r="A3" s="1" t="s">
        <v>2015</v>
      </c>
      <c r="B3" s="1" t="s">
        <v>2380</v>
      </c>
      <c r="C3" s="2">
        <v>41360</v>
      </c>
      <c r="D3" s="1">
        <v>0</v>
      </c>
      <c r="E3" s="1">
        <v>200000</v>
      </c>
      <c r="F3" s="1" t="s">
        <v>719</v>
      </c>
      <c r="G3" s="1" t="s">
        <v>720</v>
      </c>
      <c r="H3" s="1" t="s">
        <v>721</v>
      </c>
      <c r="I3" s="1" t="s">
        <v>650</v>
      </c>
    </row>
    <row r="4" spans="1:9">
      <c r="A4" s="1" t="s">
        <v>2015</v>
      </c>
      <c r="B4" s="1" t="s">
        <v>2381</v>
      </c>
      <c r="C4" s="2">
        <v>41347</v>
      </c>
      <c r="D4" s="1">
        <v>0</v>
      </c>
      <c r="E4" s="1">
        <v>200000</v>
      </c>
      <c r="F4" s="1" t="s">
        <v>741</v>
      </c>
      <c r="G4" s="1" t="s">
        <v>742</v>
      </c>
      <c r="H4" s="1" t="s">
        <v>743</v>
      </c>
      <c r="I4" s="1" t="s">
        <v>703</v>
      </c>
    </row>
    <row r="5" spans="1:9">
      <c r="A5" s="1" t="s">
        <v>2015</v>
      </c>
      <c r="B5" s="1" t="s">
        <v>2382</v>
      </c>
      <c r="C5" s="2">
        <v>41347</v>
      </c>
      <c r="D5" s="1">
        <v>0</v>
      </c>
      <c r="E5" s="1">
        <v>600000</v>
      </c>
      <c r="F5" s="1" t="s">
        <v>741</v>
      </c>
      <c r="G5" s="1" t="s">
        <v>742</v>
      </c>
      <c r="H5" s="1" t="s">
        <v>743</v>
      </c>
      <c r="I5" s="1" t="s">
        <v>703</v>
      </c>
    </row>
    <row r="6" spans="1:9">
      <c r="A6" s="1" t="s">
        <v>2015</v>
      </c>
      <c r="B6" s="1" t="s">
        <v>2383</v>
      </c>
      <c r="C6" s="2">
        <v>41348</v>
      </c>
      <c r="D6" s="1">
        <v>0</v>
      </c>
      <c r="E6" s="1">
        <v>200000</v>
      </c>
      <c r="F6" s="1" t="s">
        <v>741</v>
      </c>
      <c r="G6" s="1" t="s">
        <v>742</v>
      </c>
      <c r="H6" s="1" t="s">
        <v>743</v>
      </c>
      <c r="I6" s="1" t="s">
        <v>703</v>
      </c>
    </row>
    <row r="7" spans="1:9">
      <c r="A7" s="1" t="s">
        <v>2015</v>
      </c>
      <c r="B7" s="1" t="s">
        <v>2384</v>
      </c>
      <c r="C7" s="2">
        <v>41348.565578703703</v>
      </c>
      <c r="D7" s="1">
        <v>0</v>
      </c>
      <c r="E7" s="1">
        <v>150000</v>
      </c>
      <c r="F7" s="1" t="s">
        <v>741</v>
      </c>
      <c r="G7" s="1" t="s">
        <v>742</v>
      </c>
      <c r="H7" s="1" t="s">
        <v>743</v>
      </c>
      <c r="I7" s="1" t="s">
        <v>703</v>
      </c>
    </row>
    <row r="8" spans="1:9">
      <c r="A8" s="1" t="s">
        <v>2015</v>
      </c>
      <c r="B8" s="1" t="s">
        <v>2385</v>
      </c>
      <c r="C8" s="2">
        <v>41363</v>
      </c>
      <c r="D8" s="1">
        <v>0</v>
      </c>
      <c r="E8" s="1">
        <v>400000</v>
      </c>
      <c r="F8" s="1" t="s">
        <v>741</v>
      </c>
      <c r="G8" s="1" t="s">
        <v>742</v>
      </c>
      <c r="H8" s="1" t="s">
        <v>743</v>
      </c>
      <c r="I8" s="1" t="s">
        <v>703</v>
      </c>
    </row>
    <row r="9" spans="1:9">
      <c r="A9" s="1" t="s">
        <v>2015</v>
      </c>
      <c r="B9" s="1" t="s">
        <v>2386</v>
      </c>
      <c r="C9" s="2">
        <v>41363</v>
      </c>
      <c r="D9" s="1">
        <v>0</v>
      </c>
      <c r="E9" s="1">
        <v>500000</v>
      </c>
      <c r="F9" s="1" t="s">
        <v>741</v>
      </c>
      <c r="G9" s="1" t="s">
        <v>742</v>
      </c>
      <c r="H9" s="1" t="s">
        <v>743</v>
      </c>
      <c r="I9" s="1" t="s">
        <v>703</v>
      </c>
    </row>
    <row r="10" spans="1:9">
      <c r="A10" s="1" t="s">
        <v>2015</v>
      </c>
      <c r="B10" s="1" t="s">
        <v>2387</v>
      </c>
      <c r="C10" s="2">
        <v>41342</v>
      </c>
      <c r="D10" s="1">
        <v>0</v>
      </c>
      <c r="E10" s="1">
        <v>100000</v>
      </c>
      <c r="F10" s="1" t="s">
        <v>745</v>
      </c>
      <c r="G10" s="1" t="s">
        <v>746</v>
      </c>
      <c r="H10" s="1" t="s">
        <v>743</v>
      </c>
      <c r="I10" s="1" t="s">
        <v>669</v>
      </c>
    </row>
    <row r="11" spans="1:9">
      <c r="A11" s="1" t="s">
        <v>2015</v>
      </c>
      <c r="B11" s="1" t="s">
        <v>2388</v>
      </c>
      <c r="C11" s="2">
        <v>41348</v>
      </c>
      <c r="D11" s="1">
        <v>0</v>
      </c>
      <c r="E11" s="1">
        <v>150000</v>
      </c>
      <c r="F11" s="1" t="s">
        <v>748</v>
      </c>
      <c r="G11" s="1" t="s">
        <v>749</v>
      </c>
      <c r="H11" s="1" t="s">
        <v>743</v>
      </c>
      <c r="I11" s="1" t="s">
        <v>650</v>
      </c>
    </row>
    <row r="12" spans="1:9">
      <c r="A12" s="1" t="s">
        <v>2015</v>
      </c>
      <c r="B12" s="1" t="s">
        <v>2389</v>
      </c>
      <c r="C12" s="2">
        <v>41362</v>
      </c>
      <c r="D12" s="1">
        <v>0</v>
      </c>
      <c r="E12" s="1">
        <v>150000</v>
      </c>
      <c r="F12" s="1" t="s">
        <v>748</v>
      </c>
      <c r="G12" s="1" t="s">
        <v>749</v>
      </c>
      <c r="H12" s="1" t="s">
        <v>743</v>
      </c>
      <c r="I12" s="1" t="s">
        <v>650</v>
      </c>
    </row>
    <row r="13" spans="1:9">
      <c r="A13" s="1" t="s">
        <v>2015</v>
      </c>
      <c r="B13" s="1" t="s">
        <v>2390</v>
      </c>
      <c r="C13" s="2">
        <v>41341</v>
      </c>
      <c r="D13" s="1">
        <v>0</v>
      </c>
      <c r="E13" s="1">
        <v>200000</v>
      </c>
      <c r="F13" s="1" t="s">
        <v>753</v>
      </c>
      <c r="G13" s="1" t="s">
        <v>754</v>
      </c>
      <c r="H13" s="1" t="s">
        <v>743</v>
      </c>
      <c r="I13" s="1" t="s">
        <v>691</v>
      </c>
    </row>
    <row r="14" spans="1:9">
      <c r="A14" s="1" t="s">
        <v>2015</v>
      </c>
      <c r="B14" s="1" t="s">
        <v>2391</v>
      </c>
      <c r="C14" s="2">
        <v>41348</v>
      </c>
      <c r="D14" s="1">
        <v>0</v>
      </c>
      <c r="E14" s="1">
        <v>200000</v>
      </c>
      <c r="F14" s="1" t="s">
        <v>753</v>
      </c>
      <c r="G14" s="1" t="s">
        <v>754</v>
      </c>
      <c r="H14" s="1" t="s">
        <v>743</v>
      </c>
      <c r="I14" s="1" t="s">
        <v>691</v>
      </c>
    </row>
    <row r="15" spans="1:9">
      <c r="A15" s="1" t="s">
        <v>2015</v>
      </c>
      <c r="B15" s="1" t="s">
        <v>2392</v>
      </c>
      <c r="C15" s="2">
        <v>41348</v>
      </c>
      <c r="D15" s="1">
        <v>0</v>
      </c>
      <c r="E15" s="1">
        <v>300000</v>
      </c>
      <c r="F15" s="1" t="s">
        <v>753</v>
      </c>
      <c r="G15" s="1" t="s">
        <v>754</v>
      </c>
      <c r="H15" s="1" t="s">
        <v>743</v>
      </c>
      <c r="I15" s="1" t="s">
        <v>691</v>
      </c>
    </row>
    <row r="16" spans="1:9">
      <c r="A16" s="1" t="s">
        <v>2015</v>
      </c>
      <c r="B16" s="1" t="s">
        <v>2393</v>
      </c>
      <c r="C16" s="2">
        <v>41359</v>
      </c>
      <c r="D16" s="1">
        <v>0</v>
      </c>
      <c r="E16" s="1">
        <v>400000</v>
      </c>
      <c r="F16" s="1" t="s">
        <v>753</v>
      </c>
      <c r="G16" s="1" t="s">
        <v>754</v>
      </c>
      <c r="H16" s="1" t="s">
        <v>743</v>
      </c>
      <c r="I16" s="1" t="s">
        <v>691</v>
      </c>
    </row>
    <row r="17" spans="1:9">
      <c r="A17" s="1" t="s">
        <v>2015</v>
      </c>
      <c r="B17" s="1" t="s">
        <v>2394</v>
      </c>
      <c r="C17" s="2">
        <v>41362</v>
      </c>
      <c r="D17" s="1">
        <v>0</v>
      </c>
      <c r="E17" s="1">
        <v>500000</v>
      </c>
      <c r="F17" s="1" t="s">
        <v>753</v>
      </c>
      <c r="G17" s="1" t="s">
        <v>754</v>
      </c>
      <c r="H17" s="1" t="s">
        <v>743</v>
      </c>
      <c r="I17" s="1" t="s">
        <v>691</v>
      </c>
    </row>
    <row r="18" spans="1:9">
      <c r="A18" s="1" t="s">
        <v>2015</v>
      </c>
      <c r="B18" s="1" t="s">
        <v>2395</v>
      </c>
      <c r="C18" s="2">
        <v>41347</v>
      </c>
      <c r="D18" s="1">
        <v>0</v>
      </c>
      <c r="E18" s="1">
        <v>90000</v>
      </c>
      <c r="F18" s="1" t="s">
        <v>762</v>
      </c>
      <c r="G18" s="1" t="s">
        <v>763</v>
      </c>
      <c r="H18" s="1" t="s">
        <v>743</v>
      </c>
      <c r="I18" s="1" t="s">
        <v>650</v>
      </c>
    </row>
    <row r="19" spans="1:9">
      <c r="A19" s="1" t="s">
        <v>2015</v>
      </c>
      <c r="B19" s="1" t="s">
        <v>2396</v>
      </c>
      <c r="C19" s="2">
        <v>41348</v>
      </c>
      <c r="D19" s="1">
        <v>0</v>
      </c>
      <c r="E19" s="1">
        <v>1800000</v>
      </c>
      <c r="F19" s="1" t="s">
        <v>762</v>
      </c>
      <c r="G19" s="1" t="s">
        <v>763</v>
      </c>
      <c r="H19" s="1" t="s">
        <v>743</v>
      </c>
      <c r="I19" s="1" t="s">
        <v>650</v>
      </c>
    </row>
    <row r="20" spans="1:9">
      <c r="A20" s="1" t="s">
        <v>2015</v>
      </c>
      <c r="B20" s="1" t="s">
        <v>2397</v>
      </c>
      <c r="C20" s="2">
        <v>41342</v>
      </c>
      <c r="D20" s="1">
        <v>0</v>
      </c>
      <c r="E20" s="1">
        <v>150000</v>
      </c>
      <c r="F20" s="1" t="s">
        <v>765</v>
      </c>
      <c r="G20" s="1" t="s">
        <v>1984</v>
      </c>
      <c r="H20" s="1" t="s">
        <v>743</v>
      </c>
      <c r="I20" s="1" t="s">
        <v>650</v>
      </c>
    </row>
    <row r="21" spans="1:9">
      <c r="A21" s="1" t="s">
        <v>2015</v>
      </c>
      <c r="B21" s="1" t="s">
        <v>2398</v>
      </c>
      <c r="C21" s="2">
        <v>41358</v>
      </c>
      <c r="D21" s="1">
        <v>0</v>
      </c>
      <c r="E21" s="1">
        <v>200000</v>
      </c>
      <c r="F21" s="1" t="s">
        <v>765</v>
      </c>
      <c r="G21" s="1" t="s">
        <v>1984</v>
      </c>
      <c r="H21" s="1" t="s">
        <v>743</v>
      </c>
      <c r="I21" s="1" t="s">
        <v>650</v>
      </c>
    </row>
    <row r="22" spans="1:9">
      <c r="A22" s="1" t="s">
        <v>2015</v>
      </c>
      <c r="B22" s="1" t="s">
        <v>2399</v>
      </c>
      <c r="C22" s="2">
        <v>41355</v>
      </c>
      <c r="D22" s="1">
        <v>0</v>
      </c>
      <c r="E22" s="1">
        <v>200000</v>
      </c>
      <c r="F22" s="1" t="s">
        <v>768</v>
      </c>
      <c r="G22" s="1" t="s">
        <v>769</v>
      </c>
      <c r="H22" s="1" t="s">
        <v>743</v>
      </c>
      <c r="I22" s="1" t="s">
        <v>703</v>
      </c>
    </row>
    <row r="23" spans="1:9">
      <c r="A23" s="1" t="s">
        <v>2015</v>
      </c>
      <c r="B23" s="1" t="s">
        <v>2400</v>
      </c>
      <c r="C23" s="2">
        <v>41355</v>
      </c>
      <c r="D23" s="1">
        <v>0</v>
      </c>
      <c r="E23" s="1">
        <v>400000</v>
      </c>
      <c r="F23" s="1" t="s">
        <v>772</v>
      </c>
      <c r="G23" s="1" t="s">
        <v>773</v>
      </c>
      <c r="H23" s="1" t="s">
        <v>743</v>
      </c>
      <c r="I23" s="1" t="s">
        <v>650</v>
      </c>
    </row>
    <row r="24" spans="1:9">
      <c r="A24" s="1" t="s">
        <v>2015</v>
      </c>
      <c r="B24" s="1" t="s">
        <v>2401</v>
      </c>
      <c r="C24" s="2">
        <v>41363</v>
      </c>
      <c r="D24" s="1">
        <v>0</v>
      </c>
      <c r="E24" s="1">
        <v>500000</v>
      </c>
      <c r="F24" s="1" t="s">
        <v>772</v>
      </c>
      <c r="G24" s="1" t="s">
        <v>773</v>
      </c>
      <c r="H24" s="1" t="s">
        <v>743</v>
      </c>
      <c r="I24" s="1" t="s">
        <v>650</v>
      </c>
    </row>
    <row r="25" spans="1:9">
      <c r="A25" s="1" t="s">
        <v>2015</v>
      </c>
      <c r="B25" s="1" t="s">
        <v>2402</v>
      </c>
      <c r="C25" s="2">
        <v>41345</v>
      </c>
      <c r="D25" s="1">
        <v>0</v>
      </c>
      <c r="E25" s="1">
        <v>150000</v>
      </c>
      <c r="F25" s="1" t="s">
        <v>781</v>
      </c>
      <c r="G25" s="1" t="s">
        <v>782</v>
      </c>
      <c r="H25" s="1" t="s">
        <v>743</v>
      </c>
      <c r="I25" s="1" t="s">
        <v>669</v>
      </c>
    </row>
    <row r="26" spans="1:9">
      <c r="A26" s="1" t="s">
        <v>2015</v>
      </c>
      <c r="B26" s="1" t="s">
        <v>2403</v>
      </c>
      <c r="C26" s="2">
        <v>41359</v>
      </c>
      <c r="D26" s="1">
        <v>0</v>
      </c>
      <c r="E26" s="1">
        <v>200000</v>
      </c>
      <c r="F26" s="1" t="s">
        <v>781</v>
      </c>
      <c r="G26" s="1" t="s">
        <v>782</v>
      </c>
      <c r="H26" s="1" t="s">
        <v>743</v>
      </c>
      <c r="I26" s="1" t="s">
        <v>669</v>
      </c>
    </row>
    <row r="27" spans="1:9">
      <c r="A27" s="1" t="s">
        <v>2015</v>
      </c>
      <c r="B27" s="1" t="s">
        <v>2404</v>
      </c>
      <c r="C27" s="2">
        <v>41341</v>
      </c>
      <c r="D27" s="1">
        <v>0</v>
      </c>
      <c r="E27" s="1">
        <v>400000</v>
      </c>
      <c r="F27" s="1" t="s">
        <v>784</v>
      </c>
      <c r="G27" s="1" t="s">
        <v>785</v>
      </c>
      <c r="H27" s="1" t="s">
        <v>743</v>
      </c>
      <c r="I27" s="1" t="s">
        <v>669</v>
      </c>
    </row>
    <row r="28" spans="1:9">
      <c r="A28" s="1" t="s">
        <v>2015</v>
      </c>
      <c r="B28" s="1" t="s">
        <v>2405</v>
      </c>
      <c r="C28" s="2">
        <v>41348</v>
      </c>
      <c r="D28" s="1">
        <v>0</v>
      </c>
      <c r="E28" s="1">
        <v>1000000</v>
      </c>
      <c r="F28" s="1" t="s">
        <v>784</v>
      </c>
      <c r="G28" s="1" t="s">
        <v>785</v>
      </c>
      <c r="H28" s="1" t="s">
        <v>743</v>
      </c>
      <c r="I28" s="1" t="s">
        <v>669</v>
      </c>
    </row>
    <row r="29" spans="1:9">
      <c r="A29" s="1" t="s">
        <v>2015</v>
      </c>
      <c r="B29" s="1" t="s">
        <v>2406</v>
      </c>
      <c r="C29" s="2">
        <v>41363</v>
      </c>
      <c r="D29" s="1">
        <v>0</v>
      </c>
      <c r="E29" s="1">
        <v>1700000</v>
      </c>
      <c r="F29" s="1" t="s">
        <v>784</v>
      </c>
      <c r="G29" s="1" t="s">
        <v>785</v>
      </c>
      <c r="H29" s="1" t="s">
        <v>743</v>
      </c>
      <c r="I29" s="1" t="s">
        <v>669</v>
      </c>
    </row>
    <row r="30" spans="1:9">
      <c r="A30" s="1" t="s">
        <v>2015</v>
      </c>
      <c r="B30" s="1" t="s">
        <v>2407</v>
      </c>
      <c r="C30" s="2">
        <v>41363</v>
      </c>
      <c r="D30" s="1">
        <v>0</v>
      </c>
      <c r="E30" s="1">
        <v>300000</v>
      </c>
      <c r="F30" s="1" t="s">
        <v>784</v>
      </c>
      <c r="G30" s="1" t="s">
        <v>785</v>
      </c>
      <c r="H30" s="1" t="s">
        <v>743</v>
      </c>
      <c r="I30" s="1" t="s">
        <v>669</v>
      </c>
    </row>
    <row r="31" spans="1:9">
      <c r="A31" s="1" t="s">
        <v>2015</v>
      </c>
      <c r="B31" s="1" t="s">
        <v>2408</v>
      </c>
      <c r="C31" s="2">
        <v>41341</v>
      </c>
      <c r="D31" s="1">
        <v>0</v>
      </c>
      <c r="E31" s="1">
        <v>100000</v>
      </c>
      <c r="F31" s="1" t="s">
        <v>786</v>
      </c>
      <c r="G31" s="1" t="s">
        <v>787</v>
      </c>
      <c r="H31" s="1" t="s">
        <v>743</v>
      </c>
      <c r="I31" s="1" t="s">
        <v>669</v>
      </c>
    </row>
    <row r="32" spans="1:9">
      <c r="A32" s="1" t="s">
        <v>2015</v>
      </c>
      <c r="B32" s="1" t="s">
        <v>2409</v>
      </c>
      <c r="C32" s="2">
        <v>41348.599074074074</v>
      </c>
      <c r="D32" s="1">
        <v>0</v>
      </c>
      <c r="E32" s="1">
        <v>1400000</v>
      </c>
      <c r="F32" s="1" t="s">
        <v>788</v>
      </c>
      <c r="G32" s="1" t="s">
        <v>789</v>
      </c>
      <c r="H32" s="1" t="s">
        <v>743</v>
      </c>
      <c r="I32" s="1" t="s">
        <v>669</v>
      </c>
    </row>
    <row r="33" spans="1:9">
      <c r="A33" s="1" t="s">
        <v>2015</v>
      </c>
      <c r="B33" s="1" t="s">
        <v>2410</v>
      </c>
      <c r="C33" s="2">
        <v>41352</v>
      </c>
      <c r="D33" s="1">
        <v>0</v>
      </c>
      <c r="E33" s="1">
        <v>2000000</v>
      </c>
      <c r="F33" s="1" t="s">
        <v>788</v>
      </c>
      <c r="G33" s="1" t="s">
        <v>789</v>
      </c>
      <c r="H33" s="1" t="s">
        <v>743</v>
      </c>
      <c r="I33" s="1" t="s">
        <v>669</v>
      </c>
    </row>
    <row r="34" spans="1:9">
      <c r="A34" s="1" t="s">
        <v>2015</v>
      </c>
      <c r="B34" s="1" t="s">
        <v>2411</v>
      </c>
      <c r="C34" s="2">
        <v>41363</v>
      </c>
      <c r="D34" s="1">
        <v>0</v>
      </c>
      <c r="E34" s="1">
        <v>200000</v>
      </c>
      <c r="F34" s="1" t="s">
        <v>788</v>
      </c>
      <c r="G34" s="1" t="s">
        <v>789</v>
      </c>
      <c r="H34" s="1" t="s">
        <v>743</v>
      </c>
      <c r="I34" s="1" t="s">
        <v>669</v>
      </c>
    </row>
    <row r="35" spans="1:9">
      <c r="A35" s="1" t="s">
        <v>2015</v>
      </c>
      <c r="B35" s="1" t="s">
        <v>2412</v>
      </c>
      <c r="C35" s="2">
        <v>41363</v>
      </c>
      <c r="D35" s="1">
        <v>0</v>
      </c>
      <c r="E35" s="1">
        <v>235000</v>
      </c>
      <c r="F35" s="1" t="s">
        <v>797</v>
      </c>
      <c r="G35" s="1" t="s">
        <v>798</v>
      </c>
      <c r="H35" s="1" t="s">
        <v>724</v>
      </c>
      <c r="I35" s="1" t="s">
        <v>703</v>
      </c>
    </row>
    <row r="36" spans="1:9">
      <c r="A36" s="1" t="s">
        <v>2015</v>
      </c>
      <c r="B36" s="1" t="s">
        <v>2413</v>
      </c>
      <c r="C36" s="2">
        <v>41340</v>
      </c>
      <c r="D36" s="1">
        <v>0</v>
      </c>
      <c r="E36" s="1">
        <v>1500000</v>
      </c>
      <c r="F36" s="1" t="s">
        <v>801</v>
      </c>
      <c r="G36" s="1" t="s">
        <v>802</v>
      </c>
      <c r="H36" s="1" t="s">
        <v>724</v>
      </c>
      <c r="I36" s="1" t="s">
        <v>703</v>
      </c>
    </row>
    <row r="37" spans="1:9">
      <c r="A37" s="1" t="s">
        <v>2015</v>
      </c>
      <c r="B37" s="1" t="s">
        <v>2414</v>
      </c>
      <c r="C37" s="2">
        <v>41348</v>
      </c>
      <c r="D37" s="1">
        <v>0</v>
      </c>
      <c r="E37" s="1">
        <v>1000000</v>
      </c>
      <c r="F37" s="1" t="s">
        <v>801</v>
      </c>
      <c r="G37" s="1" t="s">
        <v>802</v>
      </c>
      <c r="H37" s="1" t="s">
        <v>724</v>
      </c>
      <c r="I37" s="1" t="s">
        <v>703</v>
      </c>
    </row>
    <row r="38" spans="1:9">
      <c r="A38" s="1" t="s">
        <v>2015</v>
      </c>
      <c r="B38" s="1" t="s">
        <v>2415</v>
      </c>
      <c r="C38" s="2">
        <v>41348.485023148147</v>
      </c>
      <c r="D38" s="1">
        <v>0</v>
      </c>
      <c r="E38" s="1">
        <v>1500000</v>
      </c>
      <c r="F38" s="1" t="s">
        <v>801</v>
      </c>
      <c r="G38" s="1" t="s">
        <v>802</v>
      </c>
      <c r="H38" s="1" t="s">
        <v>724</v>
      </c>
      <c r="I38" s="1" t="s">
        <v>703</v>
      </c>
    </row>
    <row r="39" spans="1:9">
      <c r="A39" s="1" t="s">
        <v>2015</v>
      </c>
      <c r="B39" s="1" t="s">
        <v>2416</v>
      </c>
      <c r="C39" s="2">
        <v>41355</v>
      </c>
      <c r="D39" s="1">
        <v>0</v>
      </c>
      <c r="E39" s="1">
        <v>1000000</v>
      </c>
      <c r="F39" s="1" t="s">
        <v>801</v>
      </c>
      <c r="G39" s="1" t="s">
        <v>802</v>
      </c>
      <c r="H39" s="1" t="s">
        <v>724</v>
      </c>
      <c r="I39" s="1" t="s">
        <v>703</v>
      </c>
    </row>
    <row r="40" spans="1:9">
      <c r="A40" s="1" t="s">
        <v>2015</v>
      </c>
      <c r="B40" s="1" t="s">
        <v>2417</v>
      </c>
      <c r="C40" s="2">
        <v>41360</v>
      </c>
      <c r="D40" s="1">
        <v>0</v>
      </c>
      <c r="E40" s="1">
        <v>1000000</v>
      </c>
      <c r="F40" s="1" t="s">
        <v>801</v>
      </c>
      <c r="G40" s="1" t="s">
        <v>802</v>
      </c>
      <c r="H40" s="1" t="s">
        <v>724</v>
      </c>
      <c r="I40" s="1" t="s">
        <v>703</v>
      </c>
    </row>
    <row r="41" spans="1:9">
      <c r="A41" s="1" t="s">
        <v>2015</v>
      </c>
      <c r="B41" s="1" t="s">
        <v>2418</v>
      </c>
      <c r="C41" s="2">
        <v>41363</v>
      </c>
      <c r="D41" s="1">
        <v>0</v>
      </c>
      <c r="E41" s="1">
        <v>1500000</v>
      </c>
      <c r="F41" s="1" t="s">
        <v>801</v>
      </c>
      <c r="G41" s="1" t="s">
        <v>802</v>
      </c>
      <c r="H41" s="1" t="s">
        <v>724</v>
      </c>
      <c r="I41" s="1" t="s">
        <v>703</v>
      </c>
    </row>
    <row r="42" spans="1:9">
      <c r="A42" s="1" t="s">
        <v>2015</v>
      </c>
      <c r="B42" s="1" t="s">
        <v>2419</v>
      </c>
      <c r="C42" s="2">
        <v>41363</v>
      </c>
      <c r="D42" s="1">
        <v>0</v>
      </c>
      <c r="E42" s="1">
        <v>700000</v>
      </c>
      <c r="F42" s="1" t="s">
        <v>801</v>
      </c>
      <c r="G42" s="1" t="s">
        <v>802</v>
      </c>
      <c r="H42" s="1" t="s">
        <v>724</v>
      </c>
      <c r="I42" s="1" t="s">
        <v>703</v>
      </c>
    </row>
    <row r="43" spans="1:9">
      <c r="A43" s="1" t="s">
        <v>2015</v>
      </c>
      <c r="B43" s="1" t="s">
        <v>2420</v>
      </c>
      <c r="C43" s="2">
        <v>41363</v>
      </c>
      <c r="D43" s="1">
        <v>0</v>
      </c>
      <c r="E43" s="1">
        <v>470000</v>
      </c>
      <c r="F43" s="1" t="s">
        <v>801</v>
      </c>
      <c r="G43" s="1" t="s">
        <v>802</v>
      </c>
      <c r="H43" s="1" t="s">
        <v>724</v>
      </c>
      <c r="I43" s="1" t="s">
        <v>703</v>
      </c>
    </row>
    <row r="44" spans="1:9">
      <c r="A44" s="1" t="s">
        <v>2015</v>
      </c>
      <c r="B44" s="1" t="s">
        <v>2421</v>
      </c>
      <c r="C44" s="2">
        <v>41363</v>
      </c>
      <c r="D44" s="1">
        <v>0</v>
      </c>
      <c r="E44" s="1">
        <v>330000</v>
      </c>
      <c r="F44" s="1" t="s">
        <v>801</v>
      </c>
      <c r="G44" s="1" t="s">
        <v>802</v>
      </c>
      <c r="H44" s="1" t="s">
        <v>724</v>
      </c>
      <c r="I44" s="1" t="s">
        <v>703</v>
      </c>
    </row>
    <row r="45" spans="1:9">
      <c r="A45" s="1" t="s">
        <v>2015</v>
      </c>
      <c r="B45" s="1" t="s">
        <v>2422</v>
      </c>
      <c r="C45" s="2">
        <v>41348</v>
      </c>
      <c r="D45" s="1">
        <v>0</v>
      </c>
      <c r="E45" s="1">
        <v>200000</v>
      </c>
      <c r="F45" s="1" t="s">
        <v>803</v>
      </c>
      <c r="G45" s="1" t="s">
        <v>804</v>
      </c>
      <c r="H45" s="1" t="s">
        <v>724</v>
      </c>
      <c r="I45" s="1" t="s">
        <v>703</v>
      </c>
    </row>
    <row r="46" spans="1:9">
      <c r="A46" s="1" t="s">
        <v>2015</v>
      </c>
      <c r="B46" s="1" t="s">
        <v>2423</v>
      </c>
      <c r="C46" s="2">
        <v>41341</v>
      </c>
      <c r="D46" s="1">
        <v>0</v>
      </c>
      <c r="E46" s="1">
        <v>300000</v>
      </c>
      <c r="F46" s="1" t="s">
        <v>805</v>
      </c>
      <c r="G46" s="1" t="s">
        <v>806</v>
      </c>
      <c r="H46" s="1" t="s">
        <v>724</v>
      </c>
      <c r="I46" s="1" t="s">
        <v>703</v>
      </c>
    </row>
    <row r="47" spans="1:9">
      <c r="A47" s="1" t="s">
        <v>2015</v>
      </c>
      <c r="B47" s="1" t="s">
        <v>2424</v>
      </c>
      <c r="C47" s="2">
        <v>41348</v>
      </c>
      <c r="D47" s="1">
        <v>0</v>
      </c>
      <c r="E47" s="1">
        <v>300000</v>
      </c>
      <c r="F47" s="1" t="s">
        <v>805</v>
      </c>
      <c r="G47" s="1" t="s">
        <v>806</v>
      </c>
      <c r="H47" s="1" t="s">
        <v>724</v>
      </c>
      <c r="I47" s="1" t="s">
        <v>703</v>
      </c>
    </row>
    <row r="48" spans="1:9">
      <c r="A48" s="1" t="s">
        <v>2015</v>
      </c>
      <c r="B48" s="1" t="s">
        <v>2425</v>
      </c>
      <c r="C48" s="2">
        <v>41355</v>
      </c>
      <c r="D48" s="1">
        <v>0</v>
      </c>
      <c r="E48" s="1">
        <v>48226</v>
      </c>
      <c r="F48" s="1" t="s">
        <v>805</v>
      </c>
      <c r="G48" s="1" t="s">
        <v>806</v>
      </c>
      <c r="H48" s="1" t="s">
        <v>724</v>
      </c>
      <c r="I48" s="1" t="s">
        <v>703</v>
      </c>
    </row>
    <row r="49" spans="1:9">
      <c r="A49" s="1" t="s">
        <v>2015</v>
      </c>
      <c r="B49" s="1" t="s">
        <v>2426</v>
      </c>
      <c r="C49" s="2">
        <v>41360</v>
      </c>
      <c r="D49" s="1">
        <v>0</v>
      </c>
      <c r="E49" s="1">
        <v>300000</v>
      </c>
      <c r="F49" s="1" t="s">
        <v>805</v>
      </c>
      <c r="G49" s="1" t="s">
        <v>806</v>
      </c>
      <c r="H49" s="1" t="s">
        <v>724</v>
      </c>
      <c r="I49" s="1" t="s">
        <v>703</v>
      </c>
    </row>
    <row r="50" spans="1:9">
      <c r="A50" s="1" t="s">
        <v>2015</v>
      </c>
      <c r="B50" s="1" t="s">
        <v>2427</v>
      </c>
      <c r="C50" s="2">
        <v>41362</v>
      </c>
      <c r="D50" s="1">
        <v>0</v>
      </c>
      <c r="E50" s="1">
        <v>300000</v>
      </c>
      <c r="F50" s="1" t="s">
        <v>805</v>
      </c>
      <c r="G50" s="1" t="s">
        <v>806</v>
      </c>
      <c r="H50" s="1" t="s">
        <v>724</v>
      </c>
      <c r="I50" s="1" t="s">
        <v>703</v>
      </c>
    </row>
    <row r="51" spans="1:9">
      <c r="A51" s="1" t="s">
        <v>2015</v>
      </c>
      <c r="B51" s="1" t="s">
        <v>2428</v>
      </c>
      <c r="C51" s="2">
        <v>41362</v>
      </c>
      <c r="D51" s="1">
        <v>0</v>
      </c>
      <c r="E51" s="1">
        <v>300000</v>
      </c>
      <c r="F51" s="1" t="s">
        <v>805</v>
      </c>
      <c r="G51" s="1" t="s">
        <v>806</v>
      </c>
      <c r="H51" s="1" t="s">
        <v>724</v>
      </c>
      <c r="I51" s="1" t="s">
        <v>703</v>
      </c>
    </row>
    <row r="52" spans="1:9">
      <c r="A52" s="1" t="s">
        <v>2015</v>
      </c>
      <c r="B52" s="1" t="s">
        <v>2429</v>
      </c>
      <c r="C52" s="2">
        <v>41351</v>
      </c>
      <c r="D52" s="1">
        <v>0</v>
      </c>
      <c r="E52" s="1">
        <v>700000</v>
      </c>
      <c r="F52" s="1" t="s">
        <v>811</v>
      </c>
      <c r="G52" s="1" t="s">
        <v>812</v>
      </c>
      <c r="H52" s="1" t="s">
        <v>724</v>
      </c>
      <c r="I52" s="1" t="s">
        <v>813</v>
      </c>
    </row>
    <row r="53" spans="1:9">
      <c r="A53" s="1" t="s">
        <v>2015</v>
      </c>
      <c r="B53" s="1" t="s">
        <v>2430</v>
      </c>
      <c r="C53" s="2">
        <v>41363</v>
      </c>
      <c r="D53" s="1">
        <v>0</v>
      </c>
      <c r="E53" s="1">
        <v>700000</v>
      </c>
      <c r="F53" s="1" t="s">
        <v>811</v>
      </c>
      <c r="G53" s="1" t="s">
        <v>812</v>
      </c>
      <c r="H53" s="1" t="s">
        <v>724</v>
      </c>
      <c r="I53" s="1" t="s">
        <v>813</v>
      </c>
    </row>
    <row r="54" spans="1:9">
      <c r="A54" s="1" t="s">
        <v>2015</v>
      </c>
      <c r="B54" s="1" t="s">
        <v>2431</v>
      </c>
      <c r="C54" s="2">
        <v>41354</v>
      </c>
      <c r="D54" s="1">
        <v>0</v>
      </c>
      <c r="E54" s="1">
        <v>87000</v>
      </c>
      <c r="F54" s="1" t="s">
        <v>817</v>
      </c>
      <c r="G54" s="1" t="s">
        <v>818</v>
      </c>
      <c r="H54" s="1" t="s">
        <v>724</v>
      </c>
      <c r="I54" s="1" t="s">
        <v>669</v>
      </c>
    </row>
    <row r="55" spans="1:9">
      <c r="A55" s="1" t="s">
        <v>2015</v>
      </c>
      <c r="B55" s="1" t="s">
        <v>2432</v>
      </c>
      <c r="C55" s="2">
        <v>41363</v>
      </c>
      <c r="D55" s="1">
        <v>0</v>
      </c>
      <c r="E55" s="1">
        <v>150000</v>
      </c>
      <c r="F55" s="1" t="s">
        <v>817</v>
      </c>
      <c r="G55" s="1" t="s">
        <v>818</v>
      </c>
      <c r="H55" s="1" t="s">
        <v>724</v>
      </c>
      <c r="I55" s="1" t="s">
        <v>669</v>
      </c>
    </row>
    <row r="56" spans="1:9">
      <c r="A56" s="1" t="s">
        <v>2015</v>
      </c>
      <c r="B56" s="1" t="s">
        <v>2433</v>
      </c>
      <c r="C56" s="2">
        <v>41341</v>
      </c>
      <c r="D56" s="1">
        <v>0</v>
      </c>
      <c r="E56" s="1">
        <v>350000</v>
      </c>
      <c r="F56" s="1" t="s">
        <v>819</v>
      </c>
      <c r="G56" s="1" t="s">
        <v>820</v>
      </c>
      <c r="H56" s="1" t="s">
        <v>724</v>
      </c>
      <c r="I56" s="1" t="s">
        <v>813</v>
      </c>
    </row>
    <row r="57" spans="1:9">
      <c r="A57" s="1" t="s">
        <v>2015</v>
      </c>
      <c r="B57" s="1" t="s">
        <v>2434</v>
      </c>
      <c r="C57" s="2">
        <v>41340</v>
      </c>
      <c r="D57" s="1">
        <v>0</v>
      </c>
      <c r="E57" s="1">
        <v>184300</v>
      </c>
      <c r="F57" s="1" t="s">
        <v>826</v>
      </c>
      <c r="G57" s="1" t="s">
        <v>827</v>
      </c>
      <c r="H57" s="1" t="s">
        <v>721</v>
      </c>
      <c r="I57" s="1" t="s">
        <v>669</v>
      </c>
    </row>
    <row r="58" spans="1:9">
      <c r="A58" s="1" t="s">
        <v>2015</v>
      </c>
      <c r="B58" s="1" t="s">
        <v>2435</v>
      </c>
      <c r="C58" s="2">
        <v>41348</v>
      </c>
      <c r="D58" s="1">
        <v>0</v>
      </c>
      <c r="E58" s="1">
        <v>184300</v>
      </c>
      <c r="F58" s="1" t="s">
        <v>826</v>
      </c>
      <c r="G58" s="1" t="s">
        <v>827</v>
      </c>
      <c r="H58" s="1" t="s">
        <v>721</v>
      </c>
      <c r="I58" s="1" t="s">
        <v>669</v>
      </c>
    </row>
    <row r="59" spans="1:9">
      <c r="A59" s="1" t="s">
        <v>2015</v>
      </c>
      <c r="B59" s="1" t="s">
        <v>2436</v>
      </c>
      <c r="C59" s="2">
        <v>41348</v>
      </c>
      <c r="D59" s="1">
        <v>0</v>
      </c>
      <c r="E59" s="1">
        <v>1000000</v>
      </c>
      <c r="F59" s="1" t="s">
        <v>1998</v>
      </c>
      <c r="G59" s="1" t="s">
        <v>1999</v>
      </c>
      <c r="H59" s="1" t="s">
        <v>724</v>
      </c>
      <c r="I59" s="1" t="s">
        <v>836</v>
      </c>
    </row>
    <row r="60" spans="1:9">
      <c r="A60" s="1" t="s">
        <v>2015</v>
      </c>
      <c r="B60" s="1" t="s">
        <v>2437</v>
      </c>
      <c r="C60" s="2">
        <v>41360</v>
      </c>
      <c r="D60" s="1">
        <v>0</v>
      </c>
      <c r="E60" s="1">
        <v>1000000</v>
      </c>
      <c r="F60" s="1" t="s">
        <v>1998</v>
      </c>
      <c r="G60" s="1" t="s">
        <v>1999</v>
      </c>
      <c r="H60" s="1" t="s">
        <v>724</v>
      </c>
      <c r="I60" s="1" t="s">
        <v>836</v>
      </c>
    </row>
    <row r="61" spans="1:9">
      <c r="A61" s="1" t="s">
        <v>2015</v>
      </c>
      <c r="B61" s="1" t="s">
        <v>2438</v>
      </c>
      <c r="C61" s="2">
        <v>41363</v>
      </c>
      <c r="D61" s="1">
        <v>0</v>
      </c>
      <c r="E61" s="1">
        <v>500000</v>
      </c>
      <c r="F61" s="1" t="s">
        <v>1998</v>
      </c>
      <c r="G61" s="1" t="s">
        <v>1999</v>
      </c>
      <c r="H61" s="1" t="s">
        <v>724</v>
      </c>
      <c r="I61" s="1" t="s">
        <v>836</v>
      </c>
    </row>
    <row r="62" spans="1:9">
      <c r="A62" s="1" t="s">
        <v>2015</v>
      </c>
      <c r="B62" s="1" t="s">
        <v>2439</v>
      </c>
      <c r="C62" s="2">
        <v>41346</v>
      </c>
      <c r="D62" s="1">
        <v>0</v>
      </c>
      <c r="E62" s="1">
        <v>500000</v>
      </c>
      <c r="F62" s="1" t="s">
        <v>837</v>
      </c>
      <c r="G62" s="1" t="s">
        <v>838</v>
      </c>
      <c r="H62" s="1" t="s">
        <v>724</v>
      </c>
      <c r="I62" s="1" t="s">
        <v>836</v>
      </c>
    </row>
    <row r="63" spans="1:9">
      <c r="A63" s="1" t="s">
        <v>2015</v>
      </c>
      <c r="B63" s="1" t="s">
        <v>2440</v>
      </c>
      <c r="C63" s="2">
        <v>41360</v>
      </c>
      <c r="D63" s="1">
        <v>0</v>
      </c>
      <c r="E63" s="1">
        <v>1000000</v>
      </c>
      <c r="F63" s="1" t="s">
        <v>837</v>
      </c>
      <c r="G63" s="1" t="s">
        <v>838</v>
      </c>
      <c r="H63" s="1" t="s">
        <v>724</v>
      </c>
      <c r="I63" s="1" t="s">
        <v>836</v>
      </c>
    </row>
    <row r="64" spans="1:9">
      <c r="A64" s="1" t="s">
        <v>2015</v>
      </c>
      <c r="B64" s="1" t="s">
        <v>2441</v>
      </c>
      <c r="C64" s="2">
        <v>41360</v>
      </c>
      <c r="D64" s="1">
        <v>0</v>
      </c>
      <c r="E64" s="1">
        <v>600000</v>
      </c>
      <c r="F64" s="1" t="s">
        <v>837</v>
      </c>
      <c r="G64" s="1" t="s">
        <v>838</v>
      </c>
      <c r="H64" s="1" t="s">
        <v>724</v>
      </c>
      <c r="I64" s="1" t="s">
        <v>836</v>
      </c>
    </row>
    <row r="65" spans="1:9">
      <c r="A65" s="1" t="s">
        <v>2015</v>
      </c>
      <c r="B65" s="1" t="s">
        <v>2442</v>
      </c>
      <c r="C65" s="2">
        <v>41360</v>
      </c>
      <c r="D65" s="1">
        <v>0</v>
      </c>
      <c r="E65" s="1">
        <v>500000</v>
      </c>
      <c r="F65" s="1" t="s">
        <v>837</v>
      </c>
      <c r="G65" s="1" t="s">
        <v>838</v>
      </c>
      <c r="H65" s="1" t="s">
        <v>724</v>
      </c>
      <c r="I65" s="1" t="s">
        <v>836</v>
      </c>
    </row>
    <row r="66" spans="1:9">
      <c r="A66" s="1" t="s">
        <v>2015</v>
      </c>
      <c r="B66" s="1" t="s">
        <v>2443</v>
      </c>
      <c r="C66" s="2">
        <v>41362</v>
      </c>
      <c r="D66" s="1">
        <v>0</v>
      </c>
      <c r="E66" s="1">
        <v>500000</v>
      </c>
      <c r="F66" s="1" t="s">
        <v>837</v>
      </c>
      <c r="G66" s="1" t="s">
        <v>838</v>
      </c>
      <c r="H66" s="1" t="s">
        <v>724</v>
      </c>
      <c r="I66" s="1" t="s">
        <v>836</v>
      </c>
    </row>
    <row r="67" spans="1:9">
      <c r="A67" s="1" t="s">
        <v>2015</v>
      </c>
      <c r="B67" s="1" t="s">
        <v>2444</v>
      </c>
      <c r="C67" s="2">
        <v>41362</v>
      </c>
      <c r="D67" s="1">
        <v>0</v>
      </c>
      <c r="E67" s="1">
        <v>1000000</v>
      </c>
      <c r="F67" s="1" t="s">
        <v>837</v>
      </c>
      <c r="G67" s="1" t="s">
        <v>838</v>
      </c>
      <c r="H67" s="1" t="s">
        <v>724</v>
      </c>
      <c r="I67" s="1" t="s">
        <v>836</v>
      </c>
    </row>
    <row r="68" spans="1:9">
      <c r="A68" s="1" t="s">
        <v>2015</v>
      </c>
      <c r="B68" s="1" t="s">
        <v>2445</v>
      </c>
      <c r="C68" s="2">
        <v>41363</v>
      </c>
      <c r="D68" s="1">
        <v>0</v>
      </c>
      <c r="E68" s="1">
        <v>1000000</v>
      </c>
      <c r="F68" s="1" t="s">
        <v>837</v>
      </c>
      <c r="G68" s="1" t="s">
        <v>838</v>
      </c>
      <c r="H68" s="1" t="s">
        <v>724</v>
      </c>
      <c r="I68" s="1" t="s">
        <v>836</v>
      </c>
    </row>
    <row r="69" spans="1:9">
      <c r="A69" s="1" t="s">
        <v>2015</v>
      </c>
      <c r="B69" s="1" t="s">
        <v>2446</v>
      </c>
      <c r="C69" s="2">
        <v>41363</v>
      </c>
      <c r="D69" s="1">
        <v>0</v>
      </c>
      <c r="E69" s="1">
        <v>1000000</v>
      </c>
      <c r="F69" s="1" t="s">
        <v>837</v>
      </c>
      <c r="G69" s="1" t="s">
        <v>838</v>
      </c>
      <c r="H69" s="1" t="s">
        <v>724</v>
      </c>
      <c r="I69" s="1" t="s">
        <v>836</v>
      </c>
    </row>
    <row r="70" spans="1:9">
      <c r="A70" s="1" t="s">
        <v>2015</v>
      </c>
      <c r="B70" s="1" t="s">
        <v>2447</v>
      </c>
      <c r="C70" s="2">
        <v>41344</v>
      </c>
      <c r="D70" s="1">
        <v>0</v>
      </c>
      <c r="E70" s="1">
        <v>560000</v>
      </c>
      <c r="F70" s="1" t="s">
        <v>850</v>
      </c>
      <c r="G70" s="1" t="s">
        <v>851</v>
      </c>
      <c r="H70" s="1" t="s">
        <v>721</v>
      </c>
    </row>
    <row r="71" spans="1:9">
      <c r="A71" s="1" t="s">
        <v>2015</v>
      </c>
      <c r="B71" s="1" t="s">
        <v>2448</v>
      </c>
      <c r="C71" s="2">
        <v>41344</v>
      </c>
      <c r="D71" s="1">
        <v>0</v>
      </c>
      <c r="E71" s="1">
        <v>340000</v>
      </c>
      <c r="F71" s="1" t="s">
        <v>850</v>
      </c>
      <c r="G71" s="1" t="s">
        <v>851</v>
      </c>
      <c r="H71" s="1" t="s">
        <v>721</v>
      </c>
    </row>
    <row r="72" spans="1:9">
      <c r="A72" s="1" t="s">
        <v>2015</v>
      </c>
      <c r="B72" s="1" t="s">
        <v>2449</v>
      </c>
      <c r="C72" s="2">
        <v>41345</v>
      </c>
      <c r="D72" s="1">
        <v>0</v>
      </c>
      <c r="E72" s="1">
        <v>1074000</v>
      </c>
      <c r="F72" s="1" t="s">
        <v>850</v>
      </c>
      <c r="G72" s="1" t="s">
        <v>851</v>
      </c>
      <c r="H72" s="1" t="s">
        <v>721</v>
      </c>
    </row>
    <row r="73" spans="1:9">
      <c r="A73" s="1" t="s">
        <v>2015</v>
      </c>
      <c r="B73" s="1" t="s">
        <v>2450</v>
      </c>
      <c r="C73" s="2">
        <v>41347</v>
      </c>
      <c r="D73" s="1">
        <v>0</v>
      </c>
      <c r="E73" s="1">
        <v>500000</v>
      </c>
      <c r="F73" s="1" t="s">
        <v>850</v>
      </c>
      <c r="G73" s="1" t="s">
        <v>851</v>
      </c>
      <c r="H73" s="1" t="s">
        <v>721</v>
      </c>
    </row>
    <row r="74" spans="1:9">
      <c r="A74" s="1" t="s">
        <v>2015</v>
      </c>
      <c r="B74" s="1" t="s">
        <v>2451</v>
      </c>
      <c r="C74" s="2">
        <v>41347</v>
      </c>
      <c r="D74" s="1">
        <v>0</v>
      </c>
      <c r="E74" s="1">
        <v>760000</v>
      </c>
      <c r="F74" s="1" t="s">
        <v>850</v>
      </c>
      <c r="G74" s="1" t="s">
        <v>851</v>
      </c>
      <c r="H74" s="1" t="s">
        <v>721</v>
      </c>
    </row>
    <row r="75" spans="1:9">
      <c r="A75" s="1" t="s">
        <v>2015</v>
      </c>
      <c r="B75" s="1" t="s">
        <v>2452</v>
      </c>
      <c r="C75" s="2">
        <v>41347</v>
      </c>
      <c r="D75" s="1">
        <v>0</v>
      </c>
      <c r="E75" s="1">
        <v>1418500</v>
      </c>
      <c r="F75" s="1" t="s">
        <v>850</v>
      </c>
      <c r="G75" s="1" t="s">
        <v>851</v>
      </c>
      <c r="H75" s="1" t="s">
        <v>721</v>
      </c>
    </row>
    <row r="76" spans="1:9">
      <c r="A76" s="1" t="s">
        <v>2015</v>
      </c>
      <c r="B76" s="1" t="s">
        <v>2453</v>
      </c>
      <c r="C76" s="2">
        <v>41338</v>
      </c>
      <c r="D76" s="1">
        <v>0</v>
      </c>
      <c r="E76" s="1">
        <v>1000000</v>
      </c>
      <c r="F76" s="1" t="s">
        <v>852</v>
      </c>
      <c r="G76" s="1" t="s">
        <v>853</v>
      </c>
      <c r="H76" s="1" t="s">
        <v>721</v>
      </c>
    </row>
    <row r="77" spans="1:9">
      <c r="A77" s="1" t="s">
        <v>2015</v>
      </c>
      <c r="B77" s="1" t="s">
        <v>2454</v>
      </c>
      <c r="C77" s="2">
        <v>41340</v>
      </c>
      <c r="D77" s="1">
        <v>0</v>
      </c>
      <c r="E77" s="1">
        <v>1000000</v>
      </c>
      <c r="F77" s="1" t="s">
        <v>852</v>
      </c>
      <c r="G77" s="1" t="s">
        <v>853</v>
      </c>
      <c r="H77" s="1" t="s">
        <v>721</v>
      </c>
    </row>
    <row r="78" spans="1:9">
      <c r="A78" s="1" t="s">
        <v>2015</v>
      </c>
      <c r="B78" s="1" t="s">
        <v>2455</v>
      </c>
      <c r="C78" s="2">
        <v>41347</v>
      </c>
      <c r="D78" s="1">
        <v>0</v>
      </c>
      <c r="E78" s="1">
        <v>2000000</v>
      </c>
      <c r="F78" s="1" t="s">
        <v>852</v>
      </c>
      <c r="G78" s="1" t="s">
        <v>853</v>
      </c>
      <c r="H78" s="1" t="s">
        <v>721</v>
      </c>
    </row>
    <row r="79" spans="1:9">
      <c r="A79" s="1" t="s">
        <v>2015</v>
      </c>
      <c r="B79" s="1" t="s">
        <v>2456</v>
      </c>
      <c r="C79" s="2">
        <v>41361</v>
      </c>
      <c r="D79" s="1">
        <v>0</v>
      </c>
      <c r="E79" s="1">
        <v>500000</v>
      </c>
      <c r="F79" s="1" t="s">
        <v>852</v>
      </c>
      <c r="G79" s="1" t="s">
        <v>853</v>
      </c>
      <c r="H79" s="1" t="s">
        <v>721</v>
      </c>
    </row>
    <row r="80" spans="1:9">
      <c r="A80" s="1" t="s">
        <v>2015</v>
      </c>
      <c r="B80" s="1" t="s">
        <v>2457</v>
      </c>
      <c r="C80" s="2">
        <v>41352</v>
      </c>
      <c r="D80" s="1">
        <v>0</v>
      </c>
      <c r="E80" s="1">
        <v>200000</v>
      </c>
      <c r="F80" s="1" t="s">
        <v>854</v>
      </c>
      <c r="G80" s="1" t="s">
        <v>855</v>
      </c>
      <c r="H80" s="1" t="s">
        <v>724</v>
      </c>
      <c r="I80" s="1" t="s">
        <v>813</v>
      </c>
    </row>
    <row r="81" spans="1:9">
      <c r="A81" s="1" t="s">
        <v>2015</v>
      </c>
      <c r="B81" s="1" t="s">
        <v>2458</v>
      </c>
      <c r="C81" s="2">
        <v>41360</v>
      </c>
      <c r="D81" s="1">
        <v>0</v>
      </c>
      <c r="E81" s="1">
        <v>800000</v>
      </c>
      <c r="F81" s="1" t="s">
        <v>854</v>
      </c>
      <c r="G81" s="1" t="s">
        <v>855</v>
      </c>
      <c r="H81" s="1" t="s">
        <v>724</v>
      </c>
      <c r="I81" s="1" t="s">
        <v>813</v>
      </c>
    </row>
    <row r="82" spans="1:9">
      <c r="A82" s="1" t="s">
        <v>2015</v>
      </c>
      <c r="B82" s="1" t="s">
        <v>2459</v>
      </c>
      <c r="C82" s="2">
        <v>41363</v>
      </c>
      <c r="D82" s="1">
        <v>0</v>
      </c>
      <c r="E82" s="1">
        <v>400000</v>
      </c>
      <c r="F82" s="1" t="s">
        <v>854</v>
      </c>
      <c r="G82" s="1" t="s">
        <v>855</v>
      </c>
      <c r="H82" s="1" t="s">
        <v>724</v>
      </c>
      <c r="I82" s="1" t="s">
        <v>813</v>
      </c>
    </row>
    <row r="83" spans="1:9">
      <c r="A83" s="1" t="s">
        <v>2015</v>
      </c>
      <c r="B83" s="1" t="s">
        <v>2460</v>
      </c>
      <c r="C83" s="2">
        <v>41361</v>
      </c>
      <c r="D83" s="1">
        <v>0</v>
      </c>
      <c r="E83" s="1">
        <v>500000</v>
      </c>
      <c r="F83" s="1" t="s">
        <v>1961</v>
      </c>
      <c r="G83" s="1" t="s">
        <v>1962</v>
      </c>
      <c r="H83" s="1" t="s">
        <v>724</v>
      </c>
      <c r="I83" s="1" t="s">
        <v>725</v>
      </c>
    </row>
    <row r="84" spans="1:9">
      <c r="A84" s="1" t="s">
        <v>2015</v>
      </c>
      <c r="B84" s="1" t="s">
        <v>2461</v>
      </c>
      <c r="C84" s="2">
        <v>41363.476157407407</v>
      </c>
      <c r="D84" s="1">
        <v>0</v>
      </c>
      <c r="E84" s="1">
        <v>2065000</v>
      </c>
      <c r="F84" s="1" t="s">
        <v>865</v>
      </c>
      <c r="G84" s="1" t="s">
        <v>866</v>
      </c>
      <c r="H84" s="1" t="s">
        <v>724</v>
      </c>
      <c r="I84" s="1" t="s">
        <v>841</v>
      </c>
    </row>
    <row r="85" spans="1:9">
      <c r="A85" s="1" t="s">
        <v>2015</v>
      </c>
      <c r="B85" s="1" t="s">
        <v>2462</v>
      </c>
      <c r="C85" s="2">
        <v>41362</v>
      </c>
      <c r="D85" s="1">
        <v>0</v>
      </c>
      <c r="E85" s="1">
        <v>500000</v>
      </c>
      <c r="F85" s="1" t="s">
        <v>870</v>
      </c>
      <c r="G85" s="1" t="s">
        <v>871</v>
      </c>
      <c r="H85" s="1" t="s">
        <v>724</v>
      </c>
      <c r="I85" s="1" t="s">
        <v>725</v>
      </c>
    </row>
    <row r="86" spans="1:9">
      <c r="A86" s="1" t="s">
        <v>2015</v>
      </c>
      <c r="B86" s="1" t="s">
        <v>2463</v>
      </c>
      <c r="C86" s="2">
        <v>41348</v>
      </c>
      <c r="D86" s="1">
        <v>0</v>
      </c>
      <c r="E86" s="1">
        <v>1600000</v>
      </c>
      <c r="F86" s="1" t="s">
        <v>877</v>
      </c>
      <c r="G86" s="1" t="s">
        <v>878</v>
      </c>
      <c r="H86" s="1" t="s">
        <v>724</v>
      </c>
      <c r="I86" s="1" t="s">
        <v>841</v>
      </c>
    </row>
    <row r="87" spans="1:9">
      <c r="A87" s="1" t="s">
        <v>2015</v>
      </c>
      <c r="B87" s="1" t="s">
        <v>2464</v>
      </c>
      <c r="C87" s="2">
        <v>41348</v>
      </c>
      <c r="D87" s="1">
        <v>0</v>
      </c>
      <c r="E87" s="1">
        <v>900000</v>
      </c>
      <c r="F87" s="1" t="s">
        <v>877</v>
      </c>
      <c r="G87" s="1" t="s">
        <v>878</v>
      </c>
      <c r="H87" s="1" t="s">
        <v>724</v>
      </c>
      <c r="I87" s="1" t="s">
        <v>841</v>
      </c>
    </row>
    <row r="88" spans="1:9">
      <c r="A88" s="1" t="s">
        <v>2015</v>
      </c>
      <c r="B88" s="1" t="s">
        <v>2465</v>
      </c>
      <c r="C88" s="2">
        <v>41352</v>
      </c>
      <c r="D88" s="1">
        <v>0</v>
      </c>
      <c r="E88" s="1">
        <v>2500000</v>
      </c>
      <c r="F88" s="1" t="s">
        <v>877</v>
      </c>
      <c r="G88" s="1" t="s">
        <v>878</v>
      </c>
      <c r="H88" s="1" t="s">
        <v>724</v>
      </c>
      <c r="I88" s="1" t="s">
        <v>841</v>
      </c>
    </row>
    <row r="89" spans="1:9">
      <c r="A89" s="1" t="s">
        <v>2015</v>
      </c>
      <c r="B89" s="1" t="s">
        <v>2466</v>
      </c>
      <c r="C89" s="2">
        <v>41360</v>
      </c>
      <c r="D89" s="1">
        <v>0</v>
      </c>
      <c r="E89" s="1">
        <v>2000000</v>
      </c>
      <c r="F89" s="1" t="s">
        <v>877</v>
      </c>
      <c r="G89" s="1" t="s">
        <v>878</v>
      </c>
      <c r="H89" s="1" t="s">
        <v>724</v>
      </c>
      <c r="I89" s="1" t="s">
        <v>841</v>
      </c>
    </row>
    <row r="90" spans="1:9">
      <c r="A90" s="1" t="s">
        <v>2015</v>
      </c>
      <c r="B90" s="1" t="s">
        <v>2467</v>
      </c>
      <c r="C90" s="2">
        <v>41362</v>
      </c>
      <c r="D90" s="1">
        <v>0</v>
      </c>
      <c r="E90" s="1">
        <v>1600000</v>
      </c>
      <c r="F90" s="1" t="s">
        <v>877</v>
      </c>
      <c r="G90" s="1" t="s">
        <v>878</v>
      </c>
      <c r="H90" s="1" t="s">
        <v>724</v>
      </c>
      <c r="I90" s="1" t="s">
        <v>841</v>
      </c>
    </row>
    <row r="91" spans="1:9">
      <c r="A91" s="1" t="s">
        <v>2015</v>
      </c>
      <c r="B91" s="1" t="s">
        <v>2468</v>
      </c>
      <c r="C91" s="2">
        <v>41362</v>
      </c>
      <c r="D91" s="1">
        <v>0</v>
      </c>
      <c r="E91" s="1">
        <v>1400000</v>
      </c>
      <c r="F91" s="1" t="s">
        <v>877</v>
      </c>
      <c r="G91" s="1" t="s">
        <v>878</v>
      </c>
      <c r="H91" s="1" t="s">
        <v>724</v>
      </c>
      <c r="I91" s="1" t="s">
        <v>841</v>
      </c>
    </row>
    <row r="92" spans="1:9">
      <c r="A92" s="1" t="s">
        <v>2015</v>
      </c>
      <c r="B92" s="1" t="s">
        <v>2469</v>
      </c>
      <c r="C92" s="2">
        <v>41362</v>
      </c>
      <c r="D92" s="1">
        <v>0</v>
      </c>
      <c r="E92" s="1">
        <v>2500000</v>
      </c>
      <c r="F92" s="1" t="s">
        <v>877</v>
      </c>
      <c r="G92" s="1" t="s">
        <v>878</v>
      </c>
      <c r="H92" s="1" t="s">
        <v>724</v>
      </c>
      <c r="I92" s="1" t="s">
        <v>841</v>
      </c>
    </row>
    <row r="93" spans="1:9">
      <c r="A93" s="1" t="s">
        <v>2015</v>
      </c>
      <c r="B93" s="1" t="s">
        <v>2470</v>
      </c>
      <c r="C93" s="2">
        <v>41363</v>
      </c>
      <c r="D93" s="1">
        <v>0</v>
      </c>
      <c r="E93" s="1">
        <v>73986</v>
      </c>
      <c r="F93" s="1" t="s">
        <v>2000</v>
      </c>
      <c r="G93" s="1" t="s">
        <v>2001</v>
      </c>
      <c r="H93" s="1" t="s">
        <v>724</v>
      </c>
      <c r="I93" s="1" t="s">
        <v>813</v>
      </c>
    </row>
    <row r="94" spans="1:9">
      <c r="A94" s="1" t="s">
        <v>2015</v>
      </c>
      <c r="B94" s="1" t="s">
        <v>2471</v>
      </c>
      <c r="C94" s="2">
        <v>41363</v>
      </c>
      <c r="D94" s="1">
        <v>0</v>
      </c>
      <c r="E94" s="1">
        <v>2039905</v>
      </c>
      <c r="F94" s="1" t="s">
        <v>2000</v>
      </c>
      <c r="G94" s="1" t="s">
        <v>2001</v>
      </c>
      <c r="H94" s="1" t="s">
        <v>724</v>
      </c>
      <c r="I94" s="1" t="s">
        <v>813</v>
      </c>
    </row>
    <row r="95" spans="1:9">
      <c r="A95" s="1" t="s">
        <v>2015</v>
      </c>
      <c r="B95" s="1" t="s">
        <v>2472</v>
      </c>
      <c r="C95" s="2">
        <v>41363</v>
      </c>
      <c r="D95" s="1">
        <v>0</v>
      </c>
      <c r="E95" s="1">
        <v>1133281</v>
      </c>
      <c r="F95" s="1" t="s">
        <v>2158</v>
      </c>
      <c r="G95" s="1" t="s">
        <v>2159</v>
      </c>
      <c r="H95" s="1" t="s">
        <v>743</v>
      </c>
      <c r="I95" s="1" t="s">
        <v>703</v>
      </c>
    </row>
    <row r="96" spans="1:9">
      <c r="A96" s="1" t="s">
        <v>2015</v>
      </c>
      <c r="B96" s="1" t="s">
        <v>2470</v>
      </c>
      <c r="C96" s="2">
        <v>41363</v>
      </c>
      <c r="D96" s="1">
        <v>0</v>
      </c>
      <c r="E96" s="1">
        <v>41103</v>
      </c>
      <c r="F96" s="1" t="s">
        <v>2158</v>
      </c>
      <c r="G96" s="1" t="s">
        <v>2159</v>
      </c>
      <c r="H96" s="1" t="s">
        <v>743</v>
      </c>
      <c r="I96" s="1" t="s">
        <v>703</v>
      </c>
    </row>
    <row r="97" spans="1:9">
      <c r="A97" s="1" t="s">
        <v>2015</v>
      </c>
      <c r="B97" s="1" t="s">
        <v>2470</v>
      </c>
      <c r="C97" s="2">
        <v>41363</v>
      </c>
      <c r="D97" s="1">
        <v>0</v>
      </c>
      <c r="E97" s="1">
        <v>82207</v>
      </c>
      <c r="F97" s="1" t="s">
        <v>881</v>
      </c>
      <c r="G97" s="1" t="s">
        <v>882</v>
      </c>
      <c r="H97" s="1" t="s">
        <v>743</v>
      </c>
      <c r="I97" s="1" t="s">
        <v>703</v>
      </c>
    </row>
    <row r="98" spans="1:9">
      <c r="A98" s="1" t="s">
        <v>2015</v>
      </c>
      <c r="B98" s="1" t="s">
        <v>2473</v>
      </c>
      <c r="C98" s="2">
        <v>41363</v>
      </c>
      <c r="D98" s="1">
        <v>0</v>
      </c>
      <c r="E98" s="1">
        <v>2266561</v>
      </c>
      <c r="F98" s="1" t="s">
        <v>881</v>
      </c>
      <c r="G98" s="1" t="s">
        <v>882</v>
      </c>
      <c r="H98" s="1" t="s">
        <v>743</v>
      </c>
      <c r="I98" s="1" t="s">
        <v>703</v>
      </c>
    </row>
    <row r="99" spans="1:9">
      <c r="A99" s="1" t="s">
        <v>2015</v>
      </c>
      <c r="B99" s="1" t="s">
        <v>2474</v>
      </c>
      <c r="C99" s="2">
        <v>41363</v>
      </c>
      <c r="D99" s="1">
        <v>0</v>
      </c>
      <c r="E99" s="1">
        <v>2493217</v>
      </c>
      <c r="F99" s="1" t="s">
        <v>884</v>
      </c>
      <c r="G99" s="1" t="s">
        <v>885</v>
      </c>
      <c r="H99" s="1" t="s">
        <v>732</v>
      </c>
      <c r="I99" s="1" t="s">
        <v>594</v>
      </c>
    </row>
    <row r="100" spans="1:9">
      <c r="A100" s="1" t="s">
        <v>2015</v>
      </c>
      <c r="B100" s="1" t="s">
        <v>2470</v>
      </c>
      <c r="C100" s="2">
        <v>41363</v>
      </c>
      <c r="D100" s="1">
        <v>0</v>
      </c>
      <c r="E100" s="1">
        <v>90428</v>
      </c>
      <c r="F100" s="1" t="s">
        <v>884</v>
      </c>
      <c r="G100" s="1" t="s">
        <v>885</v>
      </c>
      <c r="H100" s="1" t="s">
        <v>732</v>
      </c>
      <c r="I100" s="1" t="s">
        <v>594</v>
      </c>
    </row>
    <row r="101" spans="1:9">
      <c r="A101" s="1" t="s">
        <v>2015</v>
      </c>
      <c r="B101" s="1" t="s">
        <v>2475</v>
      </c>
      <c r="C101" s="2">
        <v>41358</v>
      </c>
      <c r="D101" s="1">
        <v>0</v>
      </c>
      <c r="E101" s="1">
        <v>381300</v>
      </c>
      <c r="F101" s="1" t="s">
        <v>2016</v>
      </c>
      <c r="G101" s="1" t="s">
        <v>2017</v>
      </c>
      <c r="H101" s="1" t="s">
        <v>721</v>
      </c>
      <c r="I101" s="1" t="s">
        <v>703</v>
      </c>
    </row>
    <row r="102" spans="1:9">
      <c r="A102" s="1" t="s">
        <v>2015</v>
      </c>
      <c r="B102" s="1" t="s">
        <v>2476</v>
      </c>
      <c r="C102" s="2">
        <v>41358</v>
      </c>
      <c r="D102" s="1">
        <v>0</v>
      </c>
      <c r="E102" s="1">
        <v>383200</v>
      </c>
      <c r="F102" s="1" t="s">
        <v>886</v>
      </c>
      <c r="G102" s="1" t="s">
        <v>887</v>
      </c>
      <c r="H102" s="1" t="s">
        <v>721</v>
      </c>
      <c r="I102" s="1" t="s">
        <v>703</v>
      </c>
    </row>
    <row r="103" spans="1:9">
      <c r="A103" s="1" t="s">
        <v>2015</v>
      </c>
      <c r="B103" s="1" t="s">
        <v>2477</v>
      </c>
      <c r="C103" s="2">
        <v>41348</v>
      </c>
      <c r="D103" s="1">
        <v>0</v>
      </c>
      <c r="E103" s="1">
        <v>1000000</v>
      </c>
      <c r="F103" s="1" t="s">
        <v>907</v>
      </c>
      <c r="G103" s="1" t="s">
        <v>908</v>
      </c>
      <c r="H103" s="1" t="s">
        <v>724</v>
      </c>
      <c r="I103" s="1" t="s">
        <v>669</v>
      </c>
    </row>
    <row r="104" spans="1:9">
      <c r="A104" s="1" t="s">
        <v>2015</v>
      </c>
      <c r="B104" s="1" t="s">
        <v>2478</v>
      </c>
      <c r="C104" s="2">
        <v>41363</v>
      </c>
      <c r="D104" s="1">
        <v>0</v>
      </c>
      <c r="E104" s="1">
        <v>1000000</v>
      </c>
      <c r="F104" s="1" t="s">
        <v>907</v>
      </c>
      <c r="G104" s="1" t="s">
        <v>908</v>
      </c>
      <c r="H104" s="1" t="s">
        <v>724</v>
      </c>
      <c r="I104" s="1" t="s">
        <v>669</v>
      </c>
    </row>
    <row r="105" spans="1:9">
      <c r="A105" s="1" t="s">
        <v>2015</v>
      </c>
      <c r="B105" s="1" t="s">
        <v>2479</v>
      </c>
      <c r="C105" s="2">
        <v>41363</v>
      </c>
      <c r="D105" s="1">
        <v>0</v>
      </c>
      <c r="E105" s="1">
        <v>1000000</v>
      </c>
      <c r="F105" s="1" t="s">
        <v>907</v>
      </c>
      <c r="G105" s="1" t="s">
        <v>908</v>
      </c>
      <c r="H105" s="1" t="s">
        <v>724</v>
      </c>
      <c r="I105" s="1" t="s">
        <v>669</v>
      </c>
    </row>
    <row r="106" spans="1:9">
      <c r="A106" s="1" t="s">
        <v>2015</v>
      </c>
      <c r="B106" s="1" t="s">
        <v>2480</v>
      </c>
      <c r="C106" s="2">
        <v>41363</v>
      </c>
      <c r="D106" s="1">
        <v>0</v>
      </c>
      <c r="E106" s="1">
        <v>100000</v>
      </c>
      <c r="F106" s="1" t="s">
        <v>907</v>
      </c>
      <c r="G106" s="1" t="s">
        <v>908</v>
      </c>
      <c r="H106" s="1" t="s">
        <v>724</v>
      </c>
      <c r="I106" s="1" t="s">
        <v>669</v>
      </c>
    </row>
    <row r="107" spans="1:9">
      <c r="A107" s="1" t="s">
        <v>2015</v>
      </c>
      <c r="B107" s="1" t="s">
        <v>2481</v>
      </c>
      <c r="C107" s="2">
        <v>41348</v>
      </c>
      <c r="D107" s="1">
        <v>0</v>
      </c>
      <c r="E107" s="1">
        <v>728200</v>
      </c>
      <c r="F107" s="1" t="s">
        <v>911</v>
      </c>
      <c r="G107" s="1" t="s">
        <v>912</v>
      </c>
      <c r="H107" s="1" t="s">
        <v>743</v>
      </c>
      <c r="I107" s="1" t="s">
        <v>650</v>
      </c>
    </row>
    <row r="108" spans="1:9">
      <c r="A108" s="1" t="s">
        <v>2015</v>
      </c>
      <c r="B108" s="1" t="s">
        <v>2482</v>
      </c>
      <c r="C108" s="2">
        <v>41348</v>
      </c>
      <c r="D108" s="1">
        <v>0</v>
      </c>
      <c r="E108" s="1">
        <v>2300000</v>
      </c>
      <c r="F108" s="1" t="s">
        <v>911</v>
      </c>
      <c r="G108" s="1" t="s">
        <v>912</v>
      </c>
      <c r="H108" s="1" t="s">
        <v>743</v>
      </c>
      <c r="I108" s="1" t="s">
        <v>650</v>
      </c>
    </row>
    <row r="109" spans="1:9">
      <c r="A109" s="1" t="s">
        <v>2015</v>
      </c>
      <c r="B109" s="1" t="s">
        <v>2483</v>
      </c>
      <c r="C109" s="2">
        <v>41363</v>
      </c>
      <c r="D109" s="1">
        <v>0</v>
      </c>
      <c r="E109" s="1">
        <v>500000</v>
      </c>
      <c r="F109" s="1" t="s">
        <v>911</v>
      </c>
      <c r="G109" s="1" t="s">
        <v>912</v>
      </c>
      <c r="H109" s="1" t="s">
        <v>743</v>
      </c>
      <c r="I109" s="1" t="s">
        <v>650</v>
      </c>
    </row>
    <row r="110" spans="1:9">
      <c r="A110" s="1" t="s">
        <v>2015</v>
      </c>
      <c r="B110" s="1" t="s">
        <v>2484</v>
      </c>
      <c r="C110" s="2">
        <v>41345</v>
      </c>
      <c r="D110" s="1">
        <v>0</v>
      </c>
      <c r="E110" s="1">
        <v>50000</v>
      </c>
      <c r="F110" s="1" t="s">
        <v>915</v>
      </c>
      <c r="G110" s="1" t="s">
        <v>916</v>
      </c>
      <c r="H110" s="1" t="s">
        <v>743</v>
      </c>
      <c r="I110" s="1" t="s">
        <v>669</v>
      </c>
    </row>
    <row r="111" spans="1:9">
      <c r="A111" s="1" t="s">
        <v>2015</v>
      </c>
      <c r="B111" s="1" t="s">
        <v>2485</v>
      </c>
      <c r="C111" s="2">
        <v>41355</v>
      </c>
      <c r="D111" s="1">
        <v>0</v>
      </c>
      <c r="E111" s="1">
        <v>50000</v>
      </c>
      <c r="F111" s="1" t="s">
        <v>932</v>
      </c>
      <c r="G111" s="1" t="s">
        <v>933</v>
      </c>
      <c r="H111" s="1" t="s">
        <v>743</v>
      </c>
      <c r="I111" s="1" t="s">
        <v>650</v>
      </c>
    </row>
    <row r="112" spans="1:9">
      <c r="A112" s="1" t="s">
        <v>2015</v>
      </c>
      <c r="B112" s="1" t="s">
        <v>2486</v>
      </c>
      <c r="C112" s="2">
        <v>41354.435717592591</v>
      </c>
      <c r="D112" s="1">
        <v>0</v>
      </c>
      <c r="E112" s="1">
        <v>23000</v>
      </c>
      <c r="F112" s="1" t="s">
        <v>934</v>
      </c>
      <c r="G112" s="1" t="s">
        <v>935</v>
      </c>
      <c r="H112" s="1" t="s">
        <v>743</v>
      </c>
      <c r="I112" s="1" t="s">
        <v>669</v>
      </c>
    </row>
    <row r="113" spans="1:9">
      <c r="A113" s="1" t="s">
        <v>2015</v>
      </c>
      <c r="B113" s="1" t="s">
        <v>2487</v>
      </c>
      <c r="C113" s="2">
        <v>41344</v>
      </c>
      <c r="D113" s="1">
        <v>0</v>
      </c>
      <c r="E113" s="1">
        <v>150000</v>
      </c>
      <c r="F113" s="1" t="s">
        <v>960</v>
      </c>
      <c r="G113" s="1" t="s">
        <v>961</v>
      </c>
      <c r="H113" s="1" t="s">
        <v>724</v>
      </c>
      <c r="I113" s="1" t="s">
        <v>669</v>
      </c>
    </row>
    <row r="114" spans="1:9">
      <c r="A114" s="1" t="s">
        <v>2015</v>
      </c>
      <c r="B114" s="1" t="s">
        <v>2488</v>
      </c>
      <c r="C114" s="2">
        <v>41351.460312499999</v>
      </c>
      <c r="D114" s="1">
        <v>0</v>
      </c>
      <c r="E114" s="1">
        <v>200000</v>
      </c>
      <c r="F114" s="1" t="s">
        <v>960</v>
      </c>
      <c r="G114" s="1" t="s">
        <v>961</v>
      </c>
      <c r="H114" s="1" t="s">
        <v>724</v>
      </c>
      <c r="I114" s="1" t="s">
        <v>669</v>
      </c>
    </row>
    <row r="115" spans="1:9">
      <c r="A115" s="1" t="s">
        <v>2015</v>
      </c>
      <c r="B115" s="1" t="s">
        <v>2489</v>
      </c>
      <c r="C115" s="2">
        <v>41363</v>
      </c>
      <c r="D115" s="1">
        <v>0</v>
      </c>
      <c r="E115" s="1">
        <v>150000</v>
      </c>
      <c r="F115" s="1" t="s">
        <v>960</v>
      </c>
      <c r="G115" s="1" t="s">
        <v>961</v>
      </c>
      <c r="H115" s="1" t="s">
        <v>724</v>
      </c>
      <c r="I115" s="1" t="s">
        <v>669</v>
      </c>
    </row>
    <row r="116" spans="1:9">
      <c r="A116" s="1" t="s">
        <v>2015</v>
      </c>
      <c r="B116" s="1" t="s">
        <v>2490</v>
      </c>
      <c r="C116" s="2">
        <v>41358</v>
      </c>
      <c r="D116" s="1">
        <v>0</v>
      </c>
      <c r="E116" s="1">
        <v>147500</v>
      </c>
      <c r="F116" s="1" t="s">
        <v>962</v>
      </c>
      <c r="G116" s="1" t="s">
        <v>963</v>
      </c>
      <c r="H116" s="1" t="s">
        <v>721</v>
      </c>
      <c r="I116" s="1" t="s">
        <v>703</v>
      </c>
    </row>
    <row r="117" spans="1:9">
      <c r="A117" s="1" t="s">
        <v>2015</v>
      </c>
      <c r="B117" s="1" t="s">
        <v>2491</v>
      </c>
      <c r="C117" s="2">
        <v>41341</v>
      </c>
      <c r="D117" s="1">
        <v>0</v>
      </c>
      <c r="E117" s="1">
        <v>1500000</v>
      </c>
      <c r="F117" s="1" t="s">
        <v>977</v>
      </c>
      <c r="G117" s="1" t="s">
        <v>978</v>
      </c>
      <c r="H117" s="1" t="s">
        <v>724</v>
      </c>
      <c r="I117" s="1" t="s">
        <v>669</v>
      </c>
    </row>
    <row r="118" spans="1:9">
      <c r="A118" s="1" t="s">
        <v>2015</v>
      </c>
      <c r="B118" s="1" t="s">
        <v>2492</v>
      </c>
      <c r="C118" s="2">
        <v>41348</v>
      </c>
      <c r="D118" s="1">
        <v>0</v>
      </c>
      <c r="E118" s="1">
        <v>1000000</v>
      </c>
      <c r="F118" s="1" t="s">
        <v>977</v>
      </c>
      <c r="G118" s="1" t="s">
        <v>978</v>
      </c>
      <c r="H118" s="1" t="s">
        <v>724</v>
      </c>
      <c r="I118" s="1" t="s">
        <v>669</v>
      </c>
    </row>
    <row r="119" spans="1:9">
      <c r="A119" s="1" t="s">
        <v>2015</v>
      </c>
      <c r="B119" s="1" t="s">
        <v>2493</v>
      </c>
      <c r="C119" s="2">
        <v>41348.492256944446</v>
      </c>
      <c r="D119" s="1">
        <v>0</v>
      </c>
      <c r="E119" s="1">
        <v>1500000</v>
      </c>
      <c r="F119" s="1" t="s">
        <v>977</v>
      </c>
      <c r="G119" s="1" t="s">
        <v>978</v>
      </c>
      <c r="H119" s="1" t="s">
        <v>724</v>
      </c>
      <c r="I119" s="1" t="s">
        <v>669</v>
      </c>
    </row>
    <row r="120" spans="1:9">
      <c r="A120" s="1" t="s">
        <v>2015</v>
      </c>
      <c r="B120" s="1" t="s">
        <v>2494</v>
      </c>
      <c r="C120" s="2">
        <v>41355</v>
      </c>
      <c r="D120" s="1">
        <v>0</v>
      </c>
      <c r="E120" s="1">
        <v>1000000</v>
      </c>
      <c r="F120" s="1" t="s">
        <v>977</v>
      </c>
      <c r="G120" s="1" t="s">
        <v>978</v>
      </c>
      <c r="H120" s="1" t="s">
        <v>724</v>
      </c>
      <c r="I120" s="1" t="s">
        <v>669</v>
      </c>
    </row>
    <row r="121" spans="1:9">
      <c r="A121" s="1" t="s">
        <v>2015</v>
      </c>
      <c r="B121" s="1" t="s">
        <v>2495</v>
      </c>
      <c r="C121" s="2">
        <v>41359</v>
      </c>
      <c r="D121" s="1">
        <v>0</v>
      </c>
      <c r="E121" s="1">
        <v>1000000</v>
      </c>
      <c r="F121" s="1" t="s">
        <v>977</v>
      </c>
      <c r="G121" s="1" t="s">
        <v>978</v>
      </c>
      <c r="H121" s="1" t="s">
        <v>724</v>
      </c>
      <c r="I121" s="1" t="s">
        <v>669</v>
      </c>
    </row>
    <row r="122" spans="1:9">
      <c r="A122" s="1" t="s">
        <v>2015</v>
      </c>
      <c r="B122" s="1" t="s">
        <v>2496</v>
      </c>
      <c r="C122" s="2">
        <v>41363</v>
      </c>
      <c r="D122" s="1">
        <v>0</v>
      </c>
      <c r="E122" s="1">
        <v>2000000</v>
      </c>
      <c r="F122" s="1" t="s">
        <v>977</v>
      </c>
      <c r="G122" s="1" t="s">
        <v>978</v>
      </c>
      <c r="H122" s="1" t="s">
        <v>724</v>
      </c>
      <c r="I122" s="1" t="s">
        <v>669</v>
      </c>
    </row>
    <row r="123" spans="1:9">
      <c r="A123" s="1" t="s">
        <v>2015</v>
      </c>
      <c r="B123" s="1" t="s">
        <v>2497</v>
      </c>
      <c r="C123" s="2">
        <v>41363</v>
      </c>
      <c r="D123" s="1">
        <v>0</v>
      </c>
      <c r="E123" s="1">
        <v>400000</v>
      </c>
      <c r="F123" s="1" t="s">
        <v>977</v>
      </c>
      <c r="G123" s="1" t="s">
        <v>978</v>
      </c>
      <c r="H123" s="1" t="s">
        <v>724</v>
      </c>
      <c r="I123" s="1" t="s">
        <v>669</v>
      </c>
    </row>
    <row r="124" spans="1:9">
      <c r="A124" s="1" t="s">
        <v>2015</v>
      </c>
      <c r="B124" s="1" t="s">
        <v>2498</v>
      </c>
      <c r="C124" s="2">
        <v>41363</v>
      </c>
      <c r="D124" s="1">
        <v>0</v>
      </c>
      <c r="E124" s="1">
        <v>600000</v>
      </c>
      <c r="F124" s="1" t="s">
        <v>977</v>
      </c>
      <c r="G124" s="1" t="s">
        <v>978</v>
      </c>
      <c r="H124" s="1" t="s">
        <v>724</v>
      </c>
      <c r="I124" s="1" t="s">
        <v>669</v>
      </c>
    </row>
    <row r="125" spans="1:9">
      <c r="A125" s="1" t="s">
        <v>2015</v>
      </c>
      <c r="B125" s="1" t="s">
        <v>2499</v>
      </c>
      <c r="C125" s="2">
        <v>41348</v>
      </c>
      <c r="D125" s="1">
        <v>0</v>
      </c>
      <c r="E125" s="1">
        <v>3000000</v>
      </c>
      <c r="F125" s="1" t="s">
        <v>981</v>
      </c>
      <c r="G125" s="1" t="s">
        <v>982</v>
      </c>
      <c r="H125" s="1" t="s">
        <v>724</v>
      </c>
      <c r="I125" s="1" t="s">
        <v>725</v>
      </c>
    </row>
    <row r="126" spans="1:9">
      <c r="A126" s="1" t="s">
        <v>2015</v>
      </c>
      <c r="B126" s="1" t="s">
        <v>2500</v>
      </c>
      <c r="C126" s="2">
        <v>41363</v>
      </c>
      <c r="D126" s="1">
        <v>0</v>
      </c>
      <c r="E126" s="1">
        <v>4000000</v>
      </c>
      <c r="F126" s="1" t="s">
        <v>981</v>
      </c>
      <c r="G126" s="1" t="s">
        <v>982</v>
      </c>
      <c r="H126" s="1" t="s">
        <v>724</v>
      </c>
      <c r="I126" s="1" t="s">
        <v>725</v>
      </c>
    </row>
    <row r="127" spans="1:9">
      <c r="A127" s="1" t="s">
        <v>2015</v>
      </c>
      <c r="B127" s="1" t="s">
        <v>2501</v>
      </c>
      <c r="C127" s="2">
        <v>41363</v>
      </c>
      <c r="D127" s="1">
        <v>0</v>
      </c>
      <c r="E127" s="1">
        <v>150000</v>
      </c>
      <c r="F127" s="1" t="s">
        <v>981</v>
      </c>
      <c r="G127" s="1" t="s">
        <v>982</v>
      </c>
      <c r="H127" s="1" t="s">
        <v>724</v>
      </c>
      <c r="I127" s="1" t="s">
        <v>725</v>
      </c>
    </row>
    <row r="128" spans="1:9">
      <c r="A128" s="1" t="s">
        <v>2015</v>
      </c>
      <c r="B128" s="1" t="s">
        <v>2502</v>
      </c>
      <c r="C128" s="2">
        <v>41355</v>
      </c>
      <c r="D128" s="1">
        <v>0</v>
      </c>
      <c r="E128" s="1">
        <v>200000</v>
      </c>
      <c r="F128" s="1" t="s">
        <v>996</v>
      </c>
      <c r="G128" s="1" t="s">
        <v>997</v>
      </c>
      <c r="H128" s="1" t="s">
        <v>743</v>
      </c>
      <c r="I128" s="1" t="s">
        <v>703</v>
      </c>
    </row>
    <row r="129" spans="1:9">
      <c r="A129" s="1" t="s">
        <v>2015</v>
      </c>
      <c r="B129" s="1" t="s">
        <v>2503</v>
      </c>
      <c r="C129" s="2">
        <v>41358</v>
      </c>
      <c r="D129" s="1">
        <v>0</v>
      </c>
      <c r="E129" s="1">
        <v>200000</v>
      </c>
      <c r="F129" s="1" t="s">
        <v>996</v>
      </c>
      <c r="G129" s="1" t="s">
        <v>997</v>
      </c>
      <c r="H129" s="1" t="s">
        <v>743</v>
      </c>
      <c r="I129" s="1" t="s">
        <v>703</v>
      </c>
    </row>
    <row r="130" spans="1:9">
      <c r="A130" s="1" t="s">
        <v>2015</v>
      </c>
      <c r="B130" s="1" t="s">
        <v>2504</v>
      </c>
      <c r="C130" s="2">
        <v>41363</v>
      </c>
      <c r="D130" s="1">
        <v>0</v>
      </c>
      <c r="E130" s="1">
        <v>200000</v>
      </c>
      <c r="F130" s="1" t="s">
        <v>996</v>
      </c>
      <c r="G130" s="1" t="s">
        <v>997</v>
      </c>
      <c r="H130" s="1" t="s">
        <v>743</v>
      </c>
      <c r="I130" s="1" t="s">
        <v>703</v>
      </c>
    </row>
    <row r="131" spans="1:9">
      <c r="A131" s="1" t="s">
        <v>2018</v>
      </c>
      <c r="B131" s="1" t="s">
        <v>2505</v>
      </c>
      <c r="C131" s="2">
        <v>41363</v>
      </c>
      <c r="D131" s="1">
        <v>200000</v>
      </c>
      <c r="E131" s="1">
        <v>0</v>
      </c>
      <c r="F131" s="1" t="s">
        <v>996</v>
      </c>
      <c r="G131" s="1" t="s">
        <v>997</v>
      </c>
      <c r="H131" s="1" t="s">
        <v>743</v>
      </c>
      <c r="I131" s="1" t="s">
        <v>703</v>
      </c>
    </row>
    <row r="132" spans="1:9">
      <c r="A132" s="1" t="s">
        <v>2015</v>
      </c>
      <c r="B132" s="1" t="s">
        <v>2506</v>
      </c>
      <c r="C132" s="2">
        <v>41342</v>
      </c>
      <c r="D132" s="1">
        <v>0</v>
      </c>
      <c r="E132" s="1">
        <v>100000</v>
      </c>
      <c r="F132" s="1" t="s">
        <v>1009</v>
      </c>
      <c r="G132" s="1" t="s">
        <v>1010</v>
      </c>
      <c r="H132" s="1" t="s">
        <v>743</v>
      </c>
      <c r="I132" s="1" t="s">
        <v>703</v>
      </c>
    </row>
    <row r="133" spans="1:9">
      <c r="A133" s="1" t="s">
        <v>2015</v>
      </c>
      <c r="B133" s="1" t="s">
        <v>2507</v>
      </c>
      <c r="C133" s="2">
        <v>41354</v>
      </c>
      <c r="D133" s="1">
        <v>0</v>
      </c>
      <c r="E133" s="1">
        <v>200000</v>
      </c>
      <c r="F133" s="1" t="s">
        <v>1009</v>
      </c>
      <c r="G133" s="1" t="s">
        <v>1010</v>
      </c>
      <c r="H133" s="1" t="s">
        <v>743</v>
      </c>
      <c r="I133" s="1" t="s">
        <v>703</v>
      </c>
    </row>
    <row r="134" spans="1:9">
      <c r="A134" s="1" t="s">
        <v>2015</v>
      </c>
      <c r="B134" s="1" t="s">
        <v>2508</v>
      </c>
      <c r="C134" s="2">
        <v>41358</v>
      </c>
      <c r="D134" s="1">
        <v>0</v>
      </c>
      <c r="E134" s="1">
        <v>200000</v>
      </c>
      <c r="F134" s="1" t="s">
        <v>1009</v>
      </c>
      <c r="G134" s="1" t="s">
        <v>1010</v>
      </c>
      <c r="H134" s="1" t="s">
        <v>743</v>
      </c>
      <c r="I134" s="1" t="s">
        <v>703</v>
      </c>
    </row>
    <row r="135" spans="1:9">
      <c r="A135" s="1" t="s">
        <v>2015</v>
      </c>
      <c r="B135" s="1" t="s">
        <v>2509</v>
      </c>
      <c r="C135" s="2">
        <v>41352</v>
      </c>
      <c r="D135" s="1">
        <v>0</v>
      </c>
      <c r="E135" s="1">
        <v>90000</v>
      </c>
      <c r="F135" s="1" t="s">
        <v>1011</v>
      </c>
      <c r="G135" s="1" t="s">
        <v>581</v>
      </c>
      <c r="H135" s="1" t="s">
        <v>743</v>
      </c>
      <c r="I135" s="1" t="s">
        <v>703</v>
      </c>
    </row>
    <row r="136" spans="1:9">
      <c r="A136" s="1" t="s">
        <v>2015</v>
      </c>
      <c r="B136" s="1" t="s">
        <v>2510</v>
      </c>
      <c r="C136" s="2">
        <v>41363</v>
      </c>
      <c r="D136" s="1">
        <v>0</v>
      </c>
      <c r="E136" s="1">
        <v>50000</v>
      </c>
      <c r="F136" s="1" t="s">
        <v>1011</v>
      </c>
      <c r="G136" s="1" t="s">
        <v>581</v>
      </c>
      <c r="H136" s="1" t="s">
        <v>743</v>
      </c>
      <c r="I136" s="1" t="s">
        <v>703</v>
      </c>
    </row>
    <row r="137" spans="1:9">
      <c r="A137" s="1" t="s">
        <v>2015</v>
      </c>
      <c r="B137" s="1" t="s">
        <v>2511</v>
      </c>
      <c r="C137" s="2">
        <v>41348</v>
      </c>
      <c r="D137" s="1">
        <v>0</v>
      </c>
      <c r="E137" s="1">
        <v>150000</v>
      </c>
      <c r="F137" s="1" t="s">
        <v>1013</v>
      </c>
      <c r="G137" s="1" t="s">
        <v>1014</v>
      </c>
      <c r="H137" s="1" t="s">
        <v>743</v>
      </c>
      <c r="I137" s="1" t="s">
        <v>650</v>
      </c>
    </row>
    <row r="138" spans="1:9">
      <c r="A138" s="1" t="s">
        <v>2015</v>
      </c>
      <c r="B138" s="1" t="s">
        <v>2512</v>
      </c>
      <c r="C138" s="2">
        <v>41362</v>
      </c>
      <c r="D138" s="1">
        <v>0</v>
      </c>
      <c r="E138" s="1">
        <v>175000</v>
      </c>
      <c r="F138" s="1" t="s">
        <v>1013</v>
      </c>
      <c r="G138" s="1" t="s">
        <v>1014</v>
      </c>
      <c r="H138" s="1" t="s">
        <v>743</v>
      </c>
      <c r="I138" s="1" t="s">
        <v>650</v>
      </c>
    </row>
    <row r="139" spans="1:9">
      <c r="A139" s="1" t="s">
        <v>2015</v>
      </c>
      <c r="B139" s="1" t="s">
        <v>2513</v>
      </c>
      <c r="C139" s="2">
        <v>41363</v>
      </c>
      <c r="D139" s="1">
        <v>0</v>
      </c>
      <c r="E139" s="1">
        <v>100000</v>
      </c>
      <c r="F139" s="1" t="s">
        <v>1013</v>
      </c>
      <c r="G139" s="1" t="s">
        <v>1014</v>
      </c>
      <c r="H139" s="1" t="s">
        <v>743</v>
      </c>
      <c r="I139" s="1" t="s">
        <v>650</v>
      </c>
    </row>
    <row r="140" spans="1:9">
      <c r="A140" s="1" t="s">
        <v>2015</v>
      </c>
      <c r="B140" s="1" t="s">
        <v>2514</v>
      </c>
      <c r="C140" s="2">
        <v>41363</v>
      </c>
      <c r="D140" s="1">
        <v>0</v>
      </c>
      <c r="E140" s="1">
        <v>150000</v>
      </c>
      <c r="F140" s="1" t="s">
        <v>1013</v>
      </c>
      <c r="G140" s="1" t="s">
        <v>1014</v>
      </c>
      <c r="H140" s="1" t="s">
        <v>743</v>
      </c>
      <c r="I140" s="1" t="s">
        <v>650</v>
      </c>
    </row>
    <row r="141" spans="1:9">
      <c r="A141" s="1" t="s">
        <v>2015</v>
      </c>
      <c r="B141" s="1" t="s">
        <v>2515</v>
      </c>
      <c r="C141" s="2">
        <v>41363</v>
      </c>
      <c r="D141" s="1">
        <v>0</v>
      </c>
      <c r="E141" s="1">
        <v>100000</v>
      </c>
      <c r="F141" s="1" t="s">
        <v>1013</v>
      </c>
      <c r="G141" s="1" t="s">
        <v>1014</v>
      </c>
      <c r="H141" s="1" t="s">
        <v>743</v>
      </c>
      <c r="I141" s="1" t="s">
        <v>650</v>
      </c>
    </row>
    <row r="142" spans="1:9">
      <c r="A142" s="1" t="s">
        <v>2015</v>
      </c>
      <c r="B142" s="1" t="s">
        <v>2516</v>
      </c>
      <c r="C142" s="2">
        <v>41341</v>
      </c>
      <c r="D142" s="1">
        <v>0</v>
      </c>
      <c r="E142" s="1">
        <v>80000</v>
      </c>
      <c r="F142" s="1" t="s">
        <v>1016</v>
      </c>
      <c r="G142" s="1" t="s">
        <v>1017</v>
      </c>
      <c r="H142" s="1" t="s">
        <v>743</v>
      </c>
      <c r="I142" s="1" t="s">
        <v>650</v>
      </c>
    </row>
    <row r="143" spans="1:9">
      <c r="A143" s="1" t="s">
        <v>2015</v>
      </c>
      <c r="B143" s="1" t="s">
        <v>2517</v>
      </c>
      <c r="C143" s="2">
        <v>41345</v>
      </c>
      <c r="D143" s="1">
        <v>0</v>
      </c>
      <c r="E143" s="1">
        <v>100000</v>
      </c>
      <c r="F143" s="1" t="s">
        <v>1016</v>
      </c>
      <c r="G143" s="1" t="s">
        <v>1017</v>
      </c>
      <c r="H143" s="1" t="s">
        <v>743</v>
      </c>
      <c r="I143" s="1" t="s">
        <v>650</v>
      </c>
    </row>
    <row r="144" spans="1:9">
      <c r="A144" s="1" t="s">
        <v>2015</v>
      </c>
      <c r="B144" s="1" t="s">
        <v>2518</v>
      </c>
      <c r="C144" s="2">
        <v>41348</v>
      </c>
      <c r="D144" s="1">
        <v>0</v>
      </c>
      <c r="E144" s="1">
        <v>5000</v>
      </c>
      <c r="F144" s="1" t="s">
        <v>1016</v>
      </c>
      <c r="G144" s="1" t="s">
        <v>1017</v>
      </c>
      <c r="H144" s="1" t="s">
        <v>743</v>
      </c>
      <c r="I144" s="1" t="s">
        <v>650</v>
      </c>
    </row>
    <row r="145" spans="1:9">
      <c r="A145" s="1" t="s">
        <v>2015</v>
      </c>
      <c r="B145" s="1" t="s">
        <v>2519</v>
      </c>
      <c r="C145" s="2">
        <v>41358</v>
      </c>
      <c r="D145" s="1">
        <v>0</v>
      </c>
      <c r="E145" s="1">
        <v>100000</v>
      </c>
      <c r="F145" s="1" t="s">
        <v>1016</v>
      </c>
      <c r="G145" s="1" t="s">
        <v>1017</v>
      </c>
      <c r="H145" s="1" t="s">
        <v>743</v>
      </c>
      <c r="I145" s="1" t="s">
        <v>650</v>
      </c>
    </row>
    <row r="146" spans="1:9">
      <c r="A146" s="1" t="s">
        <v>2015</v>
      </c>
      <c r="B146" s="1" t="s">
        <v>2520</v>
      </c>
      <c r="C146" s="2">
        <v>41363</v>
      </c>
      <c r="D146" s="1">
        <v>0</v>
      </c>
      <c r="E146" s="1">
        <v>60000</v>
      </c>
      <c r="F146" s="1" t="s">
        <v>1016</v>
      </c>
      <c r="G146" s="1" t="s">
        <v>1017</v>
      </c>
      <c r="H146" s="1" t="s">
        <v>743</v>
      </c>
      <c r="I146" s="1" t="s">
        <v>650</v>
      </c>
    </row>
    <row r="147" spans="1:9">
      <c r="A147" s="1" t="s">
        <v>2015</v>
      </c>
      <c r="B147" s="1" t="s">
        <v>2521</v>
      </c>
      <c r="C147" s="2">
        <v>41335</v>
      </c>
      <c r="D147" s="1">
        <v>0</v>
      </c>
      <c r="E147" s="1">
        <v>47875</v>
      </c>
      <c r="F147" s="1" t="s">
        <v>2019</v>
      </c>
      <c r="G147" s="1" t="s">
        <v>2020</v>
      </c>
      <c r="H147" s="1" t="s">
        <v>732</v>
      </c>
      <c r="I147" s="1" t="s">
        <v>703</v>
      </c>
    </row>
    <row r="148" spans="1:9">
      <c r="A148" s="1" t="s">
        <v>2015</v>
      </c>
      <c r="B148" s="1" t="s">
        <v>2522</v>
      </c>
      <c r="C148" s="2">
        <v>41335</v>
      </c>
      <c r="D148" s="1">
        <v>0</v>
      </c>
      <c r="E148" s="1">
        <v>47875</v>
      </c>
      <c r="F148" s="1" t="s">
        <v>2019</v>
      </c>
      <c r="G148" s="1" t="s">
        <v>2020</v>
      </c>
      <c r="H148" s="1" t="s">
        <v>732</v>
      </c>
      <c r="I148" s="1" t="s">
        <v>703</v>
      </c>
    </row>
    <row r="149" spans="1:9">
      <c r="A149" s="1" t="s">
        <v>2015</v>
      </c>
      <c r="B149" s="1" t="s">
        <v>2523</v>
      </c>
      <c r="C149" s="2">
        <v>41335</v>
      </c>
      <c r="D149" s="1">
        <v>0</v>
      </c>
      <c r="E149" s="1">
        <v>47875</v>
      </c>
      <c r="F149" s="1" t="s">
        <v>2019</v>
      </c>
      <c r="G149" s="1" t="s">
        <v>2020</v>
      </c>
      <c r="H149" s="1" t="s">
        <v>732</v>
      </c>
      <c r="I149" s="1" t="s">
        <v>703</v>
      </c>
    </row>
    <row r="150" spans="1:9">
      <c r="A150" s="1" t="s">
        <v>2015</v>
      </c>
      <c r="B150" s="1" t="s">
        <v>2524</v>
      </c>
      <c r="C150" s="2">
        <v>41345</v>
      </c>
      <c r="D150" s="1">
        <v>0</v>
      </c>
      <c r="E150" s="1">
        <v>47875</v>
      </c>
      <c r="F150" s="1" t="s">
        <v>2019</v>
      </c>
      <c r="G150" s="1" t="s">
        <v>2020</v>
      </c>
      <c r="H150" s="1" t="s">
        <v>732</v>
      </c>
      <c r="I150" s="1" t="s">
        <v>703</v>
      </c>
    </row>
    <row r="151" spans="1:9">
      <c r="A151" s="1" t="s">
        <v>2015</v>
      </c>
      <c r="B151" s="1" t="s">
        <v>2525</v>
      </c>
      <c r="C151" s="2">
        <v>41345.416956018518</v>
      </c>
      <c r="D151" s="1">
        <v>0</v>
      </c>
      <c r="E151" s="1">
        <v>47875</v>
      </c>
      <c r="F151" s="1" t="s">
        <v>2019</v>
      </c>
      <c r="G151" s="1" t="s">
        <v>2020</v>
      </c>
      <c r="H151" s="1" t="s">
        <v>732</v>
      </c>
      <c r="I151" s="1" t="s">
        <v>703</v>
      </c>
    </row>
    <row r="152" spans="1:9">
      <c r="A152" s="1" t="s">
        <v>2015</v>
      </c>
      <c r="B152" s="1" t="s">
        <v>2526</v>
      </c>
      <c r="C152" s="2">
        <v>41361</v>
      </c>
      <c r="D152" s="1">
        <v>0</v>
      </c>
      <c r="E152" s="1">
        <v>74600</v>
      </c>
      <c r="F152" s="1" t="s">
        <v>2019</v>
      </c>
      <c r="G152" s="1" t="s">
        <v>2020</v>
      </c>
      <c r="H152" s="1" t="s">
        <v>732</v>
      </c>
      <c r="I152" s="1" t="s">
        <v>703</v>
      </c>
    </row>
    <row r="153" spans="1:9">
      <c r="A153" s="1" t="s">
        <v>2015</v>
      </c>
      <c r="B153" s="1" t="s">
        <v>2527</v>
      </c>
      <c r="C153" s="2">
        <v>41362</v>
      </c>
      <c r="D153" s="1">
        <v>0</v>
      </c>
      <c r="E153" s="1">
        <v>47875</v>
      </c>
      <c r="F153" s="1" t="s">
        <v>2019</v>
      </c>
      <c r="G153" s="1" t="s">
        <v>2020</v>
      </c>
      <c r="H153" s="1" t="s">
        <v>732</v>
      </c>
      <c r="I153" s="1" t="s">
        <v>703</v>
      </c>
    </row>
    <row r="154" spans="1:9">
      <c r="A154" s="1" t="s">
        <v>2015</v>
      </c>
      <c r="B154" s="1" t="s">
        <v>2528</v>
      </c>
      <c r="C154" s="2">
        <v>41362</v>
      </c>
      <c r="D154" s="1">
        <v>0</v>
      </c>
      <c r="E154" s="1">
        <v>47875</v>
      </c>
      <c r="F154" s="1" t="s">
        <v>2019</v>
      </c>
      <c r="G154" s="1" t="s">
        <v>2020</v>
      </c>
      <c r="H154" s="1" t="s">
        <v>732</v>
      </c>
      <c r="I154" s="1" t="s">
        <v>703</v>
      </c>
    </row>
    <row r="155" spans="1:9">
      <c r="A155" s="1" t="s">
        <v>2015</v>
      </c>
      <c r="B155" s="1" t="s">
        <v>2529</v>
      </c>
      <c r="C155" s="2">
        <v>41346</v>
      </c>
      <c r="D155" s="1">
        <v>0</v>
      </c>
      <c r="E155" s="1">
        <v>500000</v>
      </c>
      <c r="F155" s="1" t="s">
        <v>1027</v>
      </c>
      <c r="G155" s="1" t="s">
        <v>1028</v>
      </c>
      <c r="H155" s="1" t="s">
        <v>724</v>
      </c>
      <c r="I155" s="1" t="s">
        <v>858</v>
      </c>
    </row>
    <row r="156" spans="1:9">
      <c r="A156" s="1" t="s">
        <v>2015</v>
      </c>
      <c r="B156" s="1" t="s">
        <v>2530</v>
      </c>
      <c r="C156" s="2">
        <v>41346</v>
      </c>
      <c r="D156" s="1">
        <v>0</v>
      </c>
      <c r="E156" s="1">
        <v>500000</v>
      </c>
      <c r="F156" s="1" t="s">
        <v>1027</v>
      </c>
      <c r="G156" s="1" t="s">
        <v>1028</v>
      </c>
      <c r="H156" s="1" t="s">
        <v>724</v>
      </c>
      <c r="I156" s="1" t="s">
        <v>858</v>
      </c>
    </row>
    <row r="157" spans="1:9">
      <c r="A157" s="1" t="s">
        <v>2015</v>
      </c>
      <c r="B157" s="1" t="s">
        <v>2531</v>
      </c>
      <c r="C157" s="2">
        <v>41348</v>
      </c>
      <c r="D157" s="1">
        <v>0</v>
      </c>
      <c r="E157" s="1">
        <v>1000000</v>
      </c>
      <c r="F157" s="1" t="s">
        <v>1027</v>
      </c>
      <c r="G157" s="1" t="s">
        <v>1028</v>
      </c>
      <c r="H157" s="1" t="s">
        <v>724</v>
      </c>
      <c r="I157" s="1" t="s">
        <v>858</v>
      </c>
    </row>
    <row r="158" spans="1:9">
      <c r="A158" s="1" t="s">
        <v>2015</v>
      </c>
      <c r="B158" s="1" t="s">
        <v>2532</v>
      </c>
      <c r="C158" s="2">
        <v>41360</v>
      </c>
      <c r="D158" s="1">
        <v>0</v>
      </c>
      <c r="E158" s="1">
        <v>1000000</v>
      </c>
      <c r="F158" s="1" t="s">
        <v>1027</v>
      </c>
      <c r="G158" s="1" t="s">
        <v>1028</v>
      </c>
      <c r="H158" s="1" t="s">
        <v>724</v>
      </c>
      <c r="I158" s="1" t="s">
        <v>858</v>
      </c>
    </row>
    <row r="159" spans="1:9">
      <c r="A159" s="1" t="s">
        <v>2015</v>
      </c>
      <c r="B159" s="1" t="s">
        <v>2533</v>
      </c>
      <c r="C159" s="2">
        <v>41360.513344907406</v>
      </c>
      <c r="D159" s="1">
        <v>0</v>
      </c>
      <c r="E159" s="1">
        <v>500000</v>
      </c>
      <c r="F159" s="1" t="s">
        <v>1027</v>
      </c>
      <c r="G159" s="1" t="s">
        <v>1028</v>
      </c>
      <c r="H159" s="1" t="s">
        <v>724</v>
      </c>
      <c r="I159" s="1" t="s">
        <v>858</v>
      </c>
    </row>
    <row r="160" spans="1:9">
      <c r="A160" s="1" t="s">
        <v>2015</v>
      </c>
      <c r="B160" s="1" t="s">
        <v>2534</v>
      </c>
      <c r="C160" s="2">
        <v>41363</v>
      </c>
      <c r="D160" s="1">
        <v>0</v>
      </c>
      <c r="E160" s="1">
        <v>500000</v>
      </c>
      <c r="F160" s="1" t="s">
        <v>1027</v>
      </c>
      <c r="G160" s="1" t="s">
        <v>1028</v>
      </c>
      <c r="H160" s="1" t="s">
        <v>724</v>
      </c>
      <c r="I160" s="1" t="s">
        <v>858</v>
      </c>
    </row>
    <row r="161" spans="1:9">
      <c r="A161" s="1" t="s">
        <v>2015</v>
      </c>
      <c r="B161" s="1" t="s">
        <v>2535</v>
      </c>
      <c r="C161" s="2">
        <v>41362</v>
      </c>
      <c r="D161" s="1">
        <v>0</v>
      </c>
      <c r="E161" s="1">
        <v>680000</v>
      </c>
      <c r="F161" s="1" t="s">
        <v>1033</v>
      </c>
      <c r="G161" s="1" t="s">
        <v>1034</v>
      </c>
      <c r="H161" s="1" t="s">
        <v>724</v>
      </c>
      <c r="I161" s="1" t="s">
        <v>841</v>
      </c>
    </row>
    <row r="162" spans="1:9">
      <c r="A162" s="1" t="s">
        <v>2015</v>
      </c>
      <c r="B162" s="1" t="s">
        <v>2536</v>
      </c>
      <c r="C162" s="2">
        <v>41348</v>
      </c>
      <c r="D162" s="1">
        <v>0</v>
      </c>
      <c r="E162" s="1">
        <v>2500000</v>
      </c>
      <c r="F162" s="1" t="s">
        <v>1035</v>
      </c>
      <c r="G162" s="1" t="s">
        <v>1036</v>
      </c>
      <c r="H162" s="1" t="s">
        <v>743</v>
      </c>
      <c r="I162" s="1" t="s">
        <v>691</v>
      </c>
    </row>
    <row r="163" spans="1:9">
      <c r="A163" s="1" t="s">
        <v>2015</v>
      </c>
      <c r="B163" s="1" t="s">
        <v>2537</v>
      </c>
      <c r="C163" s="2">
        <v>41355</v>
      </c>
      <c r="D163" s="1">
        <v>0</v>
      </c>
      <c r="E163" s="1">
        <v>2500000</v>
      </c>
      <c r="F163" s="1" t="s">
        <v>1035</v>
      </c>
      <c r="G163" s="1" t="s">
        <v>1036</v>
      </c>
      <c r="H163" s="1" t="s">
        <v>743</v>
      </c>
      <c r="I163" s="1" t="s">
        <v>691</v>
      </c>
    </row>
    <row r="164" spans="1:9">
      <c r="A164" s="1" t="s">
        <v>2015</v>
      </c>
      <c r="B164" s="1" t="s">
        <v>2538</v>
      </c>
      <c r="C164" s="2">
        <v>41362</v>
      </c>
      <c r="D164" s="1">
        <v>0</v>
      </c>
      <c r="E164" s="1">
        <v>2500000</v>
      </c>
      <c r="F164" s="1" t="s">
        <v>1035</v>
      </c>
      <c r="G164" s="1" t="s">
        <v>1036</v>
      </c>
      <c r="H164" s="1" t="s">
        <v>743</v>
      </c>
      <c r="I164" s="1" t="s">
        <v>691</v>
      </c>
    </row>
    <row r="165" spans="1:9">
      <c r="A165" s="1" t="s">
        <v>2015</v>
      </c>
      <c r="B165" s="1" t="s">
        <v>2539</v>
      </c>
      <c r="C165" s="2">
        <v>41363</v>
      </c>
      <c r="D165" s="1">
        <v>0</v>
      </c>
      <c r="E165" s="1">
        <v>2500000</v>
      </c>
      <c r="F165" s="1" t="s">
        <v>1035</v>
      </c>
      <c r="G165" s="1" t="s">
        <v>1036</v>
      </c>
      <c r="H165" s="1" t="s">
        <v>743</v>
      </c>
      <c r="I165" s="1" t="s">
        <v>691</v>
      </c>
    </row>
    <row r="166" spans="1:9">
      <c r="A166" s="1" t="s">
        <v>2015</v>
      </c>
      <c r="B166" s="1" t="s">
        <v>2540</v>
      </c>
      <c r="C166" s="2">
        <v>41341</v>
      </c>
      <c r="D166" s="1">
        <v>0</v>
      </c>
      <c r="E166" s="1">
        <v>94000</v>
      </c>
      <c r="F166" s="1" t="s">
        <v>2004</v>
      </c>
      <c r="G166" s="1" t="s">
        <v>2005</v>
      </c>
      <c r="H166" s="1" t="s">
        <v>721</v>
      </c>
      <c r="I166" s="1" t="s">
        <v>703</v>
      </c>
    </row>
    <row r="167" spans="1:9">
      <c r="A167" s="1" t="s">
        <v>2015</v>
      </c>
      <c r="B167" s="1" t="s">
        <v>2541</v>
      </c>
      <c r="C167" s="2">
        <v>41345</v>
      </c>
      <c r="D167" s="1">
        <v>0</v>
      </c>
      <c r="E167" s="1">
        <v>48000</v>
      </c>
      <c r="F167" s="1" t="s">
        <v>2004</v>
      </c>
      <c r="G167" s="1" t="s">
        <v>2005</v>
      </c>
      <c r="H167" s="1" t="s">
        <v>721</v>
      </c>
      <c r="I167" s="1" t="s">
        <v>703</v>
      </c>
    </row>
    <row r="168" spans="1:9">
      <c r="A168" s="1" t="s">
        <v>2015</v>
      </c>
      <c r="B168" s="1" t="s">
        <v>2542</v>
      </c>
      <c r="C168" s="2">
        <v>41351</v>
      </c>
      <c r="D168" s="1">
        <v>0</v>
      </c>
      <c r="E168" s="1">
        <v>48000</v>
      </c>
      <c r="F168" s="1" t="s">
        <v>2004</v>
      </c>
      <c r="G168" s="1" t="s">
        <v>2005</v>
      </c>
      <c r="H168" s="1" t="s">
        <v>721</v>
      </c>
      <c r="I168" s="1" t="s">
        <v>703</v>
      </c>
    </row>
    <row r="169" spans="1:9">
      <c r="A169" s="1" t="s">
        <v>2015</v>
      </c>
      <c r="B169" s="1" t="s">
        <v>2543</v>
      </c>
      <c r="C169" s="2">
        <v>41355</v>
      </c>
      <c r="D169" s="1">
        <v>0</v>
      </c>
      <c r="E169" s="1">
        <v>48500</v>
      </c>
      <c r="F169" s="1" t="s">
        <v>2004</v>
      </c>
      <c r="G169" s="1" t="s">
        <v>2005</v>
      </c>
      <c r="H169" s="1" t="s">
        <v>721</v>
      </c>
      <c r="I169" s="1" t="s">
        <v>703</v>
      </c>
    </row>
    <row r="170" spans="1:9">
      <c r="A170" s="1" t="s">
        <v>2015</v>
      </c>
      <c r="B170" s="1" t="s">
        <v>2544</v>
      </c>
      <c r="C170" s="2">
        <v>41359</v>
      </c>
      <c r="D170" s="1">
        <v>0</v>
      </c>
      <c r="E170" s="1">
        <v>49000</v>
      </c>
      <c r="F170" s="1" t="s">
        <v>2004</v>
      </c>
      <c r="G170" s="1" t="s">
        <v>2005</v>
      </c>
      <c r="H170" s="1" t="s">
        <v>721</v>
      </c>
      <c r="I170" s="1" t="s">
        <v>703</v>
      </c>
    </row>
    <row r="171" spans="1:9">
      <c r="A171" s="1" t="s">
        <v>2015</v>
      </c>
      <c r="B171" s="1" t="s">
        <v>2545</v>
      </c>
      <c r="C171" s="2">
        <v>41354</v>
      </c>
      <c r="D171" s="1">
        <v>0</v>
      </c>
      <c r="E171" s="1">
        <v>210000</v>
      </c>
      <c r="F171" s="1" t="s">
        <v>1038</v>
      </c>
      <c r="G171" s="1" t="s">
        <v>1039</v>
      </c>
      <c r="H171" s="1" t="s">
        <v>732</v>
      </c>
      <c r="I171" s="1" t="s">
        <v>1040</v>
      </c>
    </row>
    <row r="172" spans="1:9">
      <c r="A172" s="1" t="s">
        <v>2015</v>
      </c>
      <c r="B172" s="1" t="s">
        <v>2546</v>
      </c>
      <c r="C172" s="2">
        <v>41359</v>
      </c>
      <c r="D172" s="1">
        <v>0</v>
      </c>
      <c r="E172" s="1">
        <v>100000</v>
      </c>
      <c r="F172" s="1" t="s">
        <v>1038</v>
      </c>
      <c r="G172" s="1" t="s">
        <v>1039</v>
      </c>
      <c r="H172" s="1" t="s">
        <v>732</v>
      </c>
      <c r="I172" s="1" t="s">
        <v>1040</v>
      </c>
    </row>
    <row r="173" spans="1:9">
      <c r="A173" s="1" t="s">
        <v>2015</v>
      </c>
      <c r="B173" s="1" t="s">
        <v>2547</v>
      </c>
      <c r="C173" s="2">
        <v>41340</v>
      </c>
      <c r="D173" s="1">
        <v>0</v>
      </c>
      <c r="E173" s="1">
        <v>200000</v>
      </c>
      <c r="F173" s="1" t="s">
        <v>1041</v>
      </c>
      <c r="G173" s="1" t="s">
        <v>1042</v>
      </c>
      <c r="H173" s="1" t="s">
        <v>721</v>
      </c>
      <c r="I173" s="1" t="s">
        <v>669</v>
      </c>
    </row>
    <row r="174" spans="1:9">
      <c r="A174" s="1" t="s">
        <v>2015</v>
      </c>
      <c r="B174" s="1" t="s">
        <v>2548</v>
      </c>
      <c r="C174" s="2">
        <v>41345</v>
      </c>
      <c r="D174" s="1">
        <v>0</v>
      </c>
      <c r="E174" s="1">
        <v>286000</v>
      </c>
      <c r="F174" s="1" t="s">
        <v>1043</v>
      </c>
      <c r="G174" s="1" t="s">
        <v>1044</v>
      </c>
      <c r="H174" s="1" t="s">
        <v>724</v>
      </c>
      <c r="I174" s="1" t="s">
        <v>836</v>
      </c>
    </row>
    <row r="175" spans="1:9">
      <c r="A175" s="1" t="s">
        <v>2015</v>
      </c>
      <c r="B175" s="1" t="s">
        <v>2549</v>
      </c>
      <c r="C175" s="2">
        <v>41346</v>
      </c>
      <c r="D175" s="1">
        <v>0</v>
      </c>
      <c r="E175" s="1">
        <v>200000</v>
      </c>
      <c r="F175" s="1" t="s">
        <v>1043</v>
      </c>
      <c r="G175" s="1" t="s">
        <v>1044</v>
      </c>
      <c r="H175" s="1" t="s">
        <v>724</v>
      </c>
      <c r="I175" s="1" t="s">
        <v>836</v>
      </c>
    </row>
    <row r="176" spans="1:9">
      <c r="A176" s="1" t="s">
        <v>2015</v>
      </c>
      <c r="B176" s="1" t="s">
        <v>2550</v>
      </c>
      <c r="C176" s="2">
        <v>41347</v>
      </c>
      <c r="D176" s="1">
        <v>0</v>
      </c>
      <c r="E176" s="1">
        <v>300000</v>
      </c>
      <c r="F176" s="1" t="s">
        <v>1043</v>
      </c>
      <c r="G176" s="1" t="s">
        <v>1044</v>
      </c>
      <c r="H176" s="1" t="s">
        <v>724</v>
      </c>
      <c r="I176" s="1" t="s">
        <v>836</v>
      </c>
    </row>
    <row r="177" spans="1:9">
      <c r="A177" s="1" t="s">
        <v>2015</v>
      </c>
      <c r="B177" s="1" t="s">
        <v>2551</v>
      </c>
      <c r="C177" s="2">
        <v>41347</v>
      </c>
      <c r="D177" s="1">
        <v>0</v>
      </c>
      <c r="E177" s="1">
        <v>300000</v>
      </c>
      <c r="F177" s="1" t="s">
        <v>1043</v>
      </c>
      <c r="G177" s="1" t="s">
        <v>1044</v>
      </c>
      <c r="H177" s="1" t="s">
        <v>724</v>
      </c>
      <c r="I177" s="1" t="s">
        <v>836</v>
      </c>
    </row>
    <row r="178" spans="1:9">
      <c r="A178" s="1" t="s">
        <v>2015</v>
      </c>
      <c r="B178" s="1" t="s">
        <v>2552</v>
      </c>
      <c r="C178" s="2">
        <v>41348</v>
      </c>
      <c r="D178" s="1">
        <v>0</v>
      </c>
      <c r="E178" s="1">
        <v>220000</v>
      </c>
      <c r="F178" s="1" t="s">
        <v>1043</v>
      </c>
      <c r="G178" s="1" t="s">
        <v>1044</v>
      </c>
      <c r="H178" s="1" t="s">
        <v>724</v>
      </c>
      <c r="I178" s="1" t="s">
        <v>836</v>
      </c>
    </row>
    <row r="179" spans="1:9">
      <c r="A179" s="1" t="s">
        <v>2015</v>
      </c>
      <c r="B179" s="1" t="s">
        <v>2553</v>
      </c>
      <c r="C179" s="2">
        <v>41348</v>
      </c>
      <c r="D179" s="1">
        <v>0</v>
      </c>
      <c r="E179" s="1">
        <v>1500000</v>
      </c>
      <c r="F179" s="1" t="s">
        <v>1043</v>
      </c>
      <c r="G179" s="1" t="s">
        <v>1044</v>
      </c>
      <c r="H179" s="1" t="s">
        <v>724</v>
      </c>
      <c r="I179" s="1" t="s">
        <v>836</v>
      </c>
    </row>
    <row r="180" spans="1:9">
      <c r="A180" s="1" t="s">
        <v>2015</v>
      </c>
      <c r="B180" s="1" t="s">
        <v>2554</v>
      </c>
      <c r="C180" s="2">
        <v>41351</v>
      </c>
      <c r="D180" s="1">
        <v>0</v>
      </c>
      <c r="E180" s="1">
        <v>200000</v>
      </c>
      <c r="F180" s="1" t="s">
        <v>1043</v>
      </c>
      <c r="G180" s="1" t="s">
        <v>1044</v>
      </c>
      <c r="H180" s="1" t="s">
        <v>724</v>
      </c>
      <c r="I180" s="1" t="s">
        <v>836</v>
      </c>
    </row>
    <row r="181" spans="1:9">
      <c r="A181" s="1" t="s">
        <v>2015</v>
      </c>
      <c r="B181" s="1" t="s">
        <v>2555</v>
      </c>
      <c r="C181" s="2">
        <v>41359</v>
      </c>
      <c r="D181" s="1">
        <v>0</v>
      </c>
      <c r="E181" s="1">
        <v>100000</v>
      </c>
      <c r="F181" s="1" t="s">
        <v>1043</v>
      </c>
      <c r="G181" s="1" t="s">
        <v>1044</v>
      </c>
      <c r="H181" s="1" t="s">
        <v>724</v>
      </c>
      <c r="I181" s="1" t="s">
        <v>836</v>
      </c>
    </row>
    <row r="182" spans="1:9">
      <c r="A182" s="1" t="s">
        <v>2015</v>
      </c>
      <c r="B182" s="1" t="s">
        <v>2556</v>
      </c>
      <c r="C182" s="2">
        <v>41360</v>
      </c>
      <c r="D182" s="1">
        <v>0</v>
      </c>
      <c r="E182" s="1">
        <v>200000</v>
      </c>
      <c r="F182" s="1" t="s">
        <v>1043</v>
      </c>
      <c r="G182" s="1" t="s">
        <v>1044</v>
      </c>
      <c r="H182" s="1" t="s">
        <v>724</v>
      </c>
      <c r="I182" s="1" t="s">
        <v>836</v>
      </c>
    </row>
    <row r="183" spans="1:9">
      <c r="A183" s="1" t="s">
        <v>2015</v>
      </c>
      <c r="B183" s="1" t="s">
        <v>2557</v>
      </c>
      <c r="C183" s="2">
        <v>41362</v>
      </c>
      <c r="D183" s="1">
        <v>0</v>
      </c>
      <c r="E183" s="1">
        <v>350000</v>
      </c>
      <c r="F183" s="1" t="s">
        <v>1043</v>
      </c>
      <c r="G183" s="1" t="s">
        <v>1044</v>
      </c>
      <c r="H183" s="1" t="s">
        <v>724</v>
      </c>
      <c r="I183" s="1" t="s">
        <v>836</v>
      </c>
    </row>
    <row r="184" spans="1:9">
      <c r="A184" s="1" t="s">
        <v>2015</v>
      </c>
      <c r="B184" s="1" t="s">
        <v>2558</v>
      </c>
      <c r="C184" s="2">
        <v>41363</v>
      </c>
      <c r="D184" s="1">
        <v>0</v>
      </c>
      <c r="E184" s="1">
        <v>200000</v>
      </c>
      <c r="F184" s="1" t="s">
        <v>1043</v>
      </c>
      <c r="G184" s="1" t="s">
        <v>1044</v>
      </c>
      <c r="H184" s="1" t="s">
        <v>724</v>
      </c>
      <c r="I184" s="1" t="s">
        <v>836</v>
      </c>
    </row>
    <row r="185" spans="1:9">
      <c r="A185" s="1" t="s">
        <v>2015</v>
      </c>
      <c r="B185" s="1" t="s">
        <v>2559</v>
      </c>
      <c r="C185" s="2">
        <v>41363</v>
      </c>
      <c r="D185" s="1">
        <v>0</v>
      </c>
      <c r="E185" s="1">
        <v>250000</v>
      </c>
      <c r="F185" s="1" t="s">
        <v>1043</v>
      </c>
      <c r="G185" s="1" t="s">
        <v>1044</v>
      </c>
      <c r="H185" s="1" t="s">
        <v>724</v>
      </c>
      <c r="I185" s="1" t="s">
        <v>836</v>
      </c>
    </row>
    <row r="186" spans="1:9">
      <c r="A186" s="1" t="s">
        <v>2015</v>
      </c>
      <c r="B186" s="1" t="s">
        <v>2560</v>
      </c>
      <c r="C186" s="2">
        <v>41363</v>
      </c>
      <c r="D186" s="1">
        <v>0</v>
      </c>
      <c r="E186" s="1">
        <v>100000</v>
      </c>
      <c r="F186" s="1" t="s">
        <v>1043</v>
      </c>
      <c r="G186" s="1" t="s">
        <v>1044</v>
      </c>
      <c r="H186" s="1" t="s">
        <v>724</v>
      </c>
      <c r="I186" s="1" t="s">
        <v>836</v>
      </c>
    </row>
    <row r="187" spans="1:9">
      <c r="A187" s="1" t="s">
        <v>2015</v>
      </c>
      <c r="B187" s="1" t="s">
        <v>2561</v>
      </c>
      <c r="C187" s="2">
        <v>41363</v>
      </c>
      <c r="D187" s="1">
        <v>0</v>
      </c>
      <c r="E187" s="1">
        <v>220000</v>
      </c>
      <c r="F187" s="1" t="s">
        <v>1043</v>
      </c>
      <c r="G187" s="1" t="s">
        <v>1044</v>
      </c>
      <c r="H187" s="1" t="s">
        <v>724</v>
      </c>
      <c r="I187" s="1" t="s">
        <v>836</v>
      </c>
    </row>
    <row r="188" spans="1:9">
      <c r="A188" s="1" t="s">
        <v>2015</v>
      </c>
      <c r="B188" s="1" t="s">
        <v>2562</v>
      </c>
      <c r="C188" s="2">
        <v>41363</v>
      </c>
      <c r="D188" s="1">
        <v>0</v>
      </c>
      <c r="E188" s="1">
        <v>250000</v>
      </c>
      <c r="F188" s="1" t="s">
        <v>1043</v>
      </c>
      <c r="G188" s="1" t="s">
        <v>1044</v>
      </c>
      <c r="H188" s="1" t="s">
        <v>724</v>
      </c>
      <c r="I188" s="1" t="s">
        <v>836</v>
      </c>
    </row>
    <row r="189" spans="1:9">
      <c r="A189" s="1" t="s">
        <v>2015</v>
      </c>
      <c r="B189" s="1" t="s">
        <v>2563</v>
      </c>
      <c r="C189" s="2">
        <v>41363</v>
      </c>
      <c r="D189" s="1">
        <v>0</v>
      </c>
      <c r="E189" s="1">
        <v>400000</v>
      </c>
      <c r="F189" s="1" t="s">
        <v>1043</v>
      </c>
      <c r="G189" s="1" t="s">
        <v>1044</v>
      </c>
      <c r="H189" s="1" t="s">
        <v>724</v>
      </c>
      <c r="I189" s="1" t="s">
        <v>836</v>
      </c>
    </row>
    <row r="190" spans="1:9">
      <c r="A190" s="1" t="s">
        <v>2015</v>
      </c>
      <c r="B190" s="1" t="s">
        <v>2564</v>
      </c>
      <c r="C190" s="2">
        <v>41358</v>
      </c>
      <c r="D190" s="1">
        <v>0</v>
      </c>
      <c r="E190" s="1">
        <v>100000</v>
      </c>
      <c r="F190" s="1" t="s">
        <v>1050</v>
      </c>
      <c r="G190" s="1" t="s">
        <v>1051</v>
      </c>
      <c r="H190" s="1" t="s">
        <v>743</v>
      </c>
      <c r="I190" s="1" t="s">
        <v>650</v>
      </c>
    </row>
    <row r="191" spans="1:9">
      <c r="A191" s="1" t="s">
        <v>2015</v>
      </c>
      <c r="B191" s="1" t="s">
        <v>2565</v>
      </c>
      <c r="C191" s="2">
        <v>41363</v>
      </c>
      <c r="D191" s="1">
        <v>0</v>
      </c>
      <c r="E191" s="1">
        <v>200000</v>
      </c>
      <c r="F191" s="1" t="s">
        <v>1050</v>
      </c>
      <c r="G191" s="1" t="s">
        <v>1051</v>
      </c>
      <c r="H191" s="1" t="s">
        <v>743</v>
      </c>
      <c r="I191" s="1" t="s">
        <v>650</v>
      </c>
    </row>
    <row r="192" spans="1:9">
      <c r="A192" s="1" t="s">
        <v>2015</v>
      </c>
      <c r="B192" s="1" t="s">
        <v>2566</v>
      </c>
      <c r="C192" s="2">
        <v>41363</v>
      </c>
      <c r="D192" s="1">
        <v>0</v>
      </c>
      <c r="E192" s="1">
        <v>51000</v>
      </c>
      <c r="F192" s="1" t="s">
        <v>1050</v>
      </c>
      <c r="G192" s="1" t="s">
        <v>1051</v>
      </c>
      <c r="H192" s="1" t="s">
        <v>743</v>
      </c>
      <c r="I192" s="1" t="s">
        <v>650</v>
      </c>
    </row>
    <row r="193" spans="1:9">
      <c r="A193" s="1" t="s">
        <v>2015</v>
      </c>
      <c r="B193" s="1" t="s">
        <v>2567</v>
      </c>
      <c r="C193" s="2">
        <v>41363</v>
      </c>
      <c r="D193" s="1">
        <v>0</v>
      </c>
      <c r="E193" s="1">
        <v>1133281</v>
      </c>
      <c r="F193" s="1" t="s">
        <v>1056</v>
      </c>
      <c r="G193" s="1" t="s">
        <v>1057</v>
      </c>
      <c r="H193" s="1" t="s">
        <v>743</v>
      </c>
      <c r="I193" s="1" t="s">
        <v>691</v>
      </c>
    </row>
    <row r="194" spans="1:9">
      <c r="A194" s="1" t="s">
        <v>2015</v>
      </c>
      <c r="B194" s="1" t="s">
        <v>2470</v>
      </c>
      <c r="C194" s="2">
        <v>41363</v>
      </c>
      <c r="D194" s="1">
        <v>0</v>
      </c>
      <c r="E194" s="1">
        <v>41103</v>
      </c>
      <c r="F194" s="1" t="s">
        <v>1056</v>
      </c>
      <c r="G194" s="1" t="s">
        <v>1057</v>
      </c>
      <c r="H194" s="1" t="s">
        <v>743</v>
      </c>
      <c r="I194" s="1" t="s">
        <v>691</v>
      </c>
    </row>
    <row r="195" spans="1:9">
      <c r="A195" s="1" t="s">
        <v>2015</v>
      </c>
      <c r="B195" s="1" t="s">
        <v>2568</v>
      </c>
      <c r="C195" s="2">
        <v>41341</v>
      </c>
      <c r="D195" s="1">
        <v>0</v>
      </c>
      <c r="E195" s="1">
        <v>250000</v>
      </c>
      <c r="F195" s="1" t="s">
        <v>1064</v>
      </c>
      <c r="G195" s="1" t="s">
        <v>1065</v>
      </c>
      <c r="H195" s="1" t="s">
        <v>743</v>
      </c>
      <c r="I195" s="1" t="s">
        <v>669</v>
      </c>
    </row>
    <row r="196" spans="1:9">
      <c r="A196" s="1" t="s">
        <v>2015</v>
      </c>
      <c r="B196" s="1" t="s">
        <v>2569</v>
      </c>
      <c r="C196" s="2">
        <v>41347</v>
      </c>
      <c r="D196" s="1">
        <v>0</v>
      </c>
      <c r="E196" s="1">
        <v>210000</v>
      </c>
      <c r="F196" s="1" t="s">
        <v>1064</v>
      </c>
      <c r="G196" s="1" t="s">
        <v>1065</v>
      </c>
      <c r="H196" s="1" t="s">
        <v>743</v>
      </c>
      <c r="I196" s="1" t="s">
        <v>669</v>
      </c>
    </row>
    <row r="197" spans="1:9">
      <c r="A197" s="1" t="s">
        <v>2015</v>
      </c>
      <c r="B197" s="1" t="s">
        <v>2570</v>
      </c>
      <c r="C197" s="2">
        <v>41347</v>
      </c>
      <c r="D197" s="1">
        <v>0</v>
      </c>
      <c r="E197" s="1">
        <v>40000</v>
      </c>
      <c r="F197" s="1" t="s">
        <v>1064</v>
      </c>
      <c r="G197" s="1" t="s">
        <v>1065</v>
      </c>
      <c r="H197" s="1" t="s">
        <v>743</v>
      </c>
      <c r="I197" s="1" t="s">
        <v>669</v>
      </c>
    </row>
    <row r="198" spans="1:9">
      <c r="A198" s="1" t="s">
        <v>2015</v>
      </c>
      <c r="B198" s="1" t="s">
        <v>2571</v>
      </c>
      <c r="C198" s="2">
        <v>41355</v>
      </c>
      <c r="D198" s="1">
        <v>0</v>
      </c>
      <c r="E198" s="1">
        <v>50000</v>
      </c>
      <c r="F198" s="1" t="s">
        <v>1064</v>
      </c>
      <c r="G198" s="1" t="s">
        <v>1065</v>
      </c>
      <c r="H198" s="1" t="s">
        <v>743</v>
      </c>
      <c r="I198" s="1" t="s">
        <v>669</v>
      </c>
    </row>
    <row r="199" spans="1:9">
      <c r="A199" s="1" t="s">
        <v>2018</v>
      </c>
      <c r="B199" s="1" t="s">
        <v>2572</v>
      </c>
      <c r="C199" s="2">
        <v>41355</v>
      </c>
      <c r="D199" s="1">
        <v>50000</v>
      </c>
      <c r="E199" s="1">
        <v>0</v>
      </c>
      <c r="F199" s="1" t="s">
        <v>1064</v>
      </c>
      <c r="G199" s="1" t="s">
        <v>1065</v>
      </c>
      <c r="H199" s="1" t="s">
        <v>743</v>
      </c>
      <c r="I199" s="1" t="s">
        <v>669</v>
      </c>
    </row>
    <row r="200" spans="1:9">
      <c r="A200" s="1" t="s">
        <v>2015</v>
      </c>
      <c r="B200" s="1" t="s">
        <v>2573</v>
      </c>
      <c r="C200" s="2">
        <v>41355</v>
      </c>
      <c r="D200" s="1">
        <v>0</v>
      </c>
      <c r="E200" s="1">
        <v>200000</v>
      </c>
      <c r="F200" s="1" t="s">
        <v>1064</v>
      </c>
      <c r="G200" s="1" t="s">
        <v>1065</v>
      </c>
      <c r="H200" s="1" t="s">
        <v>743</v>
      </c>
      <c r="I200" s="1" t="s">
        <v>669</v>
      </c>
    </row>
    <row r="201" spans="1:9">
      <c r="A201" s="1" t="s">
        <v>2015</v>
      </c>
      <c r="B201" s="1" t="s">
        <v>2574</v>
      </c>
      <c r="C201" s="2">
        <v>41362</v>
      </c>
      <c r="D201" s="1">
        <v>0</v>
      </c>
      <c r="E201" s="1">
        <v>2200000</v>
      </c>
      <c r="F201" s="1" t="s">
        <v>1064</v>
      </c>
      <c r="G201" s="1" t="s">
        <v>1065</v>
      </c>
      <c r="H201" s="1" t="s">
        <v>743</v>
      </c>
      <c r="I201" s="1" t="s">
        <v>669</v>
      </c>
    </row>
    <row r="202" spans="1:9">
      <c r="A202" s="1" t="s">
        <v>2015</v>
      </c>
      <c r="B202" s="1" t="s">
        <v>2575</v>
      </c>
      <c r="C202" s="2">
        <v>41362.686840277776</v>
      </c>
      <c r="D202" s="1">
        <v>0</v>
      </c>
      <c r="E202" s="1">
        <v>200000</v>
      </c>
      <c r="F202" s="1" t="s">
        <v>1064</v>
      </c>
      <c r="G202" s="1" t="s">
        <v>1065</v>
      </c>
      <c r="H202" s="1" t="s">
        <v>743</v>
      </c>
      <c r="I202" s="1" t="s">
        <v>669</v>
      </c>
    </row>
    <row r="203" spans="1:9">
      <c r="A203" s="1" t="s">
        <v>2015</v>
      </c>
      <c r="B203" s="1" t="s">
        <v>2576</v>
      </c>
      <c r="C203" s="2">
        <v>41363</v>
      </c>
      <c r="D203" s="1">
        <v>0</v>
      </c>
      <c r="E203" s="1">
        <v>200000</v>
      </c>
      <c r="F203" s="1" t="s">
        <v>1064</v>
      </c>
      <c r="G203" s="1" t="s">
        <v>1065</v>
      </c>
      <c r="H203" s="1" t="s">
        <v>743</v>
      </c>
      <c r="I203" s="1" t="s">
        <v>669</v>
      </c>
    </row>
    <row r="204" spans="1:9">
      <c r="A204" s="1" t="s">
        <v>2015</v>
      </c>
      <c r="B204" s="1" t="s">
        <v>2577</v>
      </c>
      <c r="C204" s="2">
        <v>41363</v>
      </c>
      <c r="D204" s="1">
        <v>0</v>
      </c>
      <c r="E204" s="1">
        <v>50000</v>
      </c>
      <c r="F204" s="1" t="s">
        <v>1064</v>
      </c>
      <c r="G204" s="1" t="s">
        <v>1065</v>
      </c>
      <c r="H204" s="1" t="s">
        <v>743</v>
      </c>
      <c r="I204" s="1" t="s">
        <v>669</v>
      </c>
    </row>
    <row r="205" spans="1:9">
      <c r="A205" s="1" t="s">
        <v>2015</v>
      </c>
      <c r="B205" s="1" t="s">
        <v>2578</v>
      </c>
      <c r="C205" s="2">
        <v>41363</v>
      </c>
      <c r="D205" s="1">
        <v>0</v>
      </c>
      <c r="E205" s="1">
        <v>100000</v>
      </c>
      <c r="F205" s="1" t="s">
        <v>1064</v>
      </c>
      <c r="G205" s="1" t="s">
        <v>1065</v>
      </c>
      <c r="H205" s="1" t="s">
        <v>743</v>
      </c>
      <c r="I205" s="1" t="s">
        <v>669</v>
      </c>
    </row>
    <row r="206" spans="1:9">
      <c r="A206" s="1" t="s">
        <v>2015</v>
      </c>
      <c r="B206" s="1" t="s">
        <v>2579</v>
      </c>
      <c r="C206" s="2">
        <v>41341</v>
      </c>
      <c r="D206" s="1">
        <v>0</v>
      </c>
      <c r="E206" s="1">
        <v>100000</v>
      </c>
      <c r="F206" s="1" t="s">
        <v>1066</v>
      </c>
      <c r="G206" s="1" t="s">
        <v>1067</v>
      </c>
      <c r="H206" s="1" t="s">
        <v>743</v>
      </c>
      <c r="I206" s="1" t="s">
        <v>703</v>
      </c>
    </row>
    <row r="207" spans="1:9">
      <c r="A207" s="1" t="s">
        <v>2015</v>
      </c>
      <c r="B207" s="1" t="s">
        <v>2580</v>
      </c>
      <c r="C207" s="2">
        <v>41348</v>
      </c>
      <c r="D207" s="1">
        <v>0</v>
      </c>
      <c r="E207" s="1">
        <v>200000</v>
      </c>
      <c r="F207" s="1" t="s">
        <v>1066</v>
      </c>
      <c r="G207" s="1" t="s">
        <v>1067</v>
      </c>
      <c r="H207" s="1" t="s">
        <v>743</v>
      </c>
      <c r="I207" s="1" t="s">
        <v>703</v>
      </c>
    </row>
    <row r="208" spans="1:9">
      <c r="A208" s="1" t="s">
        <v>2015</v>
      </c>
      <c r="B208" s="1" t="s">
        <v>2581</v>
      </c>
      <c r="C208" s="2">
        <v>41352</v>
      </c>
      <c r="D208" s="1">
        <v>0</v>
      </c>
      <c r="E208" s="1">
        <v>300000</v>
      </c>
      <c r="F208" s="1" t="s">
        <v>1066</v>
      </c>
      <c r="G208" s="1" t="s">
        <v>1067</v>
      </c>
      <c r="H208" s="1" t="s">
        <v>743</v>
      </c>
      <c r="I208" s="1" t="s">
        <v>703</v>
      </c>
    </row>
    <row r="209" spans="1:9">
      <c r="A209" s="1" t="s">
        <v>2015</v>
      </c>
      <c r="B209" s="1" t="s">
        <v>2582</v>
      </c>
      <c r="C209" s="2">
        <v>41355</v>
      </c>
      <c r="D209" s="1">
        <v>0</v>
      </c>
      <c r="E209" s="1">
        <v>200000</v>
      </c>
      <c r="F209" s="1" t="s">
        <v>1066</v>
      </c>
      <c r="G209" s="1" t="s">
        <v>1067</v>
      </c>
      <c r="H209" s="1" t="s">
        <v>743</v>
      </c>
      <c r="I209" s="1" t="s">
        <v>703</v>
      </c>
    </row>
    <row r="210" spans="1:9">
      <c r="A210" s="1" t="s">
        <v>2015</v>
      </c>
      <c r="B210" s="1" t="s">
        <v>2583</v>
      </c>
      <c r="C210" s="2">
        <v>41363</v>
      </c>
      <c r="D210" s="1">
        <v>0</v>
      </c>
      <c r="E210" s="1">
        <v>200000</v>
      </c>
      <c r="F210" s="1" t="s">
        <v>1066</v>
      </c>
      <c r="G210" s="1" t="s">
        <v>1067</v>
      </c>
      <c r="H210" s="1" t="s">
        <v>743</v>
      </c>
      <c r="I210" s="1" t="s">
        <v>703</v>
      </c>
    </row>
    <row r="211" spans="1:9">
      <c r="A211" s="1" t="s">
        <v>2015</v>
      </c>
      <c r="B211" s="1" t="s">
        <v>2584</v>
      </c>
      <c r="C211" s="2">
        <v>41348</v>
      </c>
      <c r="D211" s="1">
        <v>0</v>
      </c>
      <c r="E211" s="1">
        <v>500000</v>
      </c>
      <c r="F211" s="1" t="s">
        <v>1068</v>
      </c>
      <c r="G211" s="1" t="s">
        <v>1069</v>
      </c>
      <c r="H211" s="1" t="s">
        <v>724</v>
      </c>
      <c r="I211" s="1" t="s">
        <v>725</v>
      </c>
    </row>
    <row r="212" spans="1:9">
      <c r="A212" s="1" t="s">
        <v>2015</v>
      </c>
      <c r="B212" s="1" t="s">
        <v>2585</v>
      </c>
      <c r="C212" s="2">
        <v>41348</v>
      </c>
      <c r="D212" s="1">
        <v>0</v>
      </c>
      <c r="E212" s="1">
        <v>2000000</v>
      </c>
      <c r="F212" s="1" t="s">
        <v>1068</v>
      </c>
      <c r="G212" s="1" t="s">
        <v>1069</v>
      </c>
      <c r="H212" s="1" t="s">
        <v>724</v>
      </c>
      <c r="I212" s="1" t="s">
        <v>725</v>
      </c>
    </row>
    <row r="213" spans="1:9">
      <c r="A213" s="1" t="s">
        <v>2015</v>
      </c>
      <c r="B213" s="1" t="s">
        <v>2586</v>
      </c>
      <c r="C213" s="2">
        <v>41363</v>
      </c>
      <c r="D213" s="1">
        <v>0</v>
      </c>
      <c r="E213" s="1">
        <v>700000</v>
      </c>
      <c r="F213" s="1" t="s">
        <v>1068</v>
      </c>
      <c r="G213" s="1" t="s">
        <v>1069</v>
      </c>
      <c r="H213" s="1" t="s">
        <v>724</v>
      </c>
      <c r="I213" s="1" t="s">
        <v>725</v>
      </c>
    </row>
    <row r="214" spans="1:9">
      <c r="A214" s="1" t="s">
        <v>2015</v>
      </c>
      <c r="B214" s="1" t="s">
        <v>2587</v>
      </c>
      <c r="C214" s="2">
        <v>41363</v>
      </c>
      <c r="D214" s="1">
        <v>0</v>
      </c>
      <c r="E214" s="1">
        <v>1650000</v>
      </c>
      <c r="F214" s="1" t="s">
        <v>1068</v>
      </c>
      <c r="G214" s="1" t="s">
        <v>1069</v>
      </c>
      <c r="H214" s="1" t="s">
        <v>724</v>
      </c>
      <c r="I214" s="1" t="s">
        <v>725</v>
      </c>
    </row>
    <row r="215" spans="1:9">
      <c r="A215" s="1" t="s">
        <v>2015</v>
      </c>
      <c r="B215" s="1" t="s">
        <v>2588</v>
      </c>
      <c r="C215" s="2">
        <v>41334</v>
      </c>
      <c r="D215" s="1">
        <v>0</v>
      </c>
      <c r="E215" s="1">
        <v>4647</v>
      </c>
      <c r="F215" s="1" t="s">
        <v>2021</v>
      </c>
      <c r="G215" s="1" t="s">
        <v>2022</v>
      </c>
      <c r="H215" s="1" t="s">
        <v>1873</v>
      </c>
      <c r="I215" s="1" t="s">
        <v>703</v>
      </c>
    </row>
    <row r="216" spans="1:9">
      <c r="A216" s="1" t="s">
        <v>2015</v>
      </c>
      <c r="B216" s="1" t="s">
        <v>2589</v>
      </c>
      <c r="C216" s="2">
        <v>41334</v>
      </c>
      <c r="D216" s="1">
        <v>0</v>
      </c>
      <c r="E216" s="1">
        <v>24784</v>
      </c>
      <c r="F216" s="1" t="s">
        <v>2023</v>
      </c>
      <c r="G216" s="1" t="s">
        <v>2024</v>
      </c>
      <c r="H216" s="1" t="s">
        <v>724</v>
      </c>
      <c r="I216" s="1" t="s">
        <v>729</v>
      </c>
    </row>
    <row r="217" spans="1:9">
      <c r="A217" s="1" t="s">
        <v>2015</v>
      </c>
      <c r="B217" s="1" t="s">
        <v>2590</v>
      </c>
      <c r="C217" s="2">
        <v>41334</v>
      </c>
      <c r="D217" s="1">
        <v>0</v>
      </c>
      <c r="E217" s="1">
        <v>38</v>
      </c>
      <c r="F217" s="1" t="s">
        <v>2591</v>
      </c>
      <c r="G217" s="1" t="s">
        <v>2592</v>
      </c>
      <c r="H217" s="1" t="s">
        <v>1873</v>
      </c>
      <c r="I217" s="1" t="s">
        <v>703</v>
      </c>
    </row>
    <row r="218" spans="1:9">
      <c r="A218" s="1" t="s">
        <v>2015</v>
      </c>
      <c r="B218" s="1" t="s">
        <v>2593</v>
      </c>
      <c r="C218" s="2">
        <v>41334.412928240738</v>
      </c>
      <c r="D218" s="1">
        <v>0</v>
      </c>
      <c r="E218" s="1">
        <v>2</v>
      </c>
      <c r="F218" s="1" t="s">
        <v>2591</v>
      </c>
      <c r="G218" s="1" t="s">
        <v>2592</v>
      </c>
      <c r="H218" s="1" t="s">
        <v>1873</v>
      </c>
      <c r="I218" s="1" t="s">
        <v>703</v>
      </c>
    </row>
    <row r="219" spans="1:9">
      <c r="A219" s="1" t="s">
        <v>2015</v>
      </c>
      <c r="B219" s="1" t="s">
        <v>2594</v>
      </c>
      <c r="C219" s="2">
        <v>41342</v>
      </c>
      <c r="D219" s="1">
        <v>0</v>
      </c>
      <c r="E219" s="1">
        <v>10324</v>
      </c>
      <c r="F219" s="1" t="s">
        <v>2591</v>
      </c>
      <c r="G219" s="1" t="s">
        <v>2592</v>
      </c>
      <c r="H219" s="1" t="s">
        <v>1873</v>
      </c>
      <c r="I219" s="1" t="s">
        <v>703</v>
      </c>
    </row>
    <row r="220" spans="1:9">
      <c r="A220" s="1" t="s">
        <v>2015</v>
      </c>
      <c r="B220" s="1" t="s">
        <v>2595</v>
      </c>
      <c r="C220" s="2">
        <v>41334</v>
      </c>
      <c r="D220" s="1">
        <v>0</v>
      </c>
      <c r="E220" s="1">
        <v>7826</v>
      </c>
      <c r="F220" s="1" t="s">
        <v>2025</v>
      </c>
      <c r="G220" s="1" t="s">
        <v>2026</v>
      </c>
      <c r="H220" s="1" t="s">
        <v>732</v>
      </c>
      <c r="I220" s="1" t="s">
        <v>729</v>
      </c>
    </row>
    <row r="221" spans="1:9">
      <c r="A221" s="1" t="s">
        <v>2015</v>
      </c>
      <c r="B221" s="1" t="s">
        <v>2596</v>
      </c>
      <c r="C221" s="2">
        <v>41334</v>
      </c>
      <c r="D221" s="1">
        <v>0</v>
      </c>
      <c r="E221" s="1">
        <v>7000</v>
      </c>
      <c r="F221" s="1" t="s">
        <v>2597</v>
      </c>
      <c r="G221" s="1" t="s">
        <v>2598</v>
      </c>
      <c r="H221" s="1" t="s">
        <v>724</v>
      </c>
      <c r="I221" s="1" t="s">
        <v>729</v>
      </c>
    </row>
    <row r="222" spans="1:9">
      <c r="A222" s="1" t="s">
        <v>2015</v>
      </c>
      <c r="B222" s="1" t="s">
        <v>2599</v>
      </c>
      <c r="C222" s="2">
        <v>41334</v>
      </c>
      <c r="D222" s="1">
        <v>0</v>
      </c>
      <c r="E222" s="1">
        <v>16945</v>
      </c>
      <c r="F222" s="1" t="s">
        <v>2027</v>
      </c>
      <c r="G222" s="1" t="s">
        <v>2028</v>
      </c>
      <c r="H222" s="1" t="s">
        <v>724</v>
      </c>
      <c r="I222" s="1" t="s">
        <v>729</v>
      </c>
    </row>
    <row r="223" spans="1:9">
      <c r="A223" s="1" t="s">
        <v>2015</v>
      </c>
      <c r="B223" s="1" t="s">
        <v>2600</v>
      </c>
      <c r="C223" s="2">
        <v>41334</v>
      </c>
      <c r="D223" s="1">
        <v>0</v>
      </c>
      <c r="E223" s="1">
        <v>12361</v>
      </c>
      <c r="F223" s="1" t="s">
        <v>2029</v>
      </c>
      <c r="G223" s="1" t="s">
        <v>2030</v>
      </c>
      <c r="H223" s="1" t="s">
        <v>724</v>
      </c>
      <c r="I223" s="1" t="s">
        <v>729</v>
      </c>
    </row>
    <row r="224" spans="1:9">
      <c r="A224" s="1" t="s">
        <v>2015</v>
      </c>
      <c r="B224" s="1" t="s">
        <v>2601</v>
      </c>
      <c r="C224" s="2">
        <v>41334</v>
      </c>
      <c r="D224" s="1">
        <v>0</v>
      </c>
      <c r="E224" s="1">
        <v>5370</v>
      </c>
      <c r="F224" s="1" t="s">
        <v>2602</v>
      </c>
      <c r="G224" s="1" t="s">
        <v>2603</v>
      </c>
      <c r="H224" s="1" t="s">
        <v>724</v>
      </c>
      <c r="I224" s="1" t="s">
        <v>729</v>
      </c>
    </row>
    <row r="225" spans="1:9">
      <c r="A225" s="1" t="s">
        <v>2015</v>
      </c>
      <c r="B225" s="1" t="s">
        <v>2604</v>
      </c>
      <c r="C225" s="2">
        <v>41334</v>
      </c>
      <c r="D225" s="1">
        <v>0</v>
      </c>
      <c r="E225" s="1">
        <v>10945</v>
      </c>
      <c r="F225" s="1" t="s">
        <v>2031</v>
      </c>
      <c r="G225" s="1" t="s">
        <v>2032</v>
      </c>
      <c r="H225" s="1" t="s">
        <v>724</v>
      </c>
      <c r="I225" s="1" t="s">
        <v>729</v>
      </c>
    </row>
    <row r="226" spans="1:9">
      <c r="A226" s="1" t="s">
        <v>2015</v>
      </c>
      <c r="B226" s="1" t="s">
        <v>2605</v>
      </c>
      <c r="C226" s="2">
        <v>41334</v>
      </c>
      <c r="D226" s="1">
        <v>0</v>
      </c>
      <c r="E226" s="1">
        <v>1809</v>
      </c>
      <c r="F226" s="1" t="s">
        <v>2606</v>
      </c>
      <c r="G226" s="1" t="s">
        <v>2607</v>
      </c>
      <c r="H226" s="1" t="s">
        <v>1873</v>
      </c>
      <c r="I226" s="1" t="s">
        <v>703</v>
      </c>
    </row>
    <row r="227" spans="1:9">
      <c r="A227" s="1" t="s">
        <v>2015</v>
      </c>
      <c r="B227" s="1" t="s">
        <v>2608</v>
      </c>
      <c r="C227" s="2">
        <v>41334</v>
      </c>
      <c r="D227" s="1">
        <v>0</v>
      </c>
      <c r="E227" s="1">
        <v>50000</v>
      </c>
      <c r="F227" s="1" t="s">
        <v>2609</v>
      </c>
      <c r="G227" s="1" t="s">
        <v>2610</v>
      </c>
      <c r="H227" s="1" t="s">
        <v>1873</v>
      </c>
      <c r="I227" s="1" t="s">
        <v>703</v>
      </c>
    </row>
    <row r="228" spans="1:9">
      <c r="A228" s="1" t="s">
        <v>2015</v>
      </c>
      <c r="B228" s="1" t="s">
        <v>2611</v>
      </c>
      <c r="C228" s="2">
        <v>41334</v>
      </c>
      <c r="D228" s="1">
        <v>0</v>
      </c>
      <c r="E228" s="1">
        <v>6888</v>
      </c>
      <c r="F228" s="1" t="s">
        <v>2033</v>
      </c>
      <c r="G228" s="1" t="s">
        <v>2034</v>
      </c>
      <c r="H228" s="1" t="s">
        <v>1777</v>
      </c>
      <c r="I228" s="1" t="s">
        <v>703</v>
      </c>
    </row>
    <row r="229" spans="1:9">
      <c r="A229" s="1" t="s">
        <v>2015</v>
      </c>
      <c r="B229" s="1" t="s">
        <v>2612</v>
      </c>
      <c r="C229" s="2">
        <v>41334</v>
      </c>
      <c r="D229" s="1">
        <v>0</v>
      </c>
      <c r="E229" s="1">
        <v>15000</v>
      </c>
      <c r="F229" s="1" t="s">
        <v>2035</v>
      </c>
      <c r="G229" s="1" t="s">
        <v>2036</v>
      </c>
      <c r="H229" s="1" t="s">
        <v>724</v>
      </c>
      <c r="I229" s="1" t="s">
        <v>729</v>
      </c>
    </row>
    <row r="230" spans="1:9">
      <c r="A230" s="1" t="s">
        <v>2015</v>
      </c>
      <c r="B230" s="1" t="s">
        <v>2613</v>
      </c>
      <c r="C230" s="2">
        <v>41334</v>
      </c>
      <c r="D230" s="1">
        <v>0</v>
      </c>
      <c r="E230" s="1">
        <v>10000</v>
      </c>
      <c r="F230" s="1" t="s">
        <v>2614</v>
      </c>
      <c r="G230" s="1" t="s">
        <v>2615</v>
      </c>
      <c r="H230" s="1" t="s">
        <v>724</v>
      </c>
      <c r="I230" s="1" t="s">
        <v>729</v>
      </c>
    </row>
    <row r="231" spans="1:9">
      <c r="A231" s="1" t="s">
        <v>2015</v>
      </c>
      <c r="B231" s="1" t="s">
        <v>2616</v>
      </c>
      <c r="C231" s="2">
        <v>41334</v>
      </c>
      <c r="D231" s="1">
        <v>0</v>
      </c>
      <c r="E231" s="1">
        <v>5182</v>
      </c>
      <c r="F231" s="1" t="s">
        <v>2037</v>
      </c>
      <c r="G231" s="1" t="s">
        <v>2038</v>
      </c>
      <c r="H231" s="1" t="s">
        <v>724</v>
      </c>
      <c r="I231" s="1" t="s">
        <v>729</v>
      </c>
    </row>
    <row r="232" spans="1:9">
      <c r="A232" s="1" t="s">
        <v>2015</v>
      </c>
      <c r="B232" s="1" t="s">
        <v>2617</v>
      </c>
      <c r="C232" s="2">
        <v>41334</v>
      </c>
      <c r="D232" s="1">
        <v>0</v>
      </c>
      <c r="E232" s="1">
        <v>647</v>
      </c>
      <c r="F232" s="1" t="s">
        <v>2618</v>
      </c>
      <c r="G232" s="1" t="s">
        <v>2619</v>
      </c>
      <c r="H232" s="1" t="s">
        <v>724</v>
      </c>
      <c r="I232" s="1" t="s">
        <v>729</v>
      </c>
    </row>
    <row r="233" spans="1:9">
      <c r="A233" s="1" t="s">
        <v>2015</v>
      </c>
      <c r="B233" s="1" t="s">
        <v>2620</v>
      </c>
      <c r="C233" s="2">
        <v>41346</v>
      </c>
      <c r="D233" s="1">
        <v>0</v>
      </c>
      <c r="E233" s="1">
        <v>50000</v>
      </c>
      <c r="F233" s="1" t="s">
        <v>2621</v>
      </c>
      <c r="G233" s="1" t="s">
        <v>2622</v>
      </c>
      <c r="H233" s="1" t="s">
        <v>724</v>
      </c>
      <c r="I233" s="1" t="s">
        <v>729</v>
      </c>
    </row>
    <row r="234" spans="1:9">
      <c r="A234" s="1" t="s">
        <v>2015</v>
      </c>
      <c r="B234" s="1" t="s">
        <v>2623</v>
      </c>
      <c r="C234" s="2">
        <v>41334</v>
      </c>
      <c r="D234" s="1">
        <v>0</v>
      </c>
      <c r="E234" s="1">
        <v>120000</v>
      </c>
      <c r="F234" s="1" t="s">
        <v>2039</v>
      </c>
      <c r="G234" s="1" t="s">
        <v>2040</v>
      </c>
      <c r="H234" s="1" t="s">
        <v>724</v>
      </c>
      <c r="I234" s="1" t="s">
        <v>729</v>
      </c>
    </row>
    <row r="235" spans="1:9">
      <c r="A235" s="1" t="s">
        <v>2015</v>
      </c>
      <c r="B235" s="1" t="s">
        <v>2624</v>
      </c>
      <c r="C235" s="2">
        <v>41338</v>
      </c>
      <c r="D235" s="1">
        <v>0</v>
      </c>
      <c r="E235" s="1">
        <v>860000</v>
      </c>
      <c r="F235" s="1" t="s">
        <v>2041</v>
      </c>
      <c r="G235" s="1" t="s">
        <v>2042</v>
      </c>
      <c r="H235" s="1" t="s">
        <v>1777</v>
      </c>
      <c r="I235" s="1" t="s">
        <v>703</v>
      </c>
    </row>
    <row r="236" spans="1:9">
      <c r="A236" s="1" t="s">
        <v>2015</v>
      </c>
      <c r="B236" s="1" t="s">
        <v>2625</v>
      </c>
      <c r="C236" s="2">
        <v>41363</v>
      </c>
      <c r="D236" s="1">
        <v>0</v>
      </c>
      <c r="E236" s="1">
        <v>450000</v>
      </c>
      <c r="F236" s="1" t="s">
        <v>2041</v>
      </c>
      <c r="G236" s="1" t="s">
        <v>2042</v>
      </c>
      <c r="H236" s="1" t="s">
        <v>1777</v>
      </c>
      <c r="I236" s="1" t="s">
        <v>703</v>
      </c>
    </row>
    <row r="237" spans="1:9">
      <c r="A237" s="1" t="s">
        <v>2015</v>
      </c>
      <c r="B237" s="1" t="s">
        <v>2626</v>
      </c>
      <c r="C237" s="2">
        <v>41334</v>
      </c>
      <c r="D237" s="1">
        <v>0</v>
      </c>
      <c r="E237" s="1">
        <v>84719</v>
      </c>
      <c r="F237" s="1" t="s">
        <v>2043</v>
      </c>
      <c r="G237" s="1" t="s">
        <v>2044</v>
      </c>
      <c r="H237" s="1" t="s">
        <v>2045</v>
      </c>
      <c r="I237" s="1" t="s">
        <v>650</v>
      </c>
    </row>
    <row r="238" spans="1:9">
      <c r="A238" s="1" t="s">
        <v>2015</v>
      </c>
      <c r="B238" s="1" t="s">
        <v>2627</v>
      </c>
      <c r="C238" s="2">
        <v>41334</v>
      </c>
      <c r="D238" s="1">
        <v>0</v>
      </c>
      <c r="E238" s="1">
        <v>32253</v>
      </c>
      <c r="F238" s="1" t="s">
        <v>2628</v>
      </c>
      <c r="G238" s="1" t="s">
        <v>2629</v>
      </c>
      <c r="H238" s="1" t="s">
        <v>743</v>
      </c>
      <c r="I238" s="1" t="s">
        <v>729</v>
      </c>
    </row>
    <row r="239" spans="1:9">
      <c r="A239" s="1" t="s">
        <v>2015</v>
      </c>
      <c r="B239" s="1" t="s">
        <v>2630</v>
      </c>
      <c r="C239" s="2">
        <v>41345</v>
      </c>
      <c r="D239" s="1">
        <v>0</v>
      </c>
      <c r="E239" s="1">
        <v>300000</v>
      </c>
      <c r="F239" s="1" t="s">
        <v>1382</v>
      </c>
      <c r="G239" s="1" t="s">
        <v>1383</v>
      </c>
      <c r="H239" s="1" t="s">
        <v>732</v>
      </c>
      <c r="I239" s="1" t="s">
        <v>1040</v>
      </c>
    </row>
    <row r="240" spans="1:9">
      <c r="A240" s="1" t="s">
        <v>2015</v>
      </c>
      <c r="B240" s="1" t="s">
        <v>2631</v>
      </c>
      <c r="C240" s="2">
        <v>41347</v>
      </c>
      <c r="D240" s="1">
        <v>0</v>
      </c>
      <c r="E240" s="1">
        <v>200000</v>
      </c>
      <c r="F240" s="1" t="s">
        <v>1382</v>
      </c>
      <c r="G240" s="1" t="s">
        <v>1383</v>
      </c>
      <c r="H240" s="1" t="s">
        <v>732</v>
      </c>
      <c r="I240" s="1" t="s">
        <v>1040</v>
      </c>
    </row>
    <row r="241" spans="1:9">
      <c r="A241" s="1" t="s">
        <v>2015</v>
      </c>
      <c r="B241" s="1" t="s">
        <v>2632</v>
      </c>
      <c r="C241" s="2">
        <v>41354</v>
      </c>
      <c r="D241" s="1">
        <v>0</v>
      </c>
      <c r="E241" s="1">
        <v>300000</v>
      </c>
      <c r="F241" s="1" t="s">
        <v>1382</v>
      </c>
      <c r="G241" s="1" t="s">
        <v>1383</v>
      </c>
      <c r="H241" s="1" t="s">
        <v>732</v>
      </c>
      <c r="I241" s="1" t="s">
        <v>1040</v>
      </c>
    </row>
    <row r="242" spans="1:9">
      <c r="A242" s="1" t="s">
        <v>2015</v>
      </c>
      <c r="B242" s="1" t="s">
        <v>2633</v>
      </c>
      <c r="C242" s="2">
        <v>41348</v>
      </c>
      <c r="D242" s="1">
        <v>0</v>
      </c>
      <c r="E242" s="1">
        <v>200000</v>
      </c>
      <c r="F242" s="1" t="s">
        <v>1421</v>
      </c>
      <c r="G242" s="1" t="s">
        <v>1422</v>
      </c>
      <c r="H242" s="1" t="s">
        <v>743</v>
      </c>
      <c r="I242" s="1" t="s">
        <v>650</v>
      </c>
    </row>
    <row r="243" spans="1:9">
      <c r="A243" s="1" t="s">
        <v>2015</v>
      </c>
      <c r="B243" s="1" t="s">
        <v>2634</v>
      </c>
      <c r="C243" s="2">
        <v>41363</v>
      </c>
      <c r="D243" s="1">
        <v>0</v>
      </c>
      <c r="E243" s="1">
        <v>100000</v>
      </c>
      <c r="F243" s="1" t="s">
        <v>1421</v>
      </c>
      <c r="G243" s="1" t="s">
        <v>1422</v>
      </c>
      <c r="H243" s="1" t="s">
        <v>743</v>
      </c>
      <c r="I243" s="1" t="s">
        <v>650</v>
      </c>
    </row>
    <row r="244" spans="1:9">
      <c r="A244" s="1" t="s">
        <v>2015</v>
      </c>
      <c r="B244" s="1" t="s">
        <v>2635</v>
      </c>
      <c r="C244" s="2">
        <v>41363</v>
      </c>
      <c r="D244" s="1">
        <v>0</v>
      </c>
      <c r="E244" s="1">
        <v>200000</v>
      </c>
      <c r="F244" s="1" t="s">
        <v>1421</v>
      </c>
      <c r="G244" s="1" t="s">
        <v>1422</v>
      </c>
      <c r="H244" s="1" t="s">
        <v>743</v>
      </c>
      <c r="I244" s="1" t="s">
        <v>650</v>
      </c>
    </row>
    <row r="245" spans="1:9">
      <c r="A245" s="1" t="s">
        <v>2015</v>
      </c>
      <c r="B245" s="1" t="s">
        <v>2636</v>
      </c>
      <c r="C245" s="2">
        <v>41355</v>
      </c>
      <c r="D245" s="1">
        <v>0</v>
      </c>
      <c r="E245" s="1">
        <v>300000</v>
      </c>
      <c r="F245" s="1" t="s">
        <v>1423</v>
      </c>
      <c r="G245" s="1" t="s">
        <v>1424</v>
      </c>
      <c r="H245" s="1" t="s">
        <v>743</v>
      </c>
      <c r="I245" s="1" t="s">
        <v>650</v>
      </c>
    </row>
    <row r="246" spans="1:9">
      <c r="A246" s="1" t="s">
        <v>2015</v>
      </c>
      <c r="B246" s="1" t="s">
        <v>2637</v>
      </c>
      <c r="C246" s="2">
        <v>41363</v>
      </c>
      <c r="D246" s="1">
        <v>0</v>
      </c>
      <c r="E246" s="1">
        <v>200000</v>
      </c>
      <c r="F246" s="1" t="s">
        <v>1423</v>
      </c>
      <c r="G246" s="1" t="s">
        <v>1424</v>
      </c>
      <c r="H246" s="1" t="s">
        <v>743</v>
      </c>
      <c r="I246" s="1" t="s">
        <v>650</v>
      </c>
    </row>
    <row r="247" spans="1:9">
      <c r="A247" s="1" t="s">
        <v>2015</v>
      </c>
      <c r="B247" s="1" t="s">
        <v>2638</v>
      </c>
      <c r="C247" s="2">
        <v>41363</v>
      </c>
      <c r="D247" s="1">
        <v>0</v>
      </c>
      <c r="E247" s="1">
        <v>200000</v>
      </c>
      <c r="F247" s="1" t="s">
        <v>1433</v>
      </c>
      <c r="G247" s="1" t="s">
        <v>1434</v>
      </c>
      <c r="H247" s="1" t="s">
        <v>743</v>
      </c>
      <c r="I247" s="1" t="s">
        <v>691</v>
      </c>
    </row>
    <row r="248" spans="1:9">
      <c r="A248" s="1" t="s">
        <v>2015</v>
      </c>
      <c r="B248" s="1" t="s">
        <v>2639</v>
      </c>
      <c r="C248" s="2">
        <v>41355</v>
      </c>
      <c r="D248" s="1">
        <v>0</v>
      </c>
      <c r="E248" s="1">
        <v>300000</v>
      </c>
      <c r="F248" s="1" t="s">
        <v>1437</v>
      </c>
      <c r="G248" s="1" t="s">
        <v>1438</v>
      </c>
      <c r="H248" s="1" t="s">
        <v>743</v>
      </c>
      <c r="I248" s="1" t="s">
        <v>669</v>
      </c>
    </row>
    <row r="249" spans="1:9">
      <c r="A249" s="1" t="s">
        <v>2015</v>
      </c>
      <c r="B249" s="1" t="s">
        <v>2640</v>
      </c>
      <c r="C249" s="2">
        <v>41362</v>
      </c>
      <c r="D249" s="1">
        <v>0</v>
      </c>
      <c r="E249" s="1">
        <v>170000</v>
      </c>
      <c r="F249" s="1" t="s">
        <v>1437</v>
      </c>
      <c r="G249" s="1" t="s">
        <v>1438</v>
      </c>
      <c r="H249" s="1" t="s">
        <v>743</v>
      </c>
      <c r="I249" s="1" t="s">
        <v>669</v>
      </c>
    </row>
    <row r="250" spans="1:9">
      <c r="A250" s="1" t="s">
        <v>2015</v>
      </c>
      <c r="B250" s="1" t="s">
        <v>2641</v>
      </c>
      <c r="C250" s="2">
        <v>41338</v>
      </c>
      <c r="D250" s="1">
        <v>0</v>
      </c>
      <c r="E250" s="1">
        <v>400000</v>
      </c>
      <c r="F250" s="1" t="s">
        <v>1439</v>
      </c>
      <c r="G250" s="1" t="s">
        <v>1440</v>
      </c>
      <c r="H250" s="1" t="s">
        <v>721</v>
      </c>
      <c r="I250" s="1" t="s">
        <v>669</v>
      </c>
    </row>
    <row r="251" spans="1:9">
      <c r="A251" s="1" t="s">
        <v>2015</v>
      </c>
      <c r="B251" s="1" t="s">
        <v>2642</v>
      </c>
      <c r="C251" s="2">
        <v>41334</v>
      </c>
      <c r="D251" s="1">
        <v>0</v>
      </c>
      <c r="E251" s="1">
        <v>2089</v>
      </c>
      <c r="F251" s="1" t="s">
        <v>2046</v>
      </c>
      <c r="G251" s="1" t="s">
        <v>2047</v>
      </c>
      <c r="H251" s="1" t="s">
        <v>729</v>
      </c>
      <c r="I251" s="1" t="s">
        <v>703</v>
      </c>
    </row>
    <row r="252" spans="1:9">
      <c r="A252" s="1" t="s">
        <v>2015</v>
      </c>
      <c r="B252" s="1" t="s">
        <v>2643</v>
      </c>
      <c r="C252" s="2">
        <v>41360</v>
      </c>
      <c r="D252" s="1">
        <v>0</v>
      </c>
      <c r="E252" s="1">
        <v>500000</v>
      </c>
      <c r="F252" s="1" t="s">
        <v>1448</v>
      </c>
      <c r="G252" s="1" t="s">
        <v>1449</v>
      </c>
      <c r="H252" s="1" t="s">
        <v>721</v>
      </c>
      <c r="I252" s="1" t="s">
        <v>650</v>
      </c>
    </row>
    <row r="253" spans="1:9">
      <c r="A253" s="1" t="s">
        <v>2015</v>
      </c>
      <c r="B253" s="1" t="s">
        <v>2644</v>
      </c>
      <c r="C253" s="2">
        <v>41334</v>
      </c>
      <c r="D253" s="1">
        <v>0</v>
      </c>
      <c r="E253" s="1">
        <v>5547</v>
      </c>
      <c r="F253" s="1" t="s">
        <v>2645</v>
      </c>
      <c r="G253" s="1" t="s">
        <v>2646</v>
      </c>
      <c r="H253" s="1" t="s">
        <v>724</v>
      </c>
      <c r="I253" s="1" t="s">
        <v>813</v>
      </c>
    </row>
    <row r="254" spans="1:9">
      <c r="A254" s="1" t="s">
        <v>2015</v>
      </c>
      <c r="B254" s="1" t="s">
        <v>2647</v>
      </c>
      <c r="C254" s="2">
        <v>41341</v>
      </c>
      <c r="D254" s="1">
        <v>0</v>
      </c>
      <c r="E254" s="1">
        <v>82510</v>
      </c>
      <c r="F254" s="1" t="s">
        <v>1520</v>
      </c>
      <c r="G254" s="1" t="s">
        <v>1521</v>
      </c>
      <c r="H254" s="1" t="s">
        <v>721</v>
      </c>
      <c r="I254" s="1" t="s">
        <v>703</v>
      </c>
    </row>
    <row r="255" spans="1:9">
      <c r="A255" s="1" t="s">
        <v>2015</v>
      </c>
      <c r="B255" s="1" t="s">
        <v>2648</v>
      </c>
      <c r="C255" s="2">
        <v>41334</v>
      </c>
      <c r="D255" s="1">
        <v>0</v>
      </c>
      <c r="E255" s="1">
        <v>25000</v>
      </c>
      <c r="F255" s="1" t="s">
        <v>2048</v>
      </c>
      <c r="G255" s="1" t="s">
        <v>2049</v>
      </c>
      <c r="H255" s="1" t="s">
        <v>724</v>
      </c>
      <c r="I255" s="1" t="s">
        <v>703</v>
      </c>
    </row>
    <row r="256" spans="1:9">
      <c r="A256" s="1" t="s">
        <v>2015</v>
      </c>
      <c r="B256" s="1" t="s">
        <v>2604</v>
      </c>
      <c r="C256" s="2">
        <v>41334</v>
      </c>
      <c r="D256" s="1">
        <v>0</v>
      </c>
      <c r="E256" s="1">
        <v>10945</v>
      </c>
      <c r="F256" s="1" t="s">
        <v>2050</v>
      </c>
      <c r="G256" s="1" t="s">
        <v>2051</v>
      </c>
      <c r="H256" s="1" t="s">
        <v>743</v>
      </c>
      <c r="I256" s="1" t="s">
        <v>703</v>
      </c>
    </row>
    <row r="257" spans="1:9">
      <c r="A257" s="1" t="s">
        <v>2015</v>
      </c>
      <c r="B257" s="1" t="s">
        <v>2649</v>
      </c>
      <c r="C257" s="2">
        <v>41360</v>
      </c>
      <c r="D257" s="1">
        <v>0</v>
      </c>
      <c r="E257" s="1">
        <v>97960</v>
      </c>
      <c r="F257" s="1" t="s">
        <v>1604</v>
      </c>
      <c r="G257" s="1" t="s">
        <v>1605</v>
      </c>
      <c r="H257" s="1" t="s">
        <v>721</v>
      </c>
      <c r="I257" s="1" t="s">
        <v>703</v>
      </c>
    </row>
    <row r="258" spans="1:9">
      <c r="A258" s="1" t="s">
        <v>2015</v>
      </c>
      <c r="B258" s="1" t="s">
        <v>2650</v>
      </c>
      <c r="C258" s="2">
        <v>41334</v>
      </c>
      <c r="D258" s="1">
        <v>0</v>
      </c>
      <c r="E258" s="1">
        <v>5352</v>
      </c>
      <c r="F258" s="1" t="s">
        <v>2651</v>
      </c>
      <c r="G258" s="1" t="s">
        <v>2652</v>
      </c>
      <c r="H258" s="1" t="s">
        <v>1873</v>
      </c>
      <c r="I258" s="1" t="s">
        <v>703</v>
      </c>
    </row>
    <row r="259" spans="1:9">
      <c r="A259" s="1" t="s">
        <v>2015</v>
      </c>
      <c r="B259" s="1" t="s">
        <v>2653</v>
      </c>
      <c r="C259" s="2">
        <v>41345</v>
      </c>
      <c r="D259" s="1">
        <v>0</v>
      </c>
      <c r="E259" s="1">
        <v>173160</v>
      </c>
      <c r="F259" s="1" t="s">
        <v>1720</v>
      </c>
      <c r="G259" s="1" t="s">
        <v>1721</v>
      </c>
      <c r="H259" s="1" t="s">
        <v>732</v>
      </c>
      <c r="I259" s="1" t="s">
        <v>703</v>
      </c>
    </row>
    <row r="260" spans="1:9">
      <c r="A260" s="1" t="s">
        <v>2015</v>
      </c>
      <c r="B260" s="1" t="s">
        <v>2654</v>
      </c>
      <c r="C260" s="2">
        <v>41334</v>
      </c>
      <c r="D260" s="1">
        <v>0</v>
      </c>
      <c r="E260" s="1">
        <v>3917</v>
      </c>
      <c r="F260" s="1" t="s">
        <v>2052</v>
      </c>
      <c r="G260" s="1" t="s">
        <v>2053</v>
      </c>
      <c r="H260" s="1" t="s">
        <v>743</v>
      </c>
      <c r="I260" s="1" t="s">
        <v>703</v>
      </c>
    </row>
    <row r="261" spans="1:9">
      <c r="A261" s="1" t="s">
        <v>2015</v>
      </c>
      <c r="B261" s="1" t="s">
        <v>2655</v>
      </c>
      <c r="C261" s="2">
        <v>41334</v>
      </c>
      <c r="D261" s="1">
        <v>0</v>
      </c>
      <c r="E261" s="1">
        <v>4861</v>
      </c>
      <c r="F261" s="1" t="s">
        <v>1724</v>
      </c>
      <c r="G261" s="1" t="s">
        <v>1725</v>
      </c>
      <c r="H261" s="1" t="s">
        <v>724</v>
      </c>
      <c r="I261" s="1" t="s">
        <v>703</v>
      </c>
    </row>
    <row r="262" spans="1:9">
      <c r="A262" s="1" t="s">
        <v>2015</v>
      </c>
      <c r="B262" s="1" t="s">
        <v>2656</v>
      </c>
      <c r="C262" s="2">
        <v>41337</v>
      </c>
      <c r="D262" s="1">
        <v>0</v>
      </c>
      <c r="E262" s="1">
        <v>220643.9</v>
      </c>
      <c r="F262" s="1" t="s">
        <v>2054</v>
      </c>
      <c r="G262" s="1" t="s">
        <v>2055</v>
      </c>
      <c r="H262" s="1" t="s">
        <v>721</v>
      </c>
      <c r="I262" s="1" t="s">
        <v>703</v>
      </c>
    </row>
    <row r="263" spans="1:9">
      <c r="A263" s="1" t="s">
        <v>2015</v>
      </c>
      <c r="B263" s="1" t="s">
        <v>2657</v>
      </c>
      <c r="C263" s="2">
        <v>41338</v>
      </c>
      <c r="D263" s="1">
        <v>0</v>
      </c>
      <c r="E263" s="1">
        <v>1762246.61</v>
      </c>
      <c r="F263" s="1" t="s">
        <v>2054</v>
      </c>
      <c r="G263" s="1" t="s">
        <v>2055</v>
      </c>
      <c r="H263" s="1" t="s">
        <v>721</v>
      </c>
      <c r="I263" s="1" t="s">
        <v>703</v>
      </c>
    </row>
    <row r="264" spans="1:9">
      <c r="A264" s="1" t="s">
        <v>2015</v>
      </c>
      <c r="B264" s="1" t="s">
        <v>2658</v>
      </c>
      <c r="C264" s="2">
        <v>41340</v>
      </c>
      <c r="D264" s="1">
        <v>0</v>
      </c>
      <c r="E264" s="1">
        <v>220643.9</v>
      </c>
      <c r="F264" s="1" t="s">
        <v>2054</v>
      </c>
      <c r="G264" s="1" t="s">
        <v>2055</v>
      </c>
      <c r="H264" s="1" t="s">
        <v>721</v>
      </c>
      <c r="I264" s="1" t="s">
        <v>703</v>
      </c>
    </row>
    <row r="265" spans="1:9">
      <c r="A265" s="1" t="s">
        <v>2015</v>
      </c>
      <c r="B265" s="1" t="s">
        <v>2659</v>
      </c>
      <c r="C265" s="2">
        <v>41344</v>
      </c>
      <c r="D265" s="1">
        <v>0</v>
      </c>
      <c r="E265" s="1">
        <v>140050.59</v>
      </c>
      <c r="F265" s="1" t="s">
        <v>2054</v>
      </c>
      <c r="G265" s="1" t="s">
        <v>2055</v>
      </c>
      <c r="H265" s="1" t="s">
        <v>721</v>
      </c>
      <c r="I265" s="1" t="s">
        <v>703</v>
      </c>
    </row>
    <row r="266" spans="1:9">
      <c r="A266" s="1" t="s">
        <v>2015</v>
      </c>
      <c r="B266" s="1" t="s">
        <v>2660</v>
      </c>
      <c r="C266" s="2">
        <v>41353</v>
      </c>
      <c r="D266" s="1">
        <v>0</v>
      </c>
      <c r="E266" s="1">
        <v>1110881.94</v>
      </c>
      <c r="F266" s="1" t="s">
        <v>2054</v>
      </c>
      <c r="G266" s="1" t="s">
        <v>2055</v>
      </c>
      <c r="H266" s="1" t="s">
        <v>721</v>
      </c>
      <c r="I266" s="1" t="s">
        <v>703</v>
      </c>
    </row>
    <row r="267" spans="1:9">
      <c r="A267" s="1" t="s">
        <v>2015</v>
      </c>
      <c r="B267" s="1" t="s">
        <v>2661</v>
      </c>
      <c r="C267" s="2">
        <v>41355</v>
      </c>
      <c r="D267" s="1">
        <v>0</v>
      </c>
      <c r="E267" s="1">
        <v>44128.38</v>
      </c>
      <c r="F267" s="1" t="s">
        <v>2054</v>
      </c>
      <c r="G267" s="1" t="s">
        <v>2055</v>
      </c>
      <c r="H267" s="1" t="s">
        <v>721</v>
      </c>
      <c r="I267" s="1" t="s">
        <v>703</v>
      </c>
    </row>
    <row r="268" spans="1:9">
      <c r="A268" s="1" t="s">
        <v>2015</v>
      </c>
      <c r="B268" s="1" t="s">
        <v>2662</v>
      </c>
      <c r="C268" s="2">
        <v>41358</v>
      </c>
      <c r="D268" s="1">
        <v>0</v>
      </c>
      <c r="E268" s="1">
        <v>290669</v>
      </c>
      <c r="F268" s="1" t="s">
        <v>2054</v>
      </c>
      <c r="G268" s="1" t="s">
        <v>2055</v>
      </c>
      <c r="H268" s="1" t="s">
        <v>721</v>
      </c>
      <c r="I268" s="1" t="s">
        <v>703</v>
      </c>
    </row>
    <row r="269" spans="1:9">
      <c r="A269" s="1" t="s">
        <v>2015</v>
      </c>
      <c r="B269" s="1" t="s">
        <v>2663</v>
      </c>
      <c r="C269" s="2">
        <v>41361</v>
      </c>
      <c r="D269" s="1">
        <v>0</v>
      </c>
      <c r="E269" s="1">
        <v>2696617.94</v>
      </c>
      <c r="F269" s="1" t="s">
        <v>2054</v>
      </c>
      <c r="G269" s="1" t="s">
        <v>2055</v>
      </c>
      <c r="H269" s="1" t="s">
        <v>721</v>
      </c>
      <c r="I269" s="1" t="s">
        <v>703</v>
      </c>
    </row>
    <row r="270" spans="1:9">
      <c r="A270" s="1" t="s">
        <v>2015</v>
      </c>
      <c r="B270" s="1" t="s">
        <v>2664</v>
      </c>
      <c r="C270" s="2">
        <v>41362</v>
      </c>
      <c r="D270" s="1">
        <v>0</v>
      </c>
      <c r="E270" s="1">
        <v>1216411.44</v>
      </c>
      <c r="F270" s="1" t="s">
        <v>2054</v>
      </c>
      <c r="G270" s="1" t="s">
        <v>2055</v>
      </c>
      <c r="H270" s="1" t="s">
        <v>721</v>
      </c>
      <c r="I270" s="1" t="s">
        <v>703</v>
      </c>
    </row>
    <row r="271" spans="1:9">
      <c r="A271" s="1" t="s">
        <v>2015</v>
      </c>
      <c r="B271" s="1" t="s">
        <v>2665</v>
      </c>
      <c r="C271" s="2">
        <v>41363</v>
      </c>
      <c r="D271" s="1">
        <v>0</v>
      </c>
      <c r="E271" s="1">
        <v>397157.42</v>
      </c>
      <c r="F271" s="1" t="s">
        <v>2054</v>
      </c>
      <c r="G271" s="1" t="s">
        <v>2055</v>
      </c>
      <c r="H271" s="1" t="s">
        <v>721</v>
      </c>
      <c r="I271" s="1" t="s">
        <v>703</v>
      </c>
    </row>
    <row r="272" spans="1:9">
      <c r="A272" s="1" t="s">
        <v>2015</v>
      </c>
      <c r="B272" s="1" t="s">
        <v>2666</v>
      </c>
      <c r="C272" s="2">
        <v>41363</v>
      </c>
      <c r="D272" s="1">
        <v>0</v>
      </c>
      <c r="E272" s="1">
        <v>250000</v>
      </c>
      <c r="F272" s="1" t="s">
        <v>1742</v>
      </c>
      <c r="G272" s="1" t="s">
        <v>1743</v>
      </c>
      <c r="H272" s="1" t="s">
        <v>743</v>
      </c>
      <c r="I272" s="1" t="s">
        <v>650</v>
      </c>
    </row>
    <row r="273" spans="1:9">
      <c r="A273" s="1" t="s">
        <v>2015</v>
      </c>
      <c r="B273" s="1" t="s">
        <v>2667</v>
      </c>
      <c r="C273" s="2">
        <v>41363</v>
      </c>
      <c r="D273" s="1">
        <v>0</v>
      </c>
      <c r="E273" s="1">
        <v>50000</v>
      </c>
      <c r="F273" s="1" t="s">
        <v>1742</v>
      </c>
      <c r="G273" s="1" t="s">
        <v>1743</v>
      </c>
      <c r="H273" s="1" t="s">
        <v>743</v>
      </c>
      <c r="I273" s="1" t="s">
        <v>650</v>
      </c>
    </row>
    <row r="274" spans="1:9">
      <c r="A274" s="1" t="s">
        <v>2015</v>
      </c>
      <c r="B274" s="1" t="s">
        <v>2668</v>
      </c>
      <c r="C274" s="2">
        <v>41334</v>
      </c>
      <c r="D274" s="1">
        <v>0</v>
      </c>
      <c r="E274" s="1">
        <v>12069</v>
      </c>
      <c r="F274" s="1" t="s">
        <v>2056</v>
      </c>
      <c r="G274" s="1" t="s">
        <v>2057</v>
      </c>
      <c r="H274" s="1" t="s">
        <v>724</v>
      </c>
      <c r="I274" s="1" t="s">
        <v>703</v>
      </c>
    </row>
    <row r="275" spans="1:9">
      <c r="A275" s="1" t="s">
        <v>2015</v>
      </c>
      <c r="B275" s="1" t="s">
        <v>2669</v>
      </c>
      <c r="C275" s="2">
        <v>41334</v>
      </c>
      <c r="D275" s="1">
        <v>0</v>
      </c>
      <c r="E275" s="1">
        <v>20000</v>
      </c>
      <c r="F275" s="1" t="s">
        <v>2670</v>
      </c>
      <c r="G275" s="1" t="s">
        <v>2671</v>
      </c>
      <c r="H275" s="1" t="s">
        <v>729</v>
      </c>
      <c r="I275" s="1" t="s">
        <v>703</v>
      </c>
    </row>
    <row r="276" spans="1:9">
      <c r="A276" s="1" t="s">
        <v>2015</v>
      </c>
      <c r="B276" s="1" t="s">
        <v>2672</v>
      </c>
      <c r="C276" s="2">
        <v>41334</v>
      </c>
      <c r="D276" s="1">
        <v>0</v>
      </c>
      <c r="E276" s="1">
        <v>20000</v>
      </c>
      <c r="F276" s="1" t="s">
        <v>2670</v>
      </c>
      <c r="G276" s="1" t="s">
        <v>2671</v>
      </c>
      <c r="H276" s="1" t="s">
        <v>729</v>
      </c>
      <c r="I276" s="1" t="s">
        <v>703</v>
      </c>
    </row>
    <row r="277" spans="1:9">
      <c r="A277" s="1" t="s">
        <v>2015</v>
      </c>
      <c r="B277" s="1" t="s">
        <v>2673</v>
      </c>
      <c r="C277" s="2">
        <v>41353</v>
      </c>
      <c r="D277" s="1">
        <v>0</v>
      </c>
      <c r="E277" s="1">
        <v>100000</v>
      </c>
      <c r="F277" s="1" t="s">
        <v>1765</v>
      </c>
      <c r="G277" s="1" t="s">
        <v>1766</v>
      </c>
      <c r="H277" s="1" t="s">
        <v>724</v>
      </c>
      <c r="I277" s="1" t="s">
        <v>813</v>
      </c>
    </row>
    <row r="278" spans="1:9">
      <c r="A278" s="1" t="s">
        <v>2015</v>
      </c>
      <c r="B278" s="1" t="s">
        <v>2674</v>
      </c>
      <c r="C278" s="2">
        <v>41363</v>
      </c>
      <c r="D278" s="1">
        <v>0</v>
      </c>
      <c r="E278" s="1">
        <v>100000</v>
      </c>
      <c r="F278" s="1" t="s">
        <v>1765</v>
      </c>
      <c r="G278" s="1" t="s">
        <v>1766</v>
      </c>
      <c r="H278" s="1" t="s">
        <v>724</v>
      </c>
      <c r="I278" s="1" t="s">
        <v>813</v>
      </c>
    </row>
    <row r="279" spans="1:9">
      <c r="A279" s="1" t="s">
        <v>2015</v>
      </c>
      <c r="B279" s="1" t="s">
        <v>2675</v>
      </c>
      <c r="C279" s="2">
        <v>41334</v>
      </c>
      <c r="D279" s="1">
        <v>0</v>
      </c>
      <c r="E279" s="1">
        <v>9645</v>
      </c>
      <c r="F279" s="1" t="s">
        <v>2058</v>
      </c>
      <c r="G279" s="1" t="s">
        <v>2059</v>
      </c>
      <c r="H279" s="1" t="s">
        <v>729</v>
      </c>
      <c r="I279" s="1" t="s">
        <v>703</v>
      </c>
    </row>
    <row r="280" spans="1:9">
      <c r="A280" s="1" t="s">
        <v>2015</v>
      </c>
      <c r="B280" s="1" t="s">
        <v>2676</v>
      </c>
      <c r="C280" s="2">
        <v>41337</v>
      </c>
      <c r="D280" s="1">
        <v>0</v>
      </c>
      <c r="E280" s="1">
        <v>230000</v>
      </c>
      <c r="F280" s="1" t="s">
        <v>1773</v>
      </c>
      <c r="G280" s="1" t="s">
        <v>1774</v>
      </c>
      <c r="H280" s="1" t="s">
        <v>721</v>
      </c>
      <c r="I280" s="1" t="s">
        <v>703</v>
      </c>
    </row>
    <row r="281" spans="1:9">
      <c r="A281" s="1" t="s">
        <v>2015</v>
      </c>
      <c r="B281" s="1" t="s">
        <v>2677</v>
      </c>
      <c r="C281" s="2">
        <v>41334</v>
      </c>
      <c r="D281" s="1">
        <v>0</v>
      </c>
      <c r="E281" s="1">
        <v>15000</v>
      </c>
      <c r="F281" s="1" t="s">
        <v>1775</v>
      </c>
      <c r="G281" s="1" t="s">
        <v>1776</v>
      </c>
      <c r="H281" s="1" t="s">
        <v>721</v>
      </c>
      <c r="I281" s="1" t="s">
        <v>1777</v>
      </c>
    </row>
    <row r="282" spans="1:9">
      <c r="A282" s="1" t="s">
        <v>2015</v>
      </c>
      <c r="B282" s="1" t="s">
        <v>2678</v>
      </c>
      <c r="C282" s="2">
        <v>41354</v>
      </c>
      <c r="D282" s="1">
        <v>0</v>
      </c>
      <c r="E282" s="1">
        <v>670000</v>
      </c>
      <c r="F282" s="1" t="s">
        <v>1779</v>
      </c>
      <c r="G282" s="1" t="s">
        <v>1780</v>
      </c>
      <c r="H282" s="1" t="s">
        <v>724</v>
      </c>
      <c r="I282" s="1" t="s">
        <v>858</v>
      </c>
    </row>
    <row r="283" spans="1:9">
      <c r="A283" s="1" t="s">
        <v>2015</v>
      </c>
      <c r="B283" s="1" t="s">
        <v>2679</v>
      </c>
      <c r="C283" s="2">
        <v>41334</v>
      </c>
      <c r="D283" s="1">
        <v>0</v>
      </c>
      <c r="E283" s="1">
        <v>3115</v>
      </c>
      <c r="F283" s="1" t="s">
        <v>2060</v>
      </c>
      <c r="G283" s="1" t="s">
        <v>2061</v>
      </c>
      <c r="H283" s="1" t="s">
        <v>729</v>
      </c>
      <c r="I283" s="1" t="s">
        <v>703</v>
      </c>
    </row>
    <row r="284" spans="1:9">
      <c r="A284" s="1" t="s">
        <v>2015</v>
      </c>
      <c r="B284" s="1" t="s">
        <v>2680</v>
      </c>
      <c r="C284" s="2">
        <v>41334</v>
      </c>
      <c r="D284" s="1">
        <v>0</v>
      </c>
      <c r="E284" s="1">
        <v>3142</v>
      </c>
      <c r="F284" s="1" t="s">
        <v>2681</v>
      </c>
      <c r="G284" s="1" t="s">
        <v>2682</v>
      </c>
      <c r="H284" s="1" t="s">
        <v>729</v>
      </c>
      <c r="I284" s="1" t="s">
        <v>703</v>
      </c>
    </row>
    <row r="285" spans="1:9">
      <c r="A285" s="1" t="s">
        <v>2015</v>
      </c>
      <c r="B285" s="1" t="s">
        <v>2683</v>
      </c>
      <c r="C285" s="2">
        <v>41334</v>
      </c>
      <c r="D285" s="1">
        <v>0</v>
      </c>
      <c r="E285" s="1">
        <v>1350000</v>
      </c>
      <c r="F285" s="1" t="s">
        <v>2062</v>
      </c>
      <c r="G285" s="1" t="s">
        <v>2063</v>
      </c>
      <c r="H285" s="1" t="s">
        <v>729</v>
      </c>
      <c r="I285" s="1" t="s">
        <v>703</v>
      </c>
    </row>
    <row r="286" spans="1:9">
      <c r="A286" s="1" t="s">
        <v>2015</v>
      </c>
      <c r="B286" s="1" t="s">
        <v>2684</v>
      </c>
      <c r="C286" s="2">
        <v>41334</v>
      </c>
      <c r="D286" s="1">
        <v>0</v>
      </c>
      <c r="E286" s="1">
        <v>200000</v>
      </c>
      <c r="F286" s="1" t="s">
        <v>2062</v>
      </c>
      <c r="G286" s="1" t="s">
        <v>2063</v>
      </c>
      <c r="H286" s="1" t="s">
        <v>729</v>
      </c>
      <c r="I286" s="1" t="s">
        <v>703</v>
      </c>
    </row>
    <row r="287" spans="1:9">
      <c r="A287" s="1" t="s">
        <v>2015</v>
      </c>
      <c r="B287" s="1" t="s">
        <v>2685</v>
      </c>
      <c r="C287" s="2">
        <v>41337</v>
      </c>
      <c r="D287" s="1">
        <v>0</v>
      </c>
      <c r="E287" s="1">
        <v>1750000</v>
      </c>
      <c r="F287" s="1" t="s">
        <v>2062</v>
      </c>
      <c r="G287" s="1" t="s">
        <v>2063</v>
      </c>
      <c r="H287" s="1" t="s">
        <v>729</v>
      </c>
      <c r="I287" s="1" t="s">
        <v>703</v>
      </c>
    </row>
    <row r="288" spans="1:9">
      <c r="A288" s="1" t="s">
        <v>2015</v>
      </c>
      <c r="B288" s="1" t="s">
        <v>2686</v>
      </c>
      <c r="C288" s="2">
        <v>41337</v>
      </c>
      <c r="D288" s="1">
        <v>0</v>
      </c>
      <c r="E288" s="1">
        <v>392040</v>
      </c>
      <c r="F288" s="1" t="s">
        <v>2062</v>
      </c>
      <c r="G288" s="1" t="s">
        <v>2063</v>
      </c>
      <c r="H288" s="1" t="s">
        <v>729</v>
      </c>
      <c r="I288" s="1" t="s">
        <v>703</v>
      </c>
    </row>
    <row r="289" spans="1:9">
      <c r="A289" s="1" t="s">
        <v>2015</v>
      </c>
      <c r="B289" s="1" t="s">
        <v>2687</v>
      </c>
      <c r="C289" s="2">
        <v>41337</v>
      </c>
      <c r="D289" s="1">
        <v>0</v>
      </c>
      <c r="E289" s="1">
        <v>300000</v>
      </c>
      <c r="F289" s="1" t="s">
        <v>2062</v>
      </c>
      <c r="G289" s="1" t="s">
        <v>2063</v>
      </c>
      <c r="H289" s="1" t="s">
        <v>729</v>
      </c>
      <c r="I289" s="1" t="s">
        <v>703</v>
      </c>
    </row>
    <row r="290" spans="1:9">
      <c r="A290" s="1" t="s">
        <v>2015</v>
      </c>
      <c r="B290" s="1" t="s">
        <v>2688</v>
      </c>
      <c r="C290" s="2">
        <v>41337</v>
      </c>
      <c r="D290" s="1">
        <v>0</v>
      </c>
      <c r="E290" s="1">
        <v>131450</v>
      </c>
      <c r="F290" s="1" t="s">
        <v>2062</v>
      </c>
      <c r="G290" s="1" t="s">
        <v>2063</v>
      </c>
      <c r="H290" s="1" t="s">
        <v>729</v>
      </c>
      <c r="I290" s="1" t="s">
        <v>703</v>
      </c>
    </row>
    <row r="291" spans="1:9">
      <c r="A291" s="1" t="s">
        <v>2018</v>
      </c>
      <c r="B291" s="1" t="s">
        <v>2689</v>
      </c>
      <c r="C291" s="2">
        <v>41337</v>
      </c>
      <c r="D291" s="1">
        <v>200000</v>
      </c>
      <c r="E291" s="1">
        <v>0</v>
      </c>
      <c r="F291" s="1" t="s">
        <v>2062</v>
      </c>
      <c r="G291" s="1" t="s">
        <v>2063</v>
      </c>
      <c r="H291" s="1" t="s">
        <v>729</v>
      </c>
      <c r="I291" s="1" t="s">
        <v>703</v>
      </c>
    </row>
    <row r="292" spans="1:9">
      <c r="A292" s="1" t="s">
        <v>2015</v>
      </c>
      <c r="B292" s="1" t="s">
        <v>2690</v>
      </c>
      <c r="C292" s="2">
        <v>41338</v>
      </c>
      <c r="D292" s="1">
        <v>0</v>
      </c>
      <c r="E292" s="1">
        <v>85000</v>
      </c>
      <c r="F292" s="1" t="s">
        <v>2062</v>
      </c>
      <c r="G292" s="1" t="s">
        <v>2063</v>
      </c>
      <c r="H292" s="1" t="s">
        <v>729</v>
      </c>
      <c r="I292" s="1" t="s">
        <v>703</v>
      </c>
    </row>
    <row r="293" spans="1:9">
      <c r="A293" s="1" t="s">
        <v>2015</v>
      </c>
      <c r="B293" s="1" t="s">
        <v>2691</v>
      </c>
      <c r="C293" s="2">
        <v>41338</v>
      </c>
      <c r="D293" s="1">
        <v>0</v>
      </c>
      <c r="E293" s="1">
        <v>600000</v>
      </c>
      <c r="F293" s="1" t="s">
        <v>2062</v>
      </c>
      <c r="G293" s="1" t="s">
        <v>2063</v>
      </c>
      <c r="H293" s="1" t="s">
        <v>729</v>
      </c>
      <c r="I293" s="1" t="s">
        <v>703</v>
      </c>
    </row>
    <row r="294" spans="1:9">
      <c r="A294" s="1" t="s">
        <v>2015</v>
      </c>
      <c r="B294" s="1" t="s">
        <v>2692</v>
      </c>
      <c r="C294" s="2">
        <v>41338</v>
      </c>
      <c r="D294" s="1">
        <v>0</v>
      </c>
      <c r="E294" s="1">
        <v>200000</v>
      </c>
      <c r="F294" s="1" t="s">
        <v>2062</v>
      </c>
      <c r="G294" s="1" t="s">
        <v>2063</v>
      </c>
      <c r="H294" s="1" t="s">
        <v>729</v>
      </c>
      <c r="I294" s="1" t="s">
        <v>703</v>
      </c>
    </row>
    <row r="295" spans="1:9">
      <c r="A295" s="1" t="s">
        <v>2015</v>
      </c>
      <c r="B295" s="1" t="s">
        <v>2693</v>
      </c>
      <c r="C295" s="2">
        <v>41339</v>
      </c>
      <c r="D295" s="1">
        <v>0</v>
      </c>
      <c r="E295" s="1">
        <v>270000</v>
      </c>
      <c r="F295" s="1" t="s">
        <v>2062</v>
      </c>
      <c r="G295" s="1" t="s">
        <v>2063</v>
      </c>
      <c r="H295" s="1" t="s">
        <v>729</v>
      </c>
      <c r="I295" s="1" t="s">
        <v>703</v>
      </c>
    </row>
    <row r="296" spans="1:9">
      <c r="A296" s="1" t="s">
        <v>2015</v>
      </c>
      <c r="B296" s="1" t="s">
        <v>2694</v>
      </c>
      <c r="C296" s="2">
        <v>41340</v>
      </c>
      <c r="D296" s="1">
        <v>0</v>
      </c>
      <c r="E296" s="1">
        <v>300000</v>
      </c>
      <c r="F296" s="1" t="s">
        <v>2062</v>
      </c>
      <c r="G296" s="1" t="s">
        <v>2063</v>
      </c>
      <c r="H296" s="1" t="s">
        <v>729</v>
      </c>
      <c r="I296" s="1" t="s">
        <v>703</v>
      </c>
    </row>
    <row r="297" spans="1:9">
      <c r="A297" s="1" t="s">
        <v>2015</v>
      </c>
      <c r="B297" s="1" t="s">
        <v>2695</v>
      </c>
      <c r="C297" s="2">
        <v>41340</v>
      </c>
      <c r="D297" s="1">
        <v>0</v>
      </c>
      <c r="E297" s="1">
        <v>120000</v>
      </c>
      <c r="F297" s="1" t="s">
        <v>2062</v>
      </c>
      <c r="G297" s="1" t="s">
        <v>2063</v>
      </c>
      <c r="H297" s="1" t="s">
        <v>729</v>
      </c>
      <c r="I297" s="1" t="s">
        <v>703</v>
      </c>
    </row>
    <row r="298" spans="1:9">
      <c r="A298" s="1" t="s">
        <v>2015</v>
      </c>
      <c r="B298" s="1" t="s">
        <v>2696</v>
      </c>
      <c r="C298" s="2">
        <v>41341</v>
      </c>
      <c r="D298" s="1">
        <v>0</v>
      </c>
      <c r="E298" s="1">
        <v>500000</v>
      </c>
      <c r="F298" s="1" t="s">
        <v>2062</v>
      </c>
      <c r="G298" s="1" t="s">
        <v>2063</v>
      </c>
      <c r="H298" s="1" t="s">
        <v>729</v>
      </c>
      <c r="I298" s="1" t="s">
        <v>703</v>
      </c>
    </row>
    <row r="299" spans="1:9">
      <c r="A299" s="1" t="s">
        <v>2015</v>
      </c>
      <c r="B299" s="1" t="s">
        <v>2697</v>
      </c>
      <c r="C299" s="2">
        <v>41355</v>
      </c>
      <c r="D299" s="1">
        <v>0</v>
      </c>
      <c r="E299" s="1">
        <v>25000</v>
      </c>
      <c r="F299" s="1" t="s">
        <v>2062</v>
      </c>
      <c r="G299" s="1" t="s">
        <v>2063</v>
      </c>
      <c r="H299" s="1" t="s">
        <v>729</v>
      </c>
      <c r="I299" s="1" t="s">
        <v>703</v>
      </c>
    </row>
    <row r="300" spans="1:9">
      <c r="A300" s="1" t="s">
        <v>2015</v>
      </c>
      <c r="B300" s="1" t="s">
        <v>2698</v>
      </c>
      <c r="C300" s="2">
        <v>41355</v>
      </c>
      <c r="D300" s="1">
        <v>0</v>
      </c>
      <c r="E300" s="1">
        <v>20000</v>
      </c>
      <c r="F300" s="1" t="s">
        <v>2062</v>
      </c>
      <c r="G300" s="1" t="s">
        <v>2063</v>
      </c>
      <c r="H300" s="1" t="s">
        <v>729</v>
      </c>
      <c r="I300" s="1" t="s">
        <v>703</v>
      </c>
    </row>
    <row r="301" spans="1:9">
      <c r="A301" s="1" t="s">
        <v>2015</v>
      </c>
      <c r="B301" s="1" t="s">
        <v>2699</v>
      </c>
      <c r="C301" s="2">
        <v>41342</v>
      </c>
      <c r="D301" s="1">
        <v>0</v>
      </c>
      <c r="E301" s="1">
        <v>300000</v>
      </c>
      <c r="F301" s="1" t="s">
        <v>1787</v>
      </c>
      <c r="G301" s="1" t="s">
        <v>1788</v>
      </c>
      <c r="H301" s="1" t="s">
        <v>724</v>
      </c>
      <c r="I301" s="1" t="s">
        <v>841</v>
      </c>
    </row>
    <row r="302" spans="1:9">
      <c r="A302" s="1" t="s">
        <v>2015</v>
      </c>
      <c r="B302" s="1" t="s">
        <v>2700</v>
      </c>
      <c r="C302" s="2">
        <v>41348</v>
      </c>
      <c r="D302" s="1">
        <v>0</v>
      </c>
      <c r="E302" s="1">
        <v>330000</v>
      </c>
      <c r="F302" s="1" t="s">
        <v>1787</v>
      </c>
      <c r="G302" s="1" t="s">
        <v>1788</v>
      </c>
      <c r="H302" s="1" t="s">
        <v>724</v>
      </c>
      <c r="I302" s="1" t="s">
        <v>841</v>
      </c>
    </row>
    <row r="303" spans="1:9">
      <c r="A303" s="1" t="s">
        <v>2015</v>
      </c>
      <c r="B303" s="1" t="s">
        <v>2701</v>
      </c>
      <c r="C303" s="2">
        <v>41363</v>
      </c>
      <c r="D303" s="1">
        <v>0</v>
      </c>
      <c r="E303" s="1">
        <v>660000</v>
      </c>
      <c r="F303" s="1" t="s">
        <v>1787</v>
      </c>
      <c r="G303" s="1" t="s">
        <v>1788</v>
      </c>
      <c r="H303" s="1" t="s">
        <v>724</v>
      </c>
      <c r="I303" s="1" t="s">
        <v>841</v>
      </c>
    </row>
    <row r="304" spans="1:9">
      <c r="A304" s="1" t="s">
        <v>2015</v>
      </c>
      <c r="B304" s="1" t="s">
        <v>2702</v>
      </c>
      <c r="C304" s="2">
        <v>41337</v>
      </c>
      <c r="D304" s="1">
        <v>0</v>
      </c>
      <c r="E304" s="1">
        <v>1500000</v>
      </c>
      <c r="F304" s="1" t="s">
        <v>1799</v>
      </c>
      <c r="G304" s="1" t="s">
        <v>1800</v>
      </c>
      <c r="H304" s="1" t="s">
        <v>721</v>
      </c>
      <c r="I304" s="1" t="s">
        <v>703</v>
      </c>
    </row>
    <row r="305" spans="1:9">
      <c r="A305" s="1" t="s">
        <v>2015</v>
      </c>
      <c r="B305" s="1" t="s">
        <v>2703</v>
      </c>
      <c r="C305" s="2">
        <v>41347</v>
      </c>
      <c r="D305" s="1">
        <v>0</v>
      </c>
      <c r="E305" s="1">
        <v>2500000</v>
      </c>
      <c r="F305" s="1" t="s">
        <v>1799</v>
      </c>
      <c r="G305" s="1" t="s">
        <v>1800</v>
      </c>
      <c r="H305" s="1" t="s">
        <v>721</v>
      </c>
      <c r="I305" s="1" t="s">
        <v>703</v>
      </c>
    </row>
    <row r="306" spans="1:9">
      <c r="A306" s="1" t="s">
        <v>2015</v>
      </c>
      <c r="B306" s="1" t="s">
        <v>2704</v>
      </c>
      <c r="C306" s="2">
        <v>41339</v>
      </c>
      <c r="D306" s="1">
        <v>0</v>
      </c>
      <c r="E306" s="1">
        <v>100000</v>
      </c>
      <c r="F306" s="1" t="s">
        <v>1801</v>
      </c>
      <c r="G306" s="1" t="s">
        <v>1802</v>
      </c>
      <c r="H306" s="1" t="s">
        <v>732</v>
      </c>
      <c r="I306" s="1" t="s">
        <v>594</v>
      </c>
    </row>
    <row r="307" spans="1:9">
      <c r="A307" s="1" t="s">
        <v>2015</v>
      </c>
      <c r="B307" s="1" t="s">
        <v>2705</v>
      </c>
      <c r="C307" s="2">
        <v>41346</v>
      </c>
      <c r="D307" s="1">
        <v>0</v>
      </c>
      <c r="E307" s="1">
        <v>76400</v>
      </c>
      <c r="F307" s="1" t="s">
        <v>1801</v>
      </c>
      <c r="G307" s="1" t="s">
        <v>1802</v>
      </c>
      <c r="H307" s="1" t="s">
        <v>732</v>
      </c>
      <c r="I307" s="1" t="s">
        <v>594</v>
      </c>
    </row>
    <row r="308" spans="1:9">
      <c r="A308" s="1" t="s">
        <v>2015</v>
      </c>
      <c r="B308" s="1" t="s">
        <v>2706</v>
      </c>
      <c r="C308" s="2">
        <v>41346</v>
      </c>
      <c r="D308" s="1">
        <v>0</v>
      </c>
      <c r="E308" s="1">
        <v>800000</v>
      </c>
      <c r="F308" s="1" t="s">
        <v>1801</v>
      </c>
      <c r="G308" s="1" t="s">
        <v>1802</v>
      </c>
      <c r="H308" s="1" t="s">
        <v>732</v>
      </c>
      <c r="I308" s="1" t="s">
        <v>594</v>
      </c>
    </row>
    <row r="309" spans="1:9">
      <c r="A309" s="1" t="s">
        <v>2015</v>
      </c>
      <c r="B309" s="1" t="s">
        <v>2707</v>
      </c>
      <c r="C309" s="2">
        <v>41346</v>
      </c>
      <c r="D309" s="1">
        <v>0</v>
      </c>
      <c r="E309" s="1">
        <v>400000</v>
      </c>
      <c r="F309" s="1" t="s">
        <v>1801</v>
      </c>
      <c r="G309" s="1" t="s">
        <v>1802</v>
      </c>
      <c r="H309" s="1" t="s">
        <v>732</v>
      </c>
      <c r="I309" s="1" t="s">
        <v>594</v>
      </c>
    </row>
    <row r="310" spans="1:9">
      <c r="A310" s="1" t="s">
        <v>2015</v>
      </c>
      <c r="B310" s="1" t="s">
        <v>2708</v>
      </c>
      <c r="C310" s="2">
        <v>41348</v>
      </c>
      <c r="D310" s="1">
        <v>0</v>
      </c>
      <c r="E310" s="1">
        <v>200000</v>
      </c>
      <c r="F310" s="1" t="s">
        <v>1801</v>
      </c>
      <c r="G310" s="1" t="s">
        <v>1802</v>
      </c>
      <c r="H310" s="1" t="s">
        <v>732</v>
      </c>
      <c r="I310" s="1" t="s">
        <v>594</v>
      </c>
    </row>
    <row r="311" spans="1:9">
      <c r="A311" s="1" t="s">
        <v>2015</v>
      </c>
      <c r="B311" s="1" t="s">
        <v>2709</v>
      </c>
      <c r="C311" s="2">
        <v>41354</v>
      </c>
      <c r="D311" s="1">
        <v>0</v>
      </c>
      <c r="E311" s="1">
        <v>450000</v>
      </c>
      <c r="F311" s="1" t="s">
        <v>1801</v>
      </c>
      <c r="G311" s="1" t="s">
        <v>1802</v>
      </c>
      <c r="H311" s="1" t="s">
        <v>732</v>
      </c>
      <c r="I311" s="1" t="s">
        <v>594</v>
      </c>
    </row>
    <row r="312" spans="1:9">
      <c r="A312" s="1" t="s">
        <v>2015</v>
      </c>
      <c r="B312" s="1" t="s">
        <v>2710</v>
      </c>
      <c r="C312" s="2">
        <v>41354</v>
      </c>
      <c r="D312" s="1">
        <v>0</v>
      </c>
      <c r="E312" s="1">
        <v>550000</v>
      </c>
      <c r="F312" s="1" t="s">
        <v>1801</v>
      </c>
      <c r="G312" s="1" t="s">
        <v>1802</v>
      </c>
      <c r="H312" s="1" t="s">
        <v>732</v>
      </c>
      <c r="I312" s="1" t="s">
        <v>594</v>
      </c>
    </row>
    <row r="313" spans="1:9">
      <c r="A313" s="1" t="s">
        <v>2015</v>
      </c>
      <c r="B313" s="1" t="s">
        <v>2711</v>
      </c>
      <c r="C313" s="2">
        <v>41360</v>
      </c>
      <c r="D313" s="1">
        <v>0</v>
      </c>
      <c r="E313" s="1">
        <v>54900</v>
      </c>
      <c r="F313" s="1" t="s">
        <v>1801</v>
      </c>
      <c r="G313" s="1" t="s">
        <v>1802</v>
      </c>
      <c r="H313" s="1" t="s">
        <v>732</v>
      </c>
      <c r="I313" s="1" t="s">
        <v>594</v>
      </c>
    </row>
    <row r="314" spans="1:9">
      <c r="A314" s="1" t="s">
        <v>2015</v>
      </c>
      <c r="B314" s="1" t="s">
        <v>2712</v>
      </c>
      <c r="C314" s="2">
        <v>41360</v>
      </c>
      <c r="D314" s="1">
        <v>0</v>
      </c>
      <c r="E314" s="1">
        <v>70000</v>
      </c>
      <c r="F314" s="1" t="s">
        <v>1801</v>
      </c>
      <c r="G314" s="1" t="s">
        <v>1802</v>
      </c>
      <c r="H314" s="1" t="s">
        <v>732</v>
      </c>
      <c r="I314" s="1" t="s">
        <v>594</v>
      </c>
    </row>
    <row r="315" spans="1:9">
      <c r="A315" s="1" t="s">
        <v>2015</v>
      </c>
      <c r="B315" s="1" t="s">
        <v>2713</v>
      </c>
      <c r="C315" s="2">
        <v>41360</v>
      </c>
      <c r="D315" s="1">
        <v>0</v>
      </c>
      <c r="E315" s="1">
        <v>9100</v>
      </c>
      <c r="F315" s="1" t="s">
        <v>1801</v>
      </c>
      <c r="G315" s="1" t="s">
        <v>1802</v>
      </c>
      <c r="H315" s="1" t="s">
        <v>732</v>
      </c>
      <c r="I315" s="1" t="s">
        <v>594</v>
      </c>
    </row>
    <row r="316" spans="1:9">
      <c r="A316" s="1" t="s">
        <v>2015</v>
      </c>
      <c r="B316" s="1" t="s">
        <v>2714</v>
      </c>
      <c r="C316" s="2">
        <v>41363</v>
      </c>
      <c r="D316" s="1">
        <v>0</v>
      </c>
      <c r="E316" s="1">
        <v>900000</v>
      </c>
      <c r="F316" s="1" t="s">
        <v>1801</v>
      </c>
      <c r="G316" s="1" t="s">
        <v>1802</v>
      </c>
      <c r="H316" s="1" t="s">
        <v>732</v>
      </c>
      <c r="I316" s="1" t="s">
        <v>594</v>
      </c>
    </row>
    <row r="317" spans="1:9">
      <c r="A317" s="1" t="s">
        <v>2015</v>
      </c>
      <c r="B317" s="1" t="s">
        <v>2715</v>
      </c>
      <c r="C317" s="2">
        <v>41363</v>
      </c>
      <c r="D317" s="1">
        <v>0</v>
      </c>
      <c r="E317" s="1">
        <v>800000</v>
      </c>
      <c r="F317" s="1" t="s">
        <v>1801</v>
      </c>
      <c r="G317" s="1" t="s">
        <v>1802</v>
      </c>
      <c r="H317" s="1" t="s">
        <v>732</v>
      </c>
      <c r="I317" s="1" t="s">
        <v>594</v>
      </c>
    </row>
    <row r="318" spans="1:9">
      <c r="A318" s="1" t="s">
        <v>2015</v>
      </c>
      <c r="B318" s="1" t="s">
        <v>2716</v>
      </c>
      <c r="C318" s="2">
        <v>41363</v>
      </c>
      <c r="D318" s="1">
        <v>0</v>
      </c>
      <c r="E318" s="1">
        <v>300000</v>
      </c>
      <c r="F318" s="1" t="s">
        <v>1801</v>
      </c>
      <c r="G318" s="1" t="s">
        <v>1802</v>
      </c>
      <c r="H318" s="1" t="s">
        <v>732</v>
      </c>
      <c r="I318" s="1" t="s">
        <v>594</v>
      </c>
    </row>
    <row r="319" spans="1:9">
      <c r="A319" s="1" t="s">
        <v>2015</v>
      </c>
      <c r="B319" s="1" t="s">
        <v>2717</v>
      </c>
      <c r="C319" s="2">
        <v>41363</v>
      </c>
      <c r="D319" s="1">
        <v>0</v>
      </c>
      <c r="E319" s="1">
        <v>400000</v>
      </c>
      <c r="F319" s="1" t="s">
        <v>1801</v>
      </c>
      <c r="G319" s="1" t="s">
        <v>1802</v>
      </c>
      <c r="H319" s="1" t="s">
        <v>732</v>
      </c>
      <c r="I319" s="1" t="s">
        <v>594</v>
      </c>
    </row>
    <row r="320" spans="1:9">
      <c r="A320" s="1" t="s">
        <v>2015</v>
      </c>
      <c r="B320" s="1" t="s">
        <v>2718</v>
      </c>
      <c r="C320" s="2">
        <v>41363</v>
      </c>
      <c r="D320" s="1">
        <v>0</v>
      </c>
      <c r="E320" s="1">
        <v>200000</v>
      </c>
      <c r="F320" s="1" t="s">
        <v>1801</v>
      </c>
      <c r="G320" s="1" t="s">
        <v>1802</v>
      </c>
      <c r="H320" s="1" t="s">
        <v>732</v>
      </c>
      <c r="I320" s="1" t="s">
        <v>594</v>
      </c>
    </row>
    <row r="321" spans="1:9">
      <c r="A321" s="1" t="s">
        <v>2018</v>
      </c>
      <c r="B321" s="1" t="s">
        <v>2719</v>
      </c>
      <c r="C321" s="2">
        <v>41338</v>
      </c>
      <c r="D321" s="1">
        <v>3627.27</v>
      </c>
      <c r="E321" s="1">
        <v>0</v>
      </c>
      <c r="F321" s="1" t="s">
        <v>1810</v>
      </c>
      <c r="G321" s="1" t="s">
        <v>1811</v>
      </c>
      <c r="H321" s="1" t="s">
        <v>743</v>
      </c>
      <c r="I321" s="1" t="s">
        <v>650</v>
      </c>
    </row>
    <row r="322" spans="1:9">
      <c r="A322" s="1" t="s">
        <v>2015</v>
      </c>
      <c r="B322" s="1" t="s">
        <v>2720</v>
      </c>
      <c r="C322" s="2">
        <v>41352</v>
      </c>
      <c r="D322" s="1">
        <v>0</v>
      </c>
      <c r="E322" s="1">
        <v>1500000</v>
      </c>
      <c r="F322" s="1" t="s">
        <v>1812</v>
      </c>
      <c r="G322" s="1" t="s">
        <v>1813</v>
      </c>
      <c r="H322" s="1" t="s">
        <v>721</v>
      </c>
      <c r="I322" s="1" t="s">
        <v>703</v>
      </c>
    </row>
    <row r="323" spans="1:9">
      <c r="A323" s="1" t="s">
        <v>2015</v>
      </c>
      <c r="B323" s="1" t="s">
        <v>2721</v>
      </c>
      <c r="C323" s="2">
        <v>41354</v>
      </c>
      <c r="D323" s="1">
        <v>0</v>
      </c>
      <c r="E323" s="1">
        <v>500000</v>
      </c>
      <c r="F323" s="1" t="s">
        <v>1812</v>
      </c>
      <c r="G323" s="1" t="s">
        <v>1813</v>
      </c>
      <c r="H323" s="1" t="s">
        <v>721</v>
      </c>
      <c r="I323" s="1" t="s">
        <v>703</v>
      </c>
    </row>
    <row r="324" spans="1:9">
      <c r="A324" s="1" t="s">
        <v>2015</v>
      </c>
      <c r="B324" s="1" t="s">
        <v>2722</v>
      </c>
      <c r="C324" s="2">
        <v>41335</v>
      </c>
      <c r="D324" s="1">
        <v>0</v>
      </c>
      <c r="E324" s="1">
        <v>47500</v>
      </c>
      <c r="F324" s="1" t="s">
        <v>1814</v>
      </c>
      <c r="G324" s="1" t="s">
        <v>1815</v>
      </c>
      <c r="H324" s="1" t="s">
        <v>724</v>
      </c>
      <c r="I324" s="1" t="s">
        <v>703</v>
      </c>
    </row>
    <row r="325" spans="1:9">
      <c r="A325" s="1" t="s">
        <v>2015</v>
      </c>
      <c r="B325" s="1" t="s">
        <v>2723</v>
      </c>
      <c r="C325" s="2">
        <v>41346</v>
      </c>
      <c r="D325" s="1">
        <v>0</v>
      </c>
      <c r="E325" s="1">
        <v>200000</v>
      </c>
      <c r="F325" s="1" t="s">
        <v>1814</v>
      </c>
      <c r="G325" s="1" t="s">
        <v>1815</v>
      </c>
      <c r="H325" s="1" t="s">
        <v>724</v>
      </c>
      <c r="I325" s="1" t="s">
        <v>703</v>
      </c>
    </row>
    <row r="326" spans="1:9">
      <c r="A326" s="1" t="s">
        <v>2015</v>
      </c>
      <c r="B326" s="1" t="s">
        <v>2724</v>
      </c>
      <c r="C326" s="2">
        <v>41352</v>
      </c>
      <c r="D326" s="1">
        <v>0</v>
      </c>
      <c r="E326" s="1">
        <v>200000</v>
      </c>
      <c r="F326" s="1" t="s">
        <v>1814</v>
      </c>
      <c r="G326" s="1" t="s">
        <v>1815</v>
      </c>
      <c r="H326" s="1" t="s">
        <v>724</v>
      </c>
      <c r="I326" s="1" t="s">
        <v>703</v>
      </c>
    </row>
    <row r="327" spans="1:9">
      <c r="A327" s="1" t="s">
        <v>2018</v>
      </c>
      <c r="B327" s="1" t="s">
        <v>2725</v>
      </c>
      <c r="C327" s="2">
        <v>41352</v>
      </c>
      <c r="D327" s="1">
        <v>200000</v>
      </c>
      <c r="E327" s="1">
        <v>0</v>
      </c>
      <c r="F327" s="1" t="s">
        <v>1814</v>
      </c>
      <c r="G327" s="1" t="s">
        <v>1815</v>
      </c>
      <c r="H327" s="1" t="s">
        <v>724</v>
      </c>
      <c r="I327" s="1" t="s">
        <v>703</v>
      </c>
    </row>
    <row r="328" spans="1:9">
      <c r="A328" s="1" t="s">
        <v>2015</v>
      </c>
      <c r="B328" s="1" t="s">
        <v>2726</v>
      </c>
      <c r="C328" s="2">
        <v>41362</v>
      </c>
      <c r="D328" s="1">
        <v>0</v>
      </c>
      <c r="E328" s="1">
        <v>240000</v>
      </c>
      <c r="F328" s="1" t="s">
        <v>1814</v>
      </c>
      <c r="G328" s="1" t="s">
        <v>1815</v>
      </c>
      <c r="H328" s="1" t="s">
        <v>724</v>
      </c>
      <c r="I328" s="1" t="s">
        <v>703</v>
      </c>
    </row>
    <row r="329" spans="1:9">
      <c r="A329" s="1" t="s">
        <v>2015</v>
      </c>
      <c r="B329" s="1" t="s">
        <v>2727</v>
      </c>
      <c r="C329" s="2">
        <v>41362</v>
      </c>
      <c r="D329" s="1">
        <v>0</v>
      </c>
      <c r="E329" s="1">
        <v>19600</v>
      </c>
      <c r="F329" s="1" t="s">
        <v>2728</v>
      </c>
      <c r="G329" s="1" t="s">
        <v>2729</v>
      </c>
      <c r="H329" s="1" t="s">
        <v>732</v>
      </c>
      <c r="I329" s="1" t="s">
        <v>703</v>
      </c>
    </row>
    <row r="330" spans="1:9">
      <c r="A330" s="1" t="s">
        <v>2015</v>
      </c>
      <c r="B330" s="1" t="s">
        <v>2730</v>
      </c>
      <c r="C330" s="2">
        <v>41363</v>
      </c>
      <c r="D330" s="1">
        <v>0</v>
      </c>
      <c r="E330" s="1">
        <v>200000</v>
      </c>
      <c r="F330" s="1" t="s">
        <v>1823</v>
      </c>
      <c r="G330" s="1" t="s">
        <v>1824</v>
      </c>
      <c r="H330" s="1" t="s">
        <v>743</v>
      </c>
      <c r="I330" s="1" t="s">
        <v>691</v>
      </c>
    </row>
    <row r="331" spans="1:9">
      <c r="A331" s="1" t="s">
        <v>2015</v>
      </c>
      <c r="B331" s="1" t="s">
        <v>2731</v>
      </c>
      <c r="C331" s="2">
        <v>41363.478668981479</v>
      </c>
      <c r="D331" s="1">
        <v>0</v>
      </c>
      <c r="E331" s="1">
        <v>50000</v>
      </c>
      <c r="F331" s="1" t="s">
        <v>1823</v>
      </c>
      <c r="G331" s="1" t="s">
        <v>1824</v>
      </c>
      <c r="H331" s="1" t="s">
        <v>743</v>
      </c>
      <c r="I331" s="1" t="s">
        <v>691</v>
      </c>
    </row>
    <row r="332" spans="1:9">
      <c r="A332" s="1" t="s">
        <v>2015</v>
      </c>
      <c r="B332" s="1" t="s">
        <v>2732</v>
      </c>
      <c r="C332" s="2">
        <v>41361</v>
      </c>
      <c r="D332" s="1">
        <v>0</v>
      </c>
      <c r="E332" s="1">
        <v>114000</v>
      </c>
      <c r="F332" s="1" t="s">
        <v>2733</v>
      </c>
      <c r="G332" s="1" t="s">
        <v>2734</v>
      </c>
      <c r="H332" s="1" t="s">
        <v>732</v>
      </c>
      <c r="I332" s="1" t="s">
        <v>703</v>
      </c>
    </row>
    <row r="333" spans="1:9">
      <c r="A333" s="1" t="s">
        <v>2015</v>
      </c>
      <c r="B333" s="1" t="s">
        <v>2735</v>
      </c>
      <c r="C333" s="2">
        <v>41360.653113425928</v>
      </c>
      <c r="D333" s="1">
        <v>0</v>
      </c>
      <c r="E333" s="1">
        <v>4000</v>
      </c>
      <c r="F333" s="1" t="s">
        <v>2064</v>
      </c>
      <c r="G333" s="1" t="s">
        <v>2065</v>
      </c>
      <c r="H333" s="1" t="s">
        <v>732</v>
      </c>
      <c r="I333" s="1" t="s">
        <v>703</v>
      </c>
    </row>
    <row r="334" spans="1:9">
      <c r="A334" s="1" t="s">
        <v>2015</v>
      </c>
      <c r="B334" s="1" t="s">
        <v>2736</v>
      </c>
      <c r="C334" s="2">
        <v>41355</v>
      </c>
      <c r="D334" s="1">
        <v>0</v>
      </c>
      <c r="E334" s="1">
        <v>115000</v>
      </c>
      <c r="F334" s="1" t="s">
        <v>1831</v>
      </c>
      <c r="G334" s="1" t="s">
        <v>1832</v>
      </c>
      <c r="H334" s="1" t="s">
        <v>743</v>
      </c>
      <c r="I334" s="1" t="s">
        <v>703</v>
      </c>
    </row>
    <row r="335" spans="1:9">
      <c r="A335" s="1" t="s">
        <v>2015</v>
      </c>
      <c r="B335" s="1" t="s">
        <v>2737</v>
      </c>
      <c r="C335" s="2">
        <v>41344</v>
      </c>
      <c r="D335" s="1">
        <v>0</v>
      </c>
      <c r="E335" s="1">
        <v>150000</v>
      </c>
      <c r="F335" s="1" t="s">
        <v>1843</v>
      </c>
      <c r="G335" s="1" t="s">
        <v>1844</v>
      </c>
      <c r="H335" s="1" t="s">
        <v>743</v>
      </c>
      <c r="I335" s="1" t="s">
        <v>669</v>
      </c>
    </row>
    <row r="336" spans="1:9">
      <c r="A336" s="1" t="s">
        <v>2015</v>
      </c>
      <c r="B336" s="1" t="s">
        <v>2738</v>
      </c>
      <c r="C336" s="2">
        <v>41345</v>
      </c>
      <c r="D336" s="1">
        <v>0</v>
      </c>
      <c r="E336" s="1">
        <v>50000</v>
      </c>
      <c r="F336" s="1" t="s">
        <v>1843</v>
      </c>
      <c r="G336" s="1" t="s">
        <v>1844</v>
      </c>
      <c r="H336" s="1" t="s">
        <v>743</v>
      </c>
      <c r="I336" s="1" t="s">
        <v>669</v>
      </c>
    </row>
    <row r="337" spans="1:9">
      <c r="A337" s="1" t="s">
        <v>2015</v>
      </c>
      <c r="B337" s="1" t="s">
        <v>2739</v>
      </c>
      <c r="C337" s="2">
        <v>41348</v>
      </c>
      <c r="D337" s="1">
        <v>0</v>
      </c>
      <c r="E337" s="1">
        <v>300000</v>
      </c>
      <c r="F337" s="1" t="s">
        <v>1843</v>
      </c>
      <c r="G337" s="1" t="s">
        <v>1844</v>
      </c>
      <c r="H337" s="1" t="s">
        <v>743</v>
      </c>
      <c r="I337" s="1" t="s">
        <v>669</v>
      </c>
    </row>
    <row r="338" spans="1:9">
      <c r="A338" s="1" t="s">
        <v>2015</v>
      </c>
      <c r="B338" s="1" t="s">
        <v>2740</v>
      </c>
      <c r="C338" s="2">
        <v>41359</v>
      </c>
      <c r="D338" s="1">
        <v>0</v>
      </c>
      <c r="E338" s="1">
        <v>200000</v>
      </c>
      <c r="F338" s="1" t="s">
        <v>1843</v>
      </c>
      <c r="G338" s="1" t="s">
        <v>1844</v>
      </c>
      <c r="H338" s="1" t="s">
        <v>743</v>
      </c>
      <c r="I338" s="1" t="s">
        <v>669</v>
      </c>
    </row>
    <row r="339" spans="1:9">
      <c r="A339" s="1" t="s">
        <v>2015</v>
      </c>
      <c r="B339" s="1" t="s">
        <v>2741</v>
      </c>
      <c r="C339" s="2">
        <v>41363</v>
      </c>
      <c r="D339" s="1">
        <v>0</v>
      </c>
      <c r="E339" s="1">
        <v>60000</v>
      </c>
      <c r="F339" s="1" t="s">
        <v>1851</v>
      </c>
      <c r="G339" s="1" t="s">
        <v>1852</v>
      </c>
      <c r="H339" s="1" t="s">
        <v>743</v>
      </c>
      <c r="I339" s="1" t="s">
        <v>650</v>
      </c>
    </row>
    <row r="340" spans="1:9">
      <c r="A340" s="1" t="s">
        <v>2015</v>
      </c>
      <c r="B340" s="1" t="s">
        <v>2742</v>
      </c>
      <c r="C340" s="2">
        <v>41363</v>
      </c>
      <c r="D340" s="1">
        <v>0</v>
      </c>
      <c r="E340" s="1">
        <v>300000</v>
      </c>
      <c r="F340" s="1" t="s">
        <v>1851</v>
      </c>
      <c r="G340" s="1" t="s">
        <v>1852</v>
      </c>
      <c r="H340" s="1" t="s">
        <v>743</v>
      </c>
      <c r="I340" s="1" t="s">
        <v>650</v>
      </c>
    </row>
    <row r="341" spans="1:9">
      <c r="A341" s="1" t="s">
        <v>2015</v>
      </c>
      <c r="B341" s="1" t="s">
        <v>2743</v>
      </c>
      <c r="C341" s="2">
        <v>41347</v>
      </c>
      <c r="D341" s="1">
        <v>0</v>
      </c>
      <c r="E341" s="1">
        <v>500000</v>
      </c>
      <c r="F341" s="1" t="s">
        <v>1853</v>
      </c>
      <c r="G341" s="1" t="s">
        <v>1854</v>
      </c>
      <c r="H341" s="1" t="s">
        <v>721</v>
      </c>
      <c r="I341" s="1" t="s">
        <v>669</v>
      </c>
    </row>
    <row r="342" spans="1:9">
      <c r="A342" s="1" t="s">
        <v>2015</v>
      </c>
      <c r="B342" s="1" t="s">
        <v>2744</v>
      </c>
      <c r="C342" s="2">
        <v>41334</v>
      </c>
      <c r="D342" s="1">
        <v>0</v>
      </c>
      <c r="E342" s="1">
        <v>15000</v>
      </c>
      <c r="F342" s="1" t="s">
        <v>2066</v>
      </c>
      <c r="G342" s="1" t="s">
        <v>2067</v>
      </c>
      <c r="H342" s="1" t="s">
        <v>1777</v>
      </c>
      <c r="I342" s="1" t="s">
        <v>703</v>
      </c>
    </row>
    <row r="343" spans="1:9">
      <c r="A343" s="1" t="s">
        <v>2015</v>
      </c>
      <c r="B343" s="1" t="s">
        <v>2745</v>
      </c>
      <c r="C343" s="2">
        <v>41345</v>
      </c>
      <c r="D343" s="1">
        <v>0</v>
      </c>
      <c r="E343" s="1">
        <v>650000</v>
      </c>
      <c r="F343" s="1" t="s">
        <v>1862</v>
      </c>
      <c r="G343" s="1" t="s">
        <v>1863</v>
      </c>
      <c r="H343" s="1" t="s">
        <v>724</v>
      </c>
      <c r="I343" s="1" t="s">
        <v>858</v>
      </c>
    </row>
    <row r="344" spans="1:9">
      <c r="A344" s="1" t="s">
        <v>2015</v>
      </c>
      <c r="B344" s="1" t="s">
        <v>2746</v>
      </c>
      <c r="C344" s="2">
        <v>41363</v>
      </c>
      <c r="D344" s="1">
        <v>0</v>
      </c>
      <c r="E344" s="1">
        <v>400000</v>
      </c>
      <c r="F344" s="1" t="s">
        <v>1862</v>
      </c>
      <c r="G344" s="1" t="s">
        <v>1863</v>
      </c>
      <c r="H344" s="1" t="s">
        <v>724</v>
      </c>
      <c r="I344" s="1" t="s">
        <v>858</v>
      </c>
    </row>
    <row r="345" spans="1:9">
      <c r="A345" s="1" t="s">
        <v>2015</v>
      </c>
      <c r="B345" s="1" t="s">
        <v>2747</v>
      </c>
      <c r="C345" s="2">
        <v>41341</v>
      </c>
      <c r="D345" s="1">
        <v>0</v>
      </c>
      <c r="E345" s="1">
        <v>125000</v>
      </c>
      <c r="F345" s="1" t="s">
        <v>1865</v>
      </c>
      <c r="G345" s="1" t="s">
        <v>1866</v>
      </c>
      <c r="H345" s="1" t="s">
        <v>743</v>
      </c>
      <c r="I345" s="1" t="s">
        <v>703</v>
      </c>
    </row>
    <row r="346" spans="1:9">
      <c r="A346" s="1" t="s">
        <v>2015</v>
      </c>
      <c r="B346" s="1" t="s">
        <v>2748</v>
      </c>
      <c r="C346" s="2">
        <v>41355</v>
      </c>
      <c r="D346" s="1">
        <v>0</v>
      </c>
      <c r="E346" s="1">
        <v>100000</v>
      </c>
      <c r="F346" s="1" t="s">
        <v>1865</v>
      </c>
      <c r="G346" s="1" t="s">
        <v>1866</v>
      </c>
      <c r="H346" s="1" t="s">
        <v>743</v>
      </c>
      <c r="I346" s="1" t="s">
        <v>703</v>
      </c>
    </row>
    <row r="347" spans="1:9">
      <c r="A347" s="1" t="s">
        <v>2015</v>
      </c>
      <c r="B347" s="1" t="s">
        <v>2749</v>
      </c>
      <c r="C347" s="2">
        <v>41346</v>
      </c>
      <c r="D347" s="1">
        <v>0</v>
      </c>
      <c r="E347" s="1">
        <v>400000</v>
      </c>
      <c r="F347" s="1" t="s">
        <v>1869</v>
      </c>
      <c r="G347" s="1" t="s">
        <v>1870</v>
      </c>
      <c r="H347" s="1" t="s">
        <v>724</v>
      </c>
      <c r="I347" s="1" t="s">
        <v>725</v>
      </c>
    </row>
    <row r="348" spans="1:9">
      <c r="A348" s="1" t="s">
        <v>2015</v>
      </c>
      <c r="B348" s="1" t="s">
        <v>2750</v>
      </c>
      <c r="C348" s="2">
        <v>41348</v>
      </c>
      <c r="D348" s="1">
        <v>0</v>
      </c>
      <c r="E348" s="1">
        <v>400000</v>
      </c>
      <c r="F348" s="1" t="s">
        <v>1869</v>
      </c>
      <c r="G348" s="1" t="s">
        <v>1870</v>
      </c>
      <c r="H348" s="1" t="s">
        <v>724</v>
      </c>
      <c r="I348" s="1" t="s">
        <v>725</v>
      </c>
    </row>
    <row r="349" spans="1:9">
      <c r="A349" s="1" t="s">
        <v>2015</v>
      </c>
      <c r="B349" s="1" t="s">
        <v>2751</v>
      </c>
      <c r="C349" s="2">
        <v>41360</v>
      </c>
      <c r="D349" s="1">
        <v>0</v>
      </c>
      <c r="E349" s="1">
        <v>400000</v>
      </c>
      <c r="F349" s="1" t="s">
        <v>1869</v>
      </c>
      <c r="G349" s="1" t="s">
        <v>1870</v>
      </c>
      <c r="H349" s="1" t="s">
        <v>724</v>
      </c>
      <c r="I349" s="1" t="s">
        <v>725</v>
      </c>
    </row>
    <row r="350" spans="1:9">
      <c r="A350" s="1" t="s">
        <v>2015</v>
      </c>
      <c r="B350" s="1" t="s">
        <v>2752</v>
      </c>
      <c r="C350" s="2">
        <v>41363</v>
      </c>
      <c r="D350" s="1">
        <v>0</v>
      </c>
      <c r="E350" s="1">
        <v>400000</v>
      </c>
      <c r="F350" s="1" t="s">
        <v>1869</v>
      </c>
      <c r="G350" s="1" t="s">
        <v>1870</v>
      </c>
      <c r="H350" s="1" t="s">
        <v>724</v>
      </c>
      <c r="I350" s="1" t="s">
        <v>725</v>
      </c>
    </row>
    <row r="351" spans="1:9">
      <c r="A351" s="1" t="s">
        <v>2015</v>
      </c>
      <c r="B351" s="1" t="s">
        <v>2753</v>
      </c>
      <c r="C351" s="2">
        <v>41360</v>
      </c>
      <c r="D351" s="1">
        <v>0</v>
      </c>
      <c r="E351" s="1">
        <v>12290</v>
      </c>
      <c r="F351" s="1" t="s">
        <v>2754</v>
      </c>
      <c r="G351" s="1" t="s">
        <v>2755</v>
      </c>
      <c r="H351" s="1" t="s">
        <v>2045</v>
      </c>
      <c r="I351" s="1" t="s">
        <v>703</v>
      </c>
    </row>
    <row r="352" spans="1:9">
      <c r="A352" s="1" t="s">
        <v>2015</v>
      </c>
      <c r="B352" s="1" t="s">
        <v>2756</v>
      </c>
      <c r="C352" s="2">
        <v>41347</v>
      </c>
      <c r="D352" s="1">
        <v>0</v>
      </c>
      <c r="E352" s="1">
        <v>24435</v>
      </c>
      <c r="F352" s="1" t="s">
        <v>2757</v>
      </c>
      <c r="G352" s="1" t="s">
        <v>2758</v>
      </c>
      <c r="H352" s="1" t="s">
        <v>1777</v>
      </c>
      <c r="I352" s="1" t="s">
        <v>703</v>
      </c>
    </row>
    <row r="353" spans="1:9">
      <c r="A353" s="1" t="s">
        <v>2015</v>
      </c>
      <c r="B353" s="1" t="s">
        <v>2759</v>
      </c>
      <c r="C353" s="2">
        <v>41347</v>
      </c>
      <c r="D353" s="1">
        <v>0</v>
      </c>
      <c r="E353" s="1">
        <v>18000</v>
      </c>
      <c r="F353" s="1" t="s">
        <v>2757</v>
      </c>
      <c r="G353" s="1" t="s">
        <v>2758</v>
      </c>
      <c r="H353" s="1" t="s">
        <v>1777</v>
      </c>
      <c r="I353" s="1" t="s">
        <v>703</v>
      </c>
    </row>
    <row r="354" spans="1:9">
      <c r="A354" s="1" t="s">
        <v>2015</v>
      </c>
      <c r="B354" s="1" t="s">
        <v>2760</v>
      </c>
      <c r="C354" s="2">
        <v>41360</v>
      </c>
      <c r="D354" s="1">
        <v>0</v>
      </c>
      <c r="E354" s="1">
        <v>285348</v>
      </c>
      <c r="F354" s="1" t="s">
        <v>2761</v>
      </c>
      <c r="G354" s="1" t="s">
        <v>1879</v>
      </c>
      <c r="H354" s="1" t="s">
        <v>721</v>
      </c>
      <c r="I354" s="1" t="s">
        <v>650</v>
      </c>
    </row>
    <row r="355" spans="1:9">
      <c r="A355" s="1" t="s">
        <v>2015</v>
      </c>
      <c r="B355" s="1" t="s">
        <v>2762</v>
      </c>
      <c r="C355" s="2">
        <v>41352</v>
      </c>
      <c r="D355" s="1">
        <v>0</v>
      </c>
      <c r="E355" s="1">
        <v>1500000</v>
      </c>
      <c r="F355" s="1" t="s">
        <v>1883</v>
      </c>
      <c r="G355" s="1" t="s">
        <v>1884</v>
      </c>
      <c r="H355" s="1" t="s">
        <v>732</v>
      </c>
      <c r="I355" s="1" t="s">
        <v>1040</v>
      </c>
    </row>
    <row r="356" spans="1:9">
      <c r="A356" s="1" t="s">
        <v>2015</v>
      </c>
      <c r="B356" s="1" t="s">
        <v>2763</v>
      </c>
      <c r="C356" s="2">
        <v>41362</v>
      </c>
      <c r="D356" s="1">
        <v>0</v>
      </c>
      <c r="E356" s="1">
        <v>3500000</v>
      </c>
      <c r="F356" s="1" t="s">
        <v>1883</v>
      </c>
      <c r="G356" s="1" t="s">
        <v>1884</v>
      </c>
      <c r="H356" s="1" t="s">
        <v>732</v>
      </c>
      <c r="I356" s="1" t="s">
        <v>1040</v>
      </c>
    </row>
    <row r="357" spans="1:9">
      <c r="A357" s="1" t="s">
        <v>2015</v>
      </c>
      <c r="B357" s="1" t="s">
        <v>2764</v>
      </c>
      <c r="C357" s="2">
        <v>41334</v>
      </c>
      <c r="D357" s="1">
        <v>0</v>
      </c>
      <c r="E357" s="1">
        <v>3379</v>
      </c>
      <c r="F357" s="1" t="s">
        <v>2068</v>
      </c>
      <c r="G357" s="1" t="s">
        <v>2069</v>
      </c>
      <c r="H357" s="1" t="s">
        <v>1873</v>
      </c>
      <c r="I357" s="1" t="s">
        <v>703</v>
      </c>
    </row>
    <row r="358" spans="1:9">
      <c r="A358" s="1" t="s">
        <v>2015</v>
      </c>
      <c r="B358" s="1" t="s">
        <v>2765</v>
      </c>
      <c r="C358" s="2">
        <v>41362</v>
      </c>
      <c r="D358" s="1">
        <v>0</v>
      </c>
      <c r="E358" s="1">
        <v>139500</v>
      </c>
      <c r="F358" s="1" t="s">
        <v>1903</v>
      </c>
      <c r="G358" s="1" t="s">
        <v>1904</v>
      </c>
      <c r="H358" s="1" t="s">
        <v>732</v>
      </c>
      <c r="I358" s="1" t="s">
        <v>594</v>
      </c>
    </row>
    <row r="359" spans="1:9">
      <c r="A359" s="1" t="s">
        <v>2015</v>
      </c>
      <c r="B359" s="1" t="s">
        <v>2766</v>
      </c>
      <c r="C359" s="2">
        <v>41334</v>
      </c>
      <c r="D359" s="1">
        <v>0</v>
      </c>
      <c r="E359" s="1">
        <v>4965</v>
      </c>
      <c r="F359" s="1" t="s">
        <v>2070</v>
      </c>
      <c r="G359" s="1" t="s">
        <v>2071</v>
      </c>
      <c r="H359" s="1" t="s">
        <v>1873</v>
      </c>
      <c r="I359" s="1" t="s">
        <v>703</v>
      </c>
    </row>
    <row r="360" spans="1:9">
      <c r="A360" s="1" t="s">
        <v>2015</v>
      </c>
      <c r="B360" s="1" t="s">
        <v>2767</v>
      </c>
      <c r="C360" s="2">
        <v>41344</v>
      </c>
      <c r="D360" s="1">
        <v>0</v>
      </c>
      <c r="E360" s="1">
        <v>1000000</v>
      </c>
      <c r="F360" s="1" t="s">
        <v>22</v>
      </c>
      <c r="G360" s="1" t="s">
        <v>23</v>
      </c>
      <c r="H360" s="1" t="s">
        <v>724</v>
      </c>
      <c r="I360" s="1" t="s">
        <v>703</v>
      </c>
    </row>
    <row r="361" spans="1:9">
      <c r="A361" s="1" t="s">
        <v>2015</v>
      </c>
      <c r="B361" s="1" t="s">
        <v>2768</v>
      </c>
      <c r="C361" s="2">
        <v>41359</v>
      </c>
      <c r="D361" s="1">
        <v>0</v>
      </c>
      <c r="E361" s="1">
        <v>700000</v>
      </c>
      <c r="F361" s="1" t="s">
        <v>22</v>
      </c>
      <c r="G361" s="1" t="s">
        <v>23</v>
      </c>
      <c r="H361" s="1" t="s">
        <v>724</v>
      </c>
      <c r="I361" s="1" t="s">
        <v>703</v>
      </c>
    </row>
    <row r="362" spans="1:9">
      <c r="A362" s="1" t="s">
        <v>2015</v>
      </c>
      <c r="B362" s="1" t="s">
        <v>2769</v>
      </c>
      <c r="C362" s="2">
        <v>41362</v>
      </c>
      <c r="D362" s="1">
        <v>0</v>
      </c>
      <c r="E362" s="1">
        <v>700000</v>
      </c>
      <c r="F362" s="1" t="s">
        <v>22</v>
      </c>
      <c r="G362" s="1" t="s">
        <v>23</v>
      </c>
      <c r="H362" s="1" t="s">
        <v>724</v>
      </c>
      <c r="I362" s="1" t="s">
        <v>703</v>
      </c>
    </row>
    <row r="363" spans="1:9">
      <c r="A363" s="1" t="s">
        <v>2015</v>
      </c>
      <c r="B363" s="1" t="s">
        <v>2770</v>
      </c>
      <c r="C363" s="2">
        <v>41362</v>
      </c>
      <c r="D363" s="1">
        <v>0</v>
      </c>
      <c r="E363" s="1">
        <v>1450000</v>
      </c>
      <c r="F363" s="1" t="s">
        <v>22</v>
      </c>
      <c r="G363" s="1" t="s">
        <v>23</v>
      </c>
      <c r="H363" s="1" t="s">
        <v>724</v>
      </c>
      <c r="I363" s="1" t="s">
        <v>703</v>
      </c>
    </row>
    <row r="364" spans="1:9">
      <c r="A364" s="1" t="s">
        <v>2015</v>
      </c>
      <c r="B364" s="1" t="s">
        <v>2771</v>
      </c>
      <c r="C364" s="2">
        <v>41362</v>
      </c>
      <c r="D364" s="1">
        <v>0</v>
      </c>
      <c r="E364" s="1">
        <v>500000</v>
      </c>
      <c r="F364" s="1" t="s">
        <v>22</v>
      </c>
      <c r="G364" s="1" t="s">
        <v>23</v>
      </c>
      <c r="H364" s="1" t="s">
        <v>724</v>
      </c>
      <c r="I364" s="1" t="s">
        <v>703</v>
      </c>
    </row>
    <row r="365" spans="1:9">
      <c r="A365" s="1" t="s">
        <v>2015</v>
      </c>
      <c r="B365" s="1" t="s">
        <v>2772</v>
      </c>
      <c r="C365" s="2">
        <v>41362</v>
      </c>
      <c r="D365" s="1">
        <v>0</v>
      </c>
      <c r="E365" s="1">
        <v>100000</v>
      </c>
      <c r="F365" s="1" t="s">
        <v>22</v>
      </c>
      <c r="G365" s="1" t="s">
        <v>23</v>
      </c>
      <c r="H365" s="1" t="s">
        <v>724</v>
      </c>
      <c r="I365" s="1" t="s">
        <v>703</v>
      </c>
    </row>
    <row r="366" spans="1:9">
      <c r="A366" s="1" t="s">
        <v>2018</v>
      </c>
      <c r="B366" s="1" t="s">
        <v>2773</v>
      </c>
      <c r="C366" s="2">
        <v>41362</v>
      </c>
      <c r="D366" s="1">
        <v>700000</v>
      </c>
      <c r="E366" s="1">
        <v>0</v>
      </c>
      <c r="F366" s="1" t="s">
        <v>22</v>
      </c>
      <c r="G366" s="1" t="s">
        <v>23</v>
      </c>
      <c r="H366" s="1" t="s">
        <v>724</v>
      </c>
      <c r="I366" s="1" t="s">
        <v>703</v>
      </c>
    </row>
    <row r="367" spans="1:9">
      <c r="A367" s="1" t="s">
        <v>2018</v>
      </c>
      <c r="B367" s="1" t="s">
        <v>2774</v>
      </c>
      <c r="C367" s="2">
        <v>41363</v>
      </c>
      <c r="D367" s="1">
        <v>700000</v>
      </c>
      <c r="E367" s="1">
        <v>0</v>
      </c>
      <c r="F367" s="1" t="s">
        <v>22</v>
      </c>
      <c r="G367" s="1" t="s">
        <v>23</v>
      </c>
      <c r="H367" s="1" t="s">
        <v>724</v>
      </c>
      <c r="I367" s="1" t="s">
        <v>703</v>
      </c>
    </row>
    <row r="368" spans="1:9">
      <c r="A368" s="1" t="s">
        <v>2015</v>
      </c>
      <c r="B368" s="1" t="s">
        <v>2775</v>
      </c>
      <c r="C368" s="2">
        <v>41362</v>
      </c>
      <c r="D368" s="1">
        <v>0</v>
      </c>
      <c r="E368" s="1">
        <v>1000000</v>
      </c>
      <c r="F368" s="1" t="s">
        <v>29</v>
      </c>
      <c r="G368" s="1" t="s">
        <v>30</v>
      </c>
      <c r="H368" s="1" t="s">
        <v>724</v>
      </c>
      <c r="I368" s="1" t="s">
        <v>669</v>
      </c>
    </row>
    <row r="369" spans="1:9">
      <c r="A369" s="1" t="s">
        <v>2015</v>
      </c>
      <c r="B369" s="1" t="s">
        <v>2776</v>
      </c>
      <c r="C369" s="2">
        <v>41341</v>
      </c>
      <c r="D369" s="1">
        <v>0</v>
      </c>
      <c r="E369" s="1">
        <v>400000</v>
      </c>
      <c r="F369" s="1" t="s">
        <v>31</v>
      </c>
      <c r="G369" s="1" t="s">
        <v>32</v>
      </c>
      <c r="H369" s="1" t="s">
        <v>724</v>
      </c>
      <c r="I369" s="1" t="s">
        <v>669</v>
      </c>
    </row>
    <row r="370" spans="1:9">
      <c r="A370" s="1" t="s">
        <v>2015</v>
      </c>
      <c r="B370" s="1" t="s">
        <v>2777</v>
      </c>
      <c r="C370" s="2">
        <v>41362</v>
      </c>
      <c r="D370" s="1">
        <v>0</v>
      </c>
      <c r="E370" s="1">
        <v>370000</v>
      </c>
      <c r="F370" s="1" t="s">
        <v>31</v>
      </c>
      <c r="G370" s="1" t="s">
        <v>32</v>
      </c>
      <c r="H370" s="1" t="s">
        <v>724</v>
      </c>
      <c r="I370" s="1" t="s">
        <v>669</v>
      </c>
    </row>
    <row r="371" spans="1:9">
      <c r="A371" s="1" t="s">
        <v>2015</v>
      </c>
      <c r="B371" s="1" t="s">
        <v>2778</v>
      </c>
      <c r="C371" s="2">
        <v>41358</v>
      </c>
      <c r="D371" s="1">
        <v>0</v>
      </c>
      <c r="E371" s="1">
        <v>100000</v>
      </c>
      <c r="F371" s="1" t="s">
        <v>2072</v>
      </c>
      <c r="G371" s="1" t="s">
        <v>34</v>
      </c>
      <c r="H371" s="1" t="s">
        <v>743</v>
      </c>
      <c r="I371" s="1" t="s">
        <v>691</v>
      </c>
    </row>
    <row r="372" spans="1:9">
      <c r="A372" s="1" t="s">
        <v>2015</v>
      </c>
      <c r="B372" s="1" t="s">
        <v>2779</v>
      </c>
      <c r="C372" s="2">
        <v>41346</v>
      </c>
      <c r="D372" s="1">
        <v>0</v>
      </c>
      <c r="E372" s="1">
        <v>90000</v>
      </c>
      <c r="F372" s="1" t="s">
        <v>39</v>
      </c>
      <c r="G372" s="1" t="s">
        <v>40</v>
      </c>
      <c r="H372" s="1" t="s">
        <v>724</v>
      </c>
      <c r="I372" s="1" t="s">
        <v>669</v>
      </c>
    </row>
    <row r="373" spans="1:9">
      <c r="A373" s="1" t="s">
        <v>2015</v>
      </c>
      <c r="B373" s="1" t="s">
        <v>2780</v>
      </c>
      <c r="C373" s="2">
        <v>41334</v>
      </c>
      <c r="D373" s="1">
        <v>0</v>
      </c>
      <c r="E373" s="1">
        <v>990</v>
      </c>
      <c r="F373" s="1" t="s">
        <v>2073</v>
      </c>
      <c r="G373" s="1" t="s">
        <v>2074</v>
      </c>
      <c r="H373" s="1" t="s">
        <v>1873</v>
      </c>
      <c r="I373" s="1" t="s">
        <v>703</v>
      </c>
    </row>
    <row r="374" spans="1:9">
      <c r="A374" s="1" t="s">
        <v>2015</v>
      </c>
      <c r="B374" s="1" t="s">
        <v>2781</v>
      </c>
      <c r="C374" s="2">
        <v>41345</v>
      </c>
      <c r="D374" s="1">
        <v>0</v>
      </c>
      <c r="E374" s="1">
        <v>90000</v>
      </c>
      <c r="F374" s="1" t="s">
        <v>63</v>
      </c>
      <c r="G374" s="1" t="s">
        <v>64</v>
      </c>
      <c r="H374" s="1" t="s">
        <v>743</v>
      </c>
      <c r="I374" s="1" t="s">
        <v>669</v>
      </c>
    </row>
    <row r="375" spans="1:9">
      <c r="A375" s="1" t="s">
        <v>2015</v>
      </c>
      <c r="B375" s="1" t="s">
        <v>2782</v>
      </c>
      <c r="C375" s="2">
        <v>41362</v>
      </c>
      <c r="D375" s="1">
        <v>0</v>
      </c>
      <c r="E375" s="1">
        <v>50000</v>
      </c>
      <c r="F375" s="1" t="s">
        <v>63</v>
      </c>
      <c r="G375" s="1" t="s">
        <v>64</v>
      </c>
      <c r="H375" s="1" t="s">
        <v>743</v>
      </c>
      <c r="I375" s="1" t="s">
        <v>669</v>
      </c>
    </row>
    <row r="376" spans="1:9">
      <c r="A376" s="1" t="s">
        <v>2015</v>
      </c>
      <c r="B376" s="1" t="s">
        <v>2783</v>
      </c>
      <c r="C376" s="2">
        <v>41341</v>
      </c>
      <c r="D376" s="1">
        <v>0</v>
      </c>
      <c r="E376" s="1">
        <v>200000</v>
      </c>
      <c r="F376" s="1" t="s">
        <v>79</v>
      </c>
      <c r="G376" s="1" t="s">
        <v>80</v>
      </c>
      <c r="H376" s="1" t="s">
        <v>743</v>
      </c>
      <c r="I376" s="1" t="s">
        <v>669</v>
      </c>
    </row>
    <row r="377" spans="1:9">
      <c r="A377" s="1" t="s">
        <v>2015</v>
      </c>
      <c r="B377" s="1" t="s">
        <v>2784</v>
      </c>
      <c r="C377" s="2">
        <v>41347</v>
      </c>
      <c r="D377" s="1">
        <v>0</v>
      </c>
      <c r="E377" s="1">
        <v>70000</v>
      </c>
      <c r="F377" s="1" t="s">
        <v>79</v>
      </c>
      <c r="G377" s="1" t="s">
        <v>80</v>
      </c>
      <c r="H377" s="1" t="s">
        <v>743</v>
      </c>
      <c r="I377" s="1" t="s">
        <v>669</v>
      </c>
    </row>
    <row r="378" spans="1:9">
      <c r="A378" s="1" t="s">
        <v>2015</v>
      </c>
      <c r="B378" s="1" t="s">
        <v>2785</v>
      </c>
      <c r="C378" s="2">
        <v>41348</v>
      </c>
      <c r="D378" s="1">
        <v>0</v>
      </c>
      <c r="E378" s="1">
        <v>100000</v>
      </c>
      <c r="F378" s="1" t="s">
        <v>79</v>
      </c>
      <c r="G378" s="1" t="s">
        <v>80</v>
      </c>
      <c r="H378" s="1" t="s">
        <v>743</v>
      </c>
      <c r="I378" s="1" t="s">
        <v>669</v>
      </c>
    </row>
    <row r="379" spans="1:9">
      <c r="A379" s="1" t="s">
        <v>2015</v>
      </c>
      <c r="B379" s="1" t="s">
        <v>2786</v>
      </c>
      <c r="C379" s="2">
        <v>41355</v>
      </c>
      <c r="D379" s="1">
        <v>0</v>
      </c>
      <c r="E379" s="1">
        <v>100000</v>
      </c>
      <c r="F379" s="1" t="s">
        <v>79</v>
      </c>
      <c r="G379" s="1" t="s">
        <v>80</v>
      </c>
      <c r="H379" s="1" t="s">
        <v>743</v>
      </c>
      <c r="I379" s="1" t="s">
        <v>669</v>
      </c>
    </row>
    <row r="380" spans="1:9">
      <c r="A380" s="1" t="s">
        <v>2015</v>
      </c>
      <c r="B380" s="1" t="s">
        <v>2787</v>
      </c>
      <c r="C380" s="2">
        <v>41347</v>
      </c>
      <c r="D380" s="1">
        <v>0</v>
      </c>
      <c r="E380" s="1">
        <v>500000</v>
      </c>
      <c r="F380" s="1" t="s">
        <v>81</v>
      </c>
      <c r="G380" s="1" t="s">
        <v>82</v>
      </c>
      <c r="H380" s="1" t="s">
        <v>721</v>
      </c>
      <c r="I380" s="1" t="s">
        <v>650</v>
      </c>
    </row>
    <row r="381" spans="1:9">
      <c r="A381" s="1" t="s">
        <v>2015</v>
      </c>
      <c r="B381" s="1" t="s">
        <v>2788</v>
      </c>
      <c r="C381" s="2">
        <v>41354</v>
      </c>
      <c r="D381" s="1">
        <v>0</v>
      </c>
      <c r="E381" s="1">
        <v>500000</v>
      </c>
      <c r="F381" s="1" t="s">
        <v>81</v>
      </c>
      <c r="G381" s="1" t="s">
        <v>82</v>
      </c>
      <c r="H381" s="1" t="s">
        <v>721</v>
      </c>
      <c r="I381" s="1" t="s">
        <v>650</v>
      </c>
    </row>
    <row r="382" spans="1:9">
      <c r="A382" s="1" t="s">
        <v>2015</v>
      </c>
      <c r="B382" s="1" t="s">
        <v>2789</v>
      </c>
      <c r="C382" s="2">
        <v>41362</v>
      </c>
      <c r="D382" s="1">
        <v>0</v>
      </c>
      <c r="E382" s="1">
        <v>300000</v>
      </c>
      <c r="F382" s="1" t="s">
        <v>81</v>
      </c>
      <c r="G382" s="1" t="s">
        <v>82</v>
      </c>
      <c r="H382" s="1" t="s">
        <v>721</v>
      </c>
      <c r="I382" s="1" t="s">
        <v>650</v>
      </c>
    </row>
    <row r="383" spans="1:9">
      <c r="A383" s="1" t="s">
        <v>2015</v>
      </c>
      <c r="B383" s="1" t="s">
        <v>2790</v>
      </c>
      <c r="C383" s="2">
        <v>41354</v>
      </c>
      <c r="D383" s="1">
        <v>0</v>
      </c>
      <c r="E383" s="1">
        <v>300000</v>
      </c>
      <c r="F383" s="1" t="s">
        <v>84</v>
      </c>
      <c r="G383" s="1" t="s">
        <v>85</v>
      </c>
      <c r="H383" s="1" t="s">
        <v>721</v>
      </c>
      <c r="I383" s="1" t="s">
        <v>650</v>
      </c>
    </row>
    <row r="384" spans="1:9">
      <c r="A384" s="1" t="s">
        <v>2015</v>
      </c>
      <c r="B384" s="1" t="s">
        <v>2791</v>
      </c>
      <c r="C384" s="2">
        <v>41342</v>
      </c>
      <c r="D384" s="1">
        <v>0</v>
      </c>
      <c r="E384" s="1">
        <v>500000</v>
      </c>
      <c r="F384" s="1" t="s">
        <v>94</v>
      </c>
      <c r="G384" s="1" t="s">
        <v>95</v>
      </c>
      <c r="H384" s="1" t="s">
        <v>724</v>
      </c>
      <c r="I384" s="1" t="s">
        <v>858</v>
      </c>
    </row>
    <row r="385" spans="1:9">
      <c r="A385" s="1" t="s">
        <v>2015</v>
      </c>
      <c r="B385" s="1" t="s">
        <v>2792</v>
      </c>
      <c r="C385" s="2">
        <v>41348</v>
      </c>
      <c r="D385" s="1">
        <v>0</v>
      </c>
      <c r="E385" s="1">
        <v>840000</v>
      </c>
      <c r="F385" s="1" t="s">
        <v>94</v>
      </c>
      <c r="G385" s="1" t="s">
        <v>95</v>
      </c>
      <c r="H385" s="1" t="s">
        <v>724</v>
      </c>
      <c r="I385" s="1" t="s">
        <v>858</v>
      </c>
    </row>
    <row r="386" spans="1:9">
      <c r="A386" s="1" t="s">
        <v>2015</v>
      </c>
      <c r="B386" s="1" t="s">
        <v>2793</v>
      </c>
      <c r="C386" s="2">
        <v>41355</v>
      </c>
      <c r="D386" s="1">
        <v>0</v>
      </c>
      <c r="E386" s="1">
        <v>610000</v>
      </c>
      <c r="F386" s="1" t="s">
        <v>94</v>
      </c>
      <c r="G386" s="1" t="s">
        <v>95</v>
      </c>
      <c r="H386" s="1" t="s">
        <v>724</v>
      </c>
      <c r="I386" s="1" t="s">
        <v>858</v>
      </c>
    </row>
    <row r="387" spans="1:9">
      <c r="A387" s="1" t="s">
        <v>2015</v>
      </c>
      <c r="B387" s="1" t="s">
        <v>2794</v>
      </c>
      <c r="C387" s="2">
        <v>41362</v>
      </c>
      <c r="D387" s="1">
        <v>0</v>
      </c>
      <c r="E387" s="1">
        <v>600000</v>
      </c>
      <c r="F387" s="1" t="s">
        <v>94</v>
      </c>
      <c r="G387" s="1" t="s">
        <v>95</v>
      </c>
      <c r="H387" s="1" t="s">
        <v>724</v>
      </c>
      <c r="I387" s="1" t="s">
        <v>858</v>
      </c>
    </row>
    <row r="388" spans="1:9">
      <c r="A388" s="1" t="s">
        <v>2015</v>
      </c>
      <c r="B388" s="1" t="s">
        <v>2795</v>
      </c>
      <c r="C388" s="2">
        <v>41363</v>
      </c>
      <c r="D388" s="1">
        <v>0</v>
      </c>
      <c r="E388" s="1">
        <v>500000</v>
      </c>
      <c r="F388" s="1" t="s">
        <v>94</v>
      </c>
      <c r="G388" s="1" t="s">
        <v>95</v>
      </c>
      <c r="H388" s="1" t="s">
        <v>724</v>
      </c>
      <c r="I388" s="1" t="s">
        <v>858</v>
      </c>
    </row>
    <row r="389" spans="1:9">
      <c r="A389" s="1" t="s">
        <v>2015</v>
      </c>
      <c r="B389" s="1" t="s">
        <v>2796</v>
      </c>
      <c r="C389" s="2">
        <v>41348</v>
      </c>
      <c r="D389" s="1">
        <v>0</v>
      </c>
      <c r="E389" s="1">
        <v>990300</v>
      </c>
      <c r="F389" s="1" t="s">
        <v>107</v>
      </c>
      <c r="G389" s="1" t="s">
        <v>108</v>
      </c>
      <c r="H389" s="1" t="s">
        <v>732</v>
      </c>
      <c r="I389" s="1" t="s">
        <v>594</v>
      </c>
    </row>
    <row r="390" spans="1:9">
      <c r="A390" s="1" t="s">
        <v>2015</v>
      </c>
      <c r="B390" s="1" t="s">
        <v>2797</v>
      </c>
      <c r="C390" s="2">
        <v>41363</v>
      </c>
      <c r="D390" s="1">
        <v>0</v>
      </c>
      <c r="E390" s="1">
        <v>932400</v>
      </c>
      <c r="F390" s="1" t="s">
        <v>107</v>
      </c>
      <c r="G390" s="1" t="s">
        <v>108</v>
      </c>
      <c r="H390" s="1" t="s">
        <v>732</v>
      </c>
      <c r="I390" s="1" t="s">
        <v>594</v>
      </c>
    </row>
    <row r="391" spans="1:9">
      <c r="A391" s="1" t="s">
        <v>2015</v>
      </c>
      <c r="B391" s="1" t="s">
        <v>2798</v>
      </c>
      <c r="C391" s="2">
        <v>41341</v>
      </c>
      <c r="D391" s="1">
        <v>0</v>
      </c>
      <c r="E391" s="1">
        <v>200000</v>
      </c>
      <c r="F391" s="1" t="s">
        <v>121</v>
      </c>
      <c r="G391" s="1" t="s">
        <v>122</v>
      </c>
      <c r="H391" s="1" t="s">
        <v>743</v>
      </c>
      <c r="I391" s="1" t="s">
        <v>703</v>
      </c>
    </row>
    <row r="392" spans="1:9">
      <c r="A392" s="1" t="s">
        <v>2018</v>
      </c>
      <c r="B392" s="1" t="s">
        <v>2799</v>
      </c>
      <c r="C392" s="2">
        <v>41341</v>
      </c>
      <c r="D392" s="1">
        <v>200000</v>
      </c>
      <c r="E392" s="1">
        <v>0</v>
      </c>
      <c r="F392" s="1" t="s">
        <v>121</v>
      </c>
      <c r="G392" s="1" t="s">
        <v>122</v>
      </c>
      <c r="H392" s="1" t="s">
        <v>743</v>
      </c>
      <c r="I392" s="1" t="s">
        <v>703</v>
      </c>
    </row>
    <row r="393" spans="1:9">
      <c r="A393" s="1" t="s">
        <v>2015</v>
      </c>
      <c r="B393" s="1" t="s">
        <v>2800</v>
      </c>
      <c r="C393" s="2">
        <v>41344.525914351849</v>
      </c>
      <c r="D393" s="1">
        <v>0</v>
      </c>
      <c r="E393" s="1">
        <v>300000</v>
      </c>
      <c r="F393" s="1" t="s">
        <v>121</v>
      </c>
      <c r="G393" s="1" t="s">
        <v>122</v>
      </c>
      <c r="H393" s="1" t="s">
        <v>743</v>
      </c>
      <c r="I393" s="1" t="s">
        <v>703</v>
      </c>
    </row>
    <row r="394" spans="1:9">
      <c r="A394" s="1" t="s">
        <v>2015</v>
      </c>
      <c r="B394" s="1" t="s">
        <v>2801</v>
      </c>
      <c r="C394" s="2">
        <v>41355</v>
      </c>
      <c r="D394" s="1">
        <v>0</v>
      </c>
      <c r="E394" s="1">
        <v>500000</v>
      </c>
      <c r="F394" s="1" t="s">
        <v>121</v>
      </c>
      <c r="G394" s="1" t="s">
        <v>122</v>
      </c>
      <c r="H394" s="1" t="s">
        <v>743</v>
      </c>
      <c r="I394" s="1" t="s">
        <v>703</v>
      </c>
    </row>
    <row r="395" spans="1:9">
      <c r="A395" s="1" t="s">
        <v>2015</v>
      </c>
      <c r="B395" s="1" t="s">
        <v>2802</v>
      </c>
      <c r="C395" s="2">
        <v>41362</v>
      </c>
      <c r="D395" s="1">
        <v>0</v>
      </c>
      <c r="E395" s="1">
        <v>700000</v>
      </c>
      <c r="F395" s="1" t="s">
        <v>121</v>
      </c>
      <c r="G395" s="1" t="s">
        <v>122</v>
      </c>
      <c r="H395" s="1" t="s">
        <v>743</v>
      </c>
      <c r="I395" s="1" t="s">
        <v>703</v>
      </c>
    </row>
    <row r="396" spans="1:9">
      <c r="A396" s="1" t="s">
        <v>2015</v>
      </c>
      <c r="B396" s="1" t="s">
        <v>2803</v>
      </c>
      <c r="C396" s="2">
        <v>41354</v>
      </c>
      <c r="D396" s="1">
        <v>0</v>
      </c>
      <c r="E396" s="1">
        <v>500000</v>
      </c>
      <c r="F396" s="1" t="s">
        <v>123</v>
      </c>
      <c r="G396" s="1" t="s">
        <v>124</v>
      </c>
      <c r="H396" s="1" t="s">
        <v>724</v>
      </c>
      <c r="I396" s="1" t="s">
        <v>858</v>
      </c>
    </row>
    <row r="397" spans="1:9">
      <c r="A397" s="1" t="s">
        <v>2015</v>
      </c>
      <c r="B397" s="1" t="s">
        <v>2804</v>
      </c>
      <c r="C397" s="2">
        <v>41345</v>
      </c>
      <c r="D397" s="1">
        <v>0</v>
      </c>
      <c r="E397" s="1">
        <v>500000</v>
      </c>
      <c r="F397" s="1" t="s">
        <v>129</v>
      </c>
      <c r="G397" s="1" t="s">
        <v>130</v>
      </c>
      <c r="H397" s="1" t="s">
        <v>743</v>
      </c>
      <c r="I397" s="1" t="s">
        <v>691</v>
      </c>
    </row>
    <row r="398" spans="1:9">
      <c r="A398" s="1" t="s">
        <v>2015</v>
      </c>
      <c r="B398" s="1" t="s">
        <v>2805</v>
      </c>
      <c r="C398" s="2">
        <v>41348</v>
      </c>
      <c r="D398" s="1">
        <v>0</v>
      </c>
      <c r="E398" s="1">
        <v>500000</v>
      </c>
      <c r="F398" s="1" t="s">
        <v>129</v>
      </c>
      <c r="G398" s="1" t="s">
        <v>130</v>
      </c>
      <c r="H398" s="1" t="s">
        <v>743</v>
      </c>
      <c r="I398" s="1" t="s">
        <v>691</v>
      </c>
    </row>
    <row r="399" spans="1:9">
      <c r="A399" s="1" t="s">
        <v>2015</v>
      </c>
      <c r="B399" s="1" t="s">
        <v>2806</v>
      </c>
      <c r="C399" s="2">
        <v>41348</v>
      </c>
      <c r="D399" s="1">
        <v>0</v>
      </c>
      <c r="E399" s="1">
        <v>500000</v>
      </c>
      <c r="F399" s="1" t="s">
        <v>129</v>
      </c>
      <c r="G399" s="1" t="s">
        <v>130</v>
      </c>
      <c r="H399" s="1" t="s">
        <v>743</v>
      </c>
      <c r="I399" s="1" t="s">
        <v>691</v>
      </c>
    </row>
    <row r="400" spans="1:9">
      <c r="A400" s="1" t="s">
        <v>2015</v>
      </c>
      <c r="B400" s="1" t="s">
        <v>2807</v>
      </c>
      <c r="C400" s="2">
        <v>41348</v>
      </c>
      <c r="D400" s="1">
        <v>0</v>
      </c>
      <c r="E400" s="1">
        <v>400000</v>
      </c>
      <c r="F400" s="1" t="s">
        <v>129</v>
      </c>
      <c r="G400" s="1" t="s">
        <v>130</v>
      </c>
      <c r="H400" s="1" t="s">
        <v>743</v>
      </c>
      <c r="I400" s="1" t="s">
        <v>691</v>
      </c>
    </row>
    <row r="401" spans="1:9">
      <c r="A401" s="1" t="s">
        <v>2015</v>
      </c>
      <c r="B401" s="1" t="s">
        <v>2808</v>
      </c>
      <c r="C401" s="2">
        <v>41359</v>
      </c>
      <c r="D401" s="1">
        <v>0</v>
      </c>
      <c r="E401" s="1">
        <v>500000</v>
      </c>
      <c r="F401" s="1" t="s">
        <v>129</v>
      </c>
      <c r="G401" s="1" t="s">
        <v>130</v>
      </c>
      <c r="H401" s="1" t="s">
        <v>743</v>
      </c>
      <c r="I401" s="1" t="s">
        <v>691</v>
      </c>
    </row>
    <row r="402" spans="1:9">
      <c r="A402" s="1" t="s">
        <v>2015</v>
      </c>
      <c r="B402" s="1" t="s">
        <v>2809</v>
      </c>
      <c r="C402" s="2">
        <v>41362</v>
      </c>
      <c r="D402" s="1">
        <v>0</v>
      </c>
      <c r="E402" s="1">
        <v>200000</v>
      </c>
      <c r="F402" s="1" t="s">
        <v>129</v>
      </c>
      <c r="G402" s="1" t="s">
        <v>130</v>
      </c>
      <c r="H402" s="1" t="s">
        <v>743</v>
      </c>
      <c r="I402" s="1" t="s">
        <v>691</v>
      </c>
    </row>
    <row r="403" spans="1:9">
      <c r="A403" s="1" t="s">
        <v>2015</v>
      </c>
      <c r="B403" s="1" t="s">
        <v>2810</v>
      </c>
      <c r="C403" s="2">
        <v>41348</v>
      </c>
      <c r="D403" s="1">
        <v>0</v>
      </c>
      <c r="E403" s="1">
        <v>500000</v>
      </c>
      <c r="F403" s="1" t="s">
        <v>173</v>
      </c>
      <c r="G403" s="1" t="s">
        <v>174</v>
      </c>
      <c r="H403" s="1" t="s">
        <v>724</v>
      </c>
      <c r="I403" s="1" t="s">
        <v>725</v>
      </c>
    </row>
    <row r="404" spans="1:9">
      <c r="A404" s="1" t="s">
        <v>2015</v>
      </c>
      <c r="B404" s="1" t="s">
        <v>2811</v>
      </c>
      <c r="C404" s="2">
        <v>41363</v>
      </c>
      <c r="D404" s="1">
        <v>0</v>
      </c>
      <c r="E404" s="1">
        <v>500000</v>
      </c>
      <c r="F404" s="1" t="s">
        <v>173</v>
      </c>
      <c r="G404" s="1" t="s">
        <v>174</v>
      </c>
      <c r="H404" s="1" t="s">
        <v>724</v>
      </c>
      <c r="I404" s="1" t="s">
        <v>725</v>
      </c>
    </row>
    <row r="405" spans="1:9">
      <c r="A405" s="1" t="s">
        <v>2015</v>
      </c>
      <c r="B405" s="1" t="s">
        <v>2812</v>
      </c>
      <c r="C405" s="2">
        <v>41353</v>
      </c>
      <c r="D405" s="1">
        <v>0</v>
      </c>
      <c r="E405" s="1">
        <v>200000</v>
      </c>
      <c r="F405" s="1" t="s">
        <v>182</v>
      </c>
      <c r="G405" s="1" t="s">
        <v>183</v>
      </c>
      <c r="H405" s="1" t="s">
        <v>724</v>
      </c>
      <c r="I405" s="1" t="s">
        <v>841</v>
      </c>
    </row>
    <row r="406" spans="1:9">
      <c r="A406" s="1" t="s">
        <v>2015</v>
      </c>
      <c r="B406" s="1" t="s">
        <v>2813</v>
      </c>
      <c r="C406" s="2">
        <v>41334</v>
      </c>
      <c r="D406" s="1">
        <v>0</v>
      </c>
      <c r="E406" s="1">
        <v>25000</v>
      </c>
      <c r="F406" s="1" t="s">
        <v>2075</v>
      </c>
      <c r="G406" s="1" t="s">
        <v>2076</v>
      </c>
      <c r="H406" s="1" t="s">
        <v>1777</v>
      </c>
      <c r="I406" s="1" t="s">
        <v>703</v>
      </c>
    </row>
    <row r="407" spans="1:9">
      <c r="A407" s="1" t="s">
        <v>2015</v>
      </c>
      <c r="B407" s="1" t="s">
        <v>2814</v>
      </c>
      <c r="C407" s="2">
        <v>41346</v>
      </c>
      <c r="D407" s="1">
        <v>0</v>
      </c>
      <c r="E407" s="1">
        <v>3000000</v>
      </c>
      <c r="F407" s="1" t="s">
        <v>201</v>
      </c>
      <c r="G407" s="1" t="s">
        <v>202</v>
      </c>
      <c r="H407" s="1" t="s">
        <v>724</v>
      </c>
      <c r="I407" s="1" t="s">
        <v>836</v>
      </c>
    </row>
    <row r="408" spans="1:9">
      <c r="A408" s="1" t="s">
        <v>2015</v>
      </c>
      <c r="B408" s="1" t="s">
        <v>2815</v>
      </c>
      <c r="C408" s="2">
        <v>41360</v>
      </c>
      <c r="D408" s="1">
        <v>0</v>
      </c>
      <c r="E408" s="1">
        <v>2000000</v>
      </c>
      <c r="F408" s="1" t="s">
        <v>201</v>
      </c>
      <c r="G408" s="1" t="s">
        <v>202</v>
      </c>
      <c r="H408" s="1" t="s">
        <v>724</v>
      </c>
      <c r="I408" s="1" t="s">
        <v>836</v>
      </c>
    </row>
    <row r="409" spans="1:9">
      <c r="A409" s="1" t="s">
        <v>2015</v>
      </c>
      <c r="B409" s="1" t="s">
        <v>2816</v>
      </c>
      <c r="C409" s="2">
        <v>41363</v>
      </c>
      <c r="D409" s="1">
        <v>0</v>
      </c>
      <c r="E409" s="1">
        <v>1950000</v>
      </c>
      <c r="F409" s="1" t="s">
        <v>201</v>
      </c>
      <c r="G409" s="1" t="s">
        <v>202</v>
      </c>
      <c r="H409" s="1" t="s">
        <v>724</v>
      </c>
      <c r="I409" s="1" t="s">
        <v>836</v>
      </c>
    </row>
    <row r="410" spans="1:9">
      <c r="A410" s="1" t="s">
        <v>2015</v>
      </c>
      <c r="B410" s="1" t="s">
        <v>2817</v>
      </c>
      <c r="C410" s="2">
        <v>41346</v>
      </c>
      <c r="D410" s="1">
        <v>0</v>
      </c>
      <c r="E410" s="1">
        <v>300000</v>
      </c>
      <c r="F410" s="1" t="s">
        <v>207</v>
      </c>
      <c r="G410" s="1" t="s">
        <v>208</v>
      </c>
      <c r="H410" s="1" t="s">
        <v>724</v>
      </c>
      <c r="I410" s="1" t="s">
        <v>669</v>
      </c>
    </row>
    <row r="411" spans="1:9">
      <c r="A411" s="1" t="s">
        <v>2015</v>
      </c>
      <c r="B411" s="1" t="s">
        <v>2818</v>
      </c>
      <c r="C411" s="2">
        <v>41362</v>
      </c>
      <c r="D411" s="1">
        <v>0</v>
      </c>
      <c r="E411" s="1">
        <v>500000</v>
      </c>
      <c r="F411" s="1" t="s">
        <v>207</v>
      </c>
      <c r="G411" s="1" t="s">
        <v>208</v>
      </c>
      <c r="H411" s="1" t="s">
        <v>724</v>
      </c>
      <c r="I411" s="1" t="s">
        <v>669</v>
      </c>
    </row>
    <row r="412" spans="1:9">
      <c r="A412" s="1" t="s">
        <v>2015</v>
      </c>
      <c r="B412" s="1" t="s">
        <v>2819</v>
      </c>
      <c r="C412" s="2">
        <v>41353</v>
      </c>
      <c r="D412" s="1">
        <v>0</v>
      </c>
      <c r="E412" s="1">
        <v>200000</v>
      </c>
      <c r="F412" s="1" t="s">
        <v>2820</v>
      </c>
      <c r="G412" s="1" t="s">
        <v>212</v>
      </c>
      <c r="H412" s="1" t="s">
        <v>724</v>
      </c>
      <c r="I412" s="1" t="s">
        <v>836</v>
      </c>
    </row>
    <row r="413" spans="1:9">
      <c r="A413" s="1" t="s">
        <v>2015</v>
      </c>
      <c r="B413" s="1" t="s">
        <v>2821</v>
      </c>
      <c r="C413" s="2">
        <v>41362</v>
      </c>
      <c r="D413" s="1">
        <v>0</v>
      </c>
      <c r="E413" s="1">
        <v>34000</v>
      </c>
      <c r="F413" s="1" t="s">
        <v>213</v>
      </c>
      <c r="G413" s="1" t="s">
        <v>214</v>
      </c>
      <c r="H413" s="1" t="s">
        <v>732</v>
      </c>
      <c r="I413" s="1" t="s">
        <v>729</v>
      </c>
    </row>
    <row r="414" spans="1:9">
      <c r="A414" s="1" t="s">
        <v>2015</v>
      </c>
      <c r="B414" s="1" t="s">
        <v>2822</v>
      </c>
      <c r="C414" s="2">
        <v>41342</v>
      </c>
      <c r="D414" s="1">
        <v>0</v>
      </c>
      <c r="E414" s="1">
        <v>100000</v>
      </c>
      <c r="F414" s="1" t="s">
        <v>215</v>
      </c>
      <c r="G414" s="1" t="s">
        <v>216</v>
      </c>
      <c r="H414" s="1" t="s">
        <v>743</v>
      </c>
      <c r="I414" s="1" t="s">
        <v>650</v>
      </c>
    </row>
    <row r="415" spans="1:9">
      <c r="A415" s="1" t="s">
        <v>2015</v>
      </c>
      <c r="B415" s="1" t="s">
        <v>2823</v>
      </c>
      <c r="C415" s="2">
        <v>41352</v>
      </c>
      <c r="D415" s="1">
        <v>0</v>
      </c>
      <c r="E415" s="1">
        <v>100000</v>
      </c>
      <c r="F415" s="1" t="s">
        <v>215</v>
      </c>
      <c r="G415" s="1" t="s">
        <v>216</v>
      </c>
      <c r="H415" s="1" t="s">
        <v>743</v>
      </c>
      <c r="I415" s="1" t="s">
        <v>650</v>
      </c>
    </row>
    <row r="416" spans="1:9">
      <c r="A416" s="1" t="s">
        <v>2015</v>
      </c>
      <c r="B416" s="1" t="s">
        <v>2824</v>
      </c>
      <c r="C416" s="2">
        <v>41358</v>
      </c>
      <c r="D416" s="1">
        <v>0</v>
      </c>
      <c r="E416" s="1">
        <v>150000</v>
      </c>
      <c r="F416" s="1" t="s">
        <v>215</v>
      </c>
      <c r="G416" s="1" t="s">
        <v>216</v>
      </c>
      <c r="H416" s="1" t="s">
        <v>743</v>
      </c>
      <c r="I416" s="1" t="s">
        <v>650</v>
      </c>
    </row>
    <row r="417" spans="1:9">
      <c r="A417" s="1" t="s">
        <v>2015</v>
      </c>
      <c r="B417" s="1" t="s">
        <v>2825</v>
      </c>
      <c r="C417" s="2">
        <v>41363</v>
      </c>
      <c r="D417" s="1">
        <v>0</v>
      </c>
      <c r="E417" s="1">
        <v>200000</v>
      </c>
      <c r="F417" s="1" t="s">
        <v>215</v>
      </c>
      <c r="G417" s="1" t="s">
        <v>216</v>
      </c>
      <c r="H417" s="1" t="s">
        <v>743</v>
      </c>
      <c r="I417" s="1" t="s">
        <v>650</v>
      </c>
    </row>
    <row r="418" spans="1:9">
      <c r="A418" s="1" t="s">
        <v>2015</v>
      </c>
      <c r="B418" s="1" t="s">
        <v>2826</v>
      </c>
      <c r="C418" s="2">
        <v>41358</v>
      </c>
      <c r="D418" s="1">
        <v>0</v>
      </c>
      <c r="E418" s="1">
        <v>100000</v>
      </c>
      <c r="F418" s="1" t="s">
        <v>217</v>
      </c>
      <c r="G418" s="1" t="s">
        <v>218</v>
      </c>
      <c r="H418" s="1" t="s">
        <v>743</v>
      </c>
      <c r="I418" s="1" t="s">
        <v>650</v>
      </c>
    </row>
    <row r="419" spans="1:9">
      <c r="A419" s="1" t="s">
        <v>2015</v>
      </c>
      <c r="B419" s="1" t="s">
        <v>2827</v>
      </c>
      <c r="C419" s="2">
        <v>41362</v>
      </c>
      <c r="D419" s="1">
        <v>0</v>
      </c>
      <c r="E419" s="1">
        <v>3000000</v>
      </c>
      <c r="F419" s="1" t="s">
        <v>219</v>
      </c>
      <c r="G419" s="1" t="s">
        <v>220</v>
      </c>
      <c r="H419" s="1" t="s">
        <v>724</v>
      </c>
      <c r="I419" s="1" t="s">
        <v>703</v>
      </c>
    </row>
    <row r="420" spans="1:9">
      <c r="A420" s="1" t="s">
        <v>2015</v>
      </c>
      <c r="B420" s="1" t="s">
        <v>2828</v>
      </c>
      <c r="C420" s="2">
        <v>41362</v>
      </c>
      <c r="D420" s="1">
        <v>0</v>
      </c>
      <c r="E420" s="1">
        <v>200000</v>
      </c>
      <c r="F420" s="1" t="s">
        <v>221</v>
      </c>
      <c r="G420" s="1" t="s">
        <v>222</v>
      </c>
      <c r="H420" s="1" t="s">
        <v>724</v>
      </c>
      <c r="I420" s="1" t="s">
        <v>669</v>
      </c>
    </row>
    <row r="421" spans="1:9">
      <c r="A421" s="1" t="s">
        <v>2015</v>
      </c>
      <c r="B421" s="1" t="s">
        <v>2829</v>
      </c>
      <c r="C421" s="2">
        <v>41334</v>
      </c>
      <c r="D421" s="1">
        <v>0</v>
      </c>
      <c r="E421" s="1">
        <v>9650</v>
      </c>
      <c r="F421" s="1" t="s">
        <v>2077</v>
      </c>
      <c r="G421" s="1" t="s">
        <v>2078</v>
      </c>
      <c r="H421" s="1" t="s">
        <v>743</v>
      </c>
      <c r="I421" s="1" t="s">
        <v>703</v>
      </c>
    </row>
    <row r="422" spans="1:9">
      <c r="A422" s="1" t="s">
        <v>2015</v>
      </c>
      <c r="B422" s="1" t="s">
        <v>2830</v>
      </c>
      <c r="C422" s="2">
        <v>41341</v>
      </c>
      <c r="D422" s="1">
        <v>0</v>
      </c>
      <c r="E422" s="1">
        <v>320000</v>
      </c>
      <c r="F422" s="1" t="s">
        <v>223</v>
      </c>
      <c r="G422" s="1" t="s">
        <v>224</v>
      </c>
      <c r="H422" s="1" t="s">
        <v>721</v>
      </c>
      <c r="I422" s="1" t="s">
        <v>703</v>
      </c>
    </row>
    <row r="423" spans="1:9">
      <c r="A423" s="1" t="s">
        <v>2015</v>
      </c>
      <c r="B423" s="1" t="s">
        <v>2831</v>
      </c>
      <c r="C423" s="2">
        <v>41352</v>
      </c>
      <c r="D423" s="1">
        <v>0</v>
      </c>
      <c r="E423" s="1">
        <v>400000</v>
      </c>
      <c r="F423" s="1" t="s">
        <v>233</v>
      </c>
      <c r="G423" s="1" t="s">
        <v>234</v>
      </c>
      <c r="H423" s="1" t="s">
        <v>721</v>
      </c>
      <c r="I423" s="1" t="s">
        <v>650</v>
      </c>
    </row>
    <row r="424" spans="1:9">
      <c r="A424" s="1" t="s">
        <v>2015</v>
      </c>
      <c r="B424" s="47" t="s">
        <v>2832</v>
      </c>
      <c r="C424" s="48">
        <v>41363</v>
      </c>
      <c r="D424" s="47">
        <v>0</v>
      </c>
      <c r="E424" s="47">
        <v>800000</v>
      </c>
      <c r="F424" s="47" t="s">
        <v>2833</v>
      </c>
      <c r="G424" s="47" t="s">
        <v>238</v>
      </c>
      <c r="H424" s="1" t="s">
        <v>724</v>
      </c>
      <c r="I424" s="1" t="s">
        <v>669</v>
      </c>
    </row>
    <row r="425" spans="1:9">
      <c r="A425" s="1" t="s">
        <v>2015</v>
      </c>
      <c r="B425" s="47" t="s">
        <v>2834</v>
      </c>
      <c r="C425" s="48">
        <v>41363</v>
      </c>
      <c r="D425" s="47">
        <v>0</v>
      </c>
      <c r="E425" s="47">
        <v>800000</v>
      </c>
      <c r="F425" s="47" t="s">
        <v>2833</v>
      </c>
      <c r="G425" s="47" t="s">
        <v>238</v>
      </c>
      <c r="H425" s="1" t="s">
        <v>724</v>
      </c>
      <c r="I425" s="1" t="s">
        <v>669</v>
      </c>
    </row>
    <row r="426" spans="1:9">
      <c r="A426" s="1" t="s">
        <v>2015</v>
      </c>
      <c r="B426" s="47" t="s">
        <v>2835</v>
      </c>
      <c r="C426" s="48">
        <v>41363</v>
      </c>
      <c r="D426" s="47">
        <v>0</v>
      </c>
      <c r="E426" s="47">
        <v>800000</v>
      </c>
      <c r="F426" s="47" t="s">
        <v>2833</v>
      </c>
      <c r="G426" s="47" t="s">
        <v>238</v>
      </c>
      <c r="H426" s="1" t="s">
        <v>724</v>
      </c>
      <c r="I426" s="1" t="s">
        <v>669</v>
      </c>
    </row>
    <row r="427" spans="1:9">
      <c r="A427" s="1" t="s">
        <v>2018</v>
      </c>
      <c r="B427" s="47" t="s">
        <v>2836</v>
      </c>
      <c r="C427" s="48">
        <v>41363</v>
      </c>
      <c r="D427" s="47">
        <v>800000</v>
      </c>
      <c r="E427" s="47">
        <v>0</v>
      </c>
      <c r="F427" s="47" t="s">
        <v>2833</v>
      </c>
      <c r="G427" s="47" t="s">
        <v>238</v>
      </c>
      <c r="H427" s="1" t="s">
        <v>724</v>
      </c>
      <c r="I427" s="1" t="s">
        <v>669</v>
      </c>
    </row>
    <row r="428" spans="1:9">
      <c r="A428" s="1" t="s">
        <v>2018</v>
      </c>
      <c r="B428" s="47" t="s">
        <v>2837</v>
      </c>
      <c r="C428" s="48">
        <v>41363</v>
      </c>
      <c r="D428" s="47">
        <v>800000</v>
      </c>
      <c r="E428" s="47">
        <v>0</v>
      </c>
      <c r="F428" s="47" t="s">
        <v>2833</v>
      </c>
      <c r="G428" s="47" t="s">
        <v>238</v>
      </c>
      <c r="H428" s="1" t="s">
        <v>724</v>
      </c>
      <c r="I428" s="1" t="s">
        <v>669</v>
      </c>
    </row>
    <row r="429" spans="1:9">
      <c r="A429" s="1" t="s">
        <v>2015</v>
      </c>
      <c r="B429" s="1" t="s">
        <v>2838</v>
      </c>
      <c r="C429" s="2">
        <v>41334</v>
      </c>
      <c r="D429" s="1">
        <v>0</v>
      </c>
      <c r="E429" s="1">
        <v>8068</v>
      </c>
      <c r="F429" s="1" t="s">
        <v>2839</v>
      </c>
      <c r="G429" s="1" t="s">
        <v>2840</v>
      </c>
      <c r="H429" s="1" t="s">
        <v>743</v>
      </c>
      <c r="I429" s="1" t="s">
        <v>703</v>
      </c>
    </row>
    <row r="430" spans="1:9">
      <c r="A430" s="1" t="s">
        <v>2015</v>
      </c>
      <c r="B430" s="1" t="s">
        <v>2841</v>
      </c>
      <c r="C430" s="2">
        <v>41339</v>
      </c>
      <c r="D430" s="1">
        <v>0</v>
      </c>
      <c r="E430" s="1">
        <v>150000</v>
      </c>
      <c r="F430" s="1" t="s">
        <v>264</v>
      </c>
      <c r="G430" s="1" t="s">
        <v>265</v>
      </c>
      <c r="H430" s="1" t="s">
        <v>724</v>
      </c>
      <c r="I430" s="1" t="s">
        <v>841</v>
      </c>
    </row>
    <row r="431" spans="1:9">
      <c r="A431" s="1" t="s">
        <v>2015</v>
      </c>
      <c r="B431" s="1" t="s">
        <v>2842</v>
      </c>
      <c r="C431" s="2">
        <v>41354</v>
      </c>
      <c r="D431" s="1">
        <v>0</v>
      </c>
      <c r="E431" s="1">
        <v>375800</v>
      </c>
      <c r="F431" s="1" t="s">
        <v>268</v>
      </c>
      <c r="G431" s="1" t="s">
        <v>269</v>
      </c>
      <c r="H431" s="1" t="s">
        <v>721</v>
      </c>
      <c r="I431" s="1" t="s">
        <v>703</v>
      </c>
    </row>
    <row r="432" spans="1:9">
      <c r="A432" s="1" t="s">
        <v>2015</v>
      </c>
      <c r="B432" s="1" t="s">
        <v>2843</v>
      </c>
      <c r="C432" s="2">
        <v>41347</v>
      </c>
      <c r="D432" s="1">
        <v>0</v>
      </c>
      <c r="E432" s="1">
        <v>1500000</v>
      </c>
      <c r="F432" s="1" t="s">
        <v>272</v>
      </c>
      <c r="G432" s="1" t="s">
        <v>273</v>
      </c>
      <c r="H432" s="1" t="s">
        <v>721</v>
      </c>
      <c r="I432" s="1" t="s">
        <v>703</v>
      </c>
    </row>
    <row r="433" spans="1:9">
      <c r="A433" s="1" t="s">
        <v>2015</v>
      </c>
      <c r="B433" s="1" t="s">
        <v>2844</v>
      </c>
      <c r="C433" s="2">
        <v>41342</v>
      </c>
      <c r="D433" s="1">
        <v>0</v>
      </c>
      <c r="E433" s="1">
        <v>100000</v>
      </c>
      <c r="F433" s="1" t="s">
        <v>286</v>
      </c>
      <c r="G433" s="1" t="s">
        <v>287</v>
      </c>
      <c r="H433" s="1" t="s">
        <v>743</v>
      </c>
      <c r="I433" s="1" t="s">
        <v>703</v>
      </c>
    </row>
    <row r="434" spans="1:9">
      <c r="A434" s="1" t="s">
        <v>2015</v>
      </c>
      <c r="B434" s="1" t="s">
        <v>2845</v>
      </c>
      <c r="C434" s="2">
        <v>41342</v>
      </c>
      <c r="D434" s="1">
        <v>0</v>
      </c>
      <c r="E434" s="1">
        <v>65000</v>
      </c>
      <c r="F434" s="1" t="s">
        <v>286</v>
      </c>
      <c r="G434" s="1" t="s">
        <v>287</v>
      </c>
      <c r="H434" s="1" t="s">
        <v>743</v>
      </c>
      <c r="I434" s="1" t="s">
        <v>703</v>
      </c>
    </row>
    <row r="435" spans="1:9">
      <c r="A435" s="1" t="s">
        <v>2015</v>
      </c>
      <c r="B435" s="1" t="s">
        <v>2846</v>
      </c>
      <c r="C435" s="2">
        <v>41345</v>
      </c>
      <c r="D435" s="1">
        <v>0</v>
      </c>
      <c r="E435" s="1">
        <v>100000</v>
      </c>
      <c r="F435" s="1" t="s">
        <v>286</v>
      </c>
      <c r="G435" s="1" t="s">
        <v>287</v>
      </c>
      <c r="H435" s="1" t="s">
        <v>743</v>
      </c>
      <c r="I435" s="1" t="s">
        <v>703</v>
      </c>
    </row>
    <row r="436" spans="1:9">
      <c r="A436" s="1" t="s">
        <v>2015</v>
      </c>
      <c r="B436" s="1" t="s">
        <v>2847</v>
      </c>
      <c r="C436" s="2">
        <v>41363</v>
      </c>
      <c r="D436" s="1">
        <v>0</v>
      </c>
      <c r="E436" s="1">
        <v>100000</v>
      </c>
      <c r="F436" s="1" t="s">
        <v>286</v>
      </c>
      <c r="G436" s="1" t="s">
        <v>287</v>
      </c>
      <c r="H436" s="1" t="s">
        <v>743</v>
      </c>
      <c r="I436" s="1" t="s">
        <v>703</v>
      </c>
    </row>
    <row r="437" spans="1:9">
      <c r="A437" s="1" t="s">
        <v>2015</v>
      </c>
      <c r="B437" s="1" t="s">
        <v>2848</v>
      </c>
      <c r="C437" s="2">
        <v>41339</v>
      </c>
      <c r="D437" s="1">
        <v>0</v>
      </c>
      <c r="E437" s="1">
        <v>200000</v>
      </c>
      <c r="F437" s="1" t="s">
        <v>292</v>
      </c>
      <c r="G437" s="1" t="s">
        <v>293</v>
      </c>
      <c r="H437" s="1" t="s">
        <v>724</v>
      </c>
      <c r="I437" s="1" t="s">
        <v>725</v>
      </c>
    </row>
    <row r="438" spans="1:9">
      <c r="A438" s="1" t="s">
        <v>2015</v>
      </c>
      <c r="B438" s="1" t="s">
        <v>2849</v>
      </c>
      <c r="C438" s="2">
        <v>41342</v>
      </c>
      <c r="D438" s="1">
        <v>0</v>
      </c>
      <c r="E438" s="1">
        <v>180000</v>
      </c>
      <c r="F438" s="1" t="s">
        <v>292</v>
      </c>
      <c r="G438" s="1" t="s">
        <v>293</v>
      </c>
      <c r="H438" s="1" t="s">
        <v>724</v>
      </c>
      <c r="I438" s="1" t="s">
        <v>725</v>
      </c>
    </row>
    <row r="439" spans="1:9">
      <c r="A439" s="1" t="s">
        <v>2015</v>
      </c>
      <c r="B439" s="1" t="s">
        <v>2850</v>
      </c>
      <c r="C439" s="2">
        <v>41351</v>
      </c>
      <c r="D439" s="1">
        <v>0</v>
      </c>
      <c r="E439" s="1">
        <v>400000</v>
      </c>
      <c r="F439" s="1" t="s">
        <v>292</v>
      </c>
      <c r="G439" s="1" t="s">
        <v>293</v>
      </c>
      <c r="H439" s="1" t="s">
        <v>724</v>
      </c>
      <c r="I439" s="1" t="s">
        <v>725</v>
      </c>
    </row>
    <row r="440" spans="1:9">
      <c r="A440" s="1" t="s">
        <v>2015</v>
      </c>
      <c r="B440" s="1" t="s">
        <v>2851</v>
      </c>
      <c r="C440" s="2">
        <v>41359.480451388888</v>
      </c>
      <c r="D440" s="1">
        <v>0</v>
      </c>
      <c r="E440" s="1">
        <v>200000</v>
      </c>
      <c r="F440" s="1" t="s">
        <v>292</v>
      </c>
      <c r="G440" s="1" t="s">
        <v>293</v>
      </c>
      <c r="H440" s="1" t="s">
        <v>724</v>
      </c>
      <c r="I440" s="1" t="s">
        <v>725</v>
      </c>
    </row>
    <row r="441" spans="1:9">
      <c r="A441" s="1" t="s">
        <v>2015</v>
      </c>
      <c r="B441" s="1" t="s">
        <v>2852</v>
      </c>
      <c r="C441" s="2">
        <v>41363</v>
      </c>
      <c r="D441" s="1">
        <v>0</v>
      </c>
      <c r="E441" s="1">
        <v>200000</v>
      </c>
      <c r="F441" s="1" t="s">
        <v>292</v>
      </c>
      <c r="G441" s="1" t="s">
        <v>293</v>
      </c>
      <c r="H441" s="1" t="s">
        <v>724</v>
      </c>
      <c r="I441" s="1" t="s">
        <v>725</v>
      </c>
    </row>
    <row r="442" spans="1:9">
      <c r="A442" s="1" t="s">
        <v>2015</v>
      </c>
      <c r="B442" s="1" t="s">
        <v>2853</v>
      </c>
      <c r="C442" s="2">
        <v>41334</v>
      </c>
      <c r="D442" s="1">
        <v>0</v>
      </c>
      <c r="E442" s="1">
        <v>7000</v>
      </c>
      <c r="F442" s="1" t="s">
        <v>2079</v>
      </c>
      <c r="G442" s="1" t="s">
        <v>2080</v>
      </c>
      <c r="H442" s="1" t="s">
        <v>724</v>
      </c>
      <c r="I442" s="1" t="s">
        <v>1777</v>
      </c>
    </row>
    <row r="443" spans="1:9">
      <c r="A443" s="1" t="s">
        <v>2015</v>
      </c>
      <c r="B443" s="1" t="s">
        <v>2854</v>
      </c>
      <c r="C443" s="2">
        <v>41334</v>
      </c>
      <c r="D443" s="1">
        <v>0</v>
      </c>
      <c r="E443" s="1">
        <v>935</v>
      </c>
      <c r="F443" s="1" t="s">
        <v>2081</v>
      </c>
      <c r="G443" s="1" t="s">
        <v>2082</v>
      </c>
      <c r="H443" s="1" t="s">
        <v>743</v>
      </c>
      <c r="I443" s="1" t="s">
        <v>1777</v>
      </c>
    </row>
    <row r="444" spans="1:9">
      <c r="A444" s="1" t="s">
        <v>2015</v>
      </c>
      <c r="B444" s="1" t="s">
        <v>2855</v>
      </c>
      <c r="C444" s="2">
        <v>41346</v>
      </c>
      <c r="D444" s="1">
        <v>0</v>
      </c>
      <c r="E444" s="1">
        <v>500000</v>
      </c>
      <c r="F444" s="1" t="s">
        <v>304</v>
      </c>
      <c r="G444" s="1" t="s">
        <v>305</v>
      </c>
      <c r="H444" s="1" t="s">
        <v>724</v>
      </c>
      <c r="I444" s="1" t="s">
        <v>858</v>
      </c>
    </row>
    <row r="445" spans="1:9">
      <c r="A445" s="1" t="s">
        <v>2015</v>
      </c>
      <c r="B445" s="1" t="s">
        <v>2856</v>
      </c>
      <c r="C445" s="2">
        <v>41348</v>
      </c>
      <c r="D445" s="1">
        <v>0</v>
      </c>
      <c r="E445" s="1">
        <v>500000</v>
      </c>
      <c r="F445" s="1" t="s">
        <v>304</v>
      </c>
      <c r="G445" s="1" t="s">
        <v>305</v>
      </c>
      <c r="H445" s="1" t="s">
        <v>724</v>
      </c>
      <c r="I445" s="1" t="s">
        <v>858</v>
      </c>
    </row>
    <row r="446" spans="1:9">
      <c r="A446" s="1" t="s">
        <v>2015</v>
      </c>
      <c r="B446" s="1" t="s">
        <v>2857</v>
      </c>
      <c r="C446" s="2">
        <v>41348</v>
      </c>
      <c r="D446" s="1">
        <v>0</v>
      </c>
      <c r="E446" s="1">
        <v>500000</v>
      </c>
      <c r="F446" s="1" t="s">
        <v>304</v>
      </c>
      <c r="G446" s="1" t="s">
        <v>305</v>
      </c>
      <c r="H446" s="1" t="s">
        <v>724</v>
      </c>
      <c r="I446" s="1" t="s">
        <v>858</v>
      </c>
    </row>
    <row r="447" spans="1:9">
      <c r="A447" s="1" t="s">
        <v>2015</v>
      </c>
      <c r="B447" s="1" t="s">
        <v>2858</v>
      </c>
      <c r="C447" s="2">
        <v>41348</v>
      </c>
      <c r="D447" s="1">
        <v>0</v>
      </c>
      <c r="E447" s="1">
        <v>500000</v>
      </c>
      <c r="F447" s="1" t="s">
        <v>304</v>
      </c>
      <c r="G447" s="1" t="s">
        <v>305</v>
      </c>
      <c r="H447" s="1" t="s">
        <v>724</v>
      </c>
      <c r="I447" s="1" t="s">
        <v>858</v>
      </c>
    </row>
    <row r="448" spans="1:9">
      <c r="A448" s="1" t="s">
        <v>2015</v>
      </c>
      <c r="B448" s="1" t="s">
        <v>2859</v>
      </c>
      <c r="C448" s="2">
        <v>41360</v>
      </c>
      <c r="D448" s="1">
        <v>0</v>
      </c>
      <c r="E448" s="1">
        <v>500000</v>
      </c>
      <c r="F448" s="1" t="s">
        <v>304</v>
      </c>
      <c r="G448" s="1" t="s">
        <v>305</v>
      </c>
      <c r="H448" s="1" t="s">
        <v>724</v>
      </c>
      <c r="I448" s="1" t="s">
        <v>858</v>
      </c>
    </row>
    <row r="449" spans="1:9">
      <c r="A449" s="1" t="s">
        <v>2015</v>
      </c>
      <c r="B449" s="1" t="s">
        <v>2860</v>
      </c>
      <c r="C449" s="2">
        <v>41363</v>
      </c>
      <c r="D449" s="1">
        <v>0</v>
      </c>
      <c r="E449" s="1">
        <v>500000</v>
      </c>
      <c r="F449" s="1" t="s">
        <v>304</v>
      </c>
      <c r="G449" s="1" t="s">
        <v>305</v>
      </c>
      <c r="H449" s="1" t="s">
        <v>724</v>
      </c>
      <c r="I449" s="1" t="s">
        <v>858</v>
      </c>
    </row>
    <row r="450" spans="1:9">
      <c r="A450" s="1" t="s">
        <v>2015</v>
      </c>
      <c r="B450" s="1" t="s">
        <v>2861</v>
      </c>
      <c r="C450" s="2">
        <v>41360</v>
      </c>
      <c r="D450" s="1">
        <v>0</v>
      </c>
      <c r="E450" s="1">
        <v>111000</v>
      </c>
      <c r="F450" s="1" t="s">
        <v>2862</v>
      </c>
      <c r="G450" s="1" t="s">
        <v>2863</v>
      </c>
      <c r="H450" s="1" t="s">
        <v>724</v>
      </c>
      <c r="I450" s="1" t="s">
        <v>1777</v>
      </c>
    </row>
    <row r="451" spans="1:9">
      <c r="A451" s="1" t="s">
        <v>2015</v>
      </c>
      <c r="B451" s="1" t="s">
        <v>2864</v>
      </c>
      <c r="C451" s="2">
        <v>41361</v>
      </c>
      <c r="D451" s="1">
        <v>0</v>
      </c>
      <c r="E451" s="1">
        <v>250000</v>
      </c>
      <c r="F451" s="1" t="s">
        <v>312</v>
      </c>
      <c r="G451" s="1" t="s">
        <v>313</v>
      </c>
      <c r="H451" s="1" t="s">
        <v>721</v>
      </c>
      <c r="I451" s="1" t="s">
        <v>703</v>
      </c>
    </row>
    <row r="452" spans="1:9">
      <c r="A452" s="1" t="s">
        <v>2015</v>
      </c>
      <c r="B452" s="1" t="s">
        <v>2865</v>
      </c>
      <c r="C452" s="2">
        <v>41348</v>
      </c>
      <c r="D452" s="1">
        <v>0</v>
      </c>
      <c r="E452" s="1">
        <v>1200000</v>
      </c>
      <c r="F452" s="1" t="s">
        <v>322</v>
      </c>
      <c r="G452" s="1" t="s">
        <v>323</v>
      </c>
      <c r="H452" s="1" t="s">
        <v>724</v>
      </c>
      <c r="I452" s="1" t="s">
        <v>669</v>
      </c>
    </row>
    <row r="453" spans="1:9">
      <c r="A453" s="1" t="s">
        <v>2015</v>
      </c>
      <c r="B453" s="1" t="s">
        <v>2866</v>
      </c>
      <c r="C453" s="2">
        <v>41348</v>
      </c>
      <c r="D453" s="1">
        <v>0</v>
      </c>
      <c r="E453" s="1">
        <v>300000</v>
      </c>
      <c r="F453" s="1" t="s">
        <v>322</v>
      </c>
      <c r="G453" s="1" t="s">
        <v>323</v>
      </c>
      <c r="H453" s="1" t="s">
        <v>724</v>
      </c>
      <c r="I453" s="1" t="s">
        <v>669</v>
      </c>
    </row>
    <row r="454" spans="1:9">
      <c r="A454" s="1" t="s">
        <v>2015</v>
      </c>
      <c r="B454" s="1" t="s">
        <v>2867</v>
      </c>
      <c r="C454" s="2">
        <v>41362</v>
      </c>
      <c r="D454" s="1">
        <v>0</v>
      </c>
      <c r="E454" s="1">
        <v>700000</v>
      </c>
      <c r="F454" s="1" t="s">
        <v>322</v>
      </c>
      <c r="G454" s="1" t="s">
        <v>323</v>
      </c>
      <c r="H454" s="1" t="s">
        <v>724</v>
      </c>
      <c r="I454" s="1" t="s">
        <v>669</v>
      </c>
    </row>
    <row r="455" spans="1:9">
      <c r="A455" s="1" t="s">
        <v>2015</v>
      </c>
      <c r="B455" s="1" t="s">
        <v>2868</v>
      </c>
      <c r="C455" s="2">
        <v>41363</v>
      </c>
      <c r="D455" s="1">
        <v>0</v>
      </c>
      <c r="E455" s="1">
        <v>500000</v>
      </c>
      <c r="F455" s="1" t="s">
        <v>322</v>
      </c>
      <c r="G455" s="1" t="s">
        <v>323</v>
      </c>
      <c r="H455" s="1" t="s">
        <v>724</v>
      </c>
      <c r="I455" s="1" t="s">
        <v>669</v>
      </c>
    </row>
    <row r="456" spans="1:9">
      <c r="A456" s="1" t="s">
        <v>2015</v>
      </c>
      <c r="B456" s="1" t="s">
        <v>2869</v>
      </c>
      <c r="C456" s="2">
        <v>41363</v>
      </c>
      <c r="D456" s="1">
        <v>0</v>
      </c>
      <c r="E456" s="1">
        <v>1000000</v>
      </c>
      <c r="F456" s="1" t="s">
        <v>322</v>
      </c>
      <c r="G456" s="1" t="s">
        <v>323</v>
      </c>
      <c r="H456" s="1" t="s">
        <v>724</v>
      </c>
      <c r="I456" s="1" t="s">
        <v>669</v>
      </c>
    </row>
    <row r="457" spans="1:9">
      <c r="A457" s="1" t="s">
        <v>2015</v>
      </c>
      <c r="B457" s="1" t="s">
        <v>2870</v>
      </c>
      <c r="C457" s="2">
        <v>41363</v>
      </c>
      <c r="D457" s="1">
        <v>0</v>
      </c>
      <c r="E457" s="1">
        <v>429875</v>
      </c>
      <c r="F457" s="1" t="s">
        <v>2871</v>
      </c>
      <c r="G457" s="1" t="s">
        <v>325</v>
      </c>
      <c r="H457" s="1" t="s">
        <v>732</v>
      </c>
      <c r="I457" s="1" t="s">
        <v>594</v>
      </c>
    </row>
    <row r="458" spans="1:9">
      <c r="A458" s="1" t="s">
        <v>2015</v>
      </c>
      <c r="B458" s="1" t="s">
        <v>2872</v>
      </c>
      <c r="C458" s="2">
        <v>41348</v>
      </c>
      <c r="D458" s="1">
        <v>0</v>
      </c>
      <c r="E458" s="1">
        <v>969500</v>
      </c>
      <c r="F458" s="1" t="s">
        <v>2873</v>
      </c>
      <c r="G458" s="1" t="s">
        <v>327</v>
      </c>
      <c r="H458" s="1" t="s">
        <v>732</v>
      </c>
      <c r="I458" s="1" t="s">
        <v>594</v>
      </c>
    </row>
    <row r="459" spans="1:9">
      <c r="A459" s="1" t="s">
        <v>2015</v>
      </c>
      <c r="B459" s="1" t="s">
        <v>2874</v>
      </c>
      <c r="C459" s="2">
        <v>41348</v>
      </c>
      <c r="D459" s="1">
        <v>0</v>
      </c>
      <c r="E459" s="1">
        <v>435925</v>
      </c>
      <c r="F459" s="1" t="s">
        <v>2875</v>
      </c>
      <c r="G459" s="1" t="s">
        <v>329</v>
      </c>
      <c r="H459" s="1" t="s">
        <v>732</v>
      </c>
      <c r="I459" s="1" t="s">
        <v>594</v>
      </c>
    </row>
    <row r="460" spans="1:9">
      <c r="A460" s="1" t="s">
        <v>2015</v>
      </c>
      <c r="B460" s="1" t="s">
        <v>2876</v>
      </c>
      <c r="C460" s="2">
        <v>41360</v>
      </c>
      <c r="D460" s="1">
        <v>0</v>
      </c>
      <c r="E460" s="1">
        <v>903550</v>
      </c>
      <c r="F460" s="1" t="s">
        <v>2877</v>
      </c>
      <c r="G460" s="1" t="s">
        <v>2878</v>
      </c>
      <c r="H460" s="1" t="s">
        <v>732</v>
      </c>
      <c r="I460" s="1" t="s">
        <v>1777</v>
      </c>
    </row>
    <row r="461" spans="1:9">
      <c r="A461" s="1" t="s">
        <v>2015</v>
      </c>
      <c r="B461" s="1" t="s">
        <v>2879</v>
      </c>
      <c r="C461" s="2">
        <v>41334</v>
      </c>
      <c r="D461" s="1">
        <v>0</v>
      </c>
      <c r="E461" s="1">
        <v>6000</v>
      </c>
      <c r="F461" s="1" t="s">
        <v>2083</v>
      </c>
      <c r="G461" s="1" t="s">
        <v>2084</v>
      </c>
      <c r="H461" s="1" t="s">
        <v>724</v>
      </c>
      <c r="I461" s="1" t="s">
        <v>703</v>
      </c>
    </row>
    <row r="462" spans="1:9">
      <c r="A462" s="1" t="s">
        <v>2015</v>
      </c>
      <c r="B462" s="1" t="s">
        <v>2880</v>
      </c>
      <c r="C462" s="2">
        <v>41337</v>
      </c>
      <c r="D462" s="1">
        <v>0</v>
      </c>
      <c r="E462" s="1">
        <v>200000</v>
      </c>
      <c r="F462" s="1" t="s">
        <v>2881</v>
      </c>
      <c r="G462" s="1" t="s">
        <v>2882</v>
      </c>
      <c r="H462" s="1" t="s">
        <v>724</v>
      </c>
      <c r="I462" s="1" t="s">
        <v>1777</v>
      </c>
    </row>
    <row r="463" spans="1:9">
      <c r="A463" s="1" t="s">
        <v>2015</v>
      </c>
      <c r="B463" s="1" t="s">
        <v>2883</v>
      </c>
      <c r="C463" s="2">
        <v>41340</v>
      </c>
      <c r="D463" s="1">
        <v>0</v>
      </c>
      <c r="E463" s="1">
        <v>400000</v>
      </c>
      <c r="F463" s="1" t="s">
        <v>2881</v>
      </c>
      <c r="G463" s="1" t="s">
        <v>2882</v>
      </c>
      <c r="H463" s="1" t="s">
        <v>724</v>
      </c>
      <c r="I463" s="1" t="s">
        <v>1777</v>
      </c>
    </row>
    <row r="464" spans="1:9">
      <c r="A464" s="1" t="s">
        <v>2015</v>
      </c>
      <c r="B464" s="1" t="s">
        <v>2884</v>
      </c>
      <c r="C464" s="2">
        <v>41338</v>
      </c>
      <c r="D464" s="1">
        <v>0</v>
      </c>
      <c r="E464" s="1">
        <v>50000</v>
      </c>
      <c r="F464" s="1" t="s">
        <v>364</v>
      </c>
      <c r="G464" s="1" t="s">
        <v>365</v>
      </c>
      <c r="H464" s="1" t="s">
        <v>721</v>
      </c>
      <c r="I464" s="1" t="s">
        <v>669</v>
      </c>
    </row>
    <row r="465" spans="1:9">
      <c r="A465" s="1" t="s">
        <v>2015</v>
      </c>
      <c r="B465" s="1" t="s">
        <v>2885</v>
      </c>
      <c r="C465" s="2">
        <v>41353</v>
      </c>
      <c r="D465" s="1">
        <v>0</v>
      </c>
      <c r="E465" s="1">
        <v>94000</v>
      </c>
      <c r="F465" s="1" t="s">
        <v>364</v>
      </c>
      <c r="G465" s="1" t="s">
        <v>365</v>
      </c>
      <c r="H465" s="1" t="s">
        <v>721</v>
      </c>
      <c r="I465" s="1" t="s">
        <v>669</v>
      </c>
    </row>
    <row r="466" spans="1:9">
      <c r="A466" s="1" t="s">
        <v>2015</v>
      </c>
      <c r="B466" s="1" t="s">
        <v>2886</v>
      </c>
      <c r="C466" s="2">
        <v>41358</v>
      </c>
      <c r="D466" s="1">
        <v>0</v>
      </c>
      <c r="E466" s="1">
        <v>75000</v>
      </c>
      <c r="F466" s="1" t="s">
        <v>364</v>
      </c>
      <c r="G466" s="1" t="s">
        <v>365</v>
      </c>
      <c r="H466" s="1" t="s">
        <v>721</v>
      </c>
      <c r="I466" s="1" t="s">
        <v>669</v>
      </c>
    </row>
    <row r="467" spans="1:9">
      <c r="A467" s="1" t="s">
        <v>2015</v>
      </c>
      <c r="B467" s="1" t="s">
        <v>2887</v>
      </c>
      <c r="C467" s="2">
        <v>41342</v>
      </c>
      <c r="D467" s="1">
        <v>0</v>
      </c>
      <c r="E467" s="1">
        <v>20000</v>
      </c>
      <c r="F467" s="1" t="s">
        <v>372</v>
      </c>
      <c r="G467" s="1" t="s">
        <v>373</v>
      </c>
      <c r="H467" s="1" t="s">
        <v>724</v>
      </c>
      <c r="I467" s="1" t="s">
        <v>841</v>
      </c>
    </row>
    <row r="468" spans="1:9">
      <c r="A468" s="1" t="s">
        <v>2015</v>
      </c>
      <c r="B468" s="1" t="s">
        <v>2888</v>
      </c>
      <c r="C468" s="2">
        <v>41351</v>
      </c>
      <c r="D468" s="1">
        <v>0</v>
      </c>
      <c r="E468" s="1">
        <v>500000</v>
      </c>
      <c r="F468" s="1" t="s">
        <v>377</v>
      </c>
      <c r="G468" s="1" t="s">
        <v>378</v>
      </c>
      <c r="H468" s="1" t="s">
        <v>721</v>
      </c>
      <c r="I468" s="1" t="s">
        <v>703</v>
      </c>
    </row>
    <row r="469" spans="1:9">
      <c r="A469" s="1" t="s">
        <v>2015</v>
      </c>
      <c r="B469" s="1" t="s">
        <v>2889</v>
      </c>
      <c r="C469" s="2">
        <v>41358</v>
      </c>
      <c r="D469" s="1">
        <v>0</v>
      </c>
      <c r="E469" s="1">
        <v>900000</v>
      </c>
      <c r="F469" s="1" t="s">
        <v>377</v>
      </c>
      <c r="G469" s="1" t="s">
        <v>378</v>
      </c>
      <c r="H469" s="1" t="s">
        <v>721</v>
      </c>
      <c r="I469" s="1" t="s">
        <v>703</v>
      </c>
    </row>
    <row r="470" spans="1:9">
      <c r="A470" s="1" t="s">
        <v>2015</v>
      </c>
      <c r="B470" s="1" t="s">
        <v>2890</v>
      </c>
      <c r="C470" s="2">
        <v>41363</v>
      </c>
      <c r="D470" s="1">
        <v>0</v>
      </c>
      <c r="E470" s="1">
        <v>450000</v>
      </c>
      <c r="F470" s="1" t="s">
        <v>377</v>
      </c>
      <c r="G470" s="1" t="s">
        <v>378</v>
      </c>
      <c r="H470" s="1" t="s">
        <v>721</v>
      </c>
      <c r="I470" s="1" t="s">
        <v>703</v>
      </c>
    </row>
    <row r="471" spans="1:9">
      <c r="A471" s="1" t="s">
        <v>2015</v>
      </c>
      <c r="B471" s="1" t="s">
        <v>2891</v>
      </c>
      <c r="C471" s="2">
        <v>41348</v>
      </c>
      <c r="D471" s="1">
        <v>0</v>
      </c>
      <c r="E471" s="1">
        <v>2000000</v>
      </c>
      <c r="F471" s="1" t="s">
        <v>393</v>
      </c>
      <c r="G471" s="1" t="s">
        <v>394</v>
      </c>
      <c r="H471" s="1" t="s">
        <v>724</v>
      </c>
      <c r="I471" s="1" t="s">
        <v>669</v>
      </c>
    </row>
    <row r="472" spans="1:9">
      <c r="A472" s="1" t="s">
        <v>2015</v>
      </c>
      <c r="B472" s="1" t="s">
        <v>2892</v>
      </c>
      <c r="C472" s="2">
        <v>41353</v>
      </c>
      <c r="D472" s="1">
        <v>0</v>
      </c>
      <c r="E472" s="1">
        <v>2000000</v>
      </c>
      <c r="F472" s="1" t="s">
        <v>393</v>
      </c>
      <c r="G472" s="1" t="s">
        <v>394</v>
      </c>
      <c r="H472" s="1" t="s">
        <v>724</v>
      </c>
      <c r="I472" s="1" t="s">
        <v>669</v>
      </c>
    </row>
    <row r="473" spans="1:9">
      <c r="A473" s="1" t="s">
        <v>2018</v>
      </c>
      <c r="B473" s="1" t="s">
        <v>2893</v>
      </c>
      <c r="C473" s="2">
        <v>41355</v>
      </c>
      <c r="D473" s="1">
        <v>2000000</v>
      </c>
      <c r="E473" s="1">
        <v>0</v>
      </c>
      <c r="F473" s="1" t="s">
        <v>393</v>
      </c>
      <c r="G473" s="1" t="s">
        <v>394</v>
      </c>
      <c r="H473" s="1" t="s">
        <v>724</v>
      </c>
      <c r="I473" s="1" t="s">
        <v>669</v>
      </c>
    </row>
    <row r="474" spans="1:9">
      <c r="A474" s="1" t="s">
        <v>2015</v>
      </c>
      <c r="B474" s="1" t="s">
        <v>2894</v>
      </c>
      <c r="C474" s="2">
        <v>41355</v>
      </c>
      <c r="D474" s="1">
        <v>0</v>
      </c>
      <c r="E474" s="1">
        <v>2000000</v>
      </c>
      <c r="F474" s="1" t="s">
        <v>393</v>
      </c>
      <c r="G474" s="1" t="s">
        <v>394</v>
      </c>
      <c r="H474" s="1" t="s">
        <v>724</v>
      </c>
      <c r="I474" s="1" t="s">
        <v>669</v>
      </c>
    </row>
    <row r="475" spans="1:9">
      <c r="A475" s="1" t="s">
        <v>2015</v>
      </c>
      <c r="B475" s="1" t="s">
        <v>2895</v>
      </c>
      <c r="C475" s="2">
        <v>41361</v>
      </c>
      <c r="D475" s="1">
        <v>0</v>
      </c>
      <c r="E475" s="1">
        <v>2000000</v>
      </c>
      <c r="F475" s="1" t="s">
        <v>393</v>
      </c>
      <c r="G475" s="1" t="s">
        <v>394</v>
      </c>
      <c r="H475" s="1" t="s">
        <v>724</v>
      </c>
      <c r="I475" s="1" t="s">
        <v>669</v>
      </c>
    </row>
    <row r="476" spans="1:9">
      <c r="A476" s="1" t="s">
        <v>2018</v>
      </c>
      <c r="B476" s="1" t="s">
        <v>2896</v>
      </c>
      <c r="C476" s="2">
        <v>41361.526365740741</v>
      </c>
      <c r="D476" s="1">
        <v>2000000</v>
      </c>
      <c r="E476" s="1">
        <v>0</v>
      </c>
      <c r="F476" s="1" t="s">
        <v>393</v>
      </c>
      <c r="G476" s="1" t="s">
        <v>394</v>
      </c>
      <c r="H476" s="1" t="s">
        <v>724</v>
      </c>
      <c r="I476" s="1" t="s">
        <v>669</v>
      </c>
    </row>
    <row r="477" spans="1:9">
      <c r="A477" s="1" t="s">
        <v>2015</v>
      </c>
      <c r="B477" s="1" t="s">
        <v>2897</v>
      </c>
      <c r="C477" s="2">
        <v>41362</v>
      </c>
      <c r="D477" s="1">
        <v>0</v>
      </c>
      <c r="E477" s="1">
        <v>1000000</v>
      </c>
      <c r="F477" s="1" t="s">
        <v>393</v>
      </c>
      <c r="G477" s="1" t="s">
        <v>394</v>
      </c>
      <c r="H477" s="1" t="s">
        <v>724</v>
      </c>
      <c r="I477" s="1" t="s">
        <v>669</v>
      </c>
    </row>
    <row r="478" spans="1:9">
      <c r="A478" s="1" t="s">
        <v>2015</v>
      </c>
      <c r="B478" s="1" t="s">
        <v>2898</v>
      </c>
      <c r="C478" s="2">
        <v>41341</v>
      </c>
      <c r="D478" s="1">
        <v>0</v>
      </c>
      <c r="E478" s="1">
        <v>500000</v>
      </c>
      <c r="F478" s="1" t="s">
        <v>435</v>
      </c>
      <c r="G478" s="1" t="s">
        <v>436</v>
      </c>
      <c r="H478" s="1" t="s">
        <v>743</v>
      </c>
      <c r="I478" s="1" t="s">
        <v>650</v>
      </c>
    </row>
    <row r="479" spans="1:9">
      <c r="A479" s="1" t="s">
        <v>2015</v>
      </c>
      <c r="B479" s="1" t="s">
        <v>2899</v>
      </c>
      <c r="C479" s="2">
        <v>41348</v>
      </c>
      <c r="D479" s="1">
        <v>0</v>
      </c>
      <c r="E479" s="1">
        <v>500000</v>
      </c>
      <c r="F479" s="1" t="s">
        <v>435</v>
      </c>
      <c r="G479" s="1" t="s">
        <v>436</v>
      </c>
      <c r="H479" s="1" t="s">
        <v>743</v>
      </c>
      <c r="I479" s="1" t="s">
        <v>650</v>
      </c>
    </row>
    <row r="480" spans="1:9">
      <c r="A480" s="1" t="s">
        <v>2015</v>
      </c>
      <c r="B480" s="1" t="s">
        <v>2900</v>
      </c>
      <c r="C480" s="2">
        <v>41363</v>
      </c>
      <c r="D480" s="1">
        <v>0</v>
      </c>
      <c r="E480" s="1">
        <v>100000</v>
      </c>
      <c r="F480" s="1" t="s">
        <v>435</v>
      </c>
      <c r="G480" s="1" t="s">
        <v>436</v>
      </c>
      <c r="H480" s="1" t="s">
        <v>743</v>
      </c>
      <c r="I480" s="1" t="s">
        <v>650</v>
      </c>
    </row>
    <row r="481" spans="1:9">
      <c r="A481" s="1" t="s">
        <v>2015</v>
      </c>
      <c r="B481" s="1" t="s">
        <v>2901</v>
      </c>
      <c r="C481" s="2">
        <v>41363.7265162037</v>
      </c>
      <c r="D481" s="1">
        <v>0</v>
      </c>
      <c r="E481" s="1">
        <v>100000</v>
      </c>
      <c r="F481" s="1" t="s">
        <v>435</v>
      </c>
      <c r="G481" s="1" t="s">
        <v>436</v>
      </c>
      <c r="H481" s="1" t="s">
        <v>743</v>
      </c>
      <c r="I481" s="1" t="s">
        <v>650</v>
      </c>
    </row>
    <row r="482" spans="1:9">
      <c r="A482" s="1" t="s">
        <v>2015</v>
      </c>
      <c r="B482" s="1" t="s">
        <v>2902</v>
      </c>
      <c r="C482" s="2">
        <v>41340</v>
      </c>
      <c r="D482" s="1">
        <v>0</v>
      </c>
      <c r="E482" s="1">
        <v>20600</v>
      </c>
      <c r="F482" s="1" t="s">
        <v>2903</v>
      </c>
      <c r="G482" s="1" t="s">
        <v>2904</v>
      </c>
      <c r="H482" s="1" t="s">
        <v>721</v>
      </c>
      <c r="I482" s="1" t="s">
        <v>1777</v>
      </c>
    </row>
    <row r="483" spans="1:9">
      <c r="A483" s="1" t="s">
        <v>2015</v>
      </c>
      <c r="B483" s="1" t="s">
        <v>2905</v>
      </c>
      <c r="C483" s="2">
        <v>41353</v>
      </c>
      <c r="D483" s="1">
        <v>0</v>
      </c>
      <c r="E483" s="1">
        <v>8100</v>
      </c>
      <c r="F483" s="1" t="s">
        <v>466</v>
      </c>
      <c r="G483" s="1" t="s">
        <v>467</v>
      </c>
      <c r="H483" s="1" t="s">
        <v>721</v>
      </c>
      <c r="I483" s="1" t="s">
        <v>1777</v>
      </c>
    </row>
    <row r="484" spans="1:9">
      <c r="A484" s="1" t="s">
        <v>2015</v>
      </c>
      <c r="B484" s="1" t="s">
        <v>2906</v>
      </c>
      <c r="C484" s="2">
        <v>41334</v>
      </c>
      <c r="D484" s="1">
        <v>0</v>
      </c>
      <c r="E484" s="1">
        <v>6000</v>
      </c>
      <c r="F484" s="1" t="s">
        <v>2085</v>
      </c>
      <c r="G484" s="1" t="s">
        <v>2086</v>
      </c>
      <c r="H484" s="1" t="s">
        <v>724</v>
      </c>
      <c r="I484" s="1" t="s">
        <v>1777</v>
      </c>
    </row>
    <row r="485" spans="1:9">
      <c r="A485" s="1" t="s">
        <v>2015</v>
      </c>
      <c r="B485" s="1" t="s">
        <v>2907</v>
      </c>
      <c r="C485" s="2">
        <v>41360</v>
      </c>
      <c r="D485" s="1">
        <v>0</v>
      </c>
      <c r="E485" s="1">
        <v>150000</v>
      </c>
      <c r="F485" s="1" t="s">
        <v>468</v>
      </c>
      <c r="G485" s="1" t="s">
        <v>469</v>
      </c>
      <c r="H485" s="1" t="s">
        <v>721</v>
      </c>
      <c r="I485" s="1" t="s">
        <v>703</v>
      </c>
    </row>
    <row r="486" spans="1:9">
      <c r="A486" s="1" t="s">
        <v>2015</v>
      </c>
      <c r="B486" s="1" t="s">
        <v>2908</v>
      </c>
      <c r="C486" s="2">
        <v>41363</v>
      </c>
      <c r="D486" s="1">
        <v>0</v>
      </c>
      <c r="E486" s="1">
        <v>35098</v>
      </c>
      <c r="F486" s="1" t="s">
        <v>475</v>
      </c>
      <c r="G486" s="1" t="s">
        <v>476</v>
      </c>
      <c r="H486" s="1" t="s">
        <v>724</v>
      </c>
      <c r="I486" s="1" t="s">
        <v>1777</v>
      </c>
    </row>
    <row r="487" spans="1:9">
      <c r="A487" s="1" t="s">
        <v>2015</v>
      </c>
      <c r="B487" s="1" t="s">
        <v>2909</v>
      </c>
      <c r="C487" s="2">
        <v>41358</v>
      </c>
      <c r="D487" s="1">
        <v>0</v>
      </c>
      <c r="E487" s="1">
        <v>58</v>
      </c>
      <c r="F487" s="1" t="s">
        <v>477</v>
      </c>
      <c r="G487" s="1" t="s">
        <v>478</v>
      </c>
      <c r="H487" s="1" t="s">
        <v>743</v>
      </c>
      <c r="I487" s="1" t="s">
        <v>1777</v>
      </c>
    </row>
    <row r="488" spans="1:9">
      <c r="A488" s="1" t="s">
        <v>2015</v>
      </c>
      <c r="B488" s="1" t="s">
        <v>2910</v>
      </c>
      <c r="C488" s="2">
        <v>41358</v>
      </c>
      <c r="D488" s="1">
        <v>0</v>
      </c>
      <c r="E488" s="1">
        <v>50</v>
      </c>
      <c r="F488" s="1" t="s">
        <v>477</v>
      </c>
      <c r="G488" s="1" t="s">
        <v>478</v>
      </c>
      <c r="H488" s="1" t="s">
        <v>743</v>
      </c>
      <c r="I488" s="1" t="s">
        <v>1777</v>
      </c>
    </row>
    <row r="489" spans="1:9">
      <c r="A489" s="1" t="s">
        <v>2015</v>
      </c>
      <c r="B489" s="1" t="s">
        <v>2911</v>
      </c>
      <c r="C489" s="2">
        <v>41361</v>
      </c>
      <c r="D489" s="1">
        <v>0</v>
      </c>
      <c r="E489" s="1">
        <v>34</v>
      </c>
      <c r="F489" s="1" t="s">
        <v>477</v>
      </c>
      <c r="G489" s="1" t="s">
        <v>478</v>
      </c>
      <c r="H489" s="1" t="s">
        <v>743</v>
      </c>
      <c r="I489" s="1" t="s">
        <v>1777</v>
      </c>
    </row>
    <row r="490" spans="1:9">
      <c r="A490" s="1" t="s">
        <v>2015</v>
      </c>
      <c r="B490" s="1" t="s">
        <v>2912</v>
      </c>
      <c r="C490" s="2">
        <v>41361</v>
      </c>
      <c r="D490" s="1">
        <v>0</v>
      </c>
      <c r="E490" s="1">
        <v>38</v>
      </c>
      <c r="F490" s="1" t="s">
        <v>477</v>
      </c>
      <c r="G490" s="1" t="s">
        <v>478</v>
      </c>
      <c r="H490" s="1" t="s">
        <v>743</v>
      </c>
      <c r="I490" s="1" t="s">
        <v>1777</v>
      </c>
    </row>
    <row r="491" spans="1:9">
      <c r="A491" s="1" t="s">
        <v>2015</v>
      </c>
      <c r="B491" s="1" t="s">
        <v>2913</v>
      </c>
      <c r="C491" s="2">
        <v>41361</v>
      </c>
      <c r="D491" s="1">
        <v>0</v>
      </c>
      <c r="E491" s="1">
        <v>86</v>
      </c>
      <c r="F491" s="1" t="s">
        <v>477</v>
      </c>
      <c r="G491" s="1" t="s">
        <v>478</v>
      </c>
      <c r="H491" s="1" t="s">
        <v>743</v>
      </c>
      <c r="I491" s="1" t="s">
        <v>1777</v>
      </c>
    </row>
    <row r="492" spans="1:9">
      <c r="A492" s="1" t="s">
        <v>2015</v>
      </c>
      <c r="B492" s="1" t="s">
        <v>2914</v>
      </c>
      <c r="C492" s="2">
        <v>41361</v>
      </c>
      <c r="D492" s="1">
        <v>0</v>
      </c>
      <c r="E492" s="1">
        <v>40</v>
      </c>
      <c r="F492" s="1" t="s">
        <v>477</v>
      </c>
      <c r="G492" s="1" t="s">
        <v>478</v>
      </c>
      <c r="H492" s="1" t="s">
        <v>743</v>
      </c>
      <c r="I492" s="1" t="s">
        <v>1777</v>
      </c>
    </row>
    <row r="493" spans="1:9">
      <c r="A493" s="1" t="s">
        <v>2015</v>
      </c>
      <c r="B493" s="1" t="s">
        <v>2915</v>
      </c>
      <c r="C493" s="2">
        <v>41361</v>
      </c>
      <c r="D493" s="1">
        <v>0</v>
      </c>
      <c r="E493" s="1">
        <v>1250</v>
      </c>
      <c r="F493" s="1" t="s">
        <v>477</v>
      </c>
      <c r="G493" s="1" t="s">
        <v>478</v>
      </c>
      <c r="H493" s="1" t="s">
        <v>743</v>
      </c>
      <c r="I493" s="1" t="s">
        <v>1777</v>
      </c>
    </row>
    <row r="494" spans="1:9">
      <c r="A494" s="1" t="s">
        <v>2015</v>
      </c>
      <c r="B494" s="1" t="s">
        <v>2916</v>
      </c>
      <c r="C494" s="2">
        <v>41361</v>
      </c>
      <c r="D494" s="1">
        <v>0</v>
      </c>
      <c r="E494" s="1">
        <v>18</v>
      </c>
      <c r="F494" s="1" t="s">
        <v>477</v>
      </c>
      <c r="G494" s="1" t="s">
        <v>478</v>
      </c>
      <c r="H494" s="1" t="s">
        <v>743</v>
      </c>
      <c r="I494" s="1" t="s">
        <v>1777</v>
      </c>
    </row>
    <row r="495" spans="1:9">
      <c r="A495" s="1" t="s">
        <v>2015</v>
      </c>
      <c r="B495" s="1" t="s">
        <v>2917</v>
      </c>
      <c r="C495" s="2">
        <v>41361</v>
      </c>
      <c r="D495" s="1">
        <v>0</v>
      </c>
      <c r="E495" s="1">
        <v>94</v>
      </c>
      <c r="F495" s="1" t="s">
        <v>477</v>
      </c>
      <c r="G495" s="1" t="s">
        <v>478</v>
      </c>
      <c r="H495" s="1" t="s">
        <v>743</v>
      </c>
      <c r="I495" s="1" t="s">
        <v>1777</v>
      </c>
    </row>
    <row r="496" spans="1:9">
      <c r="A496" s="1" t="s">
        <v>2015</v>
      </c>
      <c r="B496" s="1" t="s">
        <v>2918</v>
      </c>
      <c r="C496" s="2">
        <v>41361</v>
      </c>
      <c r="D496" s="1">
        <v>0</v>
      </c>
      <c r="E496" s="1">
        <v>726</v>
      </c>
      <c r="F496" s="1" t="s">
        <v>477</v>
      </c>
      <c r="G496" s="1" t="s">
        <v>478</v>
      </c>
      <c r="H496" s="1" t="s">
        <v>743</v>
      </c>
      <c r="I496" s="1" t="s">
        <v>1777</v>
      </c>
    </row>
    <row r="497" spans="1:9">
      <c r="A497" s="1" t="s">
        <v>2015</v>
      </c>
      <c r="B497" s="1" t="s">
        <v>2919</v>
      </c>
      <c r="C497" s="2">
        <v>41361</v>
      </c>
      <c r="D497" s="1">
        <v>0</v>
      </c>
      <c r="E497" s="1">
        <v>454</v>
      </c>
      <c r="F497" s="1" t="s">
        <v>477</v>
      </c>
      <c r="G497" s="1" t="s">
        <v>478</v>
      </c>
      <c r="H497" s="1" t="s">
        <v>743</v>
      </c>
      <c r="I497" s="1" t="s">
        <v>1777</v>
      </c>
    </row>
    <row r="498" spans="1:9">
      <c r="A498" s="1" t="s">
        <v>2015</v>
      </c>
      <c r="B498" s="1" t="s">
        <v>2920</v>
      </c>
      <c r="C498" s="2">
        <v>41363</v>
      </c>
      <c r="D498" s="1">
        <v>0</v>
      </c>
      <c r="E498" s="1">
        <v>37700</v>
      </c>
      <c r="F498" s="1" t="s">
        <v>477</v>
      </c>
      <c r="G498" s="1" t="s">
        <v>478</v>
      </c>
      <c r="H498" s="1" t="s">
        <v>743</v>
      </c>
      <c r="I498" s="1" t="s">
        <v>1777</v>
      </c>
    </row>
    <row r="499" spans="1:9">
      <c r="A499" s="1" t="s">
        <v>2015</v>
      </c>
      <c r="B499" s="1" t="s">
        <v>2921</v>
      </c>
      <c r="C499" s="2">
        <v>41334</v>
      </c>
      <c r="D499" s="1">
        <v>0</v>
      </c>
      <c r="E499" s="1">
        <v>5860</v>
      </c>
      <c r="F499" s="1" t="s">
        <v>479</v>
      </c>
      <c r="G499" s="1" t="s">
        <v>480</v>
      </c>
      <c r="H499" s="1" t="s">
        <v>721</v>
      </c>
      <c r="I499" s="1" t="s">
        <v>1777</v>
      </c>
    </row>
    <row r="500" spans="1:9">
      <c r="A500" s="1" t="s">
        <v>2015</v>
      </c>
      <c r="B500" s="1" t="s">
        <v>2922</v>
      </c>
      <c r="C500" s="2">
        <v>41363</v>
      </c>
      <c r="D500" s="1">
        <v>0</v>
      </c>
      <c r="E500" s="1">
        <v>38612</v>
      </c>
      <c r="F500" s="1" t="s">
        <v>479</v>
      </c>
      <c r="G500" s="1" t="s">
        <v>480</v>
      </c>
      <c r="H500" s="1" t="s">
        <v>721</v>
      </c>
      <c r="I500" s="1" t="s">
        <v>1777</v>
      </c>
    </row>
    <row r="501" spans="1:9">
      <c r="A501" s="1" t="s">
        <v>2015</v>
      </c>
      <c r="B501" s="1" t="s">
        <v>2923</v>
      </c>
      <c r="C501" s="2">
        <v>41351</v>
      </c>
      <c r="D501" s="1">
        <v>0</v>
      </c>
      <c r="E501" s="1">
        <v>200000</v>
      </c>
      <c r="F501" s="1" t="s">
        <v>485</v>
      </c>
      <c r="G501" s="1" t="s">
        <v>486</v>
      </c>
      <c r="H501" s="1" t="s">
        <v>732</v>
      </c>
      <c r="I501" s="1" t="s">
        <v>1777</v>
      </c>
    </row>
    <row r="502" spans="1:9">
      <c r="A502" s="1" t="s">
        <v>2015</v>
      </c>
      <c r="B502" s="1" t="s">
        <v>2924</v>
      </c>
      <c r="C502" s="2">
        <v>41353</v>
      </c>
      <c r="D502" s="1">
        <v>0</v>
      </c>
      <c r="E502" s="1">
        <v>100240</v>
      </c>
      <c r="F502" s="1" t="s">
        <v>485</v>
      </c>
      <c r="G502" s="1" t="s">
        <v>486</v>
      </c>
      <c r="H502" s="1" t="s">
        <v>732</v>
      </c>
      <c r="I502" s="1" t="s">
        <v>1777</v>
      </c>
    </row>
    <row r="503" spans="1:9">
      <c r="A503" s="1" t="s">
        <v>2015</v>
      </c>
      <c r="B503" s="1" t="s">
        <v>2925</v>
      </c>
      <c r="C503" s="2">
        <v>41353</v>
      </c>
      <c r="D503" s="1">
        <v>0</v>
      </c>
      <c r="E503" s="1">
        <v>20000</v>
      </c>
      <c r="F503" s="1" t="s">
        <v>485</v>
      </c>
      <c r="G503" s="1" t="s">
        <v>486</v>
      </c>
      <c r="H503" s="1" t="s">
        <v>732</v>
      </c>
      <c r="I503" s="1" t="s">
        <v>1777</v>
      </c>
    </row>
    <row r="504" spans="1:9">
      <c r="A504" s="1" t="s">
        <v>2015</v>
      </c>
      <c r="B504" s="1" t="s">
        <v>2926</v>
      </c>
      <c r="C504" s="2">
        <v>41360</v>
      </c>
      <c r="D504" s="1">
        <v>0</v>
      </c>
      <c r="E504" s="1">
        <v>70000</v>
      </c>
      <c r="F504" s="1" t="s">
        <v>485</v>
      </c>
      <c r="G504" s="1" t="s">
        <v>486</v>
      </c>
      <c r="H504" s="1" t="s">
        <v>732</v>
      </c>
      <c r="I504" s="1" t="s">
        <v>1777</v>
      </c>
    </row>
    <row r="505" spans="1:9">
      <c r="A505" s="1" t="s">
        <v>2018</v>
      </c>
      <c r="B505" s="1" t="s">
        <v>2927</v>
      </c>
      <c r="C505" s="2">
        <v>41360</v>
      </c>
      <c r="D505" s="1">
        <v>70000</v>
      </c>
      <c r="E505" s="1">
        <v>0</v>
      </c>
      <c r="F505" s="1" t="s">
        <v>485</v>
      </c>
      <c r="G505" s="1" t="s">
        <v>486</v>
      </c>
      <c r="H505" s="1" t="s">
        <v>732</v>
      </c>
      <c r="I505" s="1" t="s">
        <v>1777</v>
      </c>
    </row>
    <row r="506" spans="1:9">
      <c r="A506" s="1" t="s">
        <v>2015</v>
      </c>
      <c r="B506" s="1" t="s">
        <v>2928</v>
      </c>
      <c r="C506" s="2">
        <v>41360</v>
      </c>
      <c r="D506" s="1">
        <v>0</v>
      </c>
      <c r="E506" s="1">
        <v>75000</v>
      </c>
      <c r="F506" s="1" t="s">
        <v>485</v>
      </c>
      <c r="G506" s="1" t="s">
        <v>486</v>
      </c>
      <c r="H506" s="1" t="s">
        <v>732</v>
      </c>
      <c r="I506" s="1" t="s">
        <v>1777</v>
      </c>
    </row>
    <row r="507" spans="1:9">
      <c r="A507" s="1" t="s">
        <v>2015</v>
      </c>
      <c r="B507" s="1" t="s">
        <v>2929</v>
      </c>
      <c r="C507" s="2">
        <v>41363</v>
      </c>
      <c r="D507" s="1">
        <v>0</v>
      </c>
      <c r="E507" s="1">
        <v>60000</v>
      </c>
      <c r="F507" s="1" t="s">
        <v>485</v>
      </c>
      <c r="G507" s="1" t="s">
        <v>486</v>
      </c>
      <c r="H507" s="1" t="s">
        <v>732</v>
      </c>
      <c r="I507" s="1" t="s">
        <v>1777</v>
      </c>
    </row>
    <row r="508" spans="1:9">
      <c r="A508" s="1" t="s">
        <v>2015</v>
      </c>
      <c r="B508" s="1" t="s">
        <v>2930</v>
      </c>
      <c r="C508" s="2">
        <v>41363</v>
      </c>
      <c r="D508" s="1">
        <v>0</v>
      </c>
      <c r="E508" s="1">
        <v>70000</v>
      </c>
      <c r="F508" s="1" t="s">
        <v>485</v>
      </c>
      <c r="G508" s="1" t="s">
        <v>486</v>
      </c>
      <c r="H508" s="1" t="s">
        <v>732</v>
      </c>
      <c r="I508" s="1" t="s">
        <v>1777</v>
      </c>
    </row>
    <row r="509" spans="1:9">
      <c r="A509" s="1" t="s">
        <v>2015</v>
      </c>
      <c r="B509" s="1" t="s">
        <v>2931</v>
      </c>
      <c r="C509" s="2">
        <v>41362</v>
      </c>
      <c r="D509" s="1">
        <v>0</v>
      </c>
      <c r="E509" s="1">
        <v>150000</v>
      </c>
      <c r="F509" s="1" t="s">
        <v>502</v>
      </c>
      <c r="G509" s="1" t="s">
        <v>503</v>
      </c>
      <c r="H509" s="1" t="s">
        <v>743</v>
      </c>
      <c r="I509" s="1" t="s">
        <v>650</v>
      </c>
    </row>
    <row r="510" spans="1:9">
      <c r="A510" s="1" t="s">
        <v>2015</v>
      </c>
      <c r="B510" s="1" t="s">
        <v>2932</v>
      </c>
      <c r="C510" s="2">
        <v>41363</v>
      </c>
      <c r="D510" s="1">
        <v>0</v>
      </c>
      <c r="E510" s="1">
        <v>150000</v>
      </c>
      <c r="F510" s="1" t="s">
        <v>502</v>
      </c>
      <c r="G510" s="1" t="s">
        <v>503</v>
      </c>
      <c r="H510" s="1" t="s">
        <v>743</v>
      </c>
      <c r="I510" s="1" t="s">
        <v>650</v>
      </c>
    </row>
    <row r="511" spans="1:9">
      <c r="A511" s="1" t="s">
        <v>2015</v>
      </c>
      <c r="B511" s="1" t="s">
        <v>2933</v>
      </c>
      <c r="C511" s="2">
        <v>41347</v>
      </c>
      <c r="D511" s="1">
        <v>0</v>
      </c>
      <c r="E511" s="1">
        <v>2000000</v>
      </c>
      <c r="F511" s="1" t="s">
        <v>504</v>
      </c>
      <c r="G511" s="1" t="s">
        <v>505</v>
      </c>
      <c r="H511" s="1" t="s">
        <v>721</v>
      </c>
      <c r="I511" s="1" t="s">
        <v>703</v>
      </c>
    </row>
    <row r="512" spans="1:9">
      <c r="A512" s="1" t="s">
        <v>2015</v>
      </c>
      <c r="B512" s="1" t="s">
        <v>2934</v>
      </c>
      <c r="C512" s="2">
        <v>41355</v>
      </c>
      <c r="D512" s="1">
        <v>0</v>
      </c>
      <c r="E512" s="1">
        <v>2000000</v>
      </c>
      <c r="F512" s="1" t="s">
        <v>504</v>
      </c>
      <c r="G512" s="1" t="s">
        <v>505</v>
      </c>
      <c r="H512" s="1" t="s">
        <v>721</v>
      </c>
      <c r="I512" s="1" t="s">
        <v>703</v>
      </c>
    </row>
    <row r="513" spans="1:9">
      <c r="A513" s="1" t="s">
        <v>2015</v>
      </c>
      <c r="B513" s="1" t="s">
        <v>2935</v>
      </c>
      <c r="C513" s="2">
        <v>41363</v>
      </c>
      <c r="D513" s="1">
        <v>0</v>
      </c>
      <c r="E513" s="1">
        <v>1000000</v>
      </c>
      <c r="F513" s="1" t="s">
        <v>504</v>
      </c>
      <c r="G513" s="1" t="s">
        <v>505</v>
      </c>
      <c r="H513" s="1" t="s">
        <v>721</v>
      </c>
      <c r="I513" s="1" t="s">
        <v>703</v>
      </c>
    </row>
    <row r="514" spans="1:9">
      <c r="A514" s="1" t="s">
        <v>2015</v>
      </c>
      <c r="B514" s="1" t="s">
        <v>2936</v>
      </c>
      <c r="C514" s="2">
        <v>41353</v>
      </c>
      <c r="D514" s="1">
        <v>0</v>
      </c>
      <c r="E514" s="1">
        <v>100000</v>
      </c>
      <c r="F514" s="1" t="s">
        <v>2937</v>
      </c>
      <c r="G514" s="1" t="s">
        <v>2938</v>
      </c>
      <c r="H514" s="1" t="s">
        <v>721</v>
      </c>
      <c r="I514" s="1" t="s">
        <v>1777</v>
      </c>
    </row>
    <row r="515" spans="1:9">
      <c r="A515" s="1" t="s">
        <v>2015</v>
      </c>
      <c r="B515" s="1" t="s">
        <v>2939</v>
      </c>
      <c r="C515" s="2">
        <v>41348</v>
      </c>
      <c r="D515" s="1">
        <v>0</v>
      </c>
      <c r="E515" s="1">
        <v>25580</v>
      </c>
      <c r="F515" s="1" t="s">
        <v>2940</v>
      </c>
      <c r="G515" s="1" t="s">
        <v>2941</v>
      </c>
      <c r="H515" s="1" t="s">
        <v>721</v>
      </c>
      <c r="I515" s="1" t="s">
        <v>1777</v>
      </c>
    </row>
    <row r="516" spans="1:9">
      <c r="A516" s="1" t="s">
        <v>2015</v>
      </c>
      <c r="B516" s="1" t="s">
        <v>2942</v>
      </c>
      <c r="C516" s="2">
        <v>41341</v>
      </c>
      <c r="D516" s="1">
        <v>0</v>
      </c>
      <c r="E516" s="1">
        <v>47100</v>
      </c>
      <c r="F516" s="1" t="s">
        <v>527</v>
      </c>
      <c r="G516" s="1" t="s">
        <v>528</v>
      </c>
      <c r="H516" s="1" t="s">
        <v>721</v>
      </c>
      <c r="I516" s="1" t="s">
        <v>1777</v>
      </c>
    </row>
    <row r="517" spans="1:9">
      <c r="A517" s="1" t="s">
        <v>2015</v>
      </c>
      <c r="B517" s="1" t="s">
        <v>2943</v>
      </c>
      <c r="C517" s="2">
        <v>41346</v>
      </c>
      <c r="D517" s="1">
        <v>0</v>
      </c>
      <c r="E517" s="1">
        <v>4938.28</v>
      </c>
      <c r="F517" s="1" t="s">
        <v>2087</v>
      </c>
      <c r="G517" s="1" t="s">
        <v>2088</v>
      </c>
      <c r="H517" s="1" t="s">
        <v>724</v>
      </c>
      <c r="I517" s="1" t="s">
        <v>1777</v>
      </c>
    </row>
    <row r="518" spans="1:9">
      <c r="A518" s="1" t="s">
        <v>2015</v>
      </c>
      <c r="B518" s="1" t="s">
        <v>2944</v>
      </c>
      <c r="C518" s="2">
        <v>41360</v>
      </c>
      <c r="D518" s="1">
        <v>0</v>
      </c>
      <c r="E518" s="1">
        <v>35000</v>
      </c>
      <c r="F518" s="1" t="s">
        <v>2087</v>
      </c>
      <c r="G518" s="1" t="s">
        <v>2088</v>
      </c>
      <c r="H518" s="1" t="s">
        <v>724</v>
      </c>
      <c r="I518" s="1" t="s">
        <v>1777</v>
      </c>
    </row>
    <row r="519" spans="1:9">
      <c r="A519" s="1" t="s">
        <v>2015</v>
      </c>
      <c r="B519" s="1" t="s">
        <v>2945</v>
      </c>
      <c r="C519" s="2">
        <v>41355</v>
      </c>
      <c r="D519" s="1">
        <v>0</v>
      </c>
      <c r="E519" s="1">
        <v>113300</v>
      </c>
      <c r="F519" s="1" t="s">
        <v>2946</v>
      </c>
      <c r="G519" s="1" t="s">
        <v>2947</v>
      </c>
      <c r="H519" s="1" t="s">
        <v>743</v>
      </c>
      <c r="I519" s="1" t="s">
        <v>1777</v>
      </c>
    </row>
    <row r="520" spans="1:9">
      <c r="A520" s="1" t="s">
        <v>2015</v>
      </c>
      <c r="B520" s="1" t="s">
        <v>2948</v>
      </c>
      <c r="C520" s="2">
        <v>41351</v>
      </c>
      <c r="D520" s="1">
        <v>0</v>
      </c>
      <c r="E520" s="1">
        <v>500000</v>
      </c>
      <c r="F520" s="1" t="s">
        <v>548</v>
      </c>
      <c r="G520" s="1" t="s">
        <v>549</v>
      </c>
      <c r="H520" s="1" t="s">
        <v>724</v>
      </c>
      <c r="I520" s="1" t="s">
        <v>725</v>
      </c>
    </row>
    <row r="521" spans="1:9">
      <c r="A521" s="1" t="s">
        <v>2015</v>
      </c>
      <c r="B521" s="1" t="s">
        <v>2949</v>
      </c>
      <c r="C521" s="2">
        <v>41363</v>
      </c>
      <c r="D521" s="1">
        <v>0</v>
      </c>
      <c r="E521" s="1">
        <v>53028</v>
      </c>
      <c r="F521" s="1" t="s">
        <v>2950</v>
      </c>
      <c r="G521" s="1" t="s">
        <v>2951</v>
      </c>
      <c r="H521" s="1" t="s">
        <v>743</v>
      </c>
      <c r="I521" s="1" t="s">
        <v>650</v>
      </c>
    </row>
    <row r="522" spans="1:9">
      <c r="A522" s="1" t="s">
        <v>2015</v>
      </c>
      <c r="B522" s="1" t="s">
        <v>2952</v>
      </c>
      <c r="C522" s="2">
        <v>41359</v>
      </c>
      <c r="D522" s="1">
        <v>0</v>
      </c>
      <c r="E522" s="1">
        <v>12000</v>
      </c>
      <c r="F522" s="1" t="s">
        <v>554</v>
      </c>
      <c r="G522" s="1" t="s">
        <v>555</v>
      </c>
      <c r="H522" s="1" t="s">
        <v>743</v>
      </c>
      <c r="I522" s="1" t="s">
        <v>1777</v>
      </c>
    </row>
    <row r="523" spans="1:9">
      <c r="A523" s="1" t="s">
        <v>2015</v>
      </c>
      <c r="B523" s="1" t="s">
        <v>2953</v>
      </c>
      <c r="C523" s="2">
        <v>41342</v>
      </c>
      <c r="D523" s="1">
        <v>0</v>
      </c>
      <c r="E523" s="1">
        <v>100000</v>
      </c>
      <c r="F523" s="1" t="s">
        <v>557</v>
      </c>
      <c r="G523" s="1" t="s">
        <v>558</v>
      </c>
      <c r="H523" s="1" t="s">
        <v>743</v>
      </c>
      <c r="I523" s="1" t="s">
        <v>703</v>
      </c>
    </row>
    <row r="524" spans="1:9">
      <c r="A524" s="1" t="s">
        <v>2015</v>
      </c>
      <c r="B524" s="1" t="s">
        <v>2954</v>
      </c>
      <c r="C524" s="2">
        <v>41354</v>
      </c>
      <c r="D524" s="1">
        <v>0</v>
      </c>
      <c r="E524" s="1">
        <v>100000</v>
      </c>
      <c r="F524" s="1" t="s">
        <v>557</v>
      </c>
      <c r="G524" s="1" t="s">
        <v>558</v>
      </c>
      <c r="H524" s="1" t="s">
        <v>743</v>
      </c>
      <c r="I524" s="1" t="s">
        <v>703</v>
      </c>
    </row>
    <row r="525" spans="1:9">
      <c r="A525" s="1" t="s">
        <v>2018</v>
      </c>
      <c r="B525" s="1" t="s">
        <v>2955</v>
      </c>
      <c r="C525" s="2">
        <v>41334</v>
      </c>
      <c r="D525" s="1">
        <v>1262</v>
      </c>
      <c r="E525" s="1">
        <v>0</v>
      </c>
      <c r="F525" s="1" t="s">
        <v>2956</v>
      </c>
      <c r="G525" s="1" t="s">
        <v>2957</v>
      </c>
      <c r="H525" s="1" t="s">
        <v>646</v>
      </c>
      <c r="I525" s="1" t="s">
        <v>650</v>
      </c>
    </row>
    <row r="526" spans="1:9">
      <c r="A526" s="1" t="s">
        <v>2018</v>
      </c>
      <c r="B526" s="1" t="s">
        <v>2958</v>
      </c>
      <c r="C526" s="2">
        <v>41334</v>
      </c>
      <c r="D526" s="1">
        <v>91032</v>
      </c>
      <c r="E526" s="1">
        <v>0</v>
      </c>
      <c r="F526" s="1" t="s">
        <v>2956</v>
      </c>
      <c r="G526" s="1" t="s">
        <v>2957</v>
      </c>
      <c r="H526" s="1" t="s">
        <v>646</v>
      </c>
      <c r="I526" s="1" t="s">
        <v>650</v>
      </c>
    </row>
    <row r="527" spans="1:9">
      <c r="A527" s="1" t="s">
        <v>2018</v>
      </c>
      <c r="B527" s="1" t="s">
        <v>2959</v>
      </c>
      <c r="C527" s="2">
        <v>41364</v>
      </c>
      <c r="D527" s="1">
        <v>15643</v>
      </c>
      <c r="E527" s="1">
        <v>0</v>
      </c>
      <c r="F527" s="1" t="s">
        <v>2960</v>
      </c>
      <c r="G527" s="1" t="s">
        <v>2961</v>
      </c>
      <c r="H527" s="1" t="s">
        <v>646</v>
      </c>
      <c r="I527" s="1" t="s">
        <v>669</v>
      </c>
    </row>
    <row r="528" spans="1:9">
      <c r="A528" s="1" t="s">
        <v>2018</v>
      </c>
      <c r="B528" s="1" t="s">
        <v>2962</v>
      </c>
      <c r="C528" s="2">
        <v>41338</v>
      </c>
      <c r="D528" s="1">
        <v>1568</v>
      </c>
      <c r="E528" s="1">
        <v>0</v>
      </c>
      <c r="F528" s="1" t="s">
        <v>2963</v>
      </c>
      <c r="G528" s="1" t="s">
        <v>2964</v>
      </c>
      <c r="H528" s="1" t="s">
        <v>646</v>
      </c>
      <c r="I528" s="1" t="s">
        <v>691</v>
      </c>
    </row>
    <row r="529" spans="1:9">
      <c r="A529" s="1" t="s">
        <v>2018</v>
      </c>
      <c r="B529" s="1" t="s">
        <v>2962</v>
      </c>
      <c r="C529" s="2">
        <v>41338</v>
      </c>
      <c r="D529" s="1">
        <v>1316</v>
      </c>
      <c r="E529" s="1">
        <v>0</v>
      </c>
      <c r="F529" s="1" t="s">
        <v>2965</v>
      </c>
      <c r="G529" s="1" t="s">
        <v>2966</v>
      </c>
    </row>
    <row r="530" spans="1:9">
      <c r="A530" s="1" t="s">
        <v>2018</v>
      </c>
      <c r="B530" s="1" t="s">
        <v>2967</v>
      </c>
      <c r="C530" s="2">
        <v>41334</v>
      </c>
      <c r="D530" s="1">
        <v>31940</v>
      </c>
      <c r="E530" s="1">
        <v>0</v>
      </c>
      <c r="F530" s="1" t="s">
        <v>2089</v>
      </c>
      <c r="G530" s="1" t="s">
        <v>2090</v>
      </c>
      <c r="H530" s="1" t="s">
        <v>646</v>
      </c>
      <c r="I530" s="1" t="s">
        <v>669</v>
      </c>
    </row>
    <row r="531" spans="1:9">
      <c r="A531" s="1" t="s">
        <v>2018</v>
      </c>
      <c r="B531" s="1" t="s">
        <v>2968</v>
      </c>
      <c r="C531" s="2">
        <v>41359</v>
      </c>
      <c r="D531" s="1">
        <v>90973</v>
      </c>
      <c r="E531" s="1">
        <v>0</v>
      </c>
      <c r="F531" s="1" t="s">
        <v>2969</v>
      </c>
      <c r="G531" s="1" t="s">
        <v>2970</v>
      </c>
      <c r="H531" s="1" t="s">
        <v>646</v>
      </c>
      <c r="I531" s="1" t="s">
        <v>650</v>
      </c>
    </row>
    <row r="532" spans="1:9">
      <c r="A532" s="1" t="s">
        <v>2018</v>
      </c>
      <c r="B532" s="1" t="s">
        <v>2971</v>
      </c>
      <c r="C532" s="2">
        <v>41359</v>
      </c>
      <c r="D532" s="1">
        <v>121524</v>
      </c>
      <c r="E532" s="1">
        <v>0</v>
      </c>
      <c r="F532" s="1" t="s">
        <v>2972</v>
      </c>
      <c r="G532" s="1" t="s">
        <v>2973</v>
      </c>
      <c r="H532" s="1" t="s">
        <v>645</v>
      </c>
      <c r="I532" s="1" t="s">
        <v>1777</v>
      </c>
    </row>
    <row r="533" spans="1:9">
      <c r="A533" s="1" t="s">
        <v>2018</v>
      </c>
      <c r="B533" s="1" t="s">
        <v>2974</v>
      </c>
      <c r="C533" s="2">
        <v>41334</v>
      </c>
      <c r="D533" s="1">
        <v>103488</v>
      </c>
      <c r="E533" s="1">
        <v>0</v>
      </c>
      <c r="F533" s="1" t="s">
        <v>2975</v>
      </c>
      <c r="G533" s="1" t="s">
        <v>2976</v>
      </c>
      <c r="H533" s="1" t="s">
        <v>1777</v>
      </c>
      <c r="I533" s="1" t="s">
        <v>703</v>
      </c>
    </row>
    <row r="534" spans="1:9">
      <c r="A534" s="1" t="s">
        <v>2018</v>
      </c>
      <c r="B534" s="1" t="s">
        <v>2977</v>
      </c>
      <c r="C534" s="2">
        <v>41349</v>
      </c>
      <c r="D534" s="1">
        <v>131823</v>
      </c>
      <c r="E534" s="1">
        <v>0</v>
      </c>
      <c r="F534" s="1" t="s">
        <v>2978</v>
      </c>
      <c r="G534" s="1" t="s">
        <v>2979</v>
      </c>
      <c r="H534" s="1" t="s">
        <v>646</v>
      </c>
      <c r="I534" s="1" t="s">
        <v>703</v>
      </c>
    </row>
    <row r="535" spans="1:9">
      <c r="A535" s="1" t="s">
        <v>2018</v>
      </c>
      <c r="B535" s="1" t="s">
        <v>2980</v>
      </c>
      <c r="C535" s="2">
        <v>41354</v>
      </c>
      <c r="D535" s="1">
        <v>65459</v>
      </c>
      <c r="E535" s="1">
        <v>0</v>
      </c>
      <c r="F535" s="1" t="s">
        <v>2981</v>
      </c>
      <c r="G535" s="1" t="s">
        <v>2982</v>
      </c>
      <c r="H535" s="1" t="s">
        <v>645</v>
      </c>
      <c r="I535" s="1" t="s">
        <v>1777</v>
      </c>
    </row>
    <row r="536" spans="1:9">
      <c r="A536" s="1" t="s">
        <v>2018</v>
      </c>
      <c r="B536" s="1" t="s">
        <v>2983</v>
      </c>
      <c r="C536" s="2">
        <v>41363</v>
      </c>
      <c r="D536" s="1">
        <v>30307</v>
      </c>
      <c r="E536" s="1">
        <v>0</v>
      </c>
      <c r="F536" s="1" t="s">
        <v>2984</v>
      </c>
      <c r="G536" s="1" t="s">
        <v>2985</v>
      </c>
      <c r="H536" s="1" t="s">
        <v>646</v>
      </c>
      <c r="I536" s="1" t="s">
        <v>691</v>
      </c>
    </row>
    <row r="537" spans="1:9">
      <c r="A537" s="1" t="s">
        <v>2018</v>
      </c>
      <c r="B537" s="1" t="s">
        <v>2986</v>
      </c>
      <c r="C537" s="2">
        <v>41352</v>
      </c>
      <c r="D537" s="1">
        <v>97133</v>
      </c>
      <c r="E537" s="1">
        <v>0</v>
      </c>
      <c r="F537" s="1" t="s">
        <v>2091</v>
      </c>
      <c r="G537" s="1" t="s">
        <v>2092</v>
      </c>
      <c r="H537" s="1" t="s">
        <v>1777</v>
      </c>
      <c r="I537" s="1" t="s">
        <v>703</v>
      </c>
    </row>
    <row r="538" spans="1:9">
      <c r="A538" s="1" t="s">
        <v>2018</v>
      </c>
      <c r="B538" s="1" t="s">
        <v>2987</v>
      </c>
      <c r="C538" s="2">
        <v>41334</v>
      </c>
      <c r="D538" s="1">
        <v>50979</v>
      </c>
      <c r="E538" s="1">
        <v>0</v>
      </c>
      <c r="F538" s="1" t="s">
        <v>2093</v>
      </c>
      <c r="G538" s="1" t="s">
        <v>2094</v>
      </c>
      <c r="H538" s="1" t="s">
        <v>646</v>
      </c>
      <c r="I538" s="1" t="s">
        <v>703</v>
      </c>
    </row>
    <row r="539" spans="1:9">
      <c r="A539" s="1" t="s">
        <v>2015</v>
      </c>
      <c r="B539" s="1" t="s">
        <v>2988</v>
      </c>
      <c r="C539" s="2">
        <v>41341</v>
      </c>
      <c r="D539" s="1">
        <v>0</v>
      </c>
      <c r="E539" s="1">
        <v>500000</v>
      </c>
      <c r="F539" s="1" t="s">
        <v>563</v>
      </c>
      <c r="G539" s="1" t="s">
        <v>564</v>
      </c>
      <c r="H539" s="1" t="s">
        <v>724</v>
      </c>
      <c r="I539" s="1" t="s">
        <v>669</v>
      </c>
    </row>
    <row r="540" spans="1:9">
      <c r="A540" s="1" t="s">
        <v>2015</v>
      </c>
      <c r="B540" s="1" t="s">
        <v>2989</v>
      </c>
      <c r="C540" s="2">
        <v>41348</v>
      </c>
      <c r="D540" s="1">
        <v>0</v>
      </c>
      <c r="E540" s="1">
        <v>200000</v>
      </c>
      <c r="F540" s="1" t="s">
        <v>563</v>
      </c>
      <c r="G540" s="1" t="s">
        <v>564</v>
      </c>
      <c r="H540" s="1" t="s">
        <v>724</v>
      </c>
      <c r="I540" s="1" t="s">
        <v>669</v>
      </c>
    </row>
    <row r="541" spans="1:9">
      <c r="A541" s="1" t="s">
        <v>2015</v>
      </c>
      <c r="B541" s="1" t="s">
        <v>2990</v>
      </c>
      <c r="C541" s="2">
        <v>41348</v>
      </c>
      <c r="D541" s="1">
        <v>0</v>
      </c>
      <c r="E541" s="1">
        <v>500000</v>
      </c>
      <c r="F541" s="1" t="s">
        <v>563</v>
      </c>
      <c r="G541" s="1" t="s">
        <v>564</v>
      </c>
      <c r="H541" s="1" t="s">
        <v>724</v>
      </c>
      <c r="I541" s="1" t="s">
        <v>669</v>
      </c>
    </row>
    <row r="542" spans="1:9">
      <c r="A542" s="1" t="s">
        <v>2015</v>
      </c>
      <c r="B542" s="1" t="s">
        <v>2991</v>
      </c>
      <c r="C542" s="2">
        <v>41348</v>
      </c>
      <c r="D542" s="1">
        <v>0</v>
      </c>
      <c r="E542" s="1">
        <v>300000</v>
      </c>
      <c r="F542" s="1" t="s">
        <v>563</v>
      </c>
      <c r="G542" s="1" t="s">
        <v>564</v>
      </c>
      <c r="H542" s="1" t="s">
        <v>724</v>
      </c>
      <c r="I542" s="1" t="s">
        <v>669</v>
      </c>
    </row>
    <row r="543" spans="1:9">
      <c r="A543" s="1" t="s">
        <v>2015</v>
      </c>
      <c r="B543" s="1" t="s">
        <v>2992</v>
      </c>
      <c r="C543" s="2">
        <v>41362</v>
      </c>
      <c r="D543" s="1">
        <v>0</v>
      </c>
      <c r="E543" s="1">
        <v>300000</v>
      </c>
      <c r="F543" s="1" t="s">
        <v>563</v>
      </c>
      <c r="G543" s="1" t="s">
        <v>564</v>
      </c>
      <c r="H543" s="1" t="s">
        <v>724</v>
      </c>
      <c r="I543" s="1" t="s">
        <v>669</v>
      </c>
    </row>
    <row r="544" spans="1:9">
      <c r="A544" s="1" t="s">
        <v>2015</v>
      </c>
      <c r="B544" s="1" t="s">
        <v>2993</v>
      </c>
      <c r="C544" s="2">
        <v>41362</v>
      </c>
      <c r="D544" s="1">
        <v>0</v>
      </c>
      <c r="E544" s="1">
        <v>200000</v>
      </c>
      <c r="F544" s="1" t="s">
        <v>563</v>
      </c>
      <c r="G544" s="1" t="s">
        <v>564</v>
      </c>
      <c r="H544" s="1" t="s">
        <v>724</v>
      </c>
      <c r="I544" s="1" t="s">
        <v>669</v>
      </c>
    </row>
    <row r="545" spans="1:9">
      <c r="A545" s="1" t="s">
        <v>2015</v>
      </c>
      <c r="B545" s="1" t="s">
        <v>2994</v>
      </c>
      <c r="C545" s="2">
        <v>41362</v>
      </c>
      <c r="D545" s="1">
        <v>0</v>
      </c>
      <c r="E545" s="1">
        <v>360000</v>
      </c>
      <c r="F545" s="1" t="s">
        <v>563</v>
      </c>
      <c r="G545" s="1" t="s">
        <v>564</v>
      </c>
      <c r="H545" s="1" t="s">
        <v>724</v>
      </c>
      <c r="I545" s="1" t="s">
        <v>669</v>
      </c>
    </row>
    <row r="546" spans="1:9">
      <c r="A546" s="1" t="s">
        <v>2015</v>
      </c>
      <c r="B546" s="1" t="s">
        <v>2995</v>
      </c>
      <c r="C546" s="2">
        <v>41362.444097222222</v>
      </c>
      <c r="D546" s="1">
        <v>0</v>
      </c>
      <c r="E546" s="1">
        <v>200000</v>
      </c>
      <c r="F546" s="1" t="s">
        <v>563</v>
      </c>
      <c r="G546" s="1" t="s">
        <v>564</v>
      </c>
      <c r="H546" s="1" t="s">
        <v>724</v>
      </c>
      <c r="I546" s="1" t="s">
        <v>669</v>
      </c>
    </row>
    <row r="547" spans="1:9">
      <c r="A547" s="1" t="s">
        <v>2018</v>
      </c>
      <c r="B547" s="1" t="s">
        <v>2996</v>
      </c>
      <c r="C547" s="2">
        <v>41341</v>
      </c>
      <c r="D547" s="1">
        <v>138633</v>
      </c>
      <c r="E547" s="1">
        <v>0</v>
      </c>
      <c r="F547" s="1" t="s">
        <v>2997</v>
      </c>
      <c r="G547" s="1" t="s">
        <v>2998</v>
      </c>
      <c r="H547" s="1" t="s">
        <v>646</v>
      </c>
      <c r="I547" s="1" t="s">
        <v>729</v>
      </c>
    </row>
    <row r="548" spans="1:9">
      <c r="A548" s="1" t="s">
        <v>2015</v>
      </c>
      <c r="B548" s="1" t="s">
        <v>2999</v>
      </c>
      <c r="C548" s="2">
        <v>41348</v>
      </c>
      <c r="D548" s="1">
        <v>0</v>
      </c>
      <c r="E548" s="1">
        <v>395000</v>
      </c>
      <c r="F548" s="1" t="s">
        <v>565</v>
      </c>
      <c r="G548" s="1" t="s">
        <v>566</v>
      </c>
      <c r="H548" s="1" t="s">
        <v>721</v>
      </c>
      <c r="I548" s="1" t="s">
        <v>650</v>
      </c>
    </row>
    <row r="549" spans="1:9">
      <c r="A549" s="1" t="s">
        <v>2018</v>
      </c>
      <c r="B549" s="1" t="s">
        <v>3000</v>
      </c>
      <c r="C549" s="2">
        <v>41334</v>
      </c>
      <c r="D549" s="1">
        <v>49711</v>
      </c>
      <c r="E549" s="1">
        <v>0</v>
      </c>
      <c r="F549" s="1" t="s">
        <v>3001</v>
      </c>
      <c r="G549" s="1" t="s">
        <v>3002</v>
      </c>
      <c r="H549" s="1" t="s">
        <v>646</v>
      </c>
      <c r="I549" s="1" t="s">
        <v>669</v>
      </c>
    </row>
    <row r="550" spans="1:9">
      <c r="A550" s="1" t="s">
        <v>2015</v>
      </c>
      <c r="B550" s="1" t="s">
        <v>3003</v>
      </c>
      <c r="C550" s="2">
        <v>41359</v>
      </c>
      <c r="D550" s="1">
        <v>0</v>
      </c>
      <c r="E550" s="1">
        <v>33440</v>
      </c>
      <c r="F550" s="1" t="s">
        <v>1917</v>
      </c>
      <c r="G550" s="1" t="s">
        <v>1918</v>
      </c>
      <c r="H550" s="1" t="s">
        <v>721</v>
      </c>
      <c r="I550" s="1" t="s">
        <v>1777</v>
      </c>
    </row>
    <row r="551" spans="1:9">
      <c r="A551" s="1" t="s">
        <v>2015</v>
      </c>
      <c r="B551" s="1" t="s">
        <v>3004</v>
      </c>
      <c r="C551" s="2">
        <v>41342</v>
      </c>
      <c r="D551" s="1">
        <v>0</v>
      </c>
      <c r="E551" s="1">
        <v>73300</v>
      </c>
      <c r="F551" s="1" t="s">
        <v>2095</v>
      </c>
      <c r="G551" s="1" t="s">
        <v>1920</v>
      </c>
      <c r="H551" s="1" t="s">
        <v>743</v>
      </c>
      <c r="I551" s="1" t="s">
        <v>703</v>
      </c>
    </row>
    <row r="552" spans="1:9">
      <c r="A552" s="1" t="s">
        <v>2015</v>
      </c>
      <c r="B552" s="1" t="s">
        <v>3005</v>
      </c>
      <c r="C552" s="2">
        <v>41355</v>
      </c>
      <c r="D552" s="1">
        <v>0</v>
      </c>
      <c r="E552" s="1">
        <v>200000</v>
      </c>
      <c r="F552" s="1" t="s">
        <v>2095</v>
      </c>
      <c r="G552" s="1" t="s">
        <v>1920</v>
      </c>
      <c r="H552" s="1" t="s">
        <v>743</v>
      </c>
      <c r="I552" s="1" t="s">
        <v>703</v>
      </c>
    </row>
    <row r="553" spans="1:9">
      <c r="A553" s="1" t="s">
        <v>2018</v>
      </c>
      <c r="B553" s="1" t="s">
        <v>3006</v>
      </c>
      <c r="C553" s="2">
        <v>41354</v>
      </c>
      <c r="D553" s="1">
        <v>62277</v>
      </c>
      <c r="E553" s="1">
        <v>0</v>
      </c>
      <c r="F553" s="1" t="s">
        <v>1939</v>
      </c>
      <c r="G553" s="1" t="s">
        <v>1940</v>
      </c>
      <c r="H553" s="1" t="s">
        <v>732</v>
      </c>
      <c r="I553" s="1" t="s">
        <v>1777</v>
      </c>
    </row>
    <row r="554" spans="1:9">
      <c r="A554" s="1" t="s">
        <v>2015</v>
      </c>
      <c r="B554" s="1" t="s">
        <v>3007</v>
      </c>
      <c r="C554" s="2">
        <v>41354</v>
      </c>
      <c r="D554" s="1">
        <v>0</v>
      </c>
      <c r="E554" s="1">
        <v>10000</v>
      </c>
      <c r="F554" s="1" t="s">
        <v>1939</v>
      </c>
      <c r="G554" s="1" t="s">
        <v>1940</v>
      </c>
      <c r="H554" s="1" t="s">
        <v>732</v>
      </c>
      <c r="I554" s="1" t="s">
        <v>1777</v>
      </c>
    </row>
    <row r="555" spans="1:9">
      <c r="A555" s="1" t="s">
        <v>2015</v>
      </c>
      <c r="B555" s="1" t="s">
        <v>3008</v>
      </c>
      <c r="C555" s="2">
        <v>41354</v>
      </c>
      <c r="D555" s="1">
        <v>0</v>
      </c>
      <c r="E555" s="1">
        <v>10000</v>
      </c>
      <c r="F555" s="1" t="s">
        <v>1939</v>
      </c>
      <c r="G555" s="1" t="s">
        <v>1940</v>
      </c>
      <c r="H555" s="1" t="s">
        <v>732</v>
      </c>
      <c r="I555" s="1" t="s">
        <v>1777</v>
      </c>
    </row>
    <row r="556" spans="1:9">
      <c r="A556" s="1" t="s">
        <v>2015</v>
      </c>
      <c r="B556" s="1" t="s">
        <v>3009</v>
      </c>
      <c r="C556" s="2">
        <v>41354</v>
      </c>
      <c r="D556" s="1">
        <v>0</v>
      </c>
      <c r="E556" s="1">
        <v>10000</v>
      </c>
      <c r="F556" s="1" t="s">
        <v>1939</v>
      </c>
      <c r="G556" s="1" t="s">
        <v>1940</v>
      </c>
      <c r="H556" s="1" t="s">
        <v>732</v>
      </c>
      <c r="I556" s="1" t="s">
        <v>1777</v>
      </c>
    </row>
    <row r="557" spans="1:9">
      <c r="A557" s="1" t="s">
        <v>2015</v>
      </c>
      <c r="B557" s="1" t="s">
        <v>3010</v>
      </c>
      <c r="C557" s="2">
        <v>41354</v>
      </c>
      <c r="D557" s="1">
        <v>0</v>
      </c>
      <c r="E557" s="1">
        <v>10000</v>
      </c>
      <c r="F557" s="1" t="s">
        <v>1939</v>
      </c>
      <c r="G557" s="1" t="s">
        <v>1940</v>
      </c>
      <c r="H557" s="1" t="s">
        <v>732</v>
      </c>
      <c r="I557" s="1" t="s">
        <v>1777</v>
      </c>
    </row>
    <row r="558" spans="1:9">
      <c r="A558" s="1" t="s">
        <v>2015</v>
      </c>
      <c r="B558" s="1" t="s">
        <v>3011</v>
      </c>
      <c r="C558" s="2">
        <v>41354</v>
      </c>
      <c r="D558" s="1">
        <v>0</v>
      </c>
      <c r="E558" s="1">
        <v>10000</v>
      </c>
      <c r="F558" s="1" t="s">
        <v>1939</v>
      </c>
      <c r="G558" s="1" t="s">
        <v>1940</v>
      </c>
      <c r="H558" s="1" t="s">
        <v>732</v>
      </c>
      <c r="I558" s="1" t="s">
        <v>1777</v>
      </c>
    </row>
    <row r="559" spans="1:9">
      <c r="A559" s="1" t="s">
        <v>2015</v>
      </c>
      <c r="B559" s="1" t="s">
        <v>3012</v>
      </c>
      <c r="C559" s="2">
        <v>41354</v>
      </c>
      <c r="D559" s="1">
        <v>0</v>
      </c>
      <c r="E559" s="1">
        <v>10000</v>
      </c>
      <c r="F559" s="1" t="s">
        <v>1939</v>
      </c>
      <c r="G559" s="1" t="s">
        <v>1940</v>
      </c>
      <c r="H559" s="1" t="s">
        <v>732</v>
      </c>
      <c r="I559" s="1" t="s">
        <v>1777</v>
      </c>
    </row>
    <row r="560" spans="1:9">
      <c r="A560" s="1" t="s">
        <v>2015</v>
      </c>
      <c r="B560" s="1" t="s">
        <v>3013</v>
      </c>
      <c r="C560" s="2">
        <v>41360</v>
      </c>
      <c r="D560" s="1">
        <v>0</v>
      </c>
      <c r="E560" s="1">
        <v>10</v>
      </c>
      <c r="F560" s="1" t="s">
        <v>1939</v>
      </c>
      <c r="G560" s="1" t="s">
        <v>1940</v>
      </c>
      <c r="H560" s="1" t="s">
        <v>732</v>
      </c>
      <c r="I560" s="1" t="s">
        <v>1777</v>
      </c>
    </row>
    <row r="561" spans="1:9">
      <c r="A561" s="1" t="s">
        <v>2015</v>
      </c>
      <c r="B561" s="1" t="s">
        <v>3014</v>
      </c>
      <c r="C561" s="2">
        <v>41363</v>
      </c>
      <c r="D561" s="1">
        <v>0</v>
      </c>
      <c r="E561" s="1">
        <v>2000</v>
      </c>
      <c r="F561" s="1" t="s">
        <v>1939</v>
      </c>
      <c r="G561" s="1" t="s">
        <v>1940</v>
      </c>
      <c r="H561" s="1" t="s">
        <v>732</v>
      </c>
      <c r="I561" s="1" t="s">
        <v>1777</v>
      </c>
    </row>
    <row r="562" spans="1:9">
      <c r="A562" s="1" t="s">
        <v>2015</v>
      </c>
      <c r="B562" s="1" t="s">
        <v>3015</v>
      </c>
      <c r="C562" s="2">
        <v>41338</v>
      </c>
      <c r="D562" s="1">
        <v>0</v>
      </c>
      <c r="E562" s="1">
        <v>5230</v>
      </c>
      <c r="F562" s="1" t="s">
        <v>3016</v>
      </c>
      <c r="G562" s="1" t="s">
        <v>3017</v>
      </c>
      <c r="H562" s="1" t="s">
        <v>721</v>
      </c>
      <c r="I562" s="1" t="s">
        <v>1777</v>
      </c>
    </row>
    <row r="563" spans="1:9">
      <c r="A563" s="1" t="s">
        <v>2015</v>
      </c>
      <c r="B563" s="1" t="s">
        <v>3018</v>
      </c>
      <c r="C563" s="2">
        <v>41351</v>
      </c>
      <c r="D563" s="1">
        <v>0</v>
      </c>
      <c r="E563" s="1">
        <v>147880</v>
      </c>
      <c r="F563" s="1" t="s">
        <v>3016</v>
      </c>
      <c r="G563" s="1" t="s">
        <v>3017</v>
      </c>
      <c r="H563" s="1" t="s">
        <v>721</v>
      </c>
      <c r="I563" s="1" t="s">
        <v>1777</v>
      </c>
    </row>
    <row r="564" spans="1:9">
      <c r="A564" s="1" t="s">
        <v>2015</v>
      </c>
      <c r="B564" s="1" t="s">
        <v>3019</v>
      </c>
      <c r="C564" s="2">
        <v>41341</v>
      </c>
      <c r="D564" s="1">
        <v>0</v>
      </c>
      <c r="E564" s="1">
        <v>400000</v>
      </c>
      <c r="F564" s="1" t="s">
        <v>1959</v>
      </c>
      <c r="G564" s="1" t="s">
        <v>1960</v>
      </c>
      <c r="H564" s="1" t="s">
        <v>721</v>
      </c>
      <c r="I564" s="1" t="s">
        <v>703</v>
      </c>
    </row>
    <row r="565" spans="1:9">
      <c r="A565" s="1" t="s">
        <v>2015</v>
      </c>
      <c r="B565" s="1" t="s">
        <v>3020</v>
      </c>
      <c r="C565" s="2">
        <v>41361</v>
      </c>
      <c r="D565" s="1">
        <v>0</v>
      </c>
      <c r="E565" s="1">
        <v>250000</v>
      </c>
      <c r="F565" s="1" t="s">
        <v>1959</v>
      </c>
      <c r="G565" s="1" t="s">
        <v>1960</v>
      </c>
      <c r="H565" s="1" t="s">
        <v>721</v>
      </c>
      <c r="I565" s="1" t="s">
        <v>703</v>
      </c>
    </row>
    <row r="566" spans="1:9">
      <c r="A566" s="1" t="s">
        <v>2015</v>
      </c>
      <c r="B566" s="1" t="s">
        <v>3021</v>
      </c>
      <c r="C566" s="2">
        <v>41345</v>
      </c>
      <c r="D566" s="1">
        <v>0</v>
      </c>
      <c r="E566" s="1">
        <v>500000</v>
      </c>
      <c r="F566" s="1" t="s">
        <v>1963</v>
      </c>
      <c r="G566" s="1" t="s">
        <v>1964</v>
      </c>
      <c r="H566" s="1" t="s">
        <v>724</v>
      </c>
      <c r="I566" s="1" t="s">
        <v>725</v>
      </c>
    </row>
    <row r="567" spans="1:9">
      <c r="A567" s="1" t="s">
        <v>2018</v>
      </c>
      <c r="B567" s="1" t="s">
        <v>3022</v>
      </c>
      <c r="C567" s="2">
        <v>41348</v>
      </c>
      <c r="D567" s="1">
        <v>13916</v>
      </c>
      <c r="E567" s="1">
        <v>0</v>
      </c>
      <c r="F567" s="1" t="s">
        <v>3023</v>
      </c>
      <c r="G567" s="1" t="s">
        <v>3024</v>
      </c>
      <c r="H567" s="1" t="s">
        <v>645</v>
      </c>
      <c r="I567" s="1" t="s">
        <v>3025</v>
      </c>
    </row>
    <row r="568" spans="1:9">
      <c r="A568" s="1" t="s">
        <v>2018</v>
      </c>
      <c r="B568" s="1" t="s">
        <v>3026</v>
      </c>
      <c r="C568" s="2">
        <v>41352</v>
      </c>
      <c r="D568" s="1">
        <v>14440</v>
      </c>
      <c r="E568" s="1">
        <v>0</v>
      </c>
      <c r="F568" s="1" t="s">
        <v>3023</v>
      </c>
      <c r="G568" s="1" t="s">
        <v>3024</v>
      </c>
      <c r="H568" s="1" t="s">
        <v>645</v>
      </c>
      <c r="I568" s="1" t="s">
        <v>3025</v>
      </c>
    </row>
    <row r="569" spans="1:9">
      <c r="A569" s="1" t="s">
        <v>2018</v>
      </c>
      <c r="B569" s="1" t="s">
        <v>3027</v>
      </c>
      <c r="C569" s="2">
        <v>41341</v>
      </c>
      <c r="D569" s="1">
        <v>61025</v>
      </c>
      <c r="E569" s="1">
        <v>0</v>
      </c>
      <c r="F569" s="1" t="s">
        <v>3028</v>
      </c>
      <c r="G569" s="1" t="s">
        <v>3029</v>
      </c>
      <c r="H569" s="1" t="s">
        <v>646</v>
      </c>
      <c r="I569" s="1" t="s">
        <v>703</v>
      </c>
    </row>
    <row r="570" spans="1:9">
      <c r="A570" s="1" t="s">
        <v>2018</v>
      </c>
      <c r="B570" s="1" t="s">
        <v>3030</v>
      </c>
      <c r="C570" s="2">
        <v>41364</v>
      </c>
      <c r="D570" s="1">
        <v>12296</v>
      </c>
      <c r="E570" s="1">
        <v>0</v>
      </c>
      <c r="F570" s="1" t="s">
        <v>2096</v>
      </c>
      <c r="G570" s="1" t="s">
        <v>2097</v>
      </c>
      <c r="H570" s="1" t="s">
        <v>1873</v>
      </c>
      <c r="I570" s="1" t="s">
        <v>703</v>
      </c>
    </row>
    <row r="571" spans="1:9">
      <c r="A571" s="1" t="s">
        <v>2018</v>
      </c>
      <c r="B571" s="1" t="s">
        <v>3031</v>
      </c>
      <c r="C571" s="2">
        <v>41361</v>
      </c>
      <c r="D571" s="1">
        <v>54851</v>
      </c>
      <c r="E571" s="1">
        <v>0</v>
      </c>
      <c r="F571" s="1" t="s">
        <v>1968</v>
      </c>
      <c r="G571" s="1" t="s">
        <v>1969</v>
      </c>
      <c r="H571" s="1" t="s">
        <v>724</v>
      </c>
      <c r="I571" s="1" t="s">
        <v>703</v>
      </c>
    </row>
    <row r="572" spans="1:9">
      <c r="A572" s="1" t="s">
        <v>2015</v>
      </c>
      <c r="B572" s="1" t="s">
        <v>3032</v>
      </c>
      <c r="C572" s="2">
        <v>41335</v>
      </c>
      <c r="D572" s="1">
        <v>0</v>
      </c>
      <c r="E572" s="1">
        <v>200000</v>
      </c>
      <c r="F572" s="1" t="s">
        <v>1970</v>
      </c>
      <c r="G572" s="1" t="s">
        <v>1971</v>
      </c>
      <c r="H572" s="1" t="s">
        <v>724</v>
      </c>
      <c r="I572" s="1" t="s">
        <v>1777</v>
      </c>
    </row>
    <row r="573" spans="1:9">
      <c r="A573" s="1" t="s">
        <v>2015</v>
      </c>
      <c r="B573" s="1" t="s">
        <v>3033</v>
      </c>
      <c r="C573" s="2">
        <v>41338</v>
      </c>
      <c r="D573" s="1">
        <v>0</v>
      </c>
      <c r="E573" s="1">
        <v>250000</v>
      </c>
      <c r="F573" s="1" t="s">
        <v>1970</v>
      </c>
      <c r="G573" s="1" t="s">
        <v>1971</v>
      </c>
      <c r="H573" s="1" t="s">
        <v>724</v>
      </c>
      <c r="I573" s="1" t="s">
        <v>1777</v>
      </c>
    </row>
    <row r="574" spans="1:9">
      <c r="A574" s="1" t="s">
        <v>2015</v>
      </c>
      <c r="B574" s="1" t="s">
        <v>3034</v>
      </c>
      <c r="C574" s="2">
        <v>41340</v>
      </c>
      <c r="D574" s="1">
        <v>0</v>
      </c>
      <c r="E574" s="1">
        <v>200000</v>
      </c>
      <c r="F574" s="1" t="s">
        <v>1970</v>
      </c>
      <c r="G574" s="1" t="s">
        <v>1971</v>
      </c>
      <c r="H574" s="1" t="s">
        <v>724</v>
      </c>
      <c r="I574" s="1" t="s">
        <v>1777</v>
      </c>
    </row>
    <row r="575" spans="1:9">
      <c r="A575" s="1" t="s">
        <v>2015</v>
      </c>
      <c r="B575" s="1" t="s">
        <v>3035</v>
      </c>
      <c r="C575" s="2">
        <v>41344</v>
      </c>
      <c r="D575" s="1">
        <v>0</v>
      </c>
      <c r="E575" s="1">
        <v>1068000</v>
      </c>
      <c r="F575" s="1" t="s">
        <v>1970</v>
      </c>
      <c r="G575" s="1" t="s">
        <v>1971</v>
      </c>
      <c r="H575" s="1" t="s">
        <v>724</v>
      </c>
      <c r="I575" s="1" t="s">
        <v>1777</v>
      </c>
    </row>
    <row r="576" spans="1:9">
      <c r="A576" s="1" t="s">
        <v>2015</v>
      </c>
      <c r="B576" s="1" t="s">
        <v>3036</v>
      </c>
      <c r="C576" s="2">
        <v>41348</v>
      </c>
      <c r="D576" s="1">
        <v>0</v>
      </c>
      <c r="E576" s="1">
        <v>151100</v>
      </c>
      <c r="F576" s="1" t="s">
        <v>1970</v>
      </c>
      <c r="G576" s="1" t="s">
        <v>1971</v>
      </c>
      <c r="H576" s="1" t="s">
        <v>724</v>
      </c>
      <c r="I576" s="1" t="s">
        <v>1777</v>
      </c>
    </row>
    <row r="577" spans="1:9">
      <c r="A577" s="1" t="s">
        <v>2015</v>
      </c>
      <c r="B577" s="1" t="s">
        <v>3037</v>
      </c>
      <c r="C577" s="2">
        <v>41352</v>
      </c>
      <c r="D577" s="1">
        <v>0</v>
      </c>
      <c r="E577" s="1">
        <v>112500</v>
      </c>
      <c r="F577" s="1" t="s">
        <v>1970</v>
      </c>
      <c r="G577" s="1" t="s">
        <v>1971</v>
      </c>
      <c r="H577" s="1" t="s">
        <v>724</v>
      </c>
      <c r="I577" s="1" t="s">
        <v>1777</v>
      </c>
    </row>
    <row r="578" spans="1:9">
      <c r="A578" s="1" t="s">
        <v>2015</v>
      </c>
      <c r="B578" s="1" t="s">
        <v>3038</v>
      </c>
      <c r="C578" s="2">
        <v>41364</v>
      </c>
      <c r="D578" s="1">
        <v>0</v>
      </c>
      <c r="E578" s="1">
        <v>28000</v>
      </c>
      <c r="F578" s="1" t="s">
        <v>1970</v>
      </c>
      <c r="G578" s="1" t="s">
        <v>1971</v>
      </c>
      <c r="H578" s="1" t="s">
        <v>724</v>
      </c>
      <c r="I578" s="1" t="s">
        <v>1777</v>
      </c>
    </row>
    <row r="579" spans="1:9">
      <c r="A579" s="1" t="s">
        <v>2018</v>
      </c>
      <c r="B579" s="1" t="s">
        <v>3039</v>
      </c>
      <c r="C579" s="2">
        <v>41334</v>
      </c>
      <c r="D579" s="1">
        <v>1772</v>
      </c>
      <c r="E579" s="1">
        <v>0</v>
      </c>
      <c r="F579" s="1" t="s">
        <v>3040</v>
      </c>
      <c r="G579" s="1" t="s">
        <v>3041</v>
      </c>
      <c r="H579" s="1" t="s">
        <v>646</v>
      </c>
      <c r="I579" s="1" t="s">
        <v>669</v>
      </c>
    </row>
    <row r="580" spans="1:9">
      <c r="A580" s="1" t="s">
        <v>2015</v>
      </c>
      <c r="B580" s="1" t="s">
        <v>3042</v>
      </c>
      <c r="C580" s="2">
        <v>41348</v>
      </c>
      <c r="D580" s="1">
        <v>0</v>
      </c>
      <c r="E580" s="1">
        <v>800000</v>
      </c>
      <c r="F580" s="1" t="s">
        <v>1972</v>
      </c>
      <c r="G580" s="1" t="s">
        <v>1977</v>
      </c>
      <c r="H580" s="1" t="s">
        <v>724</v>
      </c>
      <c r="I580" s="1" t="s">
        <v>813</v>
      </c>
    </row>
    <row r="581" spans="1:9">
      <c r="A581" s="1" t="s">
        <v>2018</v>
      </c>
      <c r="B581" s="1" t="s">
        <v>3043</v>
      </c>
      <c r="C581" s="2">
        <v>41334</v>
      </c>
      <c r="D581" s="1">
        <v>274667</v>
      </c>
      <c r="E581" s="1">
        <v>0</v>
      </c>
      <c r="F581" s="1" t="s">
        <v>3044</v>
      </c>
      <c r="G581" s="1" t="s">
        <v>3045</v>
      </c>
      <c r="H581" s="1" t="s">
        <v>646</v>
      </c>
      <c r="I581" s="1" t="s">
        <v>703</v>
      </c>
    </row>
    <row r="582" spans="1:9">
      <c r="A582" s="1" t="s">
        <v>2015</v>
      </c>
      <c r="B582" s="1" t="s">
        <v>3046</v>
      </c>
      <c r="C582" s="2">
        <v>41340</v>
      </c>
      <c r="D582" s="1">
        <v>0</v>
      </c>
      <c r="E582" s="1">
        <v>1000000</v>
      </c>
      <c r="F582" s="1" t="s">
        <v>1974</v>
      </c>
      <c r="G582" s="1" t="s">
        <v>1975</v>
      </c>
      <c r="H582" s="1" t="s">
        <v>721</v>
      </c>
      <c r="I582" s="1" t="s">
        <v>669</v>
      </c>
    </row>
    <row r="583" spans="1:9">
      <c r="A583" s="1" t="s">
        <v>2015</v>
      </c>
      <c r="B583" s="1" t="s">
        <v>3047</v>
      </c>
      <c r="C583" s="2">
        <v>41352</v>
      </c>
      <c r="D583" s="1">
        <v>0</v>
      </c>
      <c r="E583" s="1">
        <v>750000</v>
      </c>
      <c r="F583" s="1" t="s">
        <v>1980</v>
      </c>
      <c r="G583" s="1" t="s">
        <v>1981</v>
      </c>
      <c r="H583" s="1" t="s">
        <v>724</v>
      </c>
      <c r="I583" s="1" t="s">
        <v>1777</v>
      </c>
    </row>
    <row r="584" spans="1:9">
      <c r="A584" s="1" t="s">
        <v>2015</v>
      </c>
      <c r="B584" s="1" t="s">
        <v>3048</v>
      </c>
      <c r="C584" s="2">
        <v>41352</v>
      </c>
      <c r="D584" s="1">
        <v>0</v>
      </c>
      <c r="E584" s="1">
        <v>750000</v>
      </c>
      <c r="F584" s="1" t="s">
        <v>1980</v>
      </c>
      <c r="G584" s="1" t="s">
        <v>1981</v>
      </c>
      <c r="H584" s="1" t="s">
        <v>724</v>
      </c>
      <c r="I584" s="1" t="s">
        <v>1777</v>
      </c>
    </row>
    <row r="585" spans="1:9">
      <c r="A585" s="1" t="s">
        <v>2015</v>
      </c>
      <c r="B585" s="1" t="s">
        <v>3049</v>
      </c>
      <c r="C585" s="2">
        <v>41355</v>
      </c>
      <c r="D585" s="1">
        <v>0</v>
      </c>
      <c r="E585" s="1">
        <v>689700</v>
      </c>
      <c r="F585" s="1" t="s">
        <v>1980</v>
      </c>
      <c r="G585" s="1" t="s">
        <v>1981</v>
      </c>
      <c r="H585" s="1" t="s">
        <v>724</v>
      </c>
      <c r="I585" s="1" t="s">
        <v>1777</v>
      </c>
    </row>
    <row r="586" spans="1:9">
      <c r="A586" s="1" t="s">
        <v>2015</v>
      </c>
      <c r="B586" s="1" t="s">
        <v>3050</v>
      </c>
      <c r="C586" s="2">
        <v>41362</v>
      </c>
      <c r="D586" s="1">
        <v>0</v>
      </c>
      <c r="E586" s="1">
        <v>431600</v>
      </c>
      <c r="F586" s="1" t="s">
        <v>1980</v>
      </c>
      <c r="G586" s="1" t="s">
        <v>1981</v>
      </c>
      <c r="H586" s="1" t="s">
        <v>724</v>
      </c>
      <c r="I586" s="1" t="s">
        <v>1777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Z401"/>
  <sheetViews>
    <sheetView zoomScaleNormal="100" workbookViewId="0">
      <selection activeCell="D2" sqref="D2:F4"/>
    </sheetView>
  </sheetViews>
  <sheetFormatPr defaultRowHeight="12.75" outlineLevelCol="1"/>
  <cols>
    <col min="1" max="1" width="9.28515625" style="5" bestFit="1" customWidth="1"/>
    <col min="2" max="2" width="13.28515625" style="5" customWidth="1"/>
    <col min="3" max="3" width="12.140625" style="5" customWidth="1"/>
    <col min="4" max="4" width="10.28515625" style="5" customWidth="1"/>
    <col min="5" max="5" width="17.5703125" style="7" bestFit="1" customWidth="1"/>
    <col min="6" max="6" width="12.5703125" style="5" bestFit="1" customWidth="1"/>
    <col min="7" max="7" width="16.28515625" style="5" bestFit="1" customWidth="1"/>
    <col min="8" max="8" width="15.5703125" style="5" customWidth="1"/>
    <col min="9" max="17" width="15.7109375" style="5" hidden="1" customWidth="1" outlineLevel="1"/>
    <col min="18" max="18" width="10.5703125" style="5" bestFit="1" customWidth="1" collapsed="1"/>
    <col min="19" max="19" width="11.28515625" style="5" bestFit="1" customWidth="1"/>
    <col min="20" max="20" width="10" style="5" customWidth="1"/>
    <col min="21" max="21" width="10.85546875" style="5" bestFit="1" customWidth="1"/>
    <col min="22" max="22" width="18.42578125" style="5" bestFit="1" customWidth="1"/>
    <col min="23" max="23" width="13.28515625" style="7" bestFit="1" customWidth="1"/>
    <col min="24" max="24" width="14.140625" style="7" bestFit="1" customWidth="1"/>
    <col min="25" max="25" width="9.28515625" style="5" bestFit="1" customWidth="1"/>
    <col min="26" max="26" width="9.140625" style="5"/>
    <col min="27" max="27" width="9.28515625" style="5" bestFit="1" customWidth="1"/>
    <col min="28" max="28" width="9.140625" style="5"/>
    <col min="29" max="29" width="10.140625" style="5" bestFit="1" customWidth="1"/>
    <col min="30" max="30" width="12.5703125" style="7" bestFit="1" customWidth="1"/>
    <col min="31" max="31" width="12" style="7" bestFit="1" customWidth="1"/>
    <col min="32" max="32" width="7.140625" style="7" bestFit="1" customWidth="1"/>
    <col min="33" max="33" width="8.7109375" style="7" bestFit="1" customWidth="1"/>
    <col min="34" max="34" width="9.140625" style="5" customWidth="1"/>
    <col min="35" max="35" width="11.42578125" style="5" customWidth="1"/>
    <col min="36" max="43" width="9.140625" style="5"/>
    <col min="44" max="44" width="11" style="5" bestFit="1" customWidth="1"/>
    <col min="45" max="51" width="9.140625" style="5"/>
    <col min="52" max="52" width="15.85546875" style="5" customWidth="1"/>
    <col min="53" max="16384" width="9.140625" style="5"/>
  </cols>
  <sheetData>
    <row r="1" spans="1:52" ht="26.25">
      <c r="A1" s="50" t="s">
        <v>3075</v>
      </c>
      <c r="B1" s="50"/>
      <c r="C1" s="50"/>
      <c r="D1" s="51" t="s">
        <v>801</v>
      </c>
      <c r="E1" s="51"/>
      <c r="F1" s="51"/>
      <c r="G1" s="3" t="s">
        <v>3076</v>
      </c>
      <c r="H1" s="4">
        <f>VLOOKUP(D1,'Dealer Balances'!B:G,6,FALSE)</f>
        <v>45482.879999999997</v>
      </c>
      <c r="U1" s="6"/>
      <c r="AA1" s="8" t="s">
        <v>3051</v>
      </c>
      <c r="AB1" s="8"/>
      <c r="AC1" s="9" t="s">
        <v>3052</v>
      </c>
      <c r="AD1" s="10" t="s">
        <v>3053</v>
      </c>
      <c r="AE1" s="9" t="s">
        <v>3054</v>
      </c>
      <c r="AF1" s="9" t="s">
        <v>3055</v>
      </c>
      <c r="AG1" s="9" t="s">
        <v>3056</v>
      </c>
      <c r="AH1" s="11"/>
      <c r="AI1" s="12" t="s">
        <v>3057</v>
      </c>
      <c r="AJ1" s="13">
        <v>2</v>
      </c>
      <c r="AK1" s="13">
        <v>3</v>
      </c>
      <c r="AL1" s="13">
        <v>4</v>
      </c>
      <c r="AM1" s="13">
        <v>5</v>
      </c>
      <c r="AN1" s="13">
        <v>6</v>
      </c>
      <c r="AO1" s="13">
        <v>7</v>
      </c>
      <c r="AP1" s="13">
        <v>8</v>
      </c>
      <c r="AQ1" s="13">
        <v>9</v>
      </c>
      <c r="AR1" s="13">
        <v>10</v>
      </c>
      <c r="AS1" s="13">
        <v>11</v>
      </c>
      <c r="AT1" s="11"/>
      <c r="AU1" s="11"/>
      <c r="AV1" s="11" t="s">
        <v>3077</v>
      </c>
      <c r="AW1" s="11" t="s">
        <v>3057</v>
      </c>
      <c r="AX1" s="11"/>
      <c r="AY1" s="11"/>
      <c r="AZ1" s="11"/>
    </row>
    <row r="2" spans="1:52" ht="12.75" customHeight="1">
      <c r="A2" s="50"/>
      <c r="B2" s="50"/>
      <c r="C2" s="50"/>
      <c r="D2" s="52" t="str">
        <f>VLOOKUP(D1,'Dealer Balances'!B6:C812,2,FALSE)</f>
        <v>Al - Madina Traders.</v>
      </c>
      <c r="E2" s="52"/>
      <c r="F2" s="52"/>
      <c r="AA2" s="14">
        <v>46975</v>
      </c>
      <c r="AC2" s="15" t="s">
        <v>3058</v>
      </c>
      <c r="AD2" s="16">
        <v>1000001</v>
      </c>
      <c r="AE2" s="16">
        <v>999999999</v>
      </c>
      <c r="AF2" s="16">
        <f>AD2/$AA$2</f>
        <v>21.287940393826503</v>
      </c>
      <c r="AG2" s="16">
        <v>100</v>
      </c>
      <c r="AI2" s="12" t="s">
        <v>3055</v>
      </c>
      <c r="AJ2" s="17" t="s">
        <v>3059</v>
      </c>
      <c r="AK2" s="17" t="s">
        <v>3060</v>
      </c>
      <c r="AL2" s="17" t="s">
        <v>3061</v>
      </c>
      <c r="AM2" s="17" t="s">
        <v>3062</v>
      </c>
      <c r="AN2" s="17" t="s">
        <v>3063</v>
      </c>
      <c r="AO2" s="17" t="s">
        <v>3064</v>
      </c>
      <c r="AP2" s="17" t="s">
        <v>3065</v>
      </c>
      <c r="AQ2" s="17" t="s">
        <v>3066</v>
      </c>
      <c r="AR2" s="17" t="s">
        <v>3067</v>
      </c>
      <c r="AS2" s="17" t="s">
        <v>3068</v>
      </c>
      <c r="AV2" s="5">
        <v>1</v>
      </c>
      <c r="AW2" s="5">
        <v>2</v>
      </c>
    </row>
    <row r="3" spans="1:52" ht="12.75" customHeight="1">
      <c r="A3" s="50"/>
      <c r="B3" s="50"/>
      <c r="C3" s="50"/>
      <c r="D3" s="52"/>
      <c r="E3" s="52"/>
      <c r="F3" s="52"/>
      <c r="AA3" s="18"/>
      <c r="AC3" s="9" t="s">
        <v>3069</v>
      </c>
      <c r="AD3" s="16">
        <v>400001</v>
      </c>
      <c r="AE3" s="16">
        <v>1000000</v>
      </c>
      <c r="AF3" s="16">
        <f t="shared" ref="AF3:AF6" si="0">AD3/$AA$2</f>
        <v>8.5151889302820649</v>
      </c>
      <c r="AG3" s="16">
        <v>50</v>
      </c>
      <c r="AI3" s="15" t="s">
        <v>3058</v>
      </c>
      <c r="AJ3" s="19">
        <v>0</v>
      </c>
      <c r="AK3" s="19">
        <f>AK$10+VLOOKUP($AI3,$AC:$AI,5,FALSE)</f>
        <v>600</v>
      </c>
      <c r="AL3" s="19">
        <f t="shared" ref="AL3:AS3" si="1">AL$10+VLOOKUP($AI3,$AC:$AI,5,FALSE)</f>
        <v>700</v>
      </c>
      <c r="AM3" s="19">
        <f t="shared" si="1"/>
        <v>900</v>
      </c>
      <c r="AN3" s="19">
        <f t="shared" si="1"/>
        <v>1000</v>
      </c>
      <c r="AO3" s="19">
        <f t="shared" si="1"/>
        <v>1100</v>
      </c>
      <c r="AP3" s="19">
        <f t="shared" si="1"/>
        <v>1300</v>
      </c>
      <c r="AQ3" s="19">
        <f t="shared" si="1"/>
        <v>1400</v>
      </c>
      <c r="AR3" s="19">
        <f t="shared" si="1"/>
        <v>1600</v>
      </c>
      <c r="AS3" s="19">
        <f t="shared" si="1"/>
        <v>2100</v>
      </c>
      <c r="AV3" s="5">
        <v>2</v>
      </c>
      <c r="AW3" s="5">
        <v>2</v>
      </c>
    </row>
    <row r="4" spans="1:52" ht="12.75" customHeight="1">
      <c r="A4" s="50"/>
      <c r="B4" s="50"/>
      <c r="C4" s="50"/>
      <c r="D4" s="52"/>
      <c r="E4" s="52"/>
      <c r="F4" s="52"/>
      <c r="V4" s="3" t="s">
        <v>3078</v>
      </c>
      <c r="AC4" s="15" t="s">
        <v>3070</v>
      </c>
      <c r="AD4" s="16">
        <v>1</v>
      </c>
      <c r="AE4" s="16">
        <v>400000</v>
      </c>
      <c r="AF4" s="16">
        <f t="shared" si="0"/>
        <v>2.1287919105907398E-5</v>
      </c>
      <c r="AG4" s="16">
        <v>0</v>
      </c>
      <c r="AI4" s="9" t="s">
        <v>3069</v>
      </c>
      <c r="AJ4" s="19">
        <v>0</v>
      </c>
      <c r="AK4" s="19">
        <f t="shared" ref="AK4:AS8" si="2">AK$10+VLOOKUP($AI4,$AC:$AI,5,FALSE)</f>
        <v>550</v>
      </c>
      <c r="AL4" s="19">
        <f t="shared" si="2"/>
        <v>650</v>
      </c>
      <c r="AM4" s="19">
        <f t="shared" si="2"/>
        <v>850</v>
      </c>
      <c r="AN4" s="19">
        <f t="shared" si="2"/>
        <v>950</v>
      </c>
      <c r="AO4" s="19">
        <f t="shared" si="2"/>
        <v>1050</v>
      </c>
      <c r="AP4" s="19">
        <f t="shared" si="2"/>
        <v>1250</v>
      </c>
      <c r="AQ4" s="19">
        <f t="shared" si="2"/>
        <v>1350</v>
      </c>
      <c r="AR4" s="19">
        <f t="shared" si="2"/>
        <v>1550</v>
      </c>
      <c r="AS4" s="19">
        <f t="shared" si="2"/>
        <v>2050</v>
      </c>
      <c r="AV4" s="5">
        <v>3</v>
      </c>
      <c r="AW4" s="5">
        <v>2</v>
      </c>
    </row>
    <row r="5" spans="1:52" s="11" customFormat="1" ht="25.5">
      <c r="A5" s="8" t="s">
        <v>3079</v>
      </c>
      <c r="B5" s="8" t="s">
        <v>3080</v>
      </c>
      <c r="C5" s="8" t="s">
        <v>3055</v>
      </c>
      <c r="D5" s="8" t="s">
        <v>3079</v>
      </c>
      <c r="E5" s="20" t="s">
        <v>3052</v>
      </c>
      <c r="F5" s="8" t="s">
        <v>3057</v>
      </c>
      <c r="G5" s="8" t="s">
        <v>3081</v>
      </c>
      <c r="H5" s="21" t="str">
        <f>IF(H1&lt;=$AE$7,$AC$7,IF(H1&lt;=$AE$6,$AC$6,IF(H1&lt;=$AE$5,$AC$5,IF(H1&lt;=$AE$4,$AC$4,IF(H1&lt;=$AE$3,$AC$3,IF(H1&lt;=$AE$2,$AC$2,$AC$2))))))</f>
        <v>Tier 3</v>
      </c>
      <c r="I5" s="8" t="s">
        <v>3082</v>
      </c>
      <c r="J5" s="8" t="s">
        <v>3083</v>
      </c>
      <c r="K5" s="8" t="s">
        <v>3084</v>
      </c>
      <c r="L5" s="8" t="s">
        <v>3085</v>
      </c>
      <c r="M5" s="8" t="s">
        <v>3086</v>
      </c>
      <c r="N5" s="8" t="s">
        <v>3087</v>
      </c>
      <c r="O5" s="8" t="s">
        <v>3088</v>
      </c>
      <c r="P5" s="8" t="s">
        <v>3089</v>
      </c>
      <c r="Q5" s="8" t="s">
        <v>3090</v>
      </c>
      <c r="R5" s="8" t="s">
        <v>3091</v>
      </c>
      <c r="S5" s="8" t="s">
        <v>3092</v>
      </c>
      <c r="T5" s="8" t="s">
        <v>3093</v>
      </c>
      <c r="V5" s="8" t="s">
        <v>3080</v>
      </c>
      <c r="W5" s="20" t="s">
        <v>3094</v>
      </c>
      <c r="X5" s="20" t="s">
        <v>3095</v>
      </c>
      <c r="Y5" s="8" t="s">
        <v>3096</v>
      </c>
      <c r="AC5" s="15" t="s">
        <v>3071</v>
      </c>
      <c r="AD5" s="16">
        <v>-500000</v>
      </c>
      <c r="AE5" s="16">
        <v>0</v>
      </c>
      <c r="AF5" s="16">
        <f t="shared" si="0"/>
        <v>-10.643959552953699</v>
      </c>
      <c r="AG5" s="16">
        <v>-25</v>
      </c>
      <c r="AI5" s="15" t="s">
        <v>3070</v>
      </c>
      <c r="AJ5" s="13">
        <v>0</v>
      </c>
      <c r="AK5" s="19">
        <f t="shared" si="2"/>
        <v>500</v>
      </c>
      <c r="AL5" s="19">
        <f t="shared" si="2"/>
        <v>600</v>
      </c>
      <c r="AM5" s="19">
        <f t="shared" si="2"/>
        <v>800</v>
      </c>
      <c r="AN5" s="19">
        <f t="shared" si="2"/>
        <v>900</v>
      </c>
      <c r="AO5" s="19">
        <f t="shared" si="2"/>
        <v>1000</v>
      </c>
      <c r="AP5" s="19">
        <f t="shared" si="2"/>
        <v>1200</v>
      </c>
      <c r="AQ5" s="19">
        <f t="shared" si="2"/>
        <v>1300</v>
      </c>
      <c r="AR5" s="19">
        <f t="shared" si="2"/>
        <v>1500</v>
      </c>
      <c r="AS5" s="19">
        <f t="shared" si="2"/>
        <v>2000</v>
      </c>
      <c r="AV5" s="11">
        <v>4</v>
      </c>
      <c r="AW5" s="11">
        <v>2</v>
      </c>
    </row>
    <row r="6" spans="1:52" ht="15">
      <c r="A6" s="5">
        <v>1</v>
      </c>
      <c r="B6" s="22">
        <f t="array" ref="B6">IFERROR(INDEX(SaleData!D:D,MATCH($D$1,IF(SaleData!G:G=A6,SaleData!B:B),0)),0)</f>
        <v>41342</v>
      </c>
      <c r="C6" s="23">
        <f t="array" ref="C6">IFERROR(INDEX(SaleData!E:E,MATCH($D$1,IF(SaleData!G:G=A6,SaleData!B:B),0)),0)</f>
        <v>43</v>
      </c>
      <c r="D6" s="18">
        <f>C6*$AA$2</f>
        <v>2019925</v>
      </c>
      <c r="E6" s="7">
        <f>H1+SUMIF(V:V,"&lt;="&amp;B6,W:W)</f>
        <v>1545482.88</v>
      </c>
      <c r="F6" s="5">
        <f t="shared" ref="F6:F15" si="3">IF(B6&gt;=MIN(V:V),VLOOKUP(B6,V:Y,4,TRUE),0)</f>
        <v>3</v>
      </c>
      <c r="G6" s="5">
        <f>IFERROR(IF(IF(B6&gt;=MIN(V:V),VLOOKUP(B6,V:Y,3,TRUE),0)=G5,0,IF(B6&gt;=MIN(V:V),VLOOKUP(B6,V:Y,3,TRUE),0)),0)</f>
        <v>31</v>
      </c>
      <c r="H6" s="24">
        <f t="shared" ref="H6:H15" si="4">IFERROR(VLOOKUP($H$5,$AI:$AS,F6,FALSE)*G6,0)</f>
        <v>15500</v>
      </c>
      <c r="I6" s="24">
        <f>IFERROR(VLOOKUP($H$5,$AI:$AS,$F$7,FALSE)*G6-SUM($H6:H6),0)</f>
        <v>0</v>
      </c>
      <c r="J6" s="24">
        <f>IFERROR(VLOOKUP($H$5,$AI:$AS,$F$8,FALSE)*$G6-SUM($H6:I6),0)</f>
        <v>0</v>
      </c>
      <c r="K6" s="24">
        <f>IFERROR(VLOOKUP($H$5,$AI:$AS,$F$9,FALSE)*$G6-SUM($H6:J6),0)</f>
        <v>9300</v>
      </c>
      <c r="L6" s="24">
        <f>IFERROR(VLOOKUP($H$5,$AI:$AS,$F$10,FALSE)*$G6-SUM($H6:K6),0)</f>
        <v>0</v>
      </c>
      <c r="M6" s="24">
        <f>IFERROR(VLOOKUP($H$5,$AI:$AS,$F$11,FALSE)*$G6-SUM($H6:L6),0)</f>
        <v>15500</v>
      </c>
      <c r="N6" s="24">
        <f>IFERROR(VLOOKUP($H$5,$AI:$AS,$F$12,FALSE)*$G6-SUM($H6:M6),0)</f>
        <v>0</v>
      </c>
      <c r="O6" s="24">
        <f>IFERROR(VLOOKUP($H$5,$AI:$AS,$F$13,FALSE)*$G6-SUM($H6:N6),0)</f>
        <v>0</v>
      </c>
      <c r="P6" s="24">
        <f>IFERROR(VLOOKUP($H$5,$AI:$AS,$F$14,FALSE)*$G6-SUM($H6:O6),0)</f>
        <v>0</v>
      </c>
      <c r="Q6" s="24">
        <f>IFERROR(VLOOKUP($H$5,$AI:$AS,$F$15,FALSE)*$G6-SUM($H6:P6),0)</f>
        <v>0</v>
      </c>
      <c r="R6" s="25">
        <f>IFERROR(D6-H6,0)</f>
        <v>2004425</v>
      </c>
      <c r="S6" s="25">
        <f>D6-R6</f>
        <v>15500</v>
      </c>
      <c r="T6" s="26">
        <f>IFERROR(S6/D6,0)</f>
        <v>7.6735522358503411E-3</v>
      </c>
      <c r="U6" s="18"/>
      <c r="V6" s="46">
        <v>41334</v>
      </c>
      <c r="W6" s="4">
        <f>SUMIFS(FinanceData!E:E,FinanceData!F:F,'Payment Based NDP (Array Based)'!$D$1,FinanceData!A:A,"BR",FinanceData!C:C,'Payment Based NDP (Array Based)'!V6)-SUMIFS(FinanceData!E:E,FinanceData!F:F,'Payment Based NDP (Array Based)'!$D$1,FinanceData!A:A,"BP",FinanceData!C:C,'Payment Based NDP (Array Based)'!V6)</f>
        <v>0</v>
      </c>
      <c r="X6" s="7">
        <f>(ROUNDDOWN(SUM($W$6:W6)/$AA$2,0))</f>
        <v>0</v>
      </c>
      <c r="Y6" s="5">
        <f>IFERROR(VLOOKUP(X6,AV:AW,2,FALSE),0)</f>
        <v>0</v>
      </c>
      <c r="AC6" s="9" t="s">
        <v>3072</v>
      </c>
      <c r="AD6" s="16">
        <v>-1000000</v>
      </c>
      <c r="AE6" s="16">
        <v>-500001</v>
      </c>
      <c r="AF6" s="16">
        <f t="shared" si="0"/>
        <v>-21.287919105907399</v>
      </c>
      <c r="AG6" s="16">
        <v>-50</v>
      </c>
      <c r="AI6" s="15" t="s">
        <v>3071</v>
      </c>
      <c r="AJ6" s="19">
        <v>0</v>
      </c>
      <c r="AK6" s="19">
        <f t="shared" si="2"/>
        <v>475</v>
      </c>
      <c r="AL6" s="19">
        <f t="shared" si="2"/>
        <v>575</v>
      </c>
      <c r="AM6" s="19">
        <f t="shared" si="2"/>
        <v>775</v>
      </c>
      <c r="AN6" s="19">
        <f t="shared" si="2"/>
        <v>875</v>
      </c>
      <c r="AO6" s="19">
        <f t="shared" si="2"/>
        <v>975</v>
      </c>
      <c r="AP6" s="19">
        <f t="shared" si="2"/>
        <v>1175</v>
      </c>
      <c r="AQ6" s="19">
        <f t="shared" si="2"/>
        <v>1275</v>
      </c>
      <c r="AR6" s="19">
        <f t="shared" si="2"/>
        <v>1475</v>
      </c>
      <c r="AS6" s="19">
        <f t="shared" si="2"/>
        <v>1975</v>
      </c>
      <c r="AV6" s="5">
        <v>5</v>
      </c>
      <c r="AW6" s="5">
        <v>2</v>
      </c>
    </row>
    <row r="7" spans="1:52" ht="15">
      <c r="A7" s="5">
        <v>2</v>
      </c>
      <c r="B7" s="22">
        <f t="array" ref="B7">IFERROR(INDEX(SaleData!D:D,MATCH($D$1,IF(SaleData!G:G=A7,SaleData!B:B),0)),0)</f>
        <v>41346</v>
      </c>
      <c r="C7" s="23">
        <f t="array" ref="C7">IFERROR(INDEX(SaleData!E:E,MATCH($D$1,IF(SaleData!G:G=A7,SaleData!B:B),0)),0)</f>
        <v>12</v>
      </c>
      <c r="D7" s="18">
        <f t="shared" ref="D7:D15" si="5">C7*$AA$2</f>
        <v>563700</v>
      </c>
      <c r="E7" s="7">
        <f t="shared" ref="E7:E15" si="6">IFERROR((E6-R6)+SUMIFS(W:W,V:V,("&lt;="&amp;B7),V:V,("&gt;"&amp;B6)),0)</f>
        <v>-458942.12000000011</v>
      </c>
      <c r="F7" s="5">
        <f t="shared" si="3"/>
        <v>3</v>
      </c>
      <c r="G7" s="5">
        <f t="shared" ref="G7:G15" si="7">IFERROR(IF(IF(B7&gt;=MIN(V:V),VLOOKUP(B7,V:Y,3,TRUE),0)=G6,0,IF(B7&gt;=MIN(V:V),VLOOKUP(B7,V:Y,3,TRUE),0)),0)</f>
        <v>0</v>
      </c>
      <c r="H7" s="24">
        <f t="shared" si="4"/>
        <v>0</v>
      </c>
      <c r="I7" s="24"/>
      <c r="J7" s="24">
        <f>IFERROR(VLOOKUP($H$5,$AI:$AS,$F$8,FALSE)*$G7-SUM($H7:I7),0)</f>
        <v>0</v>
      </c>
      <c r="K7" s="24">
        <f>IFERROR(VLOOKUP($H$5,$AI:$AS,$F$9,FALSE)*$G7-SUM($H7:J7),0)</f>
        <v>0</v>
      </c>
      <c r="L7" s="24">
        <f>IFERROR(VLOOKUP($H$5,$AI:$AS,$F$10,FALSE)*$G7-SUM($H7:K7),0)</f>
        <v>0</v>
      </c>
      <c r="M7" s="24">
        <f>IFERROR(VLOOKUP($H$5,$AI:$AS,$F$11,FALSE)*$G7-SUM($H7:L7),0)</f>
        <v>0</v>
      </c>
      <c r="N7" s="24">
        <f>IFERROR(VLOOKUP($H$5,$AI:$AS,$F$12,FALSE)*$G7-SUM($H7:M7),0)</f>
        <v>0</v>
      </c>
      <c r="O7" s="24">
        <f>IFERROR(VLOOKUP($H$5,$AI:$AS,$F$13,FALSE)*$G7-SUM($H7:N7),0)</f>
        <v>0</v>
      </c>
      <c r="P7" s="24">
        <f>IFERROR(VLOOKUP($H$5,$AI:$AS,$F$14,FALSE)*$G7-SUM($H7:O7),0)</f>
        <v>0</v>
      </c>
      <c r="Q7" s="24">
        <f>IFERROR(VLOOKUP($H$5,$AI:$AS,$F$15,FALSE)*$G7-SUM($H7:P7),0)</f>
        <v>0</v>
      </c>
      <c r="R7" s="25">
        <f>IFERROR(D7-(H7+SUM(I$6:I6)),0)</f>
        <v>563700</v>
      </c>
      <c r="S7" s="25">
        <f>D7-R7</f>
        <v>0</v>
      </c>
      <c r="T7" s="26">
        <f t="shared" ref="T7:T8" si="8">IFERROR(S7/D7,0)</f>
        <v>0</v>
      </c>
      <c r="U7" s="18"/>
      <c r="V7" s="46">
        <v>41335</v>
      </c>
      <c r="W7" s="4">
        <f>SUMIFS(FinanceData!E:E,FinanceData!F:F,'Payment Based NDP (Array Based)'!$D$1,FinanceData!A:A,"BR",FinanceData!C:C,'Payment Based NDP (Array Based)'!V7)-SUMIFS(FinanceData!E:E,FinanceData!F:F,'Payment Based NDP (Array Based)'!$D$1,FinanceData!A:A,"BP",FinanceData!C:C,'Payment Based NDP (Array Based)'!V7)</f>
        <v>0</v>
      </c>
      <c r="X7" s="7">
        <f>(ROUNDDOWN(SUM($W$6:W7)/$AA$2,0))</f>
        <v>0</v>
      </c>
      <c r="Y7" s="5">
        <f t="shared" ref="Y7:Y36" si="9">IFERROR(VLOOKUP(X7,AV:AW,2,FALSE),0)</f>
        <v>0</v>
      </c>
      <c r="AC7" s="15" t="s">
        <v>3073</v>
      </c>
      <c r="AD7" s="16">
        <v>-999999999</v>
      </c>
      <c r="AE7" s="16">
        <v>-1000001</v>
      </c>
      <c r="AF7" s="16"/>
      <c r="AG7" s="16">
        <v>-100</v>
      </c>
      <c r="AI7" s="9" t="s">
        <v>3072</v>
      </c>
      <c r="AJ7" s="19">
        <v>0</v>
      </c>
      <c r="AK7" s="19">
        <f t="shared" si="2"/>
        <v>450</v>
      </c>
      <c r="AL7" s="19">
        <f t="shared" si="2"/>
        <v>550</v>
      </c>
      <c r="AM7" s="19">
        <f t="shared" si="2"/>
        <v>750</v>
      </c>
      <c r="AN7" s="19">
        <f t="shared" si="2"/>
        <v>850</v>
      </c>
      <c r="AO7" s="19">
        <f t="shared" si="2"/>
        <v>950</v>
      </c>
      <c r="AP7" s="19">
        <f t="shared" si="2"/>
        <v>1150</v>
      </c>
      <c r="AQ7" s="19">
        <f t="shared" si="2"/>
        <v>1250</v>
      </c>
      <c r="AR7" s="19">
        <f t="shared" si="2"/>
        <v>1450</v>
      </c>
      <c r="AS7" s="19">
        <f t="shared" si="2"/>
        <v>1950</v>
      </c>
      <c r="AV7" s="5">
        <v>6</v>
      </c>
      <c r="AW7" s="5">
        <v>2</v>
      </c>
    </row>
    <row r="8" spans="1:52" ht="15">
      <c r="A8" s="5">
        <v>3</v>
      </c>
      <c r="B8" s="22">
        <f t="array" ref="B8">IFERROR(INDEX(SaleData!D:D,MATCH($D$1,IF(SaleData!G:G=A8,SaleData!B:B),0)),0)</f>
        <v>41347</v>
      </c>
      <c r="C8" s="23">
        <f t="array" ref="C8">IFERROR(INDEX(SaleData!E:E,MATCH($D$1,IF(SaleData!G:G=A8,SaleData!B:B),0)),0)</f>
        <v>9</v>
      </c>
      <c r="D8" s="18">
        <f t="shared" si="5"/>
        <v>422775</v>
      </c>
      <c r="E8" s="7">
        <f t="shared" si="6"/>
        <v>-1022642.1200000001</v>
      </c>
      <c r="F8" s="5">
        <f t="shared" si="3"/>
        <v>3</v>
      </c>
      <c r="G8" s="5">
        <f t="shared" si="7"/>
        <v>31</v>
      </c>
      <c r="H8" s="24">
        <f t="shared" si="4"/>
        <v>15500</v>
      </c>
      <c r="I8" s="24"/>
      <c r="J8" s="24"/>
      <c r="K8" s="24">
        <f>IFERROR(VLOOKUP($H$5,$AI:$AS,$F$9,FALSE)*$G8-SUM($H8:J8),0)</f>
        <v>9300</v>
      </c>
      <c r="L8" s="24">
        <f>IFERROR(VLOOKUP($H$5,$AI:$AS,$F$10,FALSE)*$G8-SUM($H8:K8),0)</f>
        <v>0</v>
      </c>
      <c r="M8" s="24">
        <f>IFERROR(VLOOKUP($H$5,$AI:$AS,$F$11,FALSE)*$G8-SUM($H8:L8),0)</f>
        <v>15500</v>
      </c>
      <c r="N8" s="24">
        <f>IFERROR(VLOOKUP($H$5,$AI:$AS,$F$12,FALSE)*$G8-SUM($H8:M8),0)</f>
        <v>0</v>
      </c>
      <c r="O8" s="24">
        <f>IFERROR(VLOOKUP($H$5,$AI:$AS,$F$13,FALSE)*$G8-SUM($H8:N8),0)</f>
        <v>0</v>
      </c>
      <c r="P8" s="24">
        <f>IFERROR(VLOOKUP($H$5,$AI:$AS,$F$14,FALSE)*$G8-SUM($H8:O8),0)</f>
        <v>0</v>
      </c>
      <c r="Q8" s="24">
        <f>IFERROR(VLOOKUP($H$5,$AI:$AS,$F$15,FALSE)*$G8-SUM($H8:P8),0)</f>
        <v>0</v>
      </c>
      <c r="R8" s="25">
        <f>IFERROR(D8-(H8+SUM(J$6:J7)),0)</f>
        <v>407275</v>
      </c>
      <c r="S8" s="25">
        <f>D8-R8</f>
        <v>15500</v>
      </c>
      <c r="T8" s="26">
        <f t="shared" si="8"/>
        <v>3.6662527349062737E-2</v>
      </c>
      <c r="U8" s="18"/>
      <c r="V8" s="46">
        <v>41336</v>
      </c>
      <c r="W8" s="4">
        <f>SUMIFS(FinanceData!E:E,FinanceData!F:F,'Payment Based NDP (Array Based)'!$D$1,FinanceData!A:A,"BR",FinanceData!C:C,'Payment Based NDP (Array Based)'!V8)-SUMIFS(FinanceData!E:E,FinanceData!F:F,'Payment Based NDP (Array Based)'!$D$1,FinanceData!A:A,"BP",FinanceData!C:C,'Payment Based NDP (Array Based)'!V8)</f>
        <v>0</v>
      </c>
      <c r="X8" s="7">
        <f>(ROUNDDOWN(SUM($W$6:W8)/$AA$2,0))</f>
        <v>0</v>
      </c>
      <c r="Y8" s="5">
        <f t="shared" si="9"/>
        <v>0</v>
      </c>
      <c r="AC8" s="19"/>
      <c r="AD8" s="27"/>
      <c r="AI8" s="15" t="s">
        <v>3073</v>
      </c>
      <c r="AJ8" s="19">
        <v>0</v>
      </c>
      <c r="AK8" s="19">
        <f t="shared" si="2"/>
        <v>400</v>
      </c>
      <c r="AL8" s="19">
        <f t="shared" si="2"/>
        <v>500</v>
      </c>
      <c r="AM8" s="19">
        <f t="shared" si="2"/>
        <v>700</v>
      </c>
      <c r="AN8" s="19">
        <f t="shared" si="2"/>
        <v>800</v>
      </c>
      <c r="AO8" s="19">
        <f t="shared" si="2"/>
        <v>900</v>
      </c>
      <c r="AP8" s="19">
        <f t="shared" si="2"/>
        <v>1100</v>
      </c>
      <c r="AQ8" s="19">
        <f t="shared" si="2"/>
        <v>1200</v>
      </c>
      <c r="AR8" s="19">
        <f t="shared" si="2"/>
        <v>1400</v>
      </c>
      <c r="AS8" s="19">
        <f t="shared" si="2"/>
        <v>1900</v>
      </c>
      <c r="AV8" s="5">
        <v>7</v>
      </c>
      <c r="AW8" s="5">
        <v>2</v>
      </c>
    </row>
    <row r="9" spans="1:52" ht="15">
      <c r="A9" s="5">
        <v>4</v>
      </c>
      <c r="B9" s="22">
        <f t="array" ref="B9">IFERROR(INDEX(SaleData!D:D,MATCH($D$1,IF(SaleData!G:G=A9,SaleData!B:B),0)),0)</f>
        <v>41353</v>
      </c>
      <c r="C9" s="23">
        <f t="array" ref="C9">IFERROR(INDEX(SaleData!E:E,MATCH($D$1,IF(SaleData!G:G=A9,SaleData!B:B),0)),0)</f>
        <v>1</v>
      </c>
      <c r="D9" s="18">
        <f t="shared" si="5"/>
        <v>46975</v>
      </c>
      <c r="E9" s="7">
        <f t="shared" si="6"/>
        <v>-429917.12000000011</v>
      </c>
      <c r="F9" s="5">
        <f t="shared" si="3"/>
        <v>5</v>
      </c>
      <c r="G9" s="5">
        <f t="shared" si="7"/>
        <v>53</v>
      </c>
      <c r="H9" s="24">
        <f t="shared" si="4"/>
        <v>42400</v>
      </c>
      <c r="I9" s="25"/>
      <c r="J9" s="25"/>
      <c r="K9" s="25"/>
      <c r="L9" s="24">
        <f>IFERROR(VLOOKUP($H$5,$AI:$AS,$F$10,FALSE)*$G9-SUM($H9:K9),0)</f>
        <v>0</v>
      </c>
      <c r="M9" s="24">
        <f>IFERROR(VLOOKUP($H$5,$AI:$AS,$F$11,FALSE)*$G9-SUM($H9:L9),0)</f>
        <v>26500</v>
      </c>
      <c r="N9" s="24">
        <f>IFERROR(VLOOKUP($H$5,$AI:$AS,$F$12,FALSE)*$G9-SUM($H9:M9),0)</f>
        <v>0</v>
      </c>
      <c r="O9" s="24">
        <f>IFERROR(VLOOKUP($H$5,$AI:$AS,$F$13,FALSE)*$G9-SUM($H9:N9),0)</f>
        <v>0</v>
      </c>
      <c r="P9" s="24">
        <f>IFERROR(VLOOKUP($H$5,$AI:$AS,$F$14,FALSE)*$G9-SUM($H9:O9),0)</f>
        <v>0</v>
      </c>
      <c r="Q9" s="24">
        <f>IFERROR(VLOOKUP($H$5,$AI:$AS,$F$15,FALSE)*$G9-SUM($H9:P9),0)</f>
        <v>0</v>
      </c>
      <c r="R9" s="25">
        <f>IFERROR(D9-(H9+SUM(K$6:K8)),0)</f>
        <v>-14025</v>
      </c>
      <c r="S9" s="25">
        <f t="shared" ref="S9:S15" si="10">D9-R9</f>
        <v>61000</v>
      </c>
      <c r="T9" s="26">
        <f>IFERROR(S9/D9,0)</f>
        <v>1.2985630654603513</v>
      </c>
      <c r="V9" s="46">
        <v>41337</v>
      </c>
      <c r="W9" s="4">
        <f>SUMIFS(FinanceData!E:E,FinanceData!F:F,'Payment Based NDP (Array Based)'!$D$1,FinanceData!A:A,"BR",FinanceData!C:C,'Payment Based NDP (Array Based)'!V9)-SUMIFS(FinanceData!E:E,FinanceData!F:F,'Payment Based NDP (Array Based)'!$D$1,FinanceData!A:A,"BP",FinanceData!C:C,'Payment Based NDP (Array Based)'!V9)</f>
        <v>0</v>
      </c>
      <c r="X9" s="7">
        <f>(ROUNDDOWN(SUM($W$6:W9)/$AA$2,0))</f>
        <v>0</v>
      </c>
      <c r="Y9" s="5">
        <f t="shared" si="9"/>
        <v>0</v>
      </c>
      <c r="AA9" s="18"/>
      <c r="AC9" s="19"/>
      <c r="AD9" s="27"/>
      <c r="AV9" s="5">
        <v>8</v>
      </c>
      <c r="AW9" s="5">
        <v>2</v>
      </c>
    </row>
    <row r="10" spans="1:52" ht="15">
      <c r="A10" s="5">
        <v>5</v>
      </c>
      <c r="B10" s="22">
        <f t="array" ref="B10">IFERROR(INDEX(SaleData!D:D,MATCH($D$1,IF(SaleData!G:G=A10,SaleData!B:B),0)),0)</f>
        <v>41353</v>
      </c>
      <c r="C10" s="23">
        <f t="array" ref="C10">IFERROR(INDEX(SaleData!E:E,MATCH($D$1,IF(SaleData!G:G=A10,SaleData!B:B),0)),0)</f>
        <v>22</v>
      </c>
      <c r="D10" s="18">
        <f t="shared" si="5"/>
        <v>1033450</v>
      </c>
      <c r="E10" s="7">
        <f t="shared" si="6"/>
        <v>-415892.12000000011</v>
      </c>
      <c r="F10" s="5">
        <f t="shared" si="3"/>
        <v>5</v>
      </c>
      <c r="G10" s="5">
        <f t="shared" si="7"/>
        <v>0</v>
      </c>
      <c r="H10" s="24">
        <f t="shared" si="4"/>
        <v>0</v>
      </c>
      <c r="M10" s="24">
        <f>IFERROR(VLOOKUP($H$5,$AI:$AS,$F$11,FALSE)*$G10-SUM($H10:L10),0)</f>
        <v>0</v>
      </c>
      <c r="N10" s="24">
        <f>IFERROR(VLOOKUP($H$5,$AI:$AS,$F$12,FALSE)*$G10-SUM($H10:M10),0)</f>
        <v>0</v>
      </c>
      <c r="O10" s="24">
        <f>IFERROR(VLOOKUP($H$5,$AI:$AS,$F$13,FALSE)*$G10-SUM($H10:N10),0)</f>
        <v>0</v>
      </c>
      <c r="P10" s="24">
        <f>IFERROR(VLOOKUP($H$5,$AI:$AS,$F$14,FALSE)*$G10-SUM($H10:O10),0)</f>
        <v>0</v>
      </c>
      <c r="Q10" s="24">
        <f>IFERROR(VLOOKUP($H$5,$AI:$AS,$F$15,FALSE)*$G10-SUM($H10:P10),0)</f>
        <v>0</v>
      </c>
      <c r="R10" s="25">
        <f>IFERROR(D10-(H10+SUM(L$6:L9)),0)</f>
        <v>1033450</v>
      </c>
      <c r="S10" s="25">
        <f t="shared" si="10"/>
        <v>0</v>
      </c>
      <c r="T10" s="26">
        <f t="shared" ref="T10:T15" si="11">IFERROR(S10/D10,0)</f>
        <v>0</v>
      </c>
      <c r="V10" s="46">
        <v>41338</v>
      </c>
      <c r="W10" s="4">
        <f>SUMIFS(FinanceData!E:E,FinanceData!F:F,'Payment Based NDP (Array Based)'!$D$1,FinanceData!A:A,"BR",FinanceData!C:C,'Payment Based NDP (Array Based)'!V10)-SUMIFS(FinanceData!E:E,FinanceData!F:F,'Payment Based NDP (Array Based)'!$D$1,FinanceData!A:A,"BP",FinanceData!C:C,'Payment Based NDP (Array Based)'!V10)</f>
        <v>0</v>
      </c>
      <c r="X10" s="7">
        <f>(ROUNDDOWN(SUM($W$6:W10)/$AA$2,0))</f>
        <v>0</v>
      </c>
      <c r="Y10" s="5">
        <f t="shared" si="9"/>
        <v>0</v>
      </c>
      <c r="AC10" s="19"/>
      <c r="AD10" s="27"/>
      <c r="AI10" s="28" t="s">
        <v>3074</v>
      </c>
      <c r="AJ10" s="28">
        <v>0</v>
      </c>
      <c r="AK10" s="28">
        <v>500</v>
      </c>
      <c r="AL10" s="28">
        <v>600</v>
      </c>
      <c r="AM10" s="28">
        <v>800</v>
      </c>
      <c r="AN10" s="28">
        <v>900</v>
      </c>
      <c r="AO10" s="28">
        <v>1000</v>
      </c>
      <c r="AP10" s="28">
        <v>1200</v>
      </c>
      <c r="AQ10" s="28">
        <v>1300</v>
      </c>
      <c r="AR10" s="28">
        <v>1500</v>
      </c>
      <c r="AS10" s="28">
        <v>2000</v>
      </c>
      <c r="AV10" s="5">
        <v>9</v>
      </c>
      <c r="AW10" s="5">
        <v>2</v>
      </c>
    </row>
    <row r="11" spans="1:52" ht="15">
      <c r="A11" s="5">
        <v>6</v>
      </c>
      <c r="B11" s="22">
        <f t="array" ref="B11">IFERROR(INDEX(SaleData!D:D,MATCH($D$1,IF(SaleData!G:G=A11,SaleData!B:B),0)),0)</f>
        <v>41363</v>
      </c>
      <c r="C11" s="23">
        <f t="array" ref="C11">IFERROR(INDEX(SaleData!E:E,MATCH($D$1,IF(SaleData!G:G=A11,SaleData!B:B),0)),0)</f>
        <v>35</v>
      </c>
      <c r="D11" s="18">
        <f t="shared" si="5"/>
        <v>1644125</v>
      </c>
      <c r="E11" s="7">
        <f t="shared" si="6"/>
        <v>3550657.88</v>
      </c>
      <c r="F11" s="5">
        <f t="shared" si="3"/>
        <v>9</v>
      </c>
      <c r="G11" s="5">
        <f t="shared" si="7"/>
        <v>159</v>
      </c>
      <c r="H11" s="24">
        <f t="shared" si="4"/>
        <v>206700</v>
      </c>
      <c r="N11" s="24">
        <f>IFERROR(VLOOKUP($H$5,$AI:$AS,$F$12,FALSE)*$G11-SUM($H11:M11),0)</f>
        <v>0</v>
      </c>
      <c r="O11" s="24">
        <f>IFERROR(VLOOKUP($H$5,$AI:$AS,$F$13,FALSE)*$G11-SUM($H11:N11),0)</f>
        <v>0</v>
      </c>
      <c r="P11" s="24">
        <f>IFERROR(VLOOKUP($H$5,$AI:$AS,$F$14,FALSE)*$G11-SUM($H11:O11),0)</f>
        <v>0</v>
      </c>
      <c r="Q11" s="24">
        <f>IFERROR(VLOOKUP($H$5,$AI:$AS,$F$15,FALSE)*$G11-SUM($H11:P11),0)</f>
        <v>0</v>
      </c>
      <c r="R11" s="25">
        <f>IFERROR(D11-(H11+SUM(M$6:M10)),0)</f>
        <v>1379925</v>
      </c>
      <c r="S11" s="25">
        <f t="shared" si="10"/>
        <v>264200</v>
      </c>
      <c r="T11" s="26">
        <f t="shared" si="11"/>
        <v>0.16069337793659241</v>
      </c>
      <c r="V11" s="46">
        <v>41339</v>
      </c>
      <c r="W11" s="4">
        <f>SUMIFS(FinanceData!E:E,FinanceData!F:F,'Payment Based NDP (Array Based)'!$D$1,FinanceData!A:A,"BR",FinanceData!C:C,'Payment Based NDP (Array Based)'!V11)-SUMIFS(FinanceData!E:E,FinanceData!F:F,'Payment Based NDP (Array Based)'!$D$1,FinanceData!A:A,"BP",FinanceData!C:C,'Payment Based NDP (Array Based)'!V11)</f>
        <v>0</v>
      </c>
      <c r="X11" s="7">
        <f>(ROUNDDOWN(SUM($W$6:W11)/$AA$2,0))</f>
        <v>0</v>
      </c>
      <c r="Y11" s="5">
        <f t="shared" si="9"/>
        <v>0</v>
      </c>
      <c r="AC11" s="19"/>
      <c r="AD11" s="27"/>
      <c r="AV11" s="5">
        <v>10</v>
      </c>
      <c r="AW11" s="5">
        <v>2</v>
      </c>
    </row>
    <row r="12" spans="1:52" ht="15">
      <c r="A12" s="5">
        <v>7</v>
      </c>
      <c r="B12" s="22">
        <f t="array" ref="B12">IFERROR(INDEX(SaleData!D:D,MATCH($D$1,IF(SaleData!G:G=A12,SaleData!B:B),0)),0)</f>
        <v>41363</v>
      </c>
      <c r="C12" s="23">
        <f t="array" ref="C12">IFERROR(INDEX(SaleData!E:E,MATCH($D$1,IF(SaleData!G:G=A12,SaleData!B:B),0)),0)</f>
        <v>10</v>
      </c>
      <c r="D12" s="18">
        <f t="shared" si="5"/>
        <v>469750</v>
      </c>
      <c r="E12" s="7">
        <f t="shared" si="6"/>
        <v>2170732.88</v>
      </c>
      <c r="F12" s="5">
        <f t="shared" si="3"/>
        <v>9</v>
      </c>
      <c r="G12" s="5">
        <f t="shared" si="7"/>
        <v>0</v>
      </c>
      <c r="H12" s="24">
        <f t="shared" si="4"/>
        <v>0</v>
      </c>
      <c r="O12" s="24">
        <f>IFERROR(VLOOKUP($H$5,$AI:$AS,$F$13,FALSE)*$G12-SUM($H12:N12),0)</f>
        <v>0</v>
      </c>
      <c r="P12" s="24">
        <f>IFERROR(VLOOKUP($H$5,$AI:$AS,$F$14,FALSE)*$G12-SUM($H12:O12),0)</f>
        <v>0</v>
      </c>
      <c r="Q12" s="24">
        <f>IFERROR(VLOOKUP($H$5,$AI:$AS,$F$15,FALSE)*$G12-SUM($H12:P12),0)</f>
        <v>0</v>
      </c>
      <c r="R12" s="25">
        <f>IFERROR(D12-(H12+SUM(N$6:N11)),0)</f>
        <v>469750</v>
      </c>
      <c r="S12" s="25">
        <f t="shared" si="10"/>
        <v>0</v>
      </c>
      <c r="T12" s="26">
        <f t="shared" si="11"/>
        <v>0</v>
      </c>
      <c r="V12" s="46">
        <v>41340</v>
      </c>
      <c r="W12" s="4">
        <f>SUMIFS(FinanceData!E:E,FinanceData!F:F,'Payment Based NDP (Array Based)'!$D$1,FinanceData!A:A,"BR",FinanceData!C:C,'Payment Based NDP (Array Based)'!V12)-SUMIFS(FinanceData!E:E,FinanceData!F:F,'Payment Based NDP (Array Based)'!$D$1,FinanceData!A:A,"BP",FinanceData!C:C,'Payment Based NDP (Array Based)'!V12)</f>
        <v>1500000</v>
      </c>
      <c r="X12" s="7">
        <f>(ROUNDDOWN(SUM($W$6:W12)/$AA$2,0))</f>
        <v>31</v>
      </c>
      <c r="Y12" s="5">
        <f t="shared" si="9"/>
        <v>3</v>
      </c>
      <c r="AV12" s="5">
        <v>11</v>
      </c>
      <c r="AW12" s="5">
        <v>2</v>
      </c>
    </row>
    <row r="13" spans="1:52" ht="15">
      <c r="A13" s="5">
        <v>8</v>
      </c>
      <c r="B13" s="22">
        <f t="array" ref="B13">IFERROR(INDEX(SaleData!D:D,MATCH($D$1,IF(SaleData!G:G=A13,SaleData!B:B),0)),0)</f>
        <v>0</v>
      </c>
      <c r="C13" s="23">
        <f t="array" ref="C13">IFERROR(INDEX(SaleData!E:E,MATCH($D$1,IF(SaleData!G:G=A13,SaleData!B:B),0)),0)</f>
        <v>0</v>
      </c>
      <c r="D13" s="18">
        <f t="shared" si="5"/>
        <v>0</v>
      </c>
      <c r="E13" s="7">
        <f t="shared" si="6"/>
        <v>1700982.88</v>
      </c>
      <c r="F13" s="5">
        <f t="shared" si="3"/>
        <v>0</v>
      </c>
      <c r="G13" s="5">
        <f t="shared" si="7"/>
        <v>0</v>
      </c>
      <c r="H13" s="24">
        <f t="shared" si="4"/>
        <v>0</v>
      </c>
      <c r="P13" s="24">
        <f>IFERROR(VLOOKUP($H$5,$AI:$AS,$F$14,FALSE)*$G13-SUM($H13:O13),0)</f>
        <v>0</v>
      </c>
      <c r="Q13" s="24">
        <f>IFERROR(VLOOKUP($H$5,$AI:$AS,$F$15,FALSE)*$G13-SUM($H13:P13),0)</f>
        <v>0</v>
      </c>
      <c r="R13" s="25">
        <f>IFERROR(D13-(H13+SUM(O$6:O12)),0)</f>
        <v>0</v>
      </c>
      <c r="S13" s="25">
        <f t="shared" si="10"/>
        <v>0</v>
      </c>
      <c r="T13" s="26">
        <f t="shared" si="11"/>
        <v>0</v>
      </c>
      <c r="V13" s="46">
        <v>41341</v>
      </c>
      <c r="W13" s="4">
        <f>SUMIFS(FinanceData!E:E,FinanceData!F:F,'Payment Based NDP (Array Based)'!$D$1,FinanceData!A:A,"BR",FinanceData!C:C,'Payment Based NDP (Array Based)'!V13)-SUMIFS(FinanceData!E:E,FinanceData!F:F,'Payment Based NDP (Array Based)'!$D$1,FinanceData!A:A,"BP",FinanceData!C:C,'Payment Based NDP (Array Based)'!V13)</f>
        <v>0</v>
      </c>
      <c r="X13" s="7">
        <f>(ROUNDDOWN(SUM($W$6:W13)/$AA$2,0))</f>
        <v>31</v>
      </c>
      <c r="Y13" s="5">
        <f t="shared" si="9"/>
        <v>3</v>
      </c>
      <c r="AV13" s="5">
        <v>12</v>
      </c>
      <c r="AW13" s="5">
        <v>2</v>
      </c>
    </row>
    <row r="14" spans="1:52" ht="15">
      <c r="A14" s="5">
        <v>9</v>
      </c>
      <c r="B14" s="22">
        <f t="array" ref="B14">IFERROR(INDEX(SaleData!D:D,MATCH($D$1,IF(SaleData!G:G=A14,SaleData!B:B),0)),0)</f>
        <v>0</v>
      </c>
      <c r="C14" s="23">
        <f t="array" ref="C14">IFERROR(INDEX(SaleData!E:E,MATCH($D$1,IF(SaleData!G:G=A14,SaleData!B:B),0)),0)</f>
        <v>0</v>
      </c>
      <c r="D14" s="18">
        <f t="shared" si="5"/>
        <v>0</v>
      </c>
      <c r="E14" s="7">
        <f t="shared" si="6"/>
        <v>1700982.88</v>
      </c>
      <c r="F14" s="5">
        <f t="shared" si="3"/>
        <v>0</v>
      </c>
      <c r="G14" s="5">
        <f t="shared" si="7"/>
        <v>0</v>
      </c>
      <c r="H14" s="24">
        <f t="shared" si="4"/>
        <v>0</v>
      </c>
      <c r="Q14" s="24">
        <f>IFERROR(VLOOKUP($H$5,$AI:$AS,$F$15,FALSE)*$G14-SUM($H14:P14),0)</f>
        <v>0</v>
      </c>
      <c r="R14" s="25">
        <f>IFERROR(D14-(H14+SUM(P$6:P13)),0)</f>
        <v>0</v>
      </c>
      <c r="S14" s="25">
        <f t="shared" si="10"/>
        <v>0</v>
      </c>
      <c r="T14" s="26">
        <f t="shared" si="11"/>
        <v>0</v>
      </c>
      <c r="V14" s="46">
        <v>41342</v>
      </c>
      <c r="W14" s="4">
        <f>SUMIFS(FinanceData!E:E,FinanceData!F:F,'Payment Based NDP (Array Based)'!$D$1,FinanceData!A:A,"BR",FinanceData!C:C,'Payment Based NDP (Array Based)'!V14)-SUMIFS(FinanceData!E:E,FinanceData!F:F,'Payment Based NDP (Array Based)'!$D$1,FinanceData!A:A,"BP",FinanceData!C:C,'Payment Based NDP (Array Based)'!V14)</f>
        <v>0</v>
      </c>
      <c r="X14" s="7">
        <f>(ROUNDDOWN(SUM($W$6:W14)/$AA$2,0))</f>
        <v>31</v>
      </c>
      <c r="Y14" s="5">
        <f t="shared" si="9"/>
        <v>3</v>
      </c>
      <c r="AA14" s="18"/>
      <c r="AR14" s="18"/>
      <c r="AV14" s="5">
        <v>13</v>
      </c>
      <c r="AW14" s="5">
        <v>2</v>
      </c>
    </row>
    <row r="15" spans="1:52" ht="15">
      <c r="A15" s="5">
        <v>10</v>
      </c>
      <c r="B15" s="22">
        <f t="array" ref="B15">IFERROR(INDEX(SaleData!D:D,MATCH($D$1,IF(SaleData!G:G=A15,SaleData!B:B),0)),0)</f>
        <v>0</v>
      </c>
      <c r="C15" s="23">
        <f t="array" ref="C15">IFERROR(INDEX(SaleData!E:E,MATCH($D$1,IF(SaleData!G:G=A15,SaleData!B:B),0)),0)</f>
        <v>0</v>
      </c>
      <c r="D15" s="18">
        <f t="shared" si="5"/>
        <v>0</v>
      </c>
      <c r="E15" s="7">
        <f t="shared" si="6"/>
        <v>1700982.88</v>
      </c>
      <c r="F15" s="5">
        <f t="shared" si="3"/>
        <v>0</v>
      </c>
      <c r="G15" s="5">
        <f t="shared" si="7"/>
        <v>0</v>
      </c>
      <c r="H15" s="24">
        <f t="shared" si="4"/>
        <v>0</v>
      </c>
      <c r="R15" s="25">
        <f>IFERROR(D15-(H15+SUM(Q$6:Q14)),0)</f>
        <v>0</v>
      </c>
      <c r="S15" s="25">
        <f t="shared" si="10"/>
        <v>0</v>
      </c>
      <c r="T15" s="26">
        <f t="shared" si="11"/>
        <v>0</v>
      </c>
      <c r="V15" s="46">
        <v>41343</v>
      </c>
      <c r="W15" s="4">
        <f>SUMIFS(FinanceData!E:E,FinanceData!F:F,'Payment Based NDP (Array Based)'!$D$1,FinanceData!A:A,"BR",FinanceData!C:C,'Payment Based NDP (Array Based)'!V15)-SUMIFS(FinanceData!E:E,FinanceData!F:F,'Payment Based NDP (Array Based)'!$D$1,FinanceData!A:A,"BP",FinanceData!C:C,'Payment Based NDP (Array Based)'!V15)</f>
        <v>0</v>
      </c>
      <c r="X15" s="7">
        <f>(ROUNDDOWN(SUM($W$6:W15)/$AA$2,0))</f>
        <v>31</v>
      </c>
      <c r="Y15" s="5">
        <f t="shared" si="9"/>
        <v>3</v>
      </c>
      <c r="AC15" s="19"/>
      <c r="AD15" s="29"/>
      <c r="AE15" s="30"/>
      <c r="AF15" s="30"/>
      <c r="AG15" s="30"/>
      <c r="AH15" s="30"/>
      <c r="AI15" s="30"/>
      <c r="AJ15" s="29"/>
      <c r="AR15" s="31"/>
      <c r="AV15" s="5">
        <v>14</v>
      </c>
      <c r="AW15" s="5">
        <v>2</v>
      </c>
    </row>
    <row r="16" spans="1:52" ht="15">
      <c r="H16" s="18"/>
      <c r="V16" s="46">
        <v>41344</v>
      </c>
      <c r="W16" s="4">
        <f>SUMIFS(FinanceData!E:E,FinanceData!F:F,'Payment Based NDP (Array Based)'!$D$1,FinanceData!A:A,"BR",FinanceData!C:C,'Payment Based NDP (Array Based)'!V16)-SUMIFS(FinanceData!E:E,FinanceData!F:F,'Payment Based NDP (Array Based)'!$D$1,FinanceData!A:A,"BP",FinanceData!C:C,'Payment Based NDP (Array Based)'!V16)</f>
        <v>0</v>
      </c>
      <c r="X16" s="7">
        <f>(ROUNDDOWN(SUM($W$6:W16)/$AA$2,0))</f>
        <v>31</v>
      </c>
      <c r="Y16" s="5">
        <f t="shared" si="9"/>
        <v>3</v>
      </c>
      <c r="AC16" s="32"/>
      <c r="AD16" s="33"/>
      <c r="AE16" s="16"/>
      <c r="AF16" s="16"/>
      <c r="AG16" s="16"/>
      <c r="AH16" s="16"/>
      <c r="AI16" s="16"/>
      <c r="AJ16" s="33"/>
      <c r="AR16" s="31"/>
      <c r="AV16" s="5">
        <v>15</v>
      </c>
      <c r="AW16" s="5">
        <v>2</v>
      </c>
    </row>
    <row r="17" spans="1:49" ht="15">
      <c r="B17" s="3" t="s">
        <v>3097</v>
      </c>
      <c r="V17" s="46">
        <v>41345</v>
      </c>
      <c r="W17" s="4">
        <f>SUMIFS(FinanceData!E:E,FinanceData!F:F,'Payment Based NDP (Array Based)'!$D$1,FinanceData!A:A,"BR",FinanceData!C:C,'Payment Based NDP (Array Based)'!V17)-SUMIFS(FinanceData!E:E,FinanceData!F:F,'Payment Based NDP (Array Based)'!$D$1,FinanceData!A:A,"BP",FinanceData!C:C,'Payment Based NDP (Array Based)'!V17)</f>
        <v>0</v>
      </c>
      <c r="X17" s="7">
        <f>(ROUNDDOWN(SUM($W$6:W17)/$AA$2,0))</f>
        <v>31</v>
      </c>
      <c r="Y17" s="5">
        <f t="shared" si="9"/>
        <v>3</v>
      </c>
      <c r="AC17" s="32"/>
      <c r="AD17" s="33"/>
      <c r="AE17" s="16"/>
      <c r="AF17" s="16"/>
      <c r="AG17" s="16"/>
      <c r="AH17" s="16"/>
      <c r="AI17" s="16"/>
      <c r="AJ17" s="33"/>
      <c r="AV17" s="5">
        <v>16</v>
      </c>
      <c r="AW17" s="5">
        <v>2</v>
      </c>
    </row>
    <row r="18" spans="1:49" ht="15">
      <c r="E18" s="7" t="e">
        <f>SaleData!#REF!</f>
        <v>#REF!</v>
      </c>
      <c r="V18" s="46">
        <v>41346</v>
      </c>
      <c r="W18" s="4">
        <f>SUMIFS(FinanceData!E:E,FinanceData!F:F,'Payment Based NDP (Array Based)'!$D$1,FinanceData!A:A,"BR",FinanceData!C:C,'Payment Based NDP (Array Based)'!V18)-SUMIFS(FinanceData!E:E,FinanceData!F:F,'Payment Based NDP (Array Based)'!$D$1,FinanceData!A:A,"BP",FinanceData!C:C,'Payment Based NDP (Array Based)'!V18)</f>
        <v>0</v>
      </c>
      <c r="X18" s="7">
        <f>(ROUNDDOWN(SUM($W$6:W18)/$AA$2,0))</f>
        <v>31</v>
      </c>
      <c r="Y18" s="5">
        <f t="shared" si="9"/>
        <v>3</v>
      </c>
      <c r="AA18" s="18"/>
      <c r="AC18" s="32"/>
      <c r="AD18" s="33"/>
      <c r="AE18" s="16"/>
      <c r="AF18" s="16"/>
      <c r="AG18" s="16"/>
      <c r="AH18" s="16"/>
      <c r="AI18" s="16"/>
      <c r="AJ18" s="33"/>
      <c r="AV18" s="5">
        <v>17</v>
      </c>
      <c r="AW18" s="5">
        <v>2</v>
      </c>
    </row>
    <row r="19" spans="1:49" ht="15">
      <c r="A19" s="34"/>
      <c r="B19" s="35" t="s">
        <v>3098</v>
      </c>
      <c r="V19" s="46">
        <v>41347</v>
      </c>
      <c r="W19" s="4">
        <f>SUMIFS(FinanceData!E:E,FinanceData!F:F,'Payment Based NDP (Array Based)'!$D$1,FinanceData!A:A,"BR",FinanceData!C:C,'Payment Based NDP (Array Based)'!V19)-SUMIFS(FinanceData!E:E,FinanceData!F:F,'Payment Based NDP (Array Based)'!$D$1,FinanceData!A:A,"BP",FinanceData!C:C,'Payment Based NDP (Array Based)'!V19)</f>
        <v>0</v>
      </c>
      <c r="X19" s="7">
        <f>(ROUNDDOWN(SUM($W$6:W19)/$AA$2,0))</f>
        <v>31</v>
      </c>
      <c r="Y19" s="5">
        <f t="shared" si="9"/>
        <v>3</v>
      </c>
      <c r="AC19" s="32"/>
      <c r="AD19" s="33"/>
      <c r="AE19" s="16"/>
      <c r="AF19" s="16"/>
      <c r="AG19" s="16"/>
      <c r="AH19" s="16"/>
      <c r="AI19" s="16"/>
      <c r="AJ19" s="33"/>
      <c r="AV19" s="5">
        <v>18</v>
      </c>
      <c r="AW19" s="5">
        <v>2</v>
      </c>
    </row>
    <row r="20" spans="1:49" s="39" customFormat="1" ht="25.5" customHeight="1">
      <c r="A20" s="34"/>
      <c r="B20" s="36" t="s">
        <v>3099</v>
      </c>
      <c r="C20" s="36" t="s">
        <v>3078</v>
      </c>
      <c r="D20" s="36" t="s">
        <v>3100</v>
      </c>
      <c r="E20" s="36" t="s">
        <v>3057</v>
      </c>
      <c r="F20" s="37" t="s">
        <v>3094</v>
      </c>
      <c r="G20" s="38" t="s">
        <v>3101</v>
      </c>
      <c r="H20" s="38" t="s">
        <v>3102</v>
      </c>
      <c r="V20" s="46">
        <v>41348</v>
      </c>
      <c r="W20" s="4">
        <f>SUMIFS(FinanceData!E:E,FinanceData!F:F,'Payment Based NDP (Array Based)'!$D$1,FinanceData!A:A,"BR",FinanceData!C:C,'Payment Based NDP (Array Based)'!V20)-SUMIFS(FinanceData!E:E,FinanceData!F:F,'Payment Based NDP (Array Based)'!$D$1,FinanceData!A:A,"BP",FinanceData!C:C,'Payment Based NDP (Array Based)'!V20)</f>
        <v>1000000</v>
      </c>
      <c r="X20" s="7">
        <f>(ROUNDDOWN(SUM($W$6:W20)/$AA$2,0))</f>
        <v>53</v>
      </c>
      <c r="Y20" s="5">
        <f t="shared" si="9"/>
        <v>5</v>
      </c>
      <c r="AC20" s="40"/>
      <c r="AD20" s="41"/>
      <c r="AE20" s="42"/>
      <c r="AF20" s="42"/>
      <c r="AG20" s="42"/>
      <c r="AH20" s="42"/>
      <c r="AI20" s="42"/>
      <c r="AJ20" s="41"/>
      <c r="AV20" s="5">
        <v>19</v>
      </c>
      <c r="AW20" s="5">
        <v>2</v>
      </c>
    </row>
    <row r="21" spans="1:49" ht="15">
      <c r="A21" s="34"/>
      <c r="B21" s="43">
        <f>SUM(C6:C15)</f>
        <v>132</v>
      </c>
      <c r="C21" s="43">
        <f>SUM(G6:G15)</f>
        <v>274</v>
      </c>
      <c r="D21" s="43" t="str">
        <f>H5</f>
        <v>Tier 3</v>
      </c>
      <c r="E21" s="43">
        <f>MAX(Y6:Y36)</f>
        <v>9</v>
      </c>
      <c r="F21" s="44">
        <f>C21*VLOOKUP(D21,AI:AS,E21,FALSE)</f>
        <v>356200</v>
      </c>
      <c r="G21" s="18">
        <f>E15</f>
        <v>1700982.88</v>
      </c>
      <c r="H21" s="5" t="str">
        <f>IF(G21&lt;=$AE$7,$AC$7,IF(G21&lt;=$AE$6,$AC$6,IF(G21&lt;=$AE$5,$AC$5,IF(G21&lt;=$AE$4,$AC$4,IF(G21&lt;=$AE$3,$AC$3,IF(G21&lt;=$AE$2,$AC$2,$AC$2))))))</f>
        <v>Tier 1</v>
      </c>
      <c r="V21" s="46">
        <v>41349</v>
      </c>
      <c r="W21" s="4">
        <f>SUMIFS(FinanceData!E:E,FinanceData!F:F,'Payment Based NDP (Array Based)'!$D$1,FinanceData!A:A,"BR",FinanceData!C:C,'Payment Based NDP (Array Based)'!V21)-SUMIFS(FinanceData!E:E,FinanceData!F:F,'Payment Based NDP (Array Based)'!$D$1,FinanceData!A:A,"BP",FinanceData!C:C,'Payment Based NDP (Array Based)'!V21)</f>
        <v>0</v>
      </c>
      <c r="X21" s="7">
        <f>(ROUNDDOWN(SUM($W$6:W21)/$AA$2,0))</f>
        <v>53</v>
      </c>
      <c r="Y21" s="5">
        <f t="shared" si="9"/>
        <v>5</v>
      </c>
      <c r="AC21" s="32"/>
      <c r="AD21" s="33"/>
      <c r="AE21" s="16"/>
      <c r="AF21" s="16"/>
      <c r="AG21" s="16"/>
      <c r="AH21" s="16"/>
      <c r="AI21" s="16"/>
      <c r="AJ21" s="16"/>
      <c r="AV21" s="5">
        <v>20</v>
      </c>
      <c r="AW21" s="5">
        <v>2</v>
      </c>
    </row>
    <row r="22" spans="1:49" ht="15">
      <c r="V22" s="46">
        <v>41350</v>
      </c>
      <c r="W22" s="4">
        <f>SUMIFS(FinanceData!E:E,FinanceData!F:F,'Payment Based NDP (Array Based)'!$D$1,FinanceData!A:A,"BR",FinanceData!C:C,'Payment Based NDP (Array Based)'!V22)-SUMIFS(FinanceData!E:E,FinanceData!F:F,'Payment Based NDP (Array Based)'!$D$1,FinanceData!A:A,"BP",FinanceData!C:C,'Payment Based NDP (Array Based)'!V22)</f>
        <v>0</v>
      </c>
      <c r="X22" s="7">
        <f>(ROUNDDOWN(SUM($W$6:W22)/$AA$2,0))</f>
        <v>53</v>
      </c>
      <c r="Y22" s="5">
        <f t="shared" si="9"/>
        <v>5</v>
      </c>
      <c r="AR22" s="5">
        <v>8</v>
      </c>
      <c r="AV22" s="5">
        <v>21</v>
      </c>
      <c r="AW22" s="5">
        <v>2</v>
      </c>
    </row>
    <row r="23" spans="1:49" ht="15">
      <c r="B23" s="3"/>
      <c r="V23" s="46">
        <v>41351</v>
      </c>
      <c r="W23" s="4">
        <f>SUMIFS(FinanceData!E:E,FinanceData!F:F,'Payment Based NDP (Array Based)'!$D$1,FinanceData!A:A,"BR",FinanceData!C:C,'Payment Based NDP (Array Based)'!V23)-SUMIFS(FinanceData!E:E,FinanceData!F:F,'Payment Based NDP (Array Based)'!$D$1,FinanceData!A:A,"BP",FinanceData!C:C,'Payment Based NDP (Array Based)'!V23)</f>
        <v>0</v>
      </c>
      <c r="X23" s="7">
        <f>(ROUNDDOWN(SUM($W$6:W23)/$AA$2,0))</f>
        <v>53</v>
      </c>
      <c r="Y23" s="5">
        <f t="shared" si="9"/>
        <v>5</v>
      </c>
      <c r="AV23" s="5">
        <v>22</v>
      </c>
      <c r="AW23" s="5">
        <v>2</v>
      </c>
    </row>
    <row r="24" spans="1:49" ht="15">
      <c r="A24" s="3"/>
      <c r="D24" s="7"/>
      <c r="G24" s="3"/>
      <c r="V24" s="46">
        <v>41352</v>
      </c>
      <c r="W24" s="4">
        <f>SUMIFS(FinanceData!E:E,FinanceData!F:F,'Payment Based NDP (Array Based)'!$D$1,FinanceData!A:A,"BR",FinanceData!C:C,'Payment Based NDP (Array Based)'!V24)-SUMIFS(FinanceData!E:E,FinanceData!F:F,'Payment Based NDP (Array Based)'!$D$1,FinanceData!A:A,"BP",FinanceData!C:C,'Payment Based NDP (Array Based)'!V24)</f>
        <v>0</v>
      </c>
      <c r="X24" s="7">
        <f>(ROUNDDOWN(SUM($W$6:W24)/$AA$2,0))</f>
        <v>53</v>
      </c>
      <c r="Y24" s="5">
        <f t="shared" si="9"/>
        <v>5</v>
      </c>
      <c r="AV24" s="5">
        <v>23</v>
      </c>
      <c r="AW24" s="5">
        <v>2</v>
      </c>
    </row>
    <row r="25" spans="1:49" ht="15">
      <c r="A25" s="45"/>
      <c r="D25" s="7"/>
      <c r="G25" s="45"/>
      <c r="V25" s="46">
        <v>41353</v>
      </c>
      <c r="W25" s="4">
        <f>SUMIFS(FinanceData!E:E,FinanceData!F:F,'Payment Based NDP (Array Based)'!$D$1,FinanceData!A:A,"BR",FinanceData!C:C,'Payment Based NDP (Array Based)'!V25)-SUMIFS(FinanceData!E:E,FinanceData!F:F,'Payment Based NDP (Array Based)'!$D$1,FinanceData!A:A,"BP",FinanceData!C:C,'Payment Based NDP (Array Based)'!V25)</f>
        <v>0</v>
      </c>
      <c r="X25" s="7">
        <f>(ROUNDDOWN(SUM($W$6:W25)/$AA$2,0))</f>
        <v>53</v>
      </c>
      <c r="Y25" s="5">
        <f t="shared" si="9"/>
        <v>5</v>
      </c>
      <c r="AV25" s="5">
        <v>24</v>
      </c>
      <c r="AW25" s="5">
        <v>2</v>
      </c>
    </row>
    <row r="26" spans="1:49" ht="15">
      <c r="A26" s="45"/>
      <c r="D26" s="7"/>
      <c r="V26" s="46">
        <v>41354</v>
      </c>
      <c r="W26" s="4">
        <f>SUMIFS(FinanceData!E:E,FinanceData!F:F,'Payment Based NDP (Array Based)'!$D$1,FinanceData!A:A,"BR",FinanceData!C:C,'Payment Based NDP (Array Based)'!V26)-SUMIFS(FinanceData!E:E,FinanceData!F:F,'Payment Based NDP (Array Based)'!$D$1,FinanceData!A:A,"BP",FinanceData!C:C,'Payment Based NDP (Array Based)'!V26)</f>
        <v>0</v>
      </c>
      <c r="X26" s="7">
        <f>(ROUNDDOWN(SUM($W$6:W26)/$AA$2,0))</f>
        <v>53</v>
      </c>
      <c r="Y26" s="5">
        <f t="shared" si="9"/>
        <v>5</v>
      </c>
      <c r="AV26" s="5">
        <v>25</v>
      </c>
      <c r="AW26" s="5">
        <v>3</v>
      </c>
    </row>
    <row r="27" spans="1:49" ht="15">
      <c r="A27" s="45"/>
      <c r="D27" s="7"/>
      <c r="V27" s="46">
        <v>41355</v>
      </c>
      <c r="W27" s="4">
        <f>SUMIFS(FinanceData!E:E,FinanceData!F:F,'Payment Based NDP (Array Based)'!$D$1,FinanceData!A:A,"BR",FinanceData!C:C,'Payment Based NDP (Array Based)'!V27)-SUMIFS(FinanceData!E:E,FinanceData!F:F,'Payment Based NDP (Array Based)'!$D$1,FinanceData!A:A,"BP",FinanceData!C:C,'Payment Based NDP (Array Based)'!V27)</f>
        <v>1000000</v>
      </c>
      <c r="X27" s="7">
        <f>(ROUNDDOWN(SUM($W$6:W27)/$AA$2,0))</f>
        <v>74</v>
      </c>
      <c r="Y27" s="5">
        <f t="shared" si="9"/>
        <v>5</v>
      </c>
      <c r="AV27" s="5">
        <v>26</v>
      </c>
      <c r="AW27" s="5">
        <v>3</v>
      </c>
    </row>
    <row r="28" spans="1:49" ht="15">
      <c r="A28" s="45"/>
      <c r="D28" s="7"/>
      <c r="V28" s="46">
        <v>41356</v>
      </c>
      <c r="W28" s="4">
        <f>SUMIFS(FinanceData!E:E,FinanceData!F:F,'Payment Based NDP (Array Based)'!$D$1,FinanceData!A:A,"BR",FinanceData!C:C,'Payment Based NDP (Array Based)'!V28)-SUMIFS(FinanceData!E:E,FinanceData!F:F,'Payment Based NDP (Array Based)'!$D$1,FinanceData!A:A,"BP",FinanceData!C:C,'Payment Based NDP (Array Based)'!V28)</f>
        <v>0</v>
      </c>
      <c r="X28" s="7">
        <f>(ROUNDDOWN(SUM($W$6:W28)/$AA$2,0))</f>
        <v>74</v>
      </c>
      <c r="Y28" s="5">
        <f t="shared" si="9"/>
        <v>5</v>
      </c>
      <c r="AV28" s="5">
        <v>27</v>
      </c>
      <c r="AW28" s="5">
        <v>3</v>
      </c>
    </row>
    <row r="29" spans="1:49" ht="15">
      <c r="A29" s="45"/>
      <c r="D29" s="7"/>
      <c r="V29" s="46">
        <v>41357</v>
      </c>
      <c r="W29" s="4">
        <f>SUMIFS(FinanceData!E:E,FinanceData!F:F,'Payment Based NDP (Array Based)'!$D$1,FinanceData!A:A,"BR",FinanceData!C:C,'Payment Based NDP (Array Based)'!V29)-SUMIFS(FinanceData!E:E,FinanceData!F:F,'Payment Based NDP (Array Based)'!$D$1,FinanceData!A:A,"BP",FinanceData!C:C,'Payment Based NDP (Array Based)'!V29)</f>
        <v>0</v>
      </c>
      <c r="X29" s="7">
        <f>(ROUNDDOWN(SUM($W$6:W29)/$AA$2,0))</f>
        <v>74</v>
      </c>
      <c r="Y29" s="5">
        <f t="shared" si="9"/>
        <v>5</v>
      </c>
      <c r="AV29" s="5">
        <v>28</v>
      </c>
      <c r="AW29" s="5">
        <v>3</v>
      </c>
    </row>
    <row r="30" spans="1:49" ht="15">
      <c r="F30" s="7"/>
      <c r="V30" s="46">
        <v>41358</v>
      </c>
      <c r="W30" s="4">
        <f>SUMIFS(FinanceData!E:E,FinanceData!F:F,'Payment Based NDP (Array Based)'!$D$1,FinanceData!A:A,"BR",FinanceData!C:C,'Payment Based NDP (Array Based)'!V30)-SUMIFS(FinanceData!E:E,FinanceData!F:F,'Payment Based NDP (Array Based)'!$D$1,FinanceData!A:A,"BP",FinanceData!C:C,'Payment Based NDP (Array Based)'!V30)</f>
        <v>0</v>
      </c>
      <c r="X30" s="7">
        <f>(ROUNDDOWN(SUM($W$6:W30)/$AA$2,0))</f>
        <v>74</v>
      </c>
      <c r="Y30" s="5">
        <f t="shared" si="9"/>
        <v>5</v>
      </c>
      <c r="AV30" s="5">
        <v>29</v>
      </c>
      <c r="AW30" s="5">
        <v>3</v>
      </c>
    </row>
    <row r="31" spans="1:49" ht="15">
      <c r="A31" s="3"/>
      <c r="F31" s="7"/>
      <c r="V31" s="46">
        <v>41359</v>
      </c>
      <c r="W31" s="4">
        <f>SUMIFS(FinanceData!E:E,FinanceData!F:F,'Payment Based NDP (Array Based)'!$D$1,FinanceData!A:A,"BR",FinanceData!C:C,'Payment Based NDP (Array Based)'!V31)-SUMIFS(FinanceData!E:E,FinanceData!F:F,'Payment Based NDP (Array Based)'!$D$1,FinanceData!A:A,"BP",FinanceData!C:C,'Payment Based NDP (Array Based)'!V31)</f>
        <v>0</v>
      </c>
      <c r="X31" s="7">
        <f>(ROUNDDOWN(SUM($W$6:W31)/$AA$2,0))</f>
        <v>74</v>
      </c>
      <c r="Y31" s="5">
        <f t="shared" si="9"/>
        <v>5</v>
      </c>
      <c r="AV31" s="5">
        <v>30</v>
      </c>
      <c r="AW31" s="5">
        <v>3</v>
      </c>
    </row>
    <row r="32" spans="1:49" ht="15">
      <c r="F32" s="7"/>
      <c r="V32" s="46">
        <v>41360</v>
      </c>
      <c r="W32" s="4">
        <f>SUMIFS(FinanceData!E:E,FinanceData!F:F,'Payment Based NDP (Array Based)'!$D$1,FinanceData!A:A,"BR",FinanceData!C:C,'Payment Based NDP (Array Based)'!V32)-SUMIFS(FinanceData!E:E,FinanceData!F:F,'Payment Based NDP (Array Based)'!$D$1,FinanceData!A:A,"BP",FinanceData!C:C,'Payment Based NDP (Array Based)'!V32)</f>
        <v>1000000</v>
      </c>
      <c r="X32" s="7">
        <f>(ROUNDDOWN(SUM($W$6:W32)/$AA$2,0))</f>
        <v>95</v>
      </c>
      <c r="Y32" s="5">
        <f t="shared" si="9"/>
        <v>6</v>
      </c>
      <c r="AV32" s="5">
        <v>31</v>
      </c>
      <c r="AW32" s="5">
        <v>3</v>
      </c>
    </row>
    <row r="33" spans="6:49" ht="15">
      <c r="F33" s="7"/>
      <c r="V33" s="46">
        <v>41361</v>
      </c>
      <c r="W33" s="4">
        <f>SUMIFS(FinanceData!E:E,FinanceData!F:F,'Payment Based NDP (Array Based)'!$D$1,FinanceData!A:A,"BR",FinanceData!C:C,'Payment Based NDP (Array Based)'!V33)-SUMIFS(FinanceData!E:E,FinanceData!F:F,'Payment Based NDP (Array Based)'!$D$1,FinanceData!A:A,"BP",FinanceData!C:C,'Payment Based NDP (Array Based)'!V33)</f>
        <v>0</v>
      </c>
      <c r="X33" s="7">
        <f>(ROUNDDOWN(SUM($W$6:W33)/$AA$2,0))</f>
        <v>95</v>
      </c>
      <c r="Y33" s="5">
        <f t="shared" si="9"/>
        <v>6</v>
      </c>
      <c r="AV33" s="5">
        <v>32</v>
      </c>
      <c r="AW33" s="5">
        <v>3</v>
      </c>
    </row>
    <row r="34" spans="6:49" ht="15">
      <c r="F34" s="7"/>
      <c r="V34" s="46">
        <v>41362</v>
      </c>
      <c r="W34" s="4">
        <f>SUMIFS(FinanceData!E:E,FinanceData!F:F,'Payment Based NDP (Array Based)'!$D$1,FinanceData!A:A,"BR",FinanceData!C:C,'Payment Based NDP (Array Based)'!V34)-SUMIFS(FinanceData!E:E,FinanceData!F:F,'Payment Based NDP (Array Based)'!$D$1,FinanceData!A:A,"BP",FinanceData!C:C,'Payment Based NDP (Array Based)'!V34)</f>
        <v>0</v>
      </c>
      <c r="X34" s="7">
        <f>(ROUNDDOWN(SUM($W$6:W34)/$AA$2,0))</f>
        <v>95</v>
      </c>
      <c r="Y34" s="5">
        <f t="shared" si="9"/>
        <v>6</v>
      </c>
      <c r="AV34" s="5">
        <v>33</v>
      </c>
      <c r="AW34" s="5">
        <v>3</v>
      </c>
    </row>
    <row r="35" spans="6:49" ht="15">
      <c r="V35" s="46">
        <v>41363</v>
      </c>
      <c r="W35" s="4">
        <f>SUMIFS(FinanceData!E:E,FinanceData!F:F,'Payment Based NDP (Array Based)'!$D$1,FinanceData!A:A,"BR",FinanceData!C:C,'Payment Based NDP (Array Based)'!V35)-SUMIFS(FinanceData!E:E,FinanceData!F:F,'Payment Based NDP (Array Based)'!$D$1,FinanceData!A:A,"BP",FinanceData!C:C,'Payment Based NDP (Array Based)'!V35)</f>
        <v>3000000</v>
      </c>
      <c r="X35" s="7">
        <f>(ROUNDDOWN(SUM($W$6:W35)/$AA$2,0))</f>
        <v>159</v>
      </c>
      <c r="Y35" s="5">
        <f t="shared" si="9"/>
        <v>9</v>
      </c>
      <c r="AV35" s="5">
        <v>34</v>
      </c>
      <c r="AW35" s="5">
        <v>3</v>
      </c>
    </row>
    <row r="36" spans="6:49" ht="15">
      <c r="V36" s="46">
        <v>41364</v>
      </c>
      <c r="W36" s="4">
        <f>SUMIFS(FinanceData!E:E,FinanceData!F:F,'Payment Based NDP (Array Based)'!$D$1,FinanceData!A:A,"BR",FinanceData!C:C,'Payment Based NDP (Array Based)'!V36)-SUMIFS(FinanceData!E:E,FinanceData!F:F,'Payment Based NDP (Array Based)'!$D$1,FinanceData!A:A,"BP",FinanceData!C:C,'Payment Based NDP (Array Based)'!V36)</f>
        <v>0</v>
      </c>
      <c r="X36" s="7">
        <f>(ROUNDDOWN(SUM($W$6:W36)/$AA$2,0))</f>
        <v>159</v>
      </c>
      <c r="Y36" s="5">
        <f t="shared" si="9"/>
        <v>9</v>
      </c>
      <c r="AV36" s="5">
        <v>35</v>
      </c>
      <c r="AW36" s="5">
        <v>4</v>
      </c>
    </row>
    <row r="37" spans="6:49">
      <c r="AV37" s="5">
        <v>36</v>
      </c>
      <c r="AW37" s="5">
        <v>4</v>
      </c>
    </row>
    <row r="38" spans="6:49">
      <c r="AV38" s="5">
        <v>37</v>
      </c>
      <c r="AW38" s="5">
        <v>4</v>
      </c>
    </row>
    <row r="39" spans="6:49">
      <c r="AV39" s="5">
        <v>38</v>
      </c>
      <c r="AW39" s="5">
        <v>4</v>
      </c>
    </row>
    <row r="40" spans="6:49">
      <c r="AV40" s="5">
        <v>39</v>
      </c>
      <c r="AW40" s="5">
        <v>4</v>
      </c>
    </row>
    <row r="41" spans="6:49">
      <c r="AV41" s="5">
        <v>40</v>
      </c>
      <c r="AW41" s="5">
        <v>4</v>
      </c>
    </row>
    <row r="42" spans="6:49">
      <c r="AV42" s="5">
        <v>41</v>
      </c>
      <c r="AW42" s="5">
        <v>4</v>
      </c>
    </row>
    <row r="43" spans="6:49">
      <c r="AV43" s="5">
        <v>42</v>
      </c>
      <c r="AW43" s="5">
        <v>4</v>
      </c>
    </row>
    <row r="44" spans="6:49">
      <c r="AV44" s="5">
        <v>43</v>
      </c>
      <c r="AW44" s="5">
        <v>4</v>
      </c>
    </row>
    <row r="45" spans="6:49">
      <c r="AV45" s="5">
        <v>44</v>
      </c>
      <c r="AW45" s="5">
        <v>4</v>
      </c>
    </row>
    <row r="46" spans="6:49">
      <c r="AV46" s="5">
        <v>45</v>
      </c>
      <c r="AW46" s="5">
        <v>4</v>
      </c>
    </row>
    <row r="47" spans="6:49">
      <c r="AV47" s="5">
        <v>46</v>
      </c>
      <c r="AW47" s="5">
        <v>4</v>
      </c>
    </row>
    <row r="48" spans="6:49">
      <c r="AV48" s="5">
        <v>47</v>
      </c>
      <c r="AW48" s="5">
        <v>4</v>
      </c>
    </row>
    <row r="49" spans="48:49">
      <c r="AV49" s="5">
        <v>48</v>
      </c>
      <c r="AW49" s="5">
        <v>4</v>
      </c>
    </row>
    <row r="50" spans="48:49">
      <c r="AV50" s="5">
        <v>49</v>
      </c>
      <c r="AW50" s="5">
        <v>4</v>
      </c>
    </row>
    <row r="51" spans="48:49">
      <c r="AV51" s="5">
        <v>50</v>
      </c>
      <c r="AW51" s="5">
        <v>5</v>
      </c>
    </row>
    <row r="52" spans="48:49">
      <c r="AV52" s="5">
        <v>51</v>
      </c>
      <c r="AW52" s="5">
        <v>5</v>
      </c>
    </row>
    <row r="53" spans="48:49">
      <c r="AV53" s="5">
        <v>52</v>
      </c>
      <c r="AW53" s="5">
        <v>5</v>
      </c>
    </row>
    <row r="54" spans="48:49">
      <c r="AV54" s="5">
        <v>53</v>
      </c>
      <c r="AW54" s="5">
        <v>5</v>
      </c>
    </row>
    <row r="55" spans="48:49">
      <c r="AV55" s="5">
        <v>54</v>
      </c>
      <c r="AW55" s="5">
        <v>5</v>
      </c>
    </row>
    <row r="56" spans="48:49">
      <c r="AV56" s="5">
        <v>55</v>
      </c>
      <c r="AW56" s="5">
        <v>5</v>
      </c>
    </row>
    <row r="57" spans="48:49">
      <c r="AV57" s="5">
        <v>56</v>
      </c>
      <c r="AW57" s="5">
        <v>5</v>
      </c>
    </row>
    <row r="58" spans="48:49">
      <c r="AV58" s="5">
        <v>57</v>
      </c>
      <c r="AW58" s="5">
        <v>5</v>
      </c>
    </row>
    <row r="59" spans="48:49">
      <c r="AV59" s="5">
        <v>58</v>
      </c>
      <c r="AW59" s="5">
        <v>5</v>
      </c>
    </row>
    <row r="60" spans="48:49">
      <c r="AV60" s="5">
        <v>59</v>
      </c>
      <c r="AW60" s="5">
        <v>5</v>
      </c>
    </row>
    <row r="61" spans="48:49">
      <c r="AV61" s="5">
        <v>60</v>
      </c>
      <c r="AW61" s="5">
        <v>5</v>
      </c>
    </row>
    <row r="62" spans="48:49">
      <c r="AV62" s="5">
        <v>61</v>
      </c>
      <c r="AW62" s="5">
        <v>5</v>
      </c>
    </row>
    <row r="63" spans="48:49">
      <c r="AV63" s="5">
        <v>62</v>
      </c>
      <c r="AW63" s="5">
        <v>5</v>
      </c>
    </row>
    <row r="64" spans="48:49">
      <c r="AV64" s="5">
        <v>63</v>
      </c>
      <c r="AW64" s="5">
        <v>5</v>
      </c>
    </row>
    <row r="65" spans="48:49">
      <c r="AV65" s="5">
        <v>64</v>
      </c>
      <c r="AW65" s="5">
        <v>5</v>
      </c>
    </row>
    <row r="66" spans="48:49">
      <c r="AV66" s="5">
        <v>65</v>
      </c>
      <c r="AW66" s="5">
        <v>5</v>
      </c>
    </row>
    <row r="67" spans="48:49">
      <c r="AV67" s="5">
        <v>66</v>
      </c>
      <c r="AW67" s="5">
        <v>5</v>
      </c>
    </row>
    <row r="68" spans="48:49">
      <c r="AV68" s="5">
        <v>67</v>
      </c>
      <c r="AW68" s="5">
        <v>5</v>
      </c>
    </row>
    <row r="69" spans="48:49">
      <c r="AV69" s="5">
        <v>68</v>
      </c>
      <c r="AW69" s="5">
        <v>5</v>
      </c>
    </row>
    <row r="70" spans="48:49">
      <c r="AV70" s="5">
        <v>69</v>
      </c>
      <c r="AW70" s="5">
        <v>5</v>
      </c>
    </row>
    <row r="71" spans="48:49">
      <c r="AV71" s="5">
        <v>70</v>
      </c>
      <c r="AW71" s="5">
        <v>5</v>
      </c>
    </row>
    <row r="72" spans="48:49">
      <c r="AV72" s="5">
        <v>71</v>
      </c>
      <c r="AW72" s="5">
        <v>5</v>
      </c>
    </row>
    <row r="73" spans="48:49">
      <c r="AV73" s="5">
        <v>72</v>
      </c>
      <c r="AW73" s="5">
        <v>5</v>
      </c>
    </row>
    <row r="74" spans="48:49">
      <c r="AV74" s="5">
        <v>73</v>
      </c>
      <c r="AW74" s="5">
        <v>5</v>
      </c>
    </row>
    <row r="75" spans="48:49">
      <c r="AV75" s="5">
        <v>74</v>
      </c>
      <c r="AW75" s="5">
        <v>5</v>
      </c>
    </row>
    <row r="76" spans="48:49">
      <c r="AV76" s="5">
        <v>75</v>
      </c>
      <c r="AW76" s="5">
        <v>6</v>
      </c>
    </row>
    <row r="77" spans="48:49">
      <c r="AV77" s="5">
        <v>76</v>
      </c>
      <c r="AW77" s="5">
        <v>6</v>
      </c>
    </row>
    <row r="78" spans="48:49">
      <c r="AV78" s="5">
        <v>77</v>
      </c>
      <c r="AW78" s="5">
        <v>6</v>
      </c>
    </row>
    <row r="79" spans="48:49">
      <c r="AV79" s="5">
        <v>78</v>
      </c>
      <c r="AW79" s="5">
        <v>6</v>
      </c>
    </row>
    <row r="80" spans="48:49">
      <c r="AV80" s="5">
        <v>79</v>
      </c>
      <c r="AW80" s="5">
        <v>6</v>
      </c>
    </row>
    <row r="81" spans="48:49">
      <c r="AV81" s="5">
        <v>80</v>
      </c>
      <c r="AW81" s="5">
        <v>6</v>
      </c>
    </row>
    <row r="82" spans="48:49">
      <c r="AV82" s="5">
        <v>81</v>
      </c>
      <c r="AW82" s="5">
        <v>6</v>
      </c>
    </row>
    <row r="83" spans="48:49">
      <c r="AV83" s="5">
        <v>82</v>
      </c>
      <c r="AW83" s="5">
        <v>6</v>
      </c>
    </row>
    <row r="84" spans="48:49">
      <c r="AV84" s="5">
        <v>83</v>
      </c>
      <c r="AW84" s="5">
        <v>6</v>
      </c>
    </row>
    <row r="85" spans="48:49">
      <c r="AV85" s="5">
        <v>84</v>
      </c>
      <c r="AW85" s="5">
        <v>6</v>
      </c>
    </row>
    <row r="86" spans="48:49">
      <c r="AV86" s="5">
        <v>85</v>
      </c>
      <c r="AW86" s="5">
        <v>6</v>
      </c>
    </row>
    <row r="87" spans="48:49">
      <c r="AV87" s="5">
        <v>86</v>
      </c>
      <c r="AW87" s="5">
        <v>6</v>
      </c>
    </row>
    <row r="88" spans="48:49">
      <c r="AV88" s="5">
        <v>87</v>
      </c>
      <c r="AW88" s="5">
        <v>6</v>
      </c>
    </row>
    <row r="89" spans="48:49">
      <c r="AV89" s="5">
        <v>88</v>
      </c>
      <c r="AW89" s="5">
        <v>6</v>
      </c>
    </row>
    <row r="90" spans="48:49">
      <c r="AV90" s="5">
        <v>89</v>
      </c>
      <c r="AW90" s="5">
        <v>6</v>
      </c>
    </row>
    <row r="91" spans="48:49">
      <c r="AV91" s="5">
        <v>90</v>
      </c>
      <c r="AW91" s="5">
        <v>6</v>
      </c>
    </row>
    <row r="92" spans="48:49">
      <c r="AV92" s="5">
        <v>91</v>
      </c>
      <c r="AW92" s="5">
        <v>6</v>
      </c>
    </row>
    <row r="93" spans="48:49">
      <c r="AV93" s="5">
        <v>92</v>
      </c>
      <c r="AW93" s="5">
        <v>6</v>
      </c>
    </row>
    <row r="94" spans="48:49">
      <c r="AV94" s="5">
        <v>93</v>
      </c>
      <c r="AW94" s="5">
        <v>6</v>
      </c>
    </row>
    <row r="95" spans="48:49">
      <c r="AV95" s="5">
        <v>94</v>
      </c>
      <c r="AW95" s="5">
        <v>6</v>
      </c>
    </row>
    <row r="96" spans="48:49">
      <c r="AV96" s="5">
        <v>95</v>
      </c>
      <c r="AW96" s="5">
        <v>6</v>
      </c>
    </row>
    <row r="97" spans="48:49">
      <c r="AV97" s="5">
        <v>96</v>
      </c>
      <c r="AW97" s="5">
        <v>6</v>
      </c>
    </row>
    <row r="98" spans="48:49">
      <c r="AV98" s="5">
        <v>97</v>
      </c>
      <c r="AW98" s="5">
        <v>6</v>
      </c>
    </row>
    <row r="99" spans="48:49">
      <c r="AV99" s="5">
        <v>98</v>
      </c>
      <c r="AW99" s="5">
        <v>6</v>
      </c>
    </row>
    <row r="100" spans="48:49">
      <c r="AV100" s="5">
        <v>99</v>
      </c>
      <c r="AW100" s="5">
        <v>6</v>
      </c>
    </row>
    <row r="101" spans="48:49">
      <c r="AV101" s="5">
        <v>100</v>
      </c>
      <c r="AW101" s="5">
        <v>7</v>
      </c>
    </row>
    <row r="102" spans="48:49">
      <c r="AV102" s="5">
        <v>101</v>
      </c>
      <c r="AW102" s="5">
        <v>7</v>
      </c>
    </row>
    <row r="103" spans="48:49">
      <c r="AV103" s="5">
        <v>102</v>
      </c>
      <c r="AW103" s="5">
        <v>7</v>
      </c>
    </row>
    <row r="104" spans="48:49">
      <c r="AV104" s="5">
        <v>103</v>
      </c>
      <c r="AW104" s="5">
        <v>7</v>
      </c>
    </row>
    <row r="105" spans="48:49">
      <c r="AV105" s="5">
        <v>104</v>
      </c>
      <c r="AW105" s="5">
        <v>7</v>
      </c>
    </row>
    <row r="106" spans="48:49">
      <c r="AV106" s="5">
        <v>105</v>
      </c>
      <c r="AW106" s="5">
        <v>7</v>
      </c>
    </row>
    <row r="107" spans="48:49">
      <c r="AV107" s="5">
        <v>106</v>
      </c>
      <c r="AW107" s="5">
        <v>7</v>
      </c>
    </row>
    <row r="108" spans="48:49">
      <c r="AV108" s="5">
        <v>107</v>
      </c>
      <c r="AW108" s="5">
        <v>7</v>
      </c>
    </row>
    <row r="109" spans="48:49">
      <c r="AV109" s="5">
        <v>108</v>
      </c>
      <c r="AW109" s="5">
        <v>7</v>
      </c>
    </row>
    <row r="110" spans="48:49">
      <c r="AV110" s="5">
        <v>109</v>
      </c>
      <c r="AW110" s="5">
        <v>7</v>
      </c>
    </row>
    <row r="111" spans="48:49">
      <c r="AV111" s="5">
        <v>110</v>
      </c>
      <c r="AW111" s="5">
        <v>7</v>
      </c>
    </row>
    <row r="112" spans="48:49">
      <c r="AV112" s="5">
        <v>111</v>
      </c>
      <c r="AW112" s="5">
        <v>7</v>
      </c>
    </row>
    <row r="113" spans="48:49">
      <c r="AV113" s="5">
        <v>112</v>
      </c>
      <c r="AW113" s="5">
        <v>7</v>
      </c>
    </row>
    <row r="114" spans="48:49">
      <c r="AV114" s="5">
        <v>113</v>
      </c>
      <c r="AW114" s="5">
        <v>7</v>
      </c>
    </row>
    <row r="115" spans="48:49">
      <c r="AV115" s="5">
        <v>114</v>
      </c>
      <c r="AW115" s="5">
        <v>7</v>
      </c>
    </row>
    <row r="116" spans="48:49">
      <c r="AV116" s="5">
        <v>115</v>
      </c>
      <c r="AW116" s="5">
        <v>7</v>
      </c>
    </row>
    <row r="117" spans="48:49">
      <c r="AV117" s="5">
        <v>116</v>
      </c>
      <c r="AW117" s="5">
        <v>7</v>
      </c>
    </row>
    <row r="118" spans="48:49">
      <c r="AV118" s="5">
        <v>117</v>
      </c>
      <c r="AW118" s="5">
        <v>7</v>
      </c>
    </row>
    <row r="119" spans="48:49">
      <c r="AV119" s="5">
        <v>118</v>
      </c>
      <c r="AW119" s="5">
        <v>7</v>
      </c>
    </row>
    <row r="120" spans="48:49">
      <c r="AV120" s="5">
        <v>119</v>
      </c>
      <c r="AW120" s="5">
        <v>7</v>
      </c>
    </row>
    <row r="121" spans="48:49">
      <c r="AV121" s="5">
        <v>120</v>
      </c>
      <c r="AW121" s="5">
        <v>7</v>
      </c>
    </row>
    <row r="122" spans="48:49">
      <c r="AV122" s="5">
        <v>121</v>
      </c>
      <c r="AW122" s="5">
        <v>7</v>
      </c>
    </row>
    <row r="123" spans="48:49">
      <c r="AV123" s="5">
        <v>122</v>
      </c>
      <c r="AW123" s="5">
        <v>7</v>
      </c>
    </row>
    <row r="124" spans="48:49">
      <c r="AV124" s="5">
        <v>123</v>
      </c>
      <c r="AW124" s="5">
        <v>7</v>
      </c>
    </row>
    <row r="125" spans="48:49">
      <c r="AV125" s="5">
        <v>124</v>
      </c>
      <c r="AW125" s="5">
        <v>7</v>
      </c>
    </row>
    <row r="126" spans="48:49">
      <c r="AV126" s="5">
        <v>125</v>
      </c>
      <c r="AW126" s="5">
        <v>8</v>
      </c>
    </row>
    <row r="127" spans="48:49">
      <c r="AV127" s="5">
        <v>126</v>
      </c>
      <c r="AW127" s="5">
        <v>8</v>
      </c>
    </row>
    <row r="128" spans="48:49">
      <c r="AV128" s="5">
        <v>127</v>
      </c>
      <c r="AW128" s="5">
        <v>8</v>
      </c>
    </row>
    <row r="129" spans="48:49">
      <c r="AV129" s="5">
        <v>128</v>
      </c>
      <c r="AW129" s="5">
        <v>8</v>
      </c>
    </row>
    <row r="130" spans="48:49">
      <c r="AV130" s="5">
        <v>129</v>
      </c>
      <c r="AW130" s="5">
        <v>8</v>
      </c>
    </row>
    <row r="131" spans="48:49">
      <c r="AV131" s="5">
        <v>130</v>
      </c>
      <c r="AW131" s="5">
        <v>8</v>
      </c>
    </row>
    <row r="132" spans="48:49">
      <c r="AV132" s="5">
        <v>131</v>
      </c>
      <c r="AW132" s="5">
        <v>8</v>
      </c>
    </row>
    <row r="133" spans="48:49">
      <c r="AV133" s="5">
        <v>132</v>
      </c>
      <c r="AW133" s="5">
        <v>8</v>
      </c>
    </row>
    <row r="134" spans="48:49">
      <c r="AV134" s="5">
        <v>133</v>
      </c>
      <c r="AW134" s="5">
        <v>8</v>
      </c>
    </row>
    <row r="135" spans="48:49">
      <c r="AV135" s="5">
        <v>134</v>
      </c>
      <c r="AW135" s="5">
        <v>8</v>
      </c>
    </row>
    <row r="136" spans="48:49">
      <c r="AV136" s="5">
        <v>135</v>
      </c>
      <c r="AW136" s="5">
        <v>8</v>
      </c>
    </row>
    <row r="137" spans="48:49">
      <c r="AV137" s="5">
        <v>136</v>
      </c>
      <c r="AW137" s="5">
        <v>8</v>
      </c>
    </row>
    <row r="138" spans="48:49">
      <c r="AV138" s="5">
        <v>137</v>
      </c>
      <c r="AW138" s="5">
        <v>8</v>
      </c>
    </row>
    <row r="139" spans="48:49">
      <c r="AV139" s="5">
        <v>138</v>
      </c>
      <c r="AW139" s="5">
        <v>8</v>
      </c>
    </row>
    <row r="140" spans="48:49">
      <c r="AV140" s="5">
        <v>139</v>
      </c>
      <c r="AW140" s="5">
        <v>8</v>
      </c>
    </row>
    <row r="141" spans="48:49">
      <c r="AV141" s="5">
        <v>140</v>
      </c>
      <c r="AW141" s="5">
        <v>8</v>
      </c>
    </row>
    <row r="142" spans="48:49">
      <c r="AV142" s="5">
        <v>141</v>
      </c>
      <c r="AW142" s="5">
        <v>8</v>
      </c>
    </row>
    <row r="143" spans="48:49">
      <c r="AV143" s="5">
        <v>142</v>
      </c>
      <c r="AW143" s="5">
        <v>8</v>
      </c>
    </row>
    <row r="144" spans="48:49">
      <c r="AV144" s="5">
        <v>143</v>
      </c>
      <c r="AW144" s="5">
        <v>8</v>
      </c>
    </row>
    <row r="145" spans="48:49">
      <c r="AV145" s="5">
        <v>144</v>
      </c>
      <c r="AW145" s="5">
        <v>8</v>
      </c>
    </row>
    <row r="146" spans="48:49">
      <c r="AV146" s="5">
        <v>145</v>
      </c>
      <c r="AW146" s="5">
        <v>8</v>
      </c>
    </row>
    <row r="147" spans="48:49">
      <c r="AV147" s="5">
        <v>146</v>
      </c>
      <c r="AW147" s="5">
        <v>8</v>
      </c>
    </row>
    <row r="148" spans="48:49">
      <c r="AV148" s="5">
        <v>147</v>
      </c>
      <c r="AW148" s="5">
        <v>8</v>
      </c>
    </row>
    <row r="149" spans="48:49">
      <c r="AV149" s="5">
        <v>148</v>
      </c>
      <c r="AW149" s="5">
        <v>8</v>
      </c>
    </row>
    <row r="150" spans="48:49">
      <c r="AV150" s="5">
        <v>149</v>
      </c>
      <c r="AW150" s="5">
        <v>8</v>
      </c>
    </row>
    <row r="151" spans="48:49">
      <c r="AV151" s="5">
        <v>150</v>
      </c>
      <c r="AW151" s="5">
        <v>9</v>
      </c>
    </row>
    <row r="152" spans="48:49">
      <c r="AV152" s="5">
        <v>151</v>
      </c>
      <c r="AW152" s="5">
        <v>9</v>
      </c>
    </row>
    <row r="153" spans="48:49">
      <c r="AV153" s="5">
        <v>152</v>
      </c>
      <c r="AW153" s="5">
        <v>9</v>
      </c>
    </row>
    <row r="154" spans="48:49">
      <c r="AV154" s="5">
        <v>153</v>
      </c>
      <c r="AW154" s="5">
        <v>9</v>
      </c>
    </row>
    <row r="155" spans="48:49">
      <c r="AV155" s="5">
        <v>154</v>
      </c>
      <c r="AW155" s="5">
        <v>9</v>
      </c>
    </row>
    <row r="156" spans="48:49">
      <c r="AV156" s="5">
        <v>155</v>
      </c>
      <c r="AW156" s="5">
        <v>9</v>
      </c>
    </row>
    <row r="157" spans="48:49">
      <c r="AV157" s="5">
        <v>156</v>
      </c>
      <c r="AW157" s="5">
        <v>9</v>
      </c>
    </row>
    <row r="158" spans="48:49">
      <c r="AV158" s="5">
        <v>157</v>
      </c>
      <c r="AW158" s="5">
        <v>9</v>
      </c>
    </row>
    <row r="159" spans="48:49">
      <c r="AV159" s="5">
        <v>158</v>
      </c>
      <c r="AW159" s="5">
        <v>9</v>
      </c>
    </row>
    <row r="160" spans="48:49">
      <c r="AV160" s="5">
        <v>159</v>
      </c>
      <c r="AW160" s="5">
        <v>9</v>
      </c>
    </row>
    <row r="161" spans="48:49">
      <c r="AV161" s="5">
        <v>160</v>
      </c>
      <c r="AW161" s="5">
        <v>9</v>
      </c>
    </row>
    <row r="162" spans="48:49">
      <c r="AV162" s="5">
        <v>161</v>
      </c>
      <c r="AW162" s="5">
        <v>9</v>
      </c>
    </row>
    <row r="163" spans="48:49">
      <c r="AV163" s="5">
        <v>162</v>
      </c>
      <c r="AW163" s="5">
        <v>9</v>
      </c>
    </row>
    <row r="164" spans="48:49">
      <c r="AV164" s="5">
        <v>163</v>
      </c>
      <c r="AW164" s="5">
        <v>9</v>
      </c>
    </row>
    <row r="165" spans="48:49">
      <c r="AV165" s="5">
        <v>164</v>
      </c>
      <c r="AW165" s="5">
        <v>9</v>
      </c>
    </row>
    <row r="166" spans="48:49">
      <c r="AV166" s="5">
        <v>165</v>
      </c>
      <c r="AW166" s="5">
        <v>9</v>
      </c>
    </row>
    <row r="167" spans="48:49">
      <c r="AV167" s="5">
        <v>166</v>
      </c>
      <c r="AW167" s="5">
        <v>9</v>
      </c>
    </row>
    <row r="168" spans="48:49">
      <c r="AV168" s="5">
        <v>167</v>
      </c>
      <c r="AW168" s="5">
        <v>9</v>
      </c>
    </row>
    <row r="169" spans="48:49">
      <c r="AV169" s="5">
        <v>168</v>
      </c>
      <c r="AW169" s="5">
        <v>9</v>
      </c>
    </row>
    <row r="170" spans="48:49">
      <c r="AV170" s="5">
        <v>169</v>
      </c>
      <c r="AW170" s="5">
        <v>9</v>
      </c>
    </row>
    <row r="171" spans="48:49">
      <c r="AV171" s="5">
        <v>170</v>
      </c>
      <c r="AW171" s="5">
        <v>9</v>
      </c>
    </row>
    <row r="172" spans="48:49">
      <c r="AV172" s="5">
        <v>171</v>
      </c>
      <c r="AW172" s="5">
        <v>9</v>
      </c>
    </row>
    <row r="173" spans="48:49">
      <c r="AV173" s="5">
        <v>172</v>
      </c>
      <c r="AW173" s="5">
        <v>9</v>
      </c>
    </row>
    <row r="174" spans="48:49">
      <c r="AV174" s="5">
        <v>173</v>
      </c>
      <c r="AW174" s="5">
        <v>9</v>
      </c>
    </row>
    <row r="175" spans="48:49">
      <c r="AV175" s="5">
        <v>174</v>
      </c>
      <c r="AW175" s="5">
        <v>9</v>
      </c>
    </row>
    <row r="176" spans="48:49">
      <c r="AV176" s="5">
        <v>175</v>
      </c>
      <c r="AW176" s="5">
        <v>9</v>
      </c>
    </row>
    <row r="177" spans="48:49">
      <c r="AV177" s="5">
        <v>176</v>
      </c>
      <c r="AW177" s="5">
        <v>9</v>
      </c>
    </row>
    <row r="178" spans="48:49">
      <c r="AV178" s="5">
        <v>177</v>
      </c>
      <c r="AW178" s="5">
        <v>9</v>
      </c>
    </row>
    <row r="179" spans="48:49">
      <c r="AV179" s="5">
        <v>178</v>
      </c>
      <c r="AW179" s="5">
        <v>9</v>
      </c>
    </row>
    <row r="180" spans="48:49">
      <c r="AV180" s="5">
        <v>179</v>
      </c>
      <c r="AW180" s="5">
        <v>9</v>
      </c>
    </row>
    <row r="181" spans="48:49">
      <c r="AV181" s="5">
        <v>180</v>
      </c>
      <c r="AW181" s="5">
        <v>9</v>
      </c>
    </row>
    <row r="182" spans="48:49">
      <c r="AV182" s="5">
        <v>181</v>
      </c>
      <c r="AW182" s="5">
        <v>9</v>
      </c>
    </row>
    <row r="183" spans="48:49">
      <c r="AV183" s="5">
        <v>182</v>
      </c>
      <c r="AW183" s="5">
        <v>9</v>
      </c>
    </row>
    <row r="184" spans="48:49">
      <c r="AV184" s="5">
        <v>183</v>
      </c>
      <c r="AW184" s="5">
        <v>9</v>
      </c>
    </row>
    <row r="185" spans="48:49">
      <c r="AV185" s="5">
        <v>184</v>
      </c>
      <c r="AW185" s="5">
        <v>9</v>
      </c>
    </row>
    <row r="186" spans="48:49">
      <c r="AV186" s="5">
        <v>185</v>
      </c>
      <c r="AW186" s="5">
        <v>9</v>
      </c>
    </row>
    <row r="187" spans="48:49">
      <c r="AV187" s="5">
        <v>186</v>
      </c>
      <c r="AW187" s="5">
        <v>9</v>
      </c>
    </row>
    <row r="188" spans="48:49">
      <c r="AV188" s="5">
        <v>187</v>
      </c>
      <c r="AW188" s="5">
        <v>9</v>
      </c>
    </row>
    <row r="189" spans="48:49">
      <c r="AV189" s="5">
        <v>188</v>
      </c>
      <c r="AW189" s="5">
        <v>9</v>
      </c>
    </row>
    <row r="190" spans="48:49">
      <c r="AV190" s="5">
        <v>189</v>
      </c>
      <c r="AW190" s="5">
        <v>9</v>
      </c>
    </row>
    <row r="191" spans="48:49">
      <c r="AV191" s="5">
        <v>190</v>
      </c>
      <c r="AW191" s="5">
        <v>9</v>
      </c>
    </row>
    <row r="192" spans="48:49">
      <c r="AV192" s="5">
        <v>191</v>
      </c>
      <c r="AW192" s="5">
        <v>9</v>
      </c>
    </row>
    <row r="193" spans="48:49">
      <c r="AV193" s="5">
        <v>192</v>
      </c>
      <c r="AW193" s="5">
        <v>9</v>
      </c>
    </row>
    <row r="194" spans="48:49">
      <c r="AV194" s="5">
        <v>193</v>
      </c>
      <c r="AW194" s="5">
        <v>9</v>
      </c>
    </row>
    <row r="195" spans="48:49">
      <c r="AV195" s="5">
        <v>194</v>
      </c>
      <c r="AW195" s="5">
        <v>9</v>
      </c>
    </row>
    <row r="196" spans="48:49">
      <c r="AV196" s="5">
        <v>195</v>
      </c>
      <c r="AW196" s="5">
        <v>9</v>
      </c>
    </row>
    <row r="197" spans="48:49">
      <c r="AV197" s="5">
        <v>196</v>
      </c>
      <c r="AW197" s="5">
        <v>9</v>
      </c>
    </row>
    <row r="198" spans="48:49">
      <c r="AV198" s="5">
        <v>197</v>
      </c>
      <c r="AW198" s="5">
        <v>9</v>
      </c>
    </row>
    <row r="199" spans="48:49">
      <c r="AV199" s="5">
        <v>198</v>
      </c>
      <c r="AW199" s="5">
        <v>9</v>
      </c>
    </row>
    <row r="200" spans="48:49">
      <c r="AV200" s="5">
        <v>199</v>
      </c>
      <c r="AW200" s="5">
        <v>9</v>
      </c>
    </row>
    <row r="201" spans="48:49">
      <c r="AV201" s="5">
        <v>200</v>
      </c>
      <c r="AW201" s="5">
        <v>10</v>
      </c>
    </row>
    <row r="202" spans="48:49">
      <c r="AV202" s="5">
        <v>201</v>
      </c>
      <c r="AW202" s="5">
        <v>10</v>
      </c>
    </row>
    <row r="203" spans="48:49">
      <c r="AV203" s="5">
        <v>202</v>
      </c>
      <c r="AW203" s="5">
        <v>10</v>
      </c>
    </row>
    <row r="204" spans="48:49">
      <c r="AV204" s="5">
        <v>203</v>
      </c>
      <c r="AW204" s="5">
        <v>10</v>
      </c>
    </row>
    <row r="205" spans="48:49">
      <c r="AV205" s="5">
        <v>204</v>
      </c>
      <c r="AW205" s="5">
        <v>10</v>
      </c>
    </row>
    <row r="206" spans="48:49">
      <c r="AV206" s="5">
        <v>205</v>
      </c>
      <c r="AW206" s="5">
        <v>10</v>
      </c>
    </row>
    <row r="207" spans="48:49">
      <c r="AV207" s="5">
        <v>206</v>
      </c>
      <c r="AW207" s="5">
        <v>10</v>
      </c>
    </row>
    <row r="208" spans="48:49">
      <c r="AV208" s="5">
        <v>207</v>
      </c>
      <c r="AW208" s="5">
        <v>10</v>
      </c>
    </row>
    <row r="209" spans="48:49">
      <c r="AV209" s="5">
        <v>208</v>
      </c>
      <c r="AW209" s="5">
        <v>10</v>
      </c>
    </row>
    <row r="210" spans="48:49">
      <c r="AV210" s="5">
        <v>209</v>
      </c>
      <c r="AW210" s="5">
        <v>10</v>
      </c>
    </row>
    <row r="211" spans="48:49">
      <c r="AV211" s="5">
        <v>210</v>
      </c>
      <c r="AW211" s="5">
        <v>10</v>
      </c>
    </row>
    <row r="212" spans="48:49">
      <c r="AV212" s="5">
        <v>211</v>
      </c>
      <c r="AW212" s="5">
        <v>10</v>
      </c>
    </row>
    <row r="213" spans="48:49">
      <c r="AV213" s="5">
        <v>212</v>
      </c>
      <c r="AW213" s="5">
        <v>10</v>
      </c>
    </row>
    <row r="214" spans="48:49">
      <c r="AV214" s="5">
        <v>213</v>
      </c>
      <c r="AW214" s="5">
        <v>10</v>
      </c>
    </row>
    <row r="215" spans="48:49">
      <c r="AV215" s="5">
        <v>214</v>
      </c>
      <c r="AW215" s="5">
        <v>10</v>
      </c>
    </row>
    <row r="216" spans="48:49">
      <c r="AV216" s="5">
        <v>215</v>
      </c>
      <c r="AW216" s="5">
        <v>10</v>
      </c>
    </row>
    <row r="217" spans="48:49">
      <c r="AV217" s="5">
        <v>216</v>
      </c>
      <c r="AW217" s="5">
        <v>10</v>
      </c>
    </row>
    <row r="218" spans="48:49">
      <c r="AV218" s="5">
        <v>217</v>
      </c>
      <c r="AW218" s="5">
        <v>10</v>
      </c>
    </row>
    <row r="219" spans="48:49">
      <c r="AV219" s="5">
        <v>218</v>
      </c>
      <c r="AW219" s="5">
        <v>10</v>
      </c>
    </row>
    <row r="220" spans="48:49">
      <c r="AV220" s="5">
        <v>219</v>
      </c>
      <c r="AW220" s="5">
        <v>10</v>
      </c>
    </row>
    <row r="221" spans="48:49">
      <c r="AV221" s="5">
        <v>220</v>
      </c>
      <c r="AW221" s="5">
        <v>10</v>
      </c>
    </row>
    <row r="222" spans="48:49">
      <c r="AV222" s="5">
        <v>221</v>
      </c>
      <c r="AW222" s="5">
        <v>10</v>
      </c>
    </row>
    <row r="223" spans="48:49">
      <c r="AV223" s="5">
        <v>222</v>
      </c>
      <c r="AW223" s="5">
        <v>10</v>
      </c>
    </row>
    <row r="224" spans="48:49">
      <c r="AV224" s="5">
        <v>223</v>
      </c>
      <c r="AW224" s="5">
        <v>10</v>
      </c>
    </row>
    <row r="225" spans="48:49">
      <c r="AV225" s="5">
        <v>224</v>
      </c>
      <c r="AW225" s="5">
        <v>10</v>
      </c>
    </row>
    <row r="226" spans="48:49">
      <c r="AV226" s="5">
        <v>225</v>
      </c>
      <c r="AW226" s="5">
        <v>10</v>
      </c>
    </row>
    <row r="227" spans="48:49">
      <c r="AV227" s="5">
        <v>226</v>
      </c>
      <c r="AW227" s="5">
        <v>10</v>
      </c>
    </row>
    <row r="228" spans="48:49">
      <c r="AV228" s="5">
        <v>227</v>
      </c>
      <c r="AW228" s="5">
        <v>10</v>
      </c>
    </row>
    <row r="229" spans="48:49">
      <c r="AV229" s="5">
        <v>228</v>
      </c>
      <c r="AW229" s="5">
        <v>10</v>
      </c>
    </row>
    <row r="230" spans="48:49">
      <c r="AV230" s="5">
        <v>229</v>
      </c>
      <c r="AW230" s="5">
        <v>10</v>
      </c>
    </row>
    <row r="231" spans="48:49">
      <c r="AV231" s="5">
        <v>230</v>
      </c>
      <c r="AW231" s="5">
        <v>10</v>
      </c>
    </row>
    <row r="232" spans="48:49">
      <c r="AV232" s="5">
        <v>231</v>
      </c>
      <c r="AW232" s="5">
        <v>10</v>
      </c>
    </row>
    <row r="233" spans="48:49">
      <c r="AV233" s="5">
        <v>232</v>
      </c>
      <c r="AW233" s="5">
        <v>10</v>
      </c>
    </row>
    <row r="234" spans="48:49">
      <c r="AV234" s="5">
        <v>233</v>
      </c>
      <c r="AW234" s="5">
        <v>10</v>
      </c>
    </row>
    <row r="235" spans="48:49">
      <c r="AV235" s="5">
        <v>234</v>
      </c>
      <c r="AW235" s="5">
        <v>10</v>
      </c>
    </row>
    <row r="236" spans="48:49">
      <c r="AV236" s="5">
        <v>235</v>
      </c>
      <c r="AW236" s="5">
        <v>10</v>
      </c>
    </row>
    <row r="237" spans="48:49">
      <c r="AV237" s="5">
        <v>236</v>
      </c>
      <c r="AW237" s="5">
        <v>10</v>
      </c>
    </row>
    <row r="238" spans="48:49">
      <c r="AV238" s="5">
        <v>237</v>
      </c>
      <c r="AW238" s="5">
        <v>10</v>
      </c>
    </row>
    <row r="239" spans="48:49">
      <c r="AV239" s="5">
        <v>238</v>
      </c>
      <c r="AW239" s="5">
        <v>10</v>
      </c>
    </row>
    <row r="240" spans="48:49">
      <c r="AV240" s="5">
        <v>239</v>
      </c>
      <c r="AW240" s="5">
        <v>10</v>
      </c>
    </row>
    <row r="241" spans="48:49">
      <c r="AV241" s="5">
        <v>240</v>
      </c>
      <c r="AW241" s="5">
        <v>10</v>
      </c>
    </row>
    <row r="242" spans="48:49">
      <c r="AV242" s="5">
        <v>241</v>
      </c>
      <c r="AW242" s="5">
        <v>10</v>
      </c>
    </row>
    <row r="243" spans="48:49">
      <c r="AV243" s="5">
        <v>242</v>
      </c>
      <c r="AW243" s="5">
        <v>10</v>
      </c>
    </row>
    <row r="244" spans="48:49">
      <c r="AV244" s="5">
        <v>243</v>
      </c>
      <c r="AW244" s="5">
        <v>10</v>
      </c>
    </row>
    <row r="245" spans="48:49">
      <c r="AV245" s="5">
        <v>244</v>
      </c>
      <c r="AW245" s="5">
        <v>10</v>
      </c>
    </row>
    <row r="246" spans="48:49">
      <c r="AV246" s="5">
        <v>245</v>
      </c>
      <c r="AW246" s="5">
        <v>10</v>
      </c>
    </row>
    <row r="247" spans="48:49">
      <c r="AV247" s="5">
        <v>246</v>
      </c>
      <c r="AW247" s="5">
        <v>10</v>
      </c>
    </row>
    <row r="248" spans="48:49">
      <c r="AV248" s="5">
        <v>247</v>
      </c>
      <c r="AW248" s="5">
        <v>10</v>
      </c>
    </row>
    <row r="249" spans="48:49">
      <c r="AV249" s="5">
        <v>248</v>
      </c>
      <c r="AW249" s="5">
        <v>10</v>
      </c>
    </row>
    <row r="250" spans="48:49">
      <c r="AV250" s="5">
        <v>249</v>
      </c>
      <c r="AW250" s="5">
        <v>10</v>
      </c>
    </row>
    <row r="251" spans="48:49">
      <c r="AV251" s="5">
        <v>250</v>
      </c>
      <c r="AW251" s="5">
        <v>10</v>
      </c>
    </row>
    <row r="252" spans="48:49">
      <c r="AV252" s="5">
        <v>251</v>
      </c>
      <c r="AW252" s="5">
        <v>10</v>
      </c>
    </row>
    <row r="253" spans="48:49">
      <c r="AV253" s="5">
        <v>252</v>
      </c>
      <c r="AW253" s="5">
        <v>10</v>
      </c>
    </row>
    <row r="254" spans="48:49">
      <c r="AV254" s="5">
        <v>253</v>
      </c>
      <c r="AW254" s="5">
        <v>10</v>
      </c>
    </row>
    <row r="255" spans="48:49">
      <c r="AV255" s="5">
        <v>254</v>
      </c>
      <c r="AW255" s="5">
        <v>10</v>
      </c>
    </row>
    <row r="256" spans="48:49">
      <c r="AV256" s="5">
        <v>255</v>
      </c>
      <c r="AW256" s="5">
        <v>10</v>
      </c>
    </row>
    <row r="257" spans="48:49">
      <c r="AV257" s="5">
        <v>256</v>
      </c>
      <c r="AW257" s="5">
        <v>10</v>
      </c>
    </row>
    <row r="258" spans="48:49">
      <c r="AV258" s="5">
        <v>257</v>
      </c>
      <c r="AW258" s="5">
        <v>10</v>
      </c>
    </row>
    <row r="259" spans="48:49">
      <c r="AV259" s="5">
        <v>258</v>
      </c>
      <c r="AW259" s="5">
        <v>10</v>
      </c>
    </row>
    <row r="260" spans="48:49">
      <c r="AV260" s="5">
        <v>259</v>
      </c>
      <c r="AW260" s="5">
        <v>10</v>
      </c>
    </row>
    <row r="261" spans="48:49">
      <c r="AV261" s="5">
        <v>260</v>
      </c>
      <c r="AW261" s="5">
        <v>10</v>
      </c>
    </row>
    <row r="262" spans="48:49">
      <c r="AV262" s="5">
        <v>261</v>
      </c>
      <c r="AW262" s="5">
        <v>10</v>
      </c>
    </row>
    <row r="263" spans="48:49">
      <c r="AV263" s="5">
        <v>262</v>
      </c>
      <c r="AW263" s="5">
        <v>10</v>
      </c>
    </row>
    <row r="264" spans="48:49">
      <c r="AV264" s="5">
        <v>263</v>
      </c>
      <c r="AW264" s="5">
        <v>10</v>
      </c>
    </row>
    <row r="265" spans="48:49">
      <c r="AV265" s="5">
        <v>264</v>
      </c>
      <c r="AW265" s="5">
        <v>10</v>
      </c>
    </row>
    <row r="266" spans="48:49">
      <c r="AV266" s="5">
        <v>265</v>
      </c>
      <c r="AW266" s="5">
        <v>10</v>
      </c>
    </row>
    <row r="267" spans="48:49">
      <c r="AV267" s="5">
        <v>266</v>
      </c>
      <c r="AW267" s="5">
        <v>10</v>
      </c>
    </row>
    <row r="268" spans="48:49">
      <c r="AV268" s="5">
        <v>267</v>
      </c>
      <c r="AW268" s="5">
        <v>10</v>
      </c>
    </row>
    <row r="269" spans="48:49">
      <c r="AV269" s="5">
        <v>268</v>
      </c>
      <c r="AW269" s="5">
        <v>10</v>
      </c>
    </row>
    <row r="270" spans="48:49">
      <c r="AV270" s="5">
        <v>269</v>
      </c>
      <c r="AW270" s="5">
        <v>10</v>
      </c>
    </row>
    <row r="271" spans="48:49">
      <c r="AV271" s="5">
        <v>270</v>
      </c>
      <c r="AW271" s="5">
        <v>10</v>
      </c>
    </row>
    <row r="272" spans="48:49">
      <c r="AV272" s="5">
        <v>271</v>
      </c>
      <c r="AW272" s="5">
        <v>10</v>
      </c>
    </row>
    <row r="273" spans="48:49">
      <c r="AV273" s="5">
        <v>272</v>
      </c>
      <c r="AW273" s="5">
        <v>10</v>
      </c>
    </row>
    <row r="274" spans="48:49">
      <c r="AV274" s="5">
        <v>273</v>
      </c>
      <c r="AW274" s="5">
        <v>10</v>
      </c>
    </row>
    <row r="275" spans="48:49">
      <c r="AV275" s="5">
        <v>274</v>
      </c>
      <c r="AW275" s="5">
        <v>10</v>
      </c>
    </row>
    <row r="276" spans="48:49">
      <c r="AV276" s="5">
        <v>275</v>
      </c>
      <c r="AW276" s="5">
        <v>11</v>
      </c>
    </row>
    <row r="277" spans="48:49">
      <c r="AV277" s="5">
        <v>276</v>
      </c>
      <c r="AW277" s="5">
        <v>11</v>
      </c>
    </row>
    <row r="278" spans="48:49">
      <c r="AV278" s="5">
        <v>277</v>
      </c>
      <c r="AW278" s="5">
        <v>11</v>
      </c>
    </row>
    <row r="279" spans="48:49">
      <c r="AV279" s="5">
        <v>278</v>
      </c>
      <c r="AW279" s="5">
        <v>11</v>
      </c>
    </row>
    <row r="280" spans="48:49">
      <c r="AV280" s="5">
        <v>279</v>
      </c>
      <c r="AW280" s="5">
        <v>11</v>
      </c>
    </row>
    <row r="281" spans="48:49">
      <c r="AV281" s="5">
        <v>280</v>
      </c>
      <c r="AW281" s="5">
        <v>11</v>
      </c>
    </row>
    <row r="282" spans="48:49">
      <c r="AV282" s="5">
        <v>281</v>
      </c>
      <c r="AW282" s="5">
        <v>11</v>
      </c>
    </row>
    <row r="283" spans="48:49">
      <c r="AV283" s="5">
        <v>282</v>
      </c>
      <c r="AW283" s="5">
        <v>11</v>
      </c>
    </row>
    <row r="284" spans="48:49">
      <c r="AV284" s="5">
        <v>283</v>
      </c>
      <c r="AW284" s="5">
        <v>11</v>
      </c>
    </row>
    <row r="285" spans="48:49">
      <c r="AV285" s="5">
        <v>284</v>
      </c>
      <c r="AW285" s="5">
        <v>11</v>
      </c>
    </row>
    <row r="286" spans="48:49">
      <c r="AV286" s="5">
        <v>285</v>
      </c>
      <c r="AW286" s="5">
        <v>11</v>
      </c>
    </row>
    <row r="287" spans="48:49">
      <c r="AV287" s="5">
        <v>286</v>
      </c>
      <c r="AW287" s="5">
        <v>11</v>
      </c>
    </row>
    <row r="288" spans="48:49">
      <c r="AV288" s="5">
        <v>287</v>
      </c>
      <c r="AW288" s="5">
        <v>11</v>
      </c>
    </row>
    <row r="289" spans="48:49">
      <c r="AV289" s="5">
        <v>288</v>
      </c>
      <c r="AW289" s="5">
        <v>11</v>
      </c>
    </row>
    <row r="290" spans="48:49">
      <c r="AV290" s="5">
        <v>289</v>
      </c>
      <c r="AW290" s="5">
        <v>11</v>
      </c>
    </row>
    <row r="291" spans="48:49">
      <c r="AV291" s="5">
        <v>290</v>
      </c>
      <c r="AW291" s="5">
        <v>11</v>
      </c>
    </row>
    <row r="292" spans="48:49">
      <c r="AV292" s="5">
        <v>291</v>
      </c>
      <c r="AW292" s="5">
        <v>11</v>
      </c>
    </row>
    <row r="293" spans="48:49">
      <c r="AV293" s="5">
        <v>292</v>
      </c>
      <c r="AW293" s="5">
        <v>11</v>
      </c>
    </row>
    <row r="294" spans="48:49">
      <c r="AV294" s="5">
        <v>293</v>
      </c>
      <c r="AW294" s="5">
        <v>11</v>
      </c>
    </row>
    <row r="295" spans="48:49">
      <c r="AV295" s="5">
        <v>294</v>
      </c>
      <c r="AW295" s="5">
        <v>11</v>
      </c>
    </row>
    <row r="296" spans="48:49">
      <c r="AV296" s="5">
        <v>295</v>
      </c>
      <c r="AW296" s="5">
        <v>11</v>
      </c>
    </row>
    <row r="297" spans="48:49">
      <c r="AV297" s="5">
        <v>296</v>
      </c>
      <c r="AW297" s="5">
        <v>11</v>
      </c>
    </row>
    <row r="298" spans="48:49">
      <c r="AV298" s="5">
        <v>297</v>
      </c>
      <c r="AW298" s="5">
        <v>11</v>
      </c>
    </row>
    <row r="299" spans="48:49">
      <c r="AV299" s="5">
        <v>298</v>
      </c>
      <c r="AW299" s="5">
        <v>11</v>
      </c>
    </row>
    <row r="300" spans="48:49">
      <c r="AV300" s="5">
        <v>299</v>
      </c>
      <c r="AW300" s="5">
        <v>11</v>
      </c>
    </row>
    <row r="301" spans="48:49">
      <c r="AV301" s="5">
        <v>300</v>
      </c>
      <c r="AW301" s="5">
        <v>11</v>
      </c>
    </row>
    <row r="302" spans="48:49">
      <c r="AV302" s="5">
        <v>301</v>
      </c>
      <c r="AW302" s="5">
        <v>11</v>
      </c>
    </row>
    <row r="303" spans="48:49">
      <c r="AV303" s="5">
        <v>302</v>
      </c>
      <c r="AW303" s="5">
        <v>11</v>
      </c>
    </row>
    <row r="304" spans="48:49">
      <c r="AV304" s="5">
        <v>303</v>
      </c>
      <c r="AW304" s="5">
        <v>11</v>
      </c>
    </row>
    <row r="305" spans="48:49">
      <c r="AV305" s="5">
        <v>304</v>
      </c>
      <c r="AW305" s="5">
        <v>11</v>
      </c>
    </row>
    <row r="306" spans="48:49">
      <c r="AV306" s="5">
        <v>305</v>
      </c>
      <c r="AW306" s="5">
        <v>11</v>
      </c>
    </row>
    <row r="307" spans="48:49">
      <c r="AV307" s="5">
        <v>306</v>
      </c>
      <c r="AW307" s="5">
        <v>11</v>
      </c>
    </row>
    <row r="308" spans="48:49">
      <c r="AV308" s="5">
        <v>307</v>
      </c>
      <c r="AW308" s="5">
        <v>11</v>
      </c>
    </row>
    <row r="309" spans="48:49">
      <c r="AV309" s="5">
        <v>308</v>
      </c>
      <c r="AW309" s="5">
        <v>11</v>
      </c>
    </row>
    <row r="310" spans="48:49">
      <c r="AV310" s="5">
        <v>309</v>
      </c>
      <c r="AW310" s="5">
        <v>11</v>
      </c>
    </row>
    <row r="311" spans="48:49">
      <c r="AV311" s="5">
        <v>310</v>
      </c>
      <c r="AW311" s="5">
        <v>11</v>
      </c>
    </row>
    <row r="312" spans="48:49">
      <c r="AV312" s="5">
        <v>311</v>
      </c>
      <c r="AW312" s="5">
        <v>11</v>
      </c>
    </row>
    <row r="313" spans="48:49">
      <c r="AV313" s="5">
        <v>312</v>
      </c>
      <c r="AW313" s="5">
        <v>11</v>
      </c>
    </row>
    <row r="314" spans="48:49">
      <c r="AV314" s="5">
        <v>313</v>
      </c>
      <c r="AW314" s="5">
        <v>11</v>
      </c>
    </row>
    <row r="315" spans="48:49">
      <c r="AV315" s="5">
        <v>314</v>
      </c>
      <c r="AW315" s="5">
        <v>11</v>
      </c>
    </row>
    <row r="316" spans="48:49">
      <c r="AV316" s="5">
        <v>315</v>
      </c>
      <c r="AW316" s="5">
        <v>11</v>
      </c>
    </row>
    <row r="317" spans="48:49">
      <c r="AV317" s="5">
        <v>316</v>
      </c>
      <c r="AW317" s="5">
        <v>11</v>
      </c>
    </row>
    <row r="318" spans="48:49">
      <c r="AV318" s="5">
        <v>317</v>
      </c>
      <c r="AW318" s="5">
        <v>11</v>
      </c>
    </row>
    <row r="319" spans="48:49">
      <c r="AV319" s="5">
        <v>318</v>
      </c>
      <c r="AW319" s="5">
        <v>11</v>
      </c>
    </row>
    <row r="320" spans="48:49">
      <c r="AV320" s="5">
        <v>319</v>
      </c>
      <c r="AW320" s="5">
        <v>11</v>
      </c>
    </row>
    <row r="321" spans="48:49">
      <c r="AV321" s="5">
        <v>320</v>
      </c>
      <c r="AW321" s="5">
        <v>11</v>
      </c>
    </row>
    <row r="322" spans="48:49">
      <c r="AV322" s="5">
        <v>321</v>
      </c>
      <c r="AW322" s="5">
        <v>11</v>
      </c>
    </row>
    <row r="323" spans="48:49">
      <c r="AV323" s="5">
        <v>322</v>
      </c>
      <c r="AW323" s="5">
        <v>11</v>
      </c>
    </row>
    <row r="324" spans="48:49">
      <c r="AV324" s="5">
        <v>323</v>
      </c>
      <c r="AW324" s="5">
        <v>11</v>
      </c>
    </row>
    <row r="325" spans="48:49">
      <c r="AV325" s="5">
        <v>324</v>
      </c>
      <c r="AW325" s="5">
        <v>11</v>
      </c>
    </row>
    <row r="326" spans="48:49">
      <c r="AV326" s="5">
        <v>325</v>
      </c>
      <c r="AW326" s="5">
        <v>11</v>
      </c>
    </row>
    <row r="327" spans="48:49">
      <c r="AV327" s="5">
        <v>326</v>
      </c>
      <c r="AW327" s="5">
        <v>11</v>
      </c>
    </row>
    <row r="328" spans="48:49">
      <c r="AV328" s="5">
        <v>327</v>
      </c>
      <c r="AW328" s="5">
        <v>11</v>
      </c>
    </row>
    <row r="329" spans="48:49">
      <c r="AV329" s="5">
        <v>328</v>
      </c>
      <c r="AW329" s="5">
        <v>11</v>
      </c>
    </row>
    <row r="330" spans="48:49">
      <c r="AV330" s="5">
        <v>329</v>
      </c>
      <c r="AW330" s="5">
        <v>11</v>
      </c>
    </row>
    <row r="331" spans="48:49">
      <c r="AV331" s="5">
        <v>330</v>
      </c>
      <c r="AW331" s="5">
        <v>11</v>
      </c>
    </row>
    <row r="332" spans="48:49">
      <c r="AV332" s="5">
        <v>331</v>
      </c>
      <c r="AW332" s="5">
        <v>11</v>
      </c>
    </row>
    <row r="333" spans="48:49">
      <c r="AV333" s="5">
        <v>332</v>
      </c>
      <c r="AW333" s="5">
        <v>11</v>
      </c>
    </row>
    <row r="334" spans="48:49">
      <c r="AV334" s="5">
        <v>333</v>
      </c>
      <c r="AW334" s="5">
        <v>11</v>
      </c>
    </row>
    <row r="335" spans="48:49">
      <c r="AV335" s="5">
        <v>334</v>
      </c>
      <c r="AW335" s="5">
        <v>11</v>
      </c>
    </row>
    <row r="336" spans="48:49">
      <c r="AV336" s="5">
        <v>335</v>
      </c>
      <c r="AW336" s="5">
        <v>11</v>
      </c>
    </row>
    <row r="337" spans="48:49">
      <c r="AV337" s="5">
        <v>336</v>
      </c>
      <c r="AW337" s="5">
        <v>11</v>
      </c>
    </row>
    <row r="338" spans="48:49">
      <c r="AV338" s="5">
        <v>337</v>
      </c>
      <c r="AW338" s="5">
        <v>11</v>
      </c>
    </row>
    <row r="339" spans="48:49">
      <c r="AV339" s="5">
        <v>338</v>
      </c>
      <c r="AW339" s="5">
        <v>11</v>
      </c>
    </row>
    <row r="340" spans="48:49">
      <c r="AV340" s="5">
        <v>339</v>
      </c>
      <c r="AW340" s="5">
        <v>11</v>
      </c>
    </row>
    <row r="341" spans="48:49">
      <c r="AV341" s="5">
        <v>340</v>
      </c>
      <c r="AW341" s="5">
        <v>11</v>
      </c>
    </row>
    <row r="342" spans="48:49">
      <c r="AV342" s="5">
        <v>341</v>
      </c>
      <c r="AW342" s="5">
        <v>11</v>
      </c>
    </row>
    <row r="343" spans="48:49">
      <c r="AV343" s="5">
        <v>342</v>
      </c>
      <c r="AW343" s="5">
        <v>11</v>
      </c>
    </row>
    <row r="344" spans="48:49">
      <c r="AV344" s="5">
        <v>343</v>
      </c>
      <c r="AW344" s="5">
        <v>11</v>
      </c>
    </row>
    <row r="345" spans="48:49">
      <c r="AV345" s="5">
        <v>344</v>
      </c>
      <c r="AW345" s="5">
        <v>11</v>
      </c>
    </row>
    <row r="346" spans="48:49">
      <c r="AV346" s="5">
        <v>345</v>
      </c>
      <c r="AW346" s="5">
        <v>11</v>
      </c>
    </row>
    <row r="347" spans="48:49">
      <c r="AV347" s="5">
        <v>346</v>
      </c>
      <c r="AW347" s="5">
        <v>11</v>
      </c>
    </row>
    <row r="348" spans="48:49">
      <c r="AV348" s="5">
        <v>347</v>
      </c>
      <c r="AW348" s="5">
        <v>11</v>
      </c>
    </row>
    <row r="349" spans="48:49">
      <c r="AV349" s="5">
        <v>348</v>
      </c>
      <c r="AW349" s="5">
        <v>11</v>
      </c>
    </row>
    <row r="350" spans="48:49">
      <c r="AV350" s="5">
        <v>349</v>
      </c>
      <c r="AW350" s="5">
        <v>11</v>
      </c>
    </row>
    <row r="351" spans="48:49">
      <c r="AV351" s="5">
        <v>350</v>
      </c>
      <c r="AW351" s="5">
        <v>11</v>
      </c>
    </row>
    <row r="352" spans="48:49">
      <c r="AV352" s="5">
        <v>351</v>
      </c>
      <c r="AW352" s="5">
        <v>11</v>
      </c>
    </row>
    <row r="353" spans="48:49">
      <c r="AV353" s="5">
        <v>352</v>
      </c>
      <c r="AW353" s="5">
        <v>11</v>
      </c>
    </row>
    <row r="354" spans="48:49">
      <c r="AV354" s="5">
        <v>353</v>
      </c>
      <c r="AW354" s="5">
        <v>11</v>
      </c>
    </row>
    <row r="355" spans="48:49">
      <c r="AV355" s="5">
        <v>354</v>
      </c>
      <c r="AW355" s="5">
        <v>11</v>
      </c>
    </row>
    <row r="356" spans="48:49">
      <c r="AV356" s="5">
        <v>355</v>
      </c>
      <c r="AW356" s="5">
        <v>11</v>
      </c>
    </row>
    <row r="357" spans="48:49">
      <c r="AV357" s="5">
        <v>356</v>
      </c>
      <c r="AW357" s="5">
        <v>11</v>
      </c>
    </row>
    <row r="358" spans="48:49">
      <c r="AV358" s="5">
        <v>357</v>
      </c>
      <c r="AW358" s="5">
        <v>11</v>
      </c>
    </row>
    <row r="359" spans="48:49">
      <c r="AV359" s="5">
        <v>358</v>
      </c>
      <c r="AW359" s="5">
        <v>11</v>
      </c>
    </row>
    <row r="360" spans="48:49">
      <c r="AV360" s="5">
        <v>359</v>
      </c>
      <c r="AW360" s="5">
        <v>11</v>
      </c>
    </row>
    <row r="361" spans="48:49">
      <c r="AV361" s="5">
        <v>360</v>
      </c>
      <c r="AW361" s="5">
        <v>11</v>
      </c>
    </row>
    <row r="362" spans="48:49">
      <c r="AV362" s="5">
        <v>361</v>
      </c>
      <c r="AW362" s="5">
        <v>11</v>
      </c>
    </row>
    <row r="363" spans="48:49">
      <c r="AV363" s="5">
        <v>362</v>
      </c>
      <c r="AW363" s="5">
        <v>11</v>
      </c>
    </row>
    <row r="364" spans="48:49">
      <c r="AV364" s="5">
        <v>363</v>
      </c>
      <c r="AW364" s="5">
        <v>11</v>
      </c>
    </row>
    <row r="365" spans="48:49">
      <c r="AV365" s="5">
        <v>364</v>
      </c>
      <c r="AW365" s="5">
        <v>11</v>
      </c>
    </row>
    <row r="366" spans="48:49">
      <c r="AV366" s="5">
        <v>365</v>
      </c>
      <c r="AW366" s="5">
        <v>11</v>
      </c>
    </row>
    <row r="367" spans="48:49">
      <c r="AV367" s="5">
        <v>366</v>
      </c>
      <c r="AW367" s="5">
        <v>11</v>
      </c>
    </row>
    <row r="368" spans="48:49">
      <c r="AV368" s="5">
        <v>367</v>
      </c>
      <c r="AW368" s="5">
        <v>11</v>
      </c>
    </row>
    <row r="369" spans="48:49">
      <c r="AV369" s="5">
        <v>368</v>
      </c>
      <c r="AW369" s="5">
        <v>11</v>
      </c>
    </row>
    <row r="370" spans="48:49">
      <c r="AV370" s="5">
        <v>369</v>
      </c>
      <c r="AW370" s="5">
        <v>11</v>
      </c>
    </row>
    <row r="371" spans="48:49">
      <c r="AV371" s="5">
        <v>370</v>
      </c>
      <c r="AW371" s="5">
        <v>11</v>
      </c>
    </row>
    <row r="372" spans="48:49">
      <c r="AV372" s="5">
        <v>371</v>
      </c>
      <c r="AW372" s="5">
        <v>11</v>
      </c>
    </row>
    <row r="373" spans="48:49">
      <c r="AV373" s="5">
        <v>372</v>
      </c>
      <c r="AW373" s="5">
        <v>11</v>
      </c>
    </row>
    <row r="374" spans="48:49">
      <c r="AV374" s="5">
        <v>373</v>
      </c>
      <c r="AW374" s="5">
        <v>11</v>
      </c>
    </row>
    <row r="375" spans="48:49">
      <c r="AV375" s="5">
        <v>374</v>
      </c>
      <c r="AW375" s="5">
        <v>11</v>
      </c>
    </row>
    <row r="376" spans="48:49">
      <c r="AV376" s="5">
        <v>375</v>
      </c>
      <c r="AW376" s="5">
        <v>11</v>
      </c>
    </row>
    <row r="377" spans="48:49">
      <c r="AV377" s="5">
        <v>376</v>
      </c>
      <c r="AW377" s="5">
        <v>11</v>
      </c>
    </row>
    <row r="378" spans="48:49">
      <c r="AV378" s="5">
        <v>377</v>
      </c>
      <c r="AW378" s="5">
        <v>11</v>
      </c>
    </row>
    <row r="379" spans="48:49">
      <c r="AV379" s="5">
        <v>378</v>
      </c>
      <c r="AW379" s="5">
        <v>11</v>
      </c>
    </row>
    <row r="380" spans="48:49">
      <c r="AV380" s="5">
        <v>379</v>
      </c>
      <c r="AW380" s="5">
        <v>11</v>
      </c>
    </row>
    <row r="381" spans="48:49">
      <c r="AV381" s="5">
        <v>380</v>
      </c>
      <c r="AW381" s="5">
        <v>11</v>
      </c>
    </row>
    <row r="382" spans="48:49">
      <c r="AV382" s="5">
        <v>381</v>
      </c>
      <c r="AW382" s="5">
        <v>11</v>
      </c>
    </row>
    <row r="383" spans="48:49">
      <c r="AV383" s="5">
        <v>382</v>
      </c>
      <c r="AW383" s="5">
        <v>11</v>
      </c>
    </row>
    <row r="384" spans="48:49">
      <c r="AV384" s="5">
        <v>383</v>
      </c>
      <c r="AW384" s="5">
        <v>11</v>
      </c>
    </row>
    <row r="385" spans="48:49">
      <c r="AV385" s="5">
        <v>384</v>
      </c>
      <c r="AW385" s="5">
        <v>11</v>
      </c>
    </row>
    <row r="386" spans="48:49">
      <c r="AV386" s="5">
        <v>385</v>
      </c>
      <c r="AW386" s="5">
        <v>11</v>
      </c>
    </row>
    <row r="387" spans="48:49">
      <c r="AV387" s="5">
        <v>386</v>
      </c>
      <c r="AW387" s="5">
        <v>11</v>
      </c>
    </row>
    <row r="388" spans="48:49">
      <c r="AV388" s="5">
        <v>387</v>
      </c>
      <c r="AW388" s="5">
        <v>11</v>
      </c>
    </row>
    <row r="389" spans="48:49">
      <c r="AV389" s="5">
        <v>388</v>
      </c>
      <c r="AW389" s="5">
        <v>11</v>
      </c>
    </row>
    <row r="390" spans="48:49">
      <c r="AV390" s="5">
        <v>389</v>
      </c>
      <c r="AW390" s="5">
        <v>11</v>
      </c>
    </row>
    <row r="391" spans="48:49">
      <c r="AV391" s="5">
        <v>390</v>
      </c>
      <c r="AW391" s="5">
        <v>11</v>
      </c>
    </row>
    <row r="392" spans="48:49">
      <c r="AV392" s="5">
        <v>391</v>
      </c>
      <c r="AW392" s="5">
        <v>11</v>
      </c>
    </row>
    <row r="393" spans="48:49">
      <c r="AV393" s="5">
        <v>392</v>
      </c>
      <c r="AW393" s="5">
        <v>11</v>
      </c>
    </row>
    <row r="394" spans="48:49">
      <c r="AV394" s="5">
        <v>393</v>
      </c>
      <c r="AW394" s="5">
        <v>11</v>
      </c>
    </row>
    <row r="395" spans="48:49">
      <c r="AV395" s="5">
        <v>394</v>
      </c>
      <c r="AW395" s="5">
        <v>11</v>
      </c>
    </row>
    <row r="396" spans="48:49">
      <c r="AV396" s="5">
        <v>395</v>
      </c>
      <c r="AW396" s="5">
        <v>11</v>
      </c>
    </row>
    <row r="397" spans="48:49">
      <c r="AV397" s="5">
        <v>396</v>
      </c>
      <c r="AW397" s="5">
        <v>11</v>
      </c>
    </row>
    <row r="398" spans="48:49">
      <c r="AV398" s="5">
        <v>397</v>
      </c>
      <c r="AW398" s="5">
        <v>11</v>
      </c>
    </row>
    <row r="399" spans="48:49">
      <c r="AV399" s="5">
        <v>398</v>
      </c>
      <c r="AW399" s="5">
        <v>11</v>
      </c>
    </row>
    <row r="400" spans="48:49">
      <c r="AV400" s="5">
        <v>399</v>
      </c>
      <c r="AW400" s="5">
        <v>11</v>
      </c>
    </row>
    <row r="401" spans="48:49">
      <c r="AV401" s="5">
        <v>400</v>
      </c>
      <c r="AW401" s="5">
        <v>11</v>
      </c>
    </row>
  </sheetData>
  <mergeCells count="3">
    <mergeCell ref="A1:C4"/>
    <mergeCell ref="D1:F1"/>
    <mergeCell ref="D2:F4"/>
  </mergeCells>
  <dataValidations disablePrompts="1" count="1">
    <dataValidation type="list" allowBlank="1" showInputMessage="1" showErrorMessage="1" sqref="D21">
      <formula1>$AI$3:$AI$8</formula1>
    </dataValidation>
  </dataValidations>
  <printOptions horizontalCentered="1"/>
  <pageMargins left="0" right="0" top="1" bottom="0" header="0" footer="0"/>
  <pageSetup scale="76" orientation="landscape" r:id="rId1"/>
  <colBreaks count="1" manualBreakCount="1">
    <brk id="23" max="3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Dealer Balances</vt:lpstr>
      <vt:lpstr>SaleData</vt:lpstr>
      <vt:lpstr>FinanceData</vt:lpstr>
      <vt:lpstr>Payment Based NDP (Array Based)</vt:lpstr>
      <vt:lpstr>ApValues</vt:lpstr>
      <vt:lpstr>DealerList</vt:lpstr>
      <vt:lpstr>'Payment Based NDP (Array Based)'!Print_Area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Hussain Moosani</dc:creator>
  <cp:lastModifiedBy>MASGHAR</cp:lastModifiedBy>
  <cp:lastPrinted>2013-04-27T09:07:04Z</cp:lastPrinted>
  <dcterms:created xsi:type="dcterms:W3CDTF">2012-04-21T11:35:24Z</dcterms:created>
  <dcterms:modified xsi:type="dcterms:W3CDTF">2013-04-30T06:25:30Z</dcterms:modified>
</cp:coreProperties>
</file>