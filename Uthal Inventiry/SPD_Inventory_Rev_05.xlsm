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6"/>
  </bookViews>
  <sheets>
    <sheet name="RawData_GRN_Detail" sheetId="1" state="hidden" r:id="rId1"/>
    <sheet name="Report Criteria" sheetId="10" r:id="rId2"/>
    <sheet name="GRN" sheetId="2" r:id="rId3"/>
    <sheet name="MonthList" sheetId="4" state="hidden" r:id="rId4"/>
    <sheet name="RawIssue" sheetId="6" state="hidden" r:id="rId5"/>
    <sheet name="Issue" sheetId="5" r:id="rId6"/>
    <sheet name="MasterSheet" sheetId="7" r:id="rId7"/>
    <sheet name="RawOpening" sheetId="8" state="hidden" r:id="rId8"/>
    <sheet name="Sheet1" sheetId="9" state="hidden" r:id="rId9"/>
  </sheets>
  <definedNames>
    <definedName name="_192.168.3.138_Grn" localSheetId="0" hidden="1">RawData_GRN_Detail!$A$1:$E$237</definedName>
    <definedName name="ExternalData_1" localSheetId="2" hidden="1">GRN!$A$4:$F$97</definedName>
    <definedName name="ExternalData_1" localSheetId="5" hidden="1">Issue!$A$4:$D$398</definedName>
    <definedName name="ExternalData_1" localSheetId="6" hidden="1">MasterSheet!$A$4:$C$486</definedName>
    <definedName name="ExternalData_1" localSheetId="4" hidden="1">RawIssue!$A$1:$D$882</definedName>
    <definedName name="ExternalData_1" localSheetId="7" hidden="1">RawOpening!$A$1:$B$1728</definedName>
    <definedName name="GDList">Table__192.168.3.138_Grn[DayNo]</definedName>
    <definedName name="GIList">Table__192.168.3.138_Grn[item_key]</definedName>
    <definedName name="GQList">Table__192.168.3.138_Grn[Qty]</definedName>
    <definedName name="GTList">Table__192.168.3.138_Grn[RType]</definedName>
    <definedName name="IsDList">Table_ExternalData_14[DayNo]</definedName>
    <definedName name="IsIList">Table_ExternalData_14[item_key]</definedName>
    <definedName name="IsITypeList">Table_ExternalData_14[IType]</definedName>
    <definedName name="IsQList">Table_ExternalData_14[Qty]</definedName>
    <definedName name="OPBIList">Table_ExternalData_16[item_key]</definedName>
    <definedName name="OPBQList">Table_ExternalData_16[OpQty]</definedName>
  </definedNames>
  <calcPr calcId="125725"/>
</workbook>
</file>

<file path=xl/calcChain.xml><?xml version="1.0" encoding="utf-8"?>
<calcChain xmlns="http://schemas.openxmlformats.org/spreadsheetml/2006/main">
  <c r="E5" i="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17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197"/>
  <c r="T198"/>
  <c r="T199"/>
  <c r="T200"/>
  <c r="T201"/>
  <c r="T202"/>
  <c r="T203"/>
  <c r="T204"/>
  <c r="T205"/>
  <c r="T206"/>
  <c r="T207"/>
  <c r="T208"/>
  <c r="T209"/>
  <c r="T210"/>
  <c r="T211"/>
  <c r="T212"/>
  <c r="T213"/>
  <c r="T214"/>
  <c r="T215"/>
  <c r="T216"/>
  <c r="T217"/>
  <c r="T218"/>
  <c r="T219"/>
  <c r="T220"/>
  <c r="T221"/>
  <c r="T222"/>
  <c r="T223"/>
  <c r="T224"/>
  <c r="T225"/>
  <c r="T226"/>
  <c r="T227"/>
  <c r="T228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246"/>
  <c r="T247"/>
  <c r="T248"/>
  <c r="T249"/>
  <c r="T250"/>
  <c r="T251"/>
  <c r="T252"/>
  <c r="T253"/>
  <c r="T254"/>
  <c r="T255"/>
  <c r="T256"/>
  <c r="T257"/>
  <c r="T258"/>
  <c r="T259"/>
  <c r="T260"/>
  <c r="T261"/>
  <c r="T262"/>
  <c r="T263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328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361"/>
  <c r="T362"/>
  <c r="T363"/>
  <c r="T364"/>
  <c r="T365"/>
  <c r="T366"/>
  <c r="T367"/>
  <c r="T368"/>
  <c r="T369"/>
  <c r="T370"/>
  <c r="T371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174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24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363"/>
  <c r="V364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X155"/>
  <c r="X156"/>
  <c r="X157"/>
  <c r="X158"/>
  <c r="X159"/>
  <c r="X160"/>
  <c r="X161"/>
  <c r="X162"/>
  <c r="X163"/>
  <c r="X164"/>
  <c r="X165"/>
  <c r="X166"/>
  <c r="X167"/>
  <c r="X168"/>
  <c r="X169"/>
  <c r="X170"/>
  <c r="X171"/>
  <c r="X172"/>
  <c r="X173"/>
  <c r="X174"/>
  <c r="X175"/>
  <c r="X176"/>
  <c r="X177"/>
  <c r="X178"/>
  <c r="X179"/>
  <c r="X180"/>
  <c r="X181"/>
  <c r="X182"/>
  <c r="X183"/>
  <c r="X184"/>
  <c r="X185"/>
  <c r="X186"/>
  <c r="X187"/>
  <c r="X188"/>
  <c r="X189"/>
  <c r="X190"/>
  <c r="X191"/>
  <c r="X192"/>
  <c r="X193"/>
  <c r="X194"/>
  <c r="X195"/>
  <c r="X196"/>
  <c r="X197"/>
  <c r="X198"/>
  <c r="X199"/>
  <c r="X200"/>
  <c r="X201"/>
  <c r="X202"/>
  <c r="X203"/>
  <c r="X204"/>
  <c r="X205"/>
  <c r="X206"/>
  <c r="X207"/>
  <c r="X208"/>
  <c r="X209"/>
  <c r="X210"/>
  <c r="X211"/>
  <c r="X212"/>
  <c r="X213"/>
  <c r="X214"/>
  <c r="X215"/>
  <c r="X216"/>
  <c r="X217"/>
  <c r="X218"/>
  <c r="X219"/>
  <c r="X220"/>
  <c r="X221"/>
  <c r="X222"/>
  <c r="X223"/>
  <c r="X224"/>
  <c r="X225"/>
  <c r="X226"/>
  <c r="X227"/>
  <c r="X228"/>
  <c r="X229"/>
  <c r="X230"/>
  <c r="X231"/>
  <c r="X232"/>
  <c r="X233"/>
  <c r="X234"/>
  <c r="X235"/>
  <c r="X236"/>
  <c r="X237"/>
  <c r="X238"/>
  <c r="X239"/>
  <c r="X240"/>
  <c r="X241"/>
  <c r="X242"/>
  <c r="X243"/>
  <c r="X244"/>
  <c r="X245"/>
  <c r="X246"/>
  <c r="X247"/>
  <c r="X248"/>
  <c r="X249"/>
  <c r="X250"/>
  <c r="X251"/>
  <c r="X252"/>
  <c r="X253"/>
  <c r="X254"/>
  <c r="X255"/>
  <c r="X256"/>
  <c r="X257"/>
  <c r="X258"/>
  <c r="X259"/>
  <c r="X260"/>
  <c r="X261"/>
  <c r="X262"/>
  <c r="X263"/>
  <c r="X264"/>
  <c r="X265"/>
  <c r="X266"/>
  <c r="X267"/>
  <c r="X268"/>
  <c r="X269"/>
  <c r="X270"/>
  <c r="X271"/>
  <c r="X272"/>
  <c r="X273"/>
  <c r="X274"/>
  <c r="X275"/>
  <c r="X276"/>
  <c r="X277"/>
  <c r="X278"/>
  <c r="X279"/>
  <c r="X280"/>
  <c r="X281"/>
  <c r="X282"/>
  <c r="X283"/>
  <c r="X284"/>
  <c r="X285"/>
  <c r="X286"/>
  <c r="X287"/>
  <c r="X288"/>
  <c r="X289"/>
  <c r="X290"/>
  <c r="X291"/>
  <c r="X292"/>
  <c r="X293"/>
  <c r="X294"/>
  <c r="X295"/>
  <c r="X296"/>
  <c r="X297"/>
  <c r="X298"/>
  <c r="X299"/>
  <c r="X300"/>
  <c r="X301"/>
  <c r="X302"/>
  <c r="X303"/>
  <c r="X304"/>
  <c r="X305"/>
  <c r="X306"/>
  <c r="X307"/>
  <c r="X308"/>
  <c r="X309"/>
  <c r="X310"/>
  <c r="X311"/>
  <c r="X312"/>
  <c r="X313"/>
  <c r="X314"/>
  <c r="X315"/>
  <c r="X316"/>
  <c r="X317"/>
  <c r="X318"/>
  <c r="X319"/>
  <c r="X320"/>
  <c r="X321"/>
  <c r="X322"/>
  <c r="X323"/>
  <c r="X324"/>
  <c r="X325"/>
  <c r="X326"/>
  <c r="X327"/>
  <c r="X328"/>
  <c r="X329"/>
  <c r="X330"/>
  <c r="X331"/>
  <c r="X332"/>
  <c r="X333"/>
  <c r="X334"/>
  <c r="X335"/>
  <c r="X336"/>
  <c r="X337"/>
  <c r="X338"/>
  <c r="X339"/>
  <c r="X340"/>
  <c r="X341"/>
  <c r="X342"/>
  <c r="X343"/>
  <c r="X344"/>
  <c r="X345"/>
  <c r="X346"/>
  <c r="X347"/>
  <c r="X348"/>
  <c r="X349"/>
  <c r="X350"/>
  <c r="X351"/>
  <c r="X352"/>
  <c r="X353"/>
  <c r="X354"/>
  <c r="X355"/>
  <c r="X356"/>
  <c r="X357"/>
  <c r="X358"/>
  <c r="X359"/>
  <c r="X360"/>
  <c r="X361"/>
  <c r="X362"/>
  <c r="X363"/>
  <c r="X364"/>
  <c r="X365"/>
  <c r="X366"/>
  <c r="X367"/>
  <c r="X368"/>
  <c r="X369"/>
  <c r="X370"/>
  <c r="X371"/>
  <c r="X372"/>
  <c r="X373"/>
  <c r="X374"/>
  <c r="X375"/>
  <c r="X376"/>
  <c r="X377"/>
  <c r="X378"/>
  <c r="X379"/>
  <c r="X380"/>
  <c r="X381"/>
  <c r="X382"/>
  <c r="X383"/>
  <c r="X384"/>
  <c r="X385"/>
  <c r="X386"/>
  <c r="X387"/>
  <c r="X388"/>
  <c r="X389"/>
  <c r="X390"/>
  <c r="X391"/>
  <c r="X392"/>
  <c r="X393"/>
  <c r="X394"/>
  <c r="X395"/>
  <c r="X396"/>
  <c r="X397"/>
  <c r="X398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287"/>
  <c r="AC288"/>
  <c r="AC289"/>
  <c r="AC290"/>
  <c r="AC291"/>
  <c r="AC292"/>
  <c r="AC293"/>
  <c r="AC294"/>
  <c r="AC295"/>
  <c r="AC296"/>
  <c r="AC297"/>
  <c r="AC298"/>
  <c r="AC299"/>
  <c r="AC300"/>
  <c r="AC301"/>
  <c r="AC302"/>
  <c r="AC303"/>
  <c r="AC304"/>
  <c r="AC305"/>
  <c r="AC306"/>
  <c r="AC307"/>
  <c r="AC308"/>
  <c r="AC309"/>
  <c r="AC310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39"/>
  <c r="AC340"/>
  <c r="AC341"/>
  <c r="AC342"/>
  <c r="AC343"/>
  <c r="AC344"/>
  <c r="AC345"/>
  <c r="AC346"/>
  <c r="AC347"/>
  <c r="AC348"/>
  <c r="AC349"/>
  <c r="AC350"/>
  <c r="AC351"/>
  <c r="AC352"/>
  <c r="AC353"/>
  <c r="AC354"/>
  <c r="AC355"/>
  <c r="AC356"/>
  <c r="AC357"/>
  <c r="AC358"/>
  <c r="AC359"/>
  <c r="AC360"/>
  <c r="AC361"/>
  <c r="AC362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391"/>
  <c r="AC392"/>
  <c r="AC393"/>
  <c r="AC394"/>
  <c r="AC395"/>
  <c r="AC396"/>
  <c r="AC397"/>
  <c r="AC398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E271"/>
  <c r="AE272"/>
  <c r="AE273"/>
  <c r="AE274"/>
  <c r="AE275"/>
  <c r="AE276"/>
  <c r="AE277"/>
  <c r="AE278"/>
  <c r="AE279"/>
  <c r="AE280"/>
  <c r="AE281"/>
  <c r="AE282"/>
  <c r="AE283"/>
  <c r="AE284"/>
  <c r="AE285"/>
  <c r="AE286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1"/>
  <c r="AE312"/>
  <c r="AE313"/>
  <c r="AE314"/>
  <c r="AE315"/>
  <c r="AE316"/>
  <c r="AE317"/>
  <c r="AE318"/>
  <c r="AE319"/>
  <c r="AE320"/>
  <c r="AE321"/>
  <c r="AE322"/>
  <c r="AE323"/>
  <c r="AE324"/>
  <c r="AE325"/>
  <c r="AE326"/>
  <c r="AE327"/>
  <c r="AE328"/>
  <c r="AE329"/>
  <c r="AE330"/>
  <c r="AE331"/>
  <c r="AE332"/>
  <c r="AE333"/>
  <c r="AE334"/>
  <c r="AE335"/>
  <c r="AE336"/>
  <c r="AE337"/>
  <c r="AE338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3"/>
  <c r="AE364"/>
  <c r="AE365"/>
  <c r="AE366"/>
  <c r="AE367"/>
  <c r="AE368"/>
  <c r="AE369"/>
  <c r="AE370"/>
  <c r="AE371"/>
  <c r="AE372"/>
  <c r="AE373"/>
  <c r="AE374"/>
  <c r="AE375"/>
  <c r="AE376"/>
  <c r="AE377"/>
  <c r="AE378"/>
  <c r="AE379"/>
  <c r="AE380"/>
  <c r="AE381"/>
  <c r="AE382"/>
  <c r="AE383"/>
  <c r="AE384"/>
  <c r="AE385"/>
  <c r="AE386"/>
  <c r="AE387"/>
  <c r="AE388"/>
  <c r="AE389"/>
  <c r="AE390"/>
  <c r="AE391"/>
  <c r="AE392"/>
  <c r="AE393"/>
  <c r="AE394"/>
  <c r="AE395"/>
  <c r="AE396"/>
  <c r="AE397"/>
  <c r="AE398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G271"/>
  <c r="AG272"/>
  <c r="AG273"/>
  <c r="AG274"/>
  <c r="AG275"/>
  <c r="AG276"/>
  <c r="AG277"/>
  <c r="AG278"/>
  <c r="AG279"/>
  <c r="AG280"/>
  <c r="AG281"/>
  <c r="AG282"/>
  <c r="AG283"/>
  <c r="AG284"/>
  <c r="AG285"/>
  <c r="AG286"/>
  <c r="AG287"/>
  <c r="AG288"/>
  <c r="AG289"/>
  <c r="AG290"/>
  <c r="AG291"/>
  <c r="AG292"/>
  <c r="AG293"/>
  <c r="AG294"/>
  <c r="AG295"/>
  <c r="AG296"/>
  <c r="AG297"/>
  <c r="AG298"/>
  <c r="AG299"/>
  <c r="AG300"/>
  <c r="AG301"/>
  <c r="AG302"/>
  <c r="AG303"/>
  <c r="AG304"/>
  <c r="AG305"/>
  <c r="AG306"/>
  <c r="AG307"/>
  <c r="AG308"/>
  <c r="AG309"/>
  <c r="AG310"/>
  <c r="AG311"/>
  <c r="AG312"/>
  <c r="AG313"/>
  <c r="AG314"/>
  <c r="AG315"/>
  <c r="AG316"/>
  <c r="AG317"/>
  <c r="AG318"/>
  <c r="AG319"/>
  <c r="AG320"/>
  <c r="AG321"/>
  <c r="AG322"/>
  <c r="AG323"/>
  <c r="AG324"/>
  <c r="AG325"/>
  <c r="AG326"/>
  <c r="AG327"/>
  <c r="AG328"/>
  <c r="AG329"/>
  <c r="AG330"/>
  <c r="AG331"/>
  <c r="AG332"/>
  <c r="AG333"/>
  <c r="AG334"/>
  <c r="AG335"/>
  <c r="AG336"/>
  <c r="AG337"/>
  <c r="AG338"/>
  <c r="AG339"/>
  <c r="AG340"/>
  <c r="AG341"/>
  <c r="AG342"/>
  <c r="AG343"/>
  <c r="AG344"/>
  <c r="AG345"/>
  <c r="AG346"/>
  <c r="AG347"/>
  <c r="AG348"/>
  <c r="AG349"/>
  <c r="AG350"/>
  <c r="AG351"/>
  <c r="AG352"/>
  <c r="AG353"/>
  <c r="AG354"/>
  <c r="AG355"/>
  <c r="AG356"/>
  <c r="AG357"/>
  <c r="AG358"/>
  <c r="AG359"/>
  <c r="AG360"/>
  <c r="AG361"/>
  <c r="AG362"/>
  <c r="AG363"/>
  <c r="AG364"/>
  <c r="AG365"/>
  <c r="AG366"/>
  <c r="AG367"/>
  <c r="AG368"/>
  <c r="AG369"/>
  <c r="AG370"/>
  <c r="AG371"/>
  <c r="AG372"/>
  <c r="AG373"/>
  <c r="AG374"/>
  <c r="AG375"/>
  <c r="AG376"/>
  <c r="AG377"/>
  <c r="AG378"/>
  <c r="AG379"/>
  <c r="AG380"/>
  <c r="AG381"/>
  <c r="AG382"/>
  <c r="AG383"/>
  <c r="AG384"/>
  <c r="AG385"/>
  <c r="AG386"/>
  <c r="AG387"/>
  <c r="AG388"/>
  <c r="AG389"/>
  <c r="AG390"/>
  <c r="AG391"/>
  <c r="AG392"/>
  <c r="AG393"/>
  <c r="AG394"/>
  <c r="AG395"/>
  <c r="AG396"/>
  <c r="AG397"/>
  <c r="AG398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AH261"/>
  <c r="AH262"/>
  <c r="AH263"/>
  <c r="AH264"/>
  <c r="AH265"/>
  <c r="AH266"/>
  <c r="AH267"/>
  <c r="AH268"/>
  <c r="AH269"/>
  <c r="AH270"/>
  <c r="AH271"/>
  <c r="AH272"/>
  <c r="AH273"/>
  <c r="AH274"/>
  <c r="AH275"/>
  <c r="AH276"/>
  <c r="AH277"/>
  <c r="AH278"/>
  <c r="AH279"/>
  <c r="AH280"/>
  <c r="AH281"/>
  <c r="AH282"/>
  <c r="AH283"/>
  <c r="AH284"/>
  <c r="AH285"/>
  <c r="AH286"/>
  <c r="AH287"/>
  <c r="AH288"/>
  <c r="AH289"/>
  <c r="AH290"/>
  <c r="AH291"/>
  <c r="AH292"/>
  <c r="AH293"/>
  <c r="AH294"/>
  <c r="AH295"/>
  <c r="AH296"/>
  <c r="AH297"/>
  <c r="AH298"/>
  <c r="AH299"/>
  <c r="AH300"/>
  <c r="AH301"/>
  <c r="AH302"/>
  <c r="AH303"/>
  <c r="AH304"/>
  <c r="AH305"/>
  <c r="AH306"/>
  <c r="AH307"/>
  <c r="AH308"/>
  <c r="AH309"/>
  <c r="AH310"/>
  <c r="AH311"/>
  <c r="AH312"/>
  <c r="AH313"/>
  <c r="AH314"/>
  <c r="AH315"/>
  <c r="AH316"/>
  <c r="AH317"/>
  <c r="AH318"/>
  <c r="AH319"/>
  <c r="AH320"/>
  <c r="AH321"/>
  <c r="AH322"/>
  <c r="AH323"/>
  <c r="AH324"/>
  <c r="AH325"/>
  <c r="AH326"/>
  <c r="AH327"/>
  <c r="AH328"/>
  <c r="AH329"/>
  <c r="AH330"/>
  <c r="AH331"/>
  <c r="AH332"/>
  <c r="AH333"/>
  <c r="AH334"/>
  <c r="AH335"/>
  <c r="AH336"/>
  <c r="AH337"/>
  <c r="AH338"/>
  <c r="AH339"/>
  <c r="AH340"/>
  <c r="AH341"/>
  <c r="AH342"/>
  <c r="AH343"/>
  <c r="AH344"/>
  <c r="AH345"/>
  <c r="AH346"/>
  <c r="AH347"/>
  <c r="AH348"/>
  <c r="AH349"/>
  <c r="AH350"/>
  <c r="AH351"/>
  <c r="AH352"/>
  <c r="AH353"/>
  <c r="AH354"/>
  <c r="AH355"/>
  <c r="AH356"/>
  <c r="AH357"/>
  <c r="AH358"/>
  <c r="AH359"/>
  <c r="AH360"/>
  <c r="AH361"/>
  <c r="AH362"/>
  <c r="AH363"/>
  <c r="AH364"/>
  <c r="AH365"/>
  <c r="AH366"/>
  <c r="AH367"/>
  <c r="AH368"/>
  <c r="AH369"/>
  <c r="AH370"/>
  <c r="AH371"/>
  <c r="AH372"/>
  <c r="AH373"/>
  <c r="AH374"/>
  <c r="AH375"/>
  <c r="AH376"/>
  <c r="AH377"/>
  <c r="AH378"/>
  <c r="AH379"/>
  <c r="AH380"/>
  <c r="AH381"/>
  <c r="AH382"/>
  <c r="AH383"/>
  <c r="AH384"/>
  <c r="AH385"/>
  <c r="AH386"/>
  <c r="AH387"/>
  <c r="AH388"/>
  <c r="AH389"/>
  <c r="AH390"/>
  <c r="AH391"/>
  <c r="AH392"/>
  <c r="AH393"/>
  <c r="AH394"/>
  <c r="AH395"/>
  <c r="AH396"/>
  <c r="AH397"/>
  <c r="AH398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7"/>
  <c r="AJ168"/>
  <c r="AJ169"/>
  <c r="AJ170"/>
  <c r="AJ171"/>
  <c r="AJ172"/>
  <c r="AJ173"/>
  <c r="AJ174"/>
  <c r="AJ175"/>
  <c r="AJ176"/>
  <c r="AJ177"/>
  <c r="AJ178"/>
  <c r="AJ179"/>
  <c r="AJ180"/>
  <c r="AJ181"/>
  <c r="AJ182"/>
  <c r="AJ183"/>
  <c r="AJ184"/>
  <c r="AJ185"/>
  <c r="AJ186"/>
  <c r="AJ187"/>
  <c r="AJ188"/>
  <c r="AJ189"/>
  <c r="AJ190"/>
  <c r="AJ191"/>
  <c r="AJ192"/>
  <c r="AJ193"/>
  <c r="AJ194"/>
  <c r="AJ195"/>
  <c r="AJ196"/>
  <c r="AJ197"/>
  <c r="AJ198"/>
  <c r="AJ199"/>
  <c r="AJ200"/>
  <c r="AJ201"/>
  <c r="AJ202"/>
  <c r="AJ203"/>
  <c r="AJ204"/>
  <c r="AJ205"/>
  <c r="AJ206"/>
  <c r="AJ207"/>
  <c r="AJ208"/>
  <c r="AJ209"/>
  <c r="AJ210"/>
  <c r="AJ211"/>
  <c r="AJ212"/>
  <c r="AJ213"/>
  <c r="AJ214"/>
  <c r="AJ215"/>
  <c r="AJ216"/>
  <c r="AJ217"/>
  <c r="AJ218"/>
  <c r="AJ219"/>
  <c r="AJ220"/>
  <c r="AJ221"/>
  <c r="AJ222"/>
  <c r="AJ223"/>
  <c r="AJ224"/>
  <c r="AJ225"/>
  <c r="AJ226"/>
  <c r="AJ227"/>
  <c r="AJ228"/>
  <c r="AJ229"/>
  <c r="AJ230"/>
  <c r="AJ231"/>
  <c r="AJ232"/>
  <c r="AJ233"/>
  <c r="AJ234"/>
  <c r="AJ235"/>
  <c r="AJ236"/>
  <c r="AJ237"/>
  <c r="AJ238"/>
  <c r="AJ239"/>
  <c r="AJ240"/>
  <c r="AJ241"/>
  <c r="AJ242"/>
  <c r="AJ243"/>
  <c r="AJ244"/>
  <c r="AJ245"/>
  <c r="AJ246"/>
  <c r="AJ247"/>
  <c r="AJ248"/>
  <c r="AJ249"/>
  <c r="AJ250"/>
  <c r="AJ251"/>
  <c r="AJ252"/>
  <c r="AJ253"/>
  <c r="AJ254"/>
  <c r="AJ255"/>
  <c r="AJ256"/>
  <c r="AJ257"/>
  <c r="AJ258"/>
  <c r="AJ259"/>
  <c r="AJ260"/>
  <c r="AJ261"/>
  <c r="AJ262"/>
  <c r="AJ263"/>
  <c r="AJ264"/>
  <c r="AJ265"/>
  <c r="AJ266"/>
  <c r="AJ267"/>
  <c r="AJ268"/>
  <c r="AJ269"/>
  <c r="AJ270"/>
  <c r="AJ271"/>
  <c r="AJ272"/>
  <c r="AJ273"/>
  <c r="AJ274"/>
  <c r="AJ275"/>
  <c r="AJ276"/>
  <c r="AJ277"/>
  <c r="AJ278"/>
  <c r="AJ279"/>
  <c r="AJ280"/>
  <c r="AJ281"/>
  <c r="AJ282"/>
  <c r="AJ283"/>
  <c r="AJ284"/>
  <c r="AJ285"/>
  <c r="AJ286"/>
  <c r="AJ287"/>
  <c r="AJ288"/>
  <c r="AJ289"/>
  <c r="AJ290"/>
  <c r="AJ291"/>
  <c r="AJ292"/>
  <c r="AJ293"/>
  <c r="AJ294"/>
  <c r="AJ295"/>
  <c r="AJ296"/>
  <c r="AJ297"/>
  <c r="AJ298"/>
  <c r="AJ299"/>
  <c r="AJ300"/>
  <c r="AJ301"/>
  <c r="AJ302"/>
  <c r="AJ303"/>
  <c r="AJ304"/>
  <c r="AJ305"/>
  <c r="AJ306"/>
  <c r="AJ307"/>
  <c r="AJ308"/>
  <c r="AJ309"/>
  <c r="AJ310"/>
  <c r="AJ311"/>
  <c r="AJ312"/>
  <c r="AJ313"/>
  <c r="AJ314"/>
  <c r="AJ315"/>
  <c r="AJ316"/>
  <c r="AJ317"/>
  <c r="AJ318"/>
  <c r="AJ319"/>
  <c r="AJ320"/>
  <c r="AJ321"/>
  <c r="AJ322"/>
  <c r="AJ323"/>
  <c r="AJ324"/>
  <c r="AJ325"/>
  <c r="AJ326"/>
  <c r="AJ327"/>
  <c r="AJ328"/>
  <c r="AJ329"/>
  <c r="AJ330"/>
  <c r="AJ331"/>
  <c r="AJ332"/>
  <c r="AJ333"/>
  <c r="AJ334"/>
  <c r="AJ335"/>
  <c r="AJ336"/>
  <c r="AJ337"/>
  <c r="AJ338"/>
  <c r="AJ339"/>
  <c r="AJ340"/>
  <c r="AJ341"/>
  <c r="AJ342"/>
  <c r="AJ343"/>
  <c r="AJ344"/>
  <c r="AJ345"/>
  <c r="AJ346"/>
  <c r="AJ347"/>
  <c r="AJ348"/>
  <c r="AJ349"/>
  <c r="AJ350"/>
  <c r="AJ351"/>
  <c r="AJ352"/>
  <c r="AJ353"/>
  <c r="AJ354"/>
  <c r="AJ355"/>
  <c r="AJ356"/>
  <c r="AJ357"/>
  <c r="AJ358"/>
  <c r="AJ359"/>
  <c r="AJ360"/>
  <c r="AJ361"/>
  <c r="AJ362"/>
  <c r="AJ363"/>
  <c r="AJ364"/>
  <c r="AJ365"/>
  <c r="AJ366"/>
  <c r="AJ367"/>
  <c r="AJ368"/>
  <c r="AJ369"/>
  <c r="AJ370"/>
  <c r="AJ371"/>
  <c r="AJ372"/>
  <c r="AJ373"/>
  <c r="AJ374"/>
  <c r="AJ375"/>
  <c r="AJ376"/>
  <c r="AJ377"/>
  <c r="AJ378"/>
  <c r="AJ379"/>
  <c r="AJ380"/>
  <c r="AJ381"/>
  <c r="AJ382"/>
  <c r="AJ383"/>
  <c r="AJ384"/>
  <c r="AJ385"/>
  <c r="AJ386"/>
  <c r="AJ387"/>
  <c r="AJ388"/>
  <c r="AJ389"/>
  <c r="AJ390"/>
  <c r="AJ391"/>
  <c r="AJ392"/>
  <c r="AJ393"/>
  <c r="AJ394"/>
  <c r="AJ395"/>
  <c r="AJ396"/>
  <c r="AJ397"/>
  <c r="AJ398"/>
  <c r="G5" i="2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H5"/>
  <c r="H6"/>
  <c r="AL6" s="1"/>
  <c r="H7"/>
  <c r="H8"/>
  <c r="H9"/>
  <c r="H10"/>
  <c r="AL10" s="1"/>
  <c r="H11"/>
  <c r="H12"/>
  <c r="H13"/>
  <c r="H14"/>
  <c r="AL14" s="1"/>
  <c r="H15"/>
  <c r="H16"/>
  <c r="H17"/>
  <c r="H18"/>
  <c r="AL18" s="1"/>
  <c r="H19"/>
  <c r="H20"/>
  <c r="H21"/>
  <c r="H22"/>
  <c r="AL22" s="1"/>
  <c r="H23"/>
  <c r="H24"/>
  <c r="H25"/>
  <c r="H26"/>
  <c r="AL26" s="1"/>
  <c r="H27"/>
  <c r="H28"/>
  <c r="H29"/>
  <c r="H30"/>
  <c r="AL30" s="1"/>
  <c r="H31"/>
  <c r="H32"/>
  <c r="H33"/>
  <c r="H34"/>
  <c r="AL34" s="1"/>
  <c r="H35"/>
  <c r="H36"/>
  <c r="H37"/>
  <c r="H38"/>
  <c r="AL38" s="1"/>
  <c r="H39"/>
  <c r="H40"/>
  <c r="H41"/>
  <c r="H42"/>
  <c r="AL42" s="1"/>
  <c r="H43"/>
  <c r="H44"/>
  <c r="H45"/>
  <c r="H46"/>
  <c r="AL46" s="1"/>
  <c r="H47"/>
  <c r="H48"/>
  <c r="H49"/>
  <c r="H50"/>
  <c r="AL50" s="1"/>
  <c r="H51"/>
  <c r="H52"/>
  <c r="H53"/>
  <c r="H54"/>
  <c r="AL54" s="1"/>
  <c r="H55"/>
  <c r="H56"/>
  <c r="H57"/>
  <c r="H58"/>
  <c r="AL58" s="1"/>
  <c r="H59"/>
  <c r="H60"/>
  <c r="H61"/>
  <c r="H62"/>
  <c r="AL62" s="1"/>
  <c r="H63"/>
  <c r="H64"/>
  <c r="H65"/>
  <c r="H66"/>
  <c r="AL66" s="1"/>
  <c r="H67"/>
  <c r="H68"/>
  <c r="H69"/>
  <c r="H70"/>
  <c r="AL70" s="1"/>
  <c r="H71"/>
  <c r="H72"/>
  <c r="H73"/>
  <c r="H74"/>
  <c r="AL74" s="1"/>
  <c r="H75"/>
  <c r="H76"/>
  <c r="H77"/>
  <c r="H78"/>
  <c r="AL78" s="1"/>
  <c r="H79"/>
  <c r="H80"/>
  <c r="H81"/>
  <c r="H82"/>
  <c r="AL82" s="1"/>
  <c r="H83"/>
  <c r="H84"/>
  <c r="H85"/>
  <c r="H86"/>
  <c r="AL86" s="1"/>
  <c r="H87"/>
  <c r="H88"/>
  <c r="H89"/>
  <c r="H90"/>
  <c r="AL90" s="1"/>
  <c r="H91"/>
  <c r="H92"/>
  <c r="H93"/>
  <c r="H94"/>
  <c r="AL94" s="1"/>
  <c r="H95"/>
  <c r="H96"/>
  <c r="H97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L8"/>
  <c r="AL12"/>
  <c r="AL16"/>
  <c r="AL20"/>
  <c r="AL24"/>
  <c r="AL28"/>
  <c r="AL32"/>
  <c r="AL36"/>
  <c r="AL40"/>
  <c r="AL44"/>
  <c r="AL48"/>
  <c r="AL52"/>
  <c r="AL56"/>
  <c r="AL60"/>
  <c r="AL64"/>
  <c r="AL68"/>
  <c r="AL72"/>
  <c r="AL76"/>
  <c r="AL80"/>
  <c r="AL84"/>
  <c r="AL88"/>
  <c r="AL92"/>
  <c r="AL96"/>
  <c r="D5" i="7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AL97" i="2" l="1"/>
  <c r="AL95"/>
  <c r="AL93"/>
  <c r="AL91"/>
  <c r="AL89"/>
  <c r="AL87"/>
  <c r="AL85"/>
  <c r="AL83"/>
  <c r="AL81"/>
  <c r="AL79"/>
  <c r="AL77"/>
  <c r="AL75"/>
  <c r="AL73"/>
  <c r="AL71"/>
  <c r="AL69"/>
  <c r="AL67"/>
  <c r="AL65"/>
  <c r="AL63"/>
  <c r="AL61"/>
  <c r="AL59"/>
  <c r="AL57"/>
  <c r="AL55"/>
  <c r="AL53"/>
  <c r="AL51"/>
  <c r="AL49"/>
  <c r="AL47"/>
  <c r="AL45"/>
  <c r="AL43"/>
  <c r="AL41"/>
  <c r="AL39"/>
  <c r="AL37"/>
  <c r="AL35"/>
  <c r="AL33"/>
  <c r="AL31"/>
  <c r="AL29"/>
  <c r="AL27"/>
  <c r="AL25"/>
  <c r="AL23"/>
  <c r="AL21"/>
  <c r="AL19"/>
  <c r="AL17"/>
  <c r="AL15"/>
  <c r="AL13"/>
  <c r="AL11"/>
  <c r="AL9"/>
  <c r="AL7"/>
  <c r="AL5"/>
  <c r="P23" i="9"/>
  <c r="O21"/>
  <c r="L28"/>
  <c r="I5"/>
  <c r="F3" i="5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L3" i="2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H3"/>
  <c r="I3"/>
  <c r="J3"/>
  <c r="K3"/>
  <c r="G3"/>
</calcChain>
</file>

<file path=xl/comments1.xml><?xml version="1.0" encoding="utf-8"?>
<comments xmlns="http://schemas.openxmlformats.org/spreadsheetml/2006/main">
  <authors>
    <author>Author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GRN:-
GRN showing Stock In from vendor . It is covering RH,RL,RT,RIM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TR:-
TR listening Quantity Sum of all  those documents which are being transferred through CST or ICST type. It covers ISTR and ECTR.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 xml:space="preserve">RCA:-
RCA are those documents which were created wrongly and later on were cancelled by data entry user . Please note that it is not a return or rejection but a user mistake only which were corrected.
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SR:-
SR covering documents where our customer return back goods because of any particular reason.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VSTR:-
VSTR is used to take remaining material back into stock from vendor. 
VST Covering documents where material is transferring to vendor  as a BOM of purchase order process.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 xml:space="preserve">
Note : - Read colors strips using mouse over.</t>
        </r>
      </text>
    </comment>
    <comment ref="J1" authorId="0">
      <text>
        <r>
          <rPr>
            <b/>
            <sz val="9"/>
            <color indexed="81"/>
            <rFont val="Tahoma"/>
            <family val="2"/>
          </rPr>
          <t>R/P Showing comsumption detail . It is covering ISCO,ISCU and VCO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CST listening Quantity Sum of all  those documents which are being transferred through CST type.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RTN convering documents which are being return using RR or RRT from vendor.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S/I covering documents which are being issued using any type of Sale Invoice.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VST Covering documents where material is transferring to vendor as a purchase order process. VSTR is used to take remaining material back into GRN.</t>
        </r>
      </text>
    </comment>
  </commentList>
</comments>
</file>

<file path=xl/connections.xml><?xml version="1.0" encoding="utf-8"?>
<connections xmlns="http://schemas.openxmlformats.org/spreadsheetml/2006/main">
  <connection id="1" keepAlive="1" name="192.168.3.138_DYL_OP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opening_excell_inventory  '13','SP','02','16'"/>
  </connection>
  <connection id="2" keepAlive="1" name="192.168.3.138_Grn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excell_inventory 'Aug','13','SP','02','16','IDSF'"/>
  </connection>
  <connection id="3" keepAlive="1" name="192.168.3.138_GRN_VendItem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grn_dayWiseSum_VendorWiseItemList_excell_inventory 'Aug', '13','SP','02','16','IDSF'"/>
  </connection>
  <connection id="4" keepAlive="1" name="192.168.3.138_Inv_DYL_Is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 'Aug','13','SP','02','16','IDSF','Item'"/>
  </connection>
  <connection id="5" keepAlive="1" name="192.168.3.138_Inv_DYL_Is_Detail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Aug','13','SP','02','16','IDSF','Detail'"/>
  </connection>
  <connection id="6" keepAlive="1" name="192.168.3.138_Inv_DYL_OnlyItem1" type="5" refreshedVersion="3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issue_dayWiseSum_excell_inventory 'Aug','13','SP','02','16','IDSF','OnlyItem'"/>
  </connection>
</connections>
</file>

<file path=xl/sharedStrings.xml><?xml version="1.0" encoding="utf-8"?>
<sst xmlns="http://schemas.openxmlformats.org/spreadsheetml/2006/main" count="7998" uniqueCount="2886">
  <si>
    <t>supcode</t>
  </si>
  <si>
    <t>DayNo</t>
  </si>
  <si>
    <t>item_key</t>
  </si>
  <si>
    <t>006-04347</t>
  </si>
  <si>
    <t>006-00039</t>
  </si>
  <si>
    <t>006-04141</t>
  </si>
  <si>
    <t>VendorName</t>
  </si>
  <si>
    <t>Item_key</t>
  </si>
  <si>
    <t>itemNo</t>
  </si>
  <si>
    <t>itemName</t>
  </si>
  <si>
    <t>7DY-E8111-00-93</t>
  </si>
  <si>
    <t>PEDAL SHIFT ASSY</t>
  </si>
  <si>
    <t>7DY-F1510-00-93</t>
  </si>
  <si>
    <t xml:space="preserve">FRONT FENDER COMP. (CHROME)              </t>
  </si>
  <si>
    <t>Total</t>
  </si>
  <si>
    <t>Qty</t>
  </si>
  <si>
    <t>RType</t>
  </si>
  <si>
    <t>GRN</t>
  </si>
  <si>
    <t>RCA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</si>
  <si>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</si>
  <si>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</si>
  <si>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</si>
  <si>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</si>
  <si>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</si>
  <si>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</si>
  <si>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</si>
  <si>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</si>
  <si>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</si>
  <si>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</si>
  <si>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</si>
  <si>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</si>
  <si>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</si>
  <si>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</si>
  <si>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</si>
  <si>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</si>
  <si>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</si>
  <si>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</si>
  <si>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</si>
  <si>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</si>
  <si>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</si>
  <si>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</si>
  <si>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</si>
  <si>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</si>
  <si>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</si>
  <si>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</si>
  <si>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</si>
  <si>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</si>
  <si>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</si>
  <si>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</si>
  <si>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</si>
  <si>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Receipt Detail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</si>
  <si>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</si>
  <si>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</si>
  <si>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</si>
  <si>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</si>
  <si>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</si>
  <si>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</si>
  <si>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</si>
  <si>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</si>
  <si>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</si>
  <si>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</si>
  <si>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</si>
  <si>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</si>
  <si>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TR</t>
  </si>
  <si>
    <t>VType</t>
  </si>
  <si>
    <t>S</t>
  </si>
  <si>
    <t xml:space="preserve">Note:-Eliminated items are Service,Inactive and Invalid  </t>
  </si>
  <si>
    <t>IType</t>
  </si>
  <si>
    <t>CST</t>
  </si>
  <si>
    <t>VST</t>
  </si>
  <si>
    <t>RTN</t>
  </si>
  <si>
    <t>R/P</t>
  </si>
  <si>
    <t>S/I</t>
  </si>
  <si>
    <t>Issue Detail</t>
  </si>
  <si>
    <t>VSTR</t>
  </si>
  <si>
    <t>Document Detail</t>
  </si>
  <si>
    <t>SR</t>
  </si>
  <si>
    <t>Closing Balance</t>
  </si>
  <si>
    <t>Opening</t>
  </si>
  <si>
    <t>Total Receipt</t>
  </si>
  <si>
    <t>Total Issue</t>
  </si>
  <si>
    <t/>
  </si>
  <si>
    <t>OpQty</t>
  </si>
  <si>
    <t xml:space="preserve">Month </t>
  </si>
  <si>
    <t>006-04350</t>
  </si>
  <si>
    <t>006-04360</t>
  </si>
  <si>
    <t>SUP-1456</t>
  </si>
  <si>
    <t>7DY-E4781-00</t>
  </si>
  <si>
    <t>7DY-H3519-00</t>
  </si>
  <si>
    <t>BRACKET METER</t>
  </si>
  <si>
    <t>7DY-H3500-00</t>
  </si>
  <si>
    <t>SPEEDOMETER ASSY.</t>
  </si>
  <si>
    <t>SHAYAN AUTO ENGINEERING WORKS</t>
  </si>
  <si>
    <t>Year</t>
  </si>
  <si>
    <t xml:space="preserve">Unit </t>
  </si>
  <si>
    <t>Location</t>
  </si>
  <si>
    <t>Inventory</t>
  </si>
  <si>
    <t>Setup Id</t>
  </si>
  <si>
    <t>01</t>
  </si>
  <si>
    <t>Reporting Criteria</t>
  </si>
  <si>
    <t>Unit - I</t>
  </si>
  <si>
    <t>Unit - II</t>
  </si>
  <si>
    <t>Unit - III</t>
  </si>
  <si>
    <t>Unit - IV</t>
  </si>
  <si>
    <t>Unit - V</t>
  </si>
  <si>
    <t>Unit - VI</t>
  </si>
  <si>
    <t>Unti - VII</t>
  </si>
  <si>
    <t>Unit - VIII</t>
  </si>
  <si>
    <t>MF Working</t>
  </si>
  <si>
    <t>Unit Code</t>
  </si>
  <si>
    <t>Unit Name</t>
  </si>
  <si>
    <t>Head Office</t>
  </si>
  <si>
    <t>Karachi Show Room</t>
  </si>
  <si>
    <t>Hyderabad</t>
  </si>
  <si>
    <t>Quetta</t>
  </si>
  <si>
    <t>Multan</t>
  </si>
  <si>
    <t>Lahore</t>
  </si>
  <si>
    <t>Rawalpindi</t>
  </si>
  <si>
    <t>Faisalabad</t>
  </si>
  <si>
    <t>Peshawer</t>
  </si>
  <si>
    <t>Sukkur</t>
  </si>
  <si>
    <t>Plant - I - Uthal</t>
  </si>
  <si>
    <t>SF Transit</t>
  </si>
  <si>
    <t>Spare Parts Division</t>
  </si>
  <si>
    <t>KRO</t>
  </si>
  <si>
    <t>Plant - BEWL</t>
  </si>
  <si>
    <t>Plant - DCL</t>
  </si>
  <si>
    <t>Plant - AEWL</t>
  </si>
  <si>
    <t>Plant - GHL</t>
  </si>
  <si>
    <t>Central Warehouse</t>
  </si>
  <si>
    <t>Plant - TGL</t>
  </si>
  <si>
    <t>Plant - Elecom - I</t>
  </si>
  <si>
    <t>Plant - Elecom - II</t>
  </si>
  <si>
    <t>AutoCity Main Office</t>
  </si>
  <si>
    <t>Saddar Show Room</t>
  </si>
  <si>
    <t>Bahawalpur</t>
  </si>
  <si>
    <t>Okara</t>
  </si>
  <si>
    <t>Vehari</t>
  </si>
  <si>
    <t>Khan Pur</t>
  </si>
  <si>
    <t>Rahim Yar Khan</t>
  </si>
  <si>
    <t>Mailsi</t>
  </si>
  <si>
    <t>Sahiwal</t>
  </si>
  <si>
    <t>Plant - TGL (Knits)</t>
  </si>
  <si>
    <t>Plant - TGL (Woven)</t>
  </si>
  <si>
    <t>Plant - TGL (Dyeing)</t>
  </si>
  <si>
    <t>Plant - TGL (Embroidery)</t>
  </si>
  <si>
    <t>Plant - TGL (Knitting)</t>
  </si>
  <si>
    <t>Deepalpur</t>
  </si>
  <si>
    <t>Liaquatpur</t>
  </si>
  <si>
    <t>Khanqah Sharif</t>
  </si>
  <si>
    <t>Lodhran</t>
  </si>
  <si>
    <t>Ahmed Pur</t>
  </si>
  <si>
    <t>Yazman</t>
  </si>
  <si>
    <t>Sadiq Abad</t>
  </si>
  <si>
    <t>Main Head Office</t>
  </si>
  <si>
    <t>Plant -Uthal - Body Assy Factory</t>
  </si>
  <si>
    <t>Plant -Uthal - Wheel Assy Factory</t>
  </si>
  <si>
    <t>Plant -Uthal - Paint Factory</t>
  </si>
  <si>
    <t>Plant -Uthal - Engine Factory</t>
  </si>
  <si>
    <t>Lube Division</t>
  </si>
  <si>
    <t>Location Code</t>
  </si>
  <si>
    <t>Location Name</t>
  </si>
  <si>
    <t>Unit Help</t>
  </si>
  <si>
    <t>Location Help</t>
  </si>
  <si>
    <t>02</t>
  </si>
  <si>
    <t>03</t>
  </si>
  <si>
    <t>04</t>
  </si>
  <si>
    <t>05</t>
  </si>
  <si>
    <t>06</t>
  </si>
  <si>
    <t>07</t>
  </si>
  <si>
    <t>08</t>
  </si>
  <si>
    <t>09</t>
  </si>
  <si>
    <t>Inventory Report</t>
  </si>
  <si>
    <t>SUP-0979</t>
  </si>
  <si>
    <t>Sup-0027</t>
  </si>
  <si>
    <t>BEWL-UNIT-GHL</t>
  </si>
  <si>
    <t>006-00003</t>
  </si>
  <si>
    <t>006-00004</t>
  </si>
  <si>
    <t>006-00008</t>
  </si>
  <si>
    <t>006-00010</t>
  </si>
  <si>
    <t>006-00012</t>
  </si>
  <si>
    <t>006-00027</t>
  </si>
  <si>
    <t>006-00038</t>
  </si>
  <si>
    <t>006-00040</t>
  </si>
  <si>
    <t>006-00042</t>
  </si>
  <si>
    <t>006-00051</t>
  </si>
  <si>
    <t>006-00052</t>
  </si>
  <si>
    <t>006-00054</t>
  </si>
  <si>
    <t>006-00063</t>
  </si>
  <si>
    <t>006-00065</t>
  </si>
  <si>
    <t>006-00066</t>
  </si>
  <si>
    <t>006-00082</t>
  </si>
  <si>
    <t>006-00083</t>
  </si>
  <si>
    <t>006-00084</t>
  </si>
  <si>
    <t>006-00088</t>
  </si>
  <si>
    <t>006-00090</t>
  </si>
  <si>
    <t>006-00093</t>
  </si>
  <si>
    <t>006-00095</t>
  </si>
  <si>
    <t>006-00096</t>
  </si>
  <si>
    <t>006-00100</t>
  </si>
  <si>
    <t>006-00105</t>
  </si>
  <si>
    <t>006-00112</t>
  </si>
  <si>
    <t>006-00113</t>
  </si>
  <si>
    <t>006-00114</t>
  </si>
  <si>
    <t>006-00115</t>
  </si>
  <si>
    <t>006-00116</t>
  </si>
  <si>
    <t>006-00119</t>
  </si>
  <si>
    <t>006-00121</t>
  </si>
  <si>
    <t>006-00124</t>
  </si>
  <si>
    <t>006-00125</t>
  </si>
  <si>
    <t>006-00128</t>
  </si>
  <si>
    <t>006-00130</t>
  </si>
  <si>
    <t>006-00133</t>
  </si>
  <si>
    <t>006-00141</t>
  </si>
  <si>
    <t>006-00142</t>
  </si>
  <si>
    <t>006-00144</t>
  </si>
  <si>
    <t>006-00149</t>
  </si>
  <si>
    <t>006-00150</t>
  </si>
  <si>
    <t>006-00151</t>
  </si>
  <si>
    <t>006-00159</t>
  </si>
  <si>
    <t>006-00160</t>
  </si>
  <si>
    <t>006-00172</t>
  </si>
  <si>
    <t>006-00182</t>
  </si>
  <si>
    <t>006-00187</t>
  </si>
  <si>
    <t>006-00190</t>
  </si>
  <si>
    <t>006-00191</t>
  </si>
  <si>
    <t>006-00192</t>
  </si>
  <si>
    <t>006-00193</t>
  </si>
  <si>
    <t>006-00194</t>
  </si>
  <si>
    <t>006-00197</t>
  </si>
  <si>
    <t>006-00198</t>
  </si>
  <si>
    <t>006-00200</t>
  </si>
  <si>
    <t>006-00201</t>
  </si>
  <si>
    <t>006-00203</t>
  </si>
  <si>
    <t>006-00204</t>
  </si>
  <si>
    <t>006-00206</t>
  </si>
  <si>
    <t>006-00207</t>
  </si>
  <si>
    <t>006-00211</t>
  </si>
  <si>
    <t>006-00216</t>
  </si>
  <si>
    <t>006-00234</t>
  </si>
  <si>
    <t>006-00246</t>
  </si>
  <si>
    <t>006-00264</t>
  </si>
  <si>
    <t>006-00265</t>
  </si>
  <si>
    <t>006-00287</t>
  </si>
  <si>
    <t>006-00302</t>
  </si>
  <si>
    <t>006-00303</t>
  </si>
  <si>
    <t>006-00307</t>
  </si>
  <si>
    <t>006-00308</t>
  </si>
  <si>
    <t>006-00310</t>
  </si>
  <si>
    <t>006-00311</t>
  </si>
  <si>
    <t>006-00312</t>
  </si>
  <si>
    <t>006-00316</t>
  </si>
  <si>
    <t>006-00317</t>
  </si>
  <si>
    <t>006-00326</t>
  </si>
  <si>
    <t>006-00330</t>
  </si>
  <si>
    <t>006-00331</t>
  </si>
  <si>
    <t>006-00332</t>
  </si>
  <si>
    <t>006-00345</t>
  </si>
  <si>
    <t>006-00346</t>
  </si>
  <si>
    <t>006-00349</t>
  </si>
  <si>
    <t>006-00351</t>
  </si>
  <si>
    <t>006-00354</t>
  </si>
  <si>
    <t>006-00355</t>
  </si>
  <si>
    <t>006-00358</t>
  </si>
  <si>
    <t>006-00360</t>
  </si>
  <si>
    <t>006-00361</t>
  </si>
  <si>
    <t>006-00364</t>
  </si>
  <si>
    <t>006-00365</t>
  </si>
  <si>
    <t>006-00367</t>
  </si>
  <si>
    <t>006-00368</t>
  </si>
  <si>
    <t>006-00370</t>
  </si>
  <si>
    <t>006-00371</t>
  </si>
  <si>
    <t>006-00372</t>
  </si>
  <si>
    <t>006-00374</t>
  </si>
  <si>
    <t>006-00377</t>
  </si>
  <si>
    <t>006-00379</t>
  </si>
  <si>
    <t>006-00380</t>
  </si>
  <si>
    <t>006-00381</t>
  </si>
  <si>
    <t>006-00382</t>
  </si>
  <si>
    <t>006-00383</t>
  </si>
  <si>
    <t>006-00384</t>
  </si>
  <si>
    <t>006-00385</t>
  </si>
  <si>
    <t>006-00387</t>
  </si>
  <si>
    <t>006-00392</t>
  </si>
  <si>
    <t>006-00393</t>
  </si>
  <si>
    <t>006-00394</t>
  </si>
  <si>
    <t>006-00395</t>
  </si>
  <si>
    <t>006-00398</t>
  </si>
  <si>
    <t>006-00399</t>
  </si>
  <si>
    <t>006-00401</t>
  </si>
  <si>
    <t>006-00402</t>
  </si>
  <si>
    <t>006-00403</t>
  </si>
  <si>
    <t>006-00406</t>
  </si>
  <si>
    <t>006-00411</t>
  </si>
  <si>
    <t>006-00412</t>
  </si>
  <si>
    <t>006-00416</t>
  </si>
  <si>
    <t>006-00418</t>
  </si>
  <si>
    <t>006-00420</t>
  </si>
  <si>
    <t>006-00422</t>
  </si>
  <si>
    <t>006-00430</t>
  </si>
  <si>
    <t>006-00433</t>
  </si>
  <si>
    <t>006-00436</t>
  </si>
  <si>
    <t>006-00437</t>
  </si>
  <si>
    <t>006-00438</t>
  </si>
  <si>
    <t>006-00439</t>
  </si>
  <si>
    <t>006-00441</t>
  </si>
  <si>
    <t>006-00442</t>
  </si>
  <si>
    <t>006-00443</t>
  </si>
  <si>
    <t>006-00444</t>
  </si>
  <si>
    <t>006-00445</t>
  </si>
  <si>
    <t>006-00446</t>
  </si>
  <si>
    <t>006-00447</t>
  </si>
  <si>
    <t>006-00450</t>
  </si>
  <si>
    <t>006-00453</t>
  </si>
  <si>
    <t>006-00455</t>
  </si>
  <si>
    <t>006-00456</t>
  </si>
  <si>
    <t>006-00462</t>
  </si>
  <si>
    <t>006-00467</t>
  </si>
  <si>
    <t>006-00472</t>
  </si>
  <si>
    <t>006-00474</t>
  </si>
  <si>
    <t>006-00476</t>
  </si>
  <si>
    <t>006-00478</t>
  </si>
  <si>
    <t>006-00480</t>
  </si>
  <si>
    <t>006-00487</t>
  </si>
  <si>
    <t>006-00488</t>
  </si>
  <si>
    <t>006-00489</t>
  </si>
  <si>
    <t>006-00491</t>
  </si>
  <si>
    <t>006-00494</t>
  </si>
  <si>
    <t>006-00496</t>
  </si>
  <si>
    <t>006-00497</t>
  </si>
  <si>
    <t>006-00498</t>
  </si>
  <si>
    <t>006-00500</t>
  </si>
  <si>
    <t>006-00502</t>
  </si>
  <si>
    <t>006-00504</t>
  </si>
  <si>
    <t>006-00505</t>
  </si>
  <si>
    <t>006-00508</t>
  </si>
  <si>
    <t>006-00511</t>
  </si>
  <si>
    <t>006-00514</t>
  </si>
  <si>
    <t>006-00515</t>
  </si>
  <si>
    <t>006-00518</t>
  </si>
  <si>
    <t>006-00525</t>
  </si>
  <si>
    <t>006-00526</t>
  </si>
  <si>
    <t>006-00528</t>
  </si>
  <si>
    <t>006-00535</t>
  </si>
  <si>
    <t>006-00537</t>
  </si>
  <si>
    <t>006-00538</t>
  </si>
  <si>
    <t>006-00540</t>
  </si>
  <si>
    <t>006-00544</t>
  </si>
  <si>
    <t>006-00565</t>
  </si>
  <si>
    <t>006-00570</t>
  </si>
  <si>
    <t>006-00571</t>
  </si>
  <si>
    <t>006-00572</t>
  </si>
  <si>
    <t>006-00573</t>
  </si>
  <si>
    <t>006-00578</t>
  </si>
  <si>
    <t>006-00579</t>
  </si>
  <si>
    <t>006-00583</t>
  </si>
  <si>
    <t>006-00585</t>
  </si>
  <si>
    <t>006-00586</t>
  </si>
  <si>
    <t>006-00588</t>
  </si>
  <si>
    <t>006-00589</t>
  </si>
  <si>
    <t>006-00590</t>
  </si>
  <si>
    <t>006-00592</t>
  </si>
  <si>
    <t>006-00594</t>
  </si>
  <si>
    <t>006-00595</t>
  </si>
  <si>
    <t>006-00596</t>
  </si>
  <si>
    <t>006-00597</t>
  </si>
  <si>
    <t>006-00599</t>
  </si>
  <si>
    <t>006-00603</t>
  </si>
  <si>
    <t>006-00605</t>
  </si>
  <si>
    <t>006-00607</t>
  </si>
  <si>
    <t>006-00617</t>
  </si>
  <si>
    <t>006-00620</t>
  </si>
  <si>
    <t>006-00621</t>
  </si>
  <si>
    <t>006-00622</t>
  </si>
  <si>
    <t>006-00624</t>
  </si>
  <si>
    <t>006-00625</t>
  </si>
  <si>
    <t>006-00627</t>
  </si>
  <si>
    <t>006-00628</t>
  </si>
  <si>
    <t>006-00631</t>
  </si>
  <si>
    <t>006-00634</t>
  </si>
  <si>
    <t>006-00637</t>
  </si>
  <si>
    <t>006-00638</t>
  </si>
  <si>
    <t>006-00641</t>
  </si>
  <si>
    <t>006-00645</t>
  </si>
  <si>
    <t>006-00649</t>
  </si>
  <si>
    <t>006-00650</t>
  </si>
  <si>
    <t>006-00651</t>
  </si>
  <si>
    <t>006-00652</t>
  </si>
  <si>
    <t>006-00654</t>
  </si>
  <si>
    <t>006-00655</t>
  </si>
  <si>
    <t>006-00658</t>
  </si>
  <si>
    <t>006-00660</t>
  </si>
  <si>
    <t>006-00663</t>
  </si>
  <si>
    <t>006-00712</t>
  </si>
  <si>
    <t>006-00716</t>
  </si>
  <si>
    <t>006-00717</t>
  </si>
  <si>
    <t>006-00718</t>
  </si>
  <si>
    <t>006-00719</t>
  </si>
  <si>
    <t>006-00724</t>
  </si>
  <si>
    <t>006-00727</t>
  </si>
  <si>
    <t>006-00728</t>
  </si>
  <si>
    <t>006-00730</t>
  </si>
  <si>
    <t>006-00731</t>
  </si>
  <si>
    <t>006-00734</t>
  </si>
  <si>
    <t>006-00737</t>
  </si>
  <si>
    <t>006-00744</t>
  </si>
  <si>
    <t>006-00745</t>
  </si>
  <si>
    <t>006-00746</t>
  </si>
  <si>
    <t>006-00750</t>
  </si>
  <si>
    <t>006-00758</t>
  </si>
  <si>
    <t>006-00759</t>
  </si>
  <si>
    <t>006-00764</t>
  </si>
  <si>
    <t>006-00767</t>
  </si>
  <si>
    <t>006-00769</t>
  </si>
  <si>
    <t>006-00774</t>
  </si>
  <si>
    <t>006-00775</t>
  </si>
  <si>
    <t>006-00779</t>
  </si>
  <si>
    <t>006-00780</t>
  </si>
  <si>
    <t>006-00781</t>
  </si>
  <si>
    <t>006-00784</t>
  </si>
  <si>
    <t>006-00791</t>
  </si>
  <si>
    <t>006-00793</t>
  </si>
  <si>
    <t>006-00802</t>
  </si>
  <si>
    <t>006-00806</t>
  </si>
  <si>
    <t>006-00811</t>
  </si>
  <si>
    <t>006-00813</t>
  </si>
  <si>
    <t>006-00814</t>
  </si>
  <si>
    <t>006-00815</t>
  </si>
  <si>
    <t>006-00816</t>
  </si>
  <si>
    <t>006-00821</t>
  </si>
  <si>
    <t>006-00822</t>
  </si>
  <si>
    <t>006-00823</t>
  </si>
  <si>
    <t>006-00827</t>
  </si>
  <si>
    <t>006-00828</t>
  </si>
  <si>
    <t>006-00831</t>
  </si>
  <si>
    <t>006-00836</t>
  </si>
  <si>
    <t>006-00839</t>
  </si>
  <si>
    <t>006-00841</t>
  </si>
  <si>
    <t>006-00842</t>
  </si>
  <si>
    <t>006-00843</t>
  </si>
  <si>
    <t>006-00844</t>
  </si>
  <si>
    <t>006-00845</t>
  </si>
  <si>
    <t>006-00849</t>
  </si>
  <si>
    <t>006-00850</t>
  </si>
  <si>
    <t>006-00851</t>
  </si>
  <si>
    <t>006-00852</t>
  </si>
  <si>
    <t>006-00855</t>
  </si>
  <si>
    <t>006-00856</t>
  </si>
  <si>
    <t>006-00858</t>
  </si>
  <si>
    <t>006-00870</t>
  </si>
  <si>
    <t>006-00871</t>
  </si>
  <si>
    <t>006-00875</t>
  </si>
  <si>
    <t>006-00876</t>
  </si>
  <si>
    <t>006-00877</t>
  </si>
  <si>
    <t>006-00878</t>
  </si>
  <si>
    <t>006-00879</t>
  </si>
  <si>
    <t>006-00881</t>
  </si>
  <si>
    <t>006-00882</t>
  </si>
  <si>
    <t>006-00883</t>
  </si>
  <si>
    <t>006-00885</t>
  </si>
  <si>
    <t>006-00886</t>
  </si>
  <si>
    <t>006-00889</t>
  </si>
  <si>
    <t>006-00890</t>
  </si>
  <si>
    <t>006-00894</t>
  </si>
  <si>
    <t>006-00895</t>
  </si>
  <si>
    <t>006-00902</t>
  </si>
  <si>
    <t>006-00903</t>
  </si>
  <si>
    <t>006-00907</t>
  </si>
  <si>
    <t>006-00908</t>
  </si>
  <si>
    <t>006-00909</t>
  </si>
  <si>
    <t>006-00910</t>
  </si>
  <si>
    <t>006-00911</t>
  </si>
  <si>
    <t>006-00913</t>
  </si>
  <si>
    <t>006-00925</t>
  </si>
  <si>
    <t>006-00928</t>
  </si>
  <si>
    <t>006-00931</t>
  </si>
  <si>
    <t>006-00932</t>
  </si>
  <si>
    <t>006-00936</t>
  </si>
  <si>
    <t>006-00938</t>
  </si>
  <si>
    <t>006-00941</t>
  </si>
  <si>
    <t>006-00950</t>
  </si>
  <si>
    <t>006-00959</t>
  </si>
  <si>
    <t>006-00965</t>
  </si>
  <si>
    <t>006-00966</t>
  </si>
  <si>
    <t>006-00968</t>
  </si>
  <si>
    <t>006-00969</t>
  </si>
  <si>
    <t>006-00975</t>
  </si>
  <si>
    <t>006-00977</t>
  </si>
  <si>
    <t>006-00978</t>
  </si>
  <si>
    <t>006-00980</t>
  </si>
  <si>
    <t>006-00981</t>
  </si>
  <si>
    <t>006-01031</t>
  </si>
  <si>
    <t>006-01035</t>
  </si>
  <si>
    <t>006-01036</t>
  </si>
  <si>
    <t>006-01051</t>
  </si>
  <si>
    <t>006-01052</t>
  </si>
  <si>
    <t>006-01056</t>
  </si>
  <si>
    <t>006-01058</t>
  </si>
  <si>
    <t>006-01059</t>
  </si>
  <si>
    <t>006-01062</t>
  </si>
  <si>
    <t>006-01063</t>
  </si>
  <si>
    <t>006-01064</t>
  </si>
  <si>
    <t>006-01066</t>
  </si>
  <si>
    <t>006-01067</t>
  </si>
  <si>
    <t>006-01068</t>
  </si>
  <si>
    <t>006-01073</t>
  </si>
  <si>
    <t>006-01074</t>
  </si>
  <si>
    <t>006-01086</t>
  </si>
  <si>
    <t>006-01087</t>
  </si>
  <si>
    <t>006-01094</t>
  </si>
  <si>
    <t>006-01097</t>
  </si>
  <si>
    <t>006-01098</t>
  </si>
  <si>
    <t>006-01106</t>
  </si>
  <si>
    <t>006-01107</t>
  </si>
  <si>
    <t>006-01110</t>
  </si>
  <si>
    <t>006-01111</t>
  </si>
  <si>
    <t>006-01116</t>
  </si>
  <si>
    <t>006-01121</t>
  </si>
  <si>
    <t>006-01122</t>
  </si>
  <si>
    <t>006-01125</t>
  </si>
  <si>
    <t>006-01127</t>
  </si>
  <si>
    <t>006-01128</t>
  </si>
  <si>
    <t>006-01133</t>
  </si>
  <si>
    <t>006-01134</t>
  </si>
  <si>
    <t>006-01135</t>
  </si>
  <si>
    <t>006-01142</t>
  </si>
  <si>
    <t>006-01144</t>
  </si>
  <si>
    <t>006-01145</t>
  </si>
  <si>
    <t>006-01160</t>
  </si>
  <si>
    <t>006-01161</t>
  </si>
  <si>
    <t>006-01162</t>
  </si>
  <si>
    <t>006-01163</t>
  </si>
  <si>
    <t>006-01166</t>
  </si>
  <si>
    <t>006-01168</t>
  </si>
  <si>
    <t>006-01169</t>
  </si>
  <si>
    <t>006-01170</t>
  </si>
  <si>
    <t>006-01171</t>
  </si>
  <si>
    <t>006-01173</t>
  </si>
  <si>
    <t>006-01174</t>
  </si>
  <si>
    <t>006-01181</t>
  </si>
  <si>
    <t>006-01183</t>
  </si>
  <si>
    <t>006-01187</t>
  </si>
  <si>
    <t>006-01188</t>
  </si>
  <si>
    <t>006-01192</t>
  </si>
  <si>
    <t>006-01194</t>
  </si>
  <si>
    <t>006-01195</t>
  </si>
  <si>
    <t>006-01196</t>
  </si>
  <si>
    <t>006-01197</t>
  </si>
  <si>
    <t>006-01198</t>
  </si>
  <si>
    <t>006-01199</t>
  </si>
  <si>
    <t>006-01203</t>
  </si>
  <si>
    <t>006-01204</t>
  </si>
  <si>
    <t>006-01223</t>
  </si>
  <si>
    <t>006-01224</t>
  </si>
  <si>
    <t>006-01225</t>
  </si>
  <si>
    <t>006-01227</t>
  </si>
  <si>
    <t>006-01229</t>
  </si>
  <si>
    <t>006-01233</t>
  </si>
  <si>
    <t>006-01235</t>
  </si>
  <si>
    <t>006-01241</t>
  </si>
  <si>
    <t>006-01243</t>
  </si>
  <si>
    <t>006-01244</t>
  </si>
  <si>
    <t>006-01247</t>
  </si>
  <si>
    <t>006-01248</t>
  </si>
  <si>
    <t>006-01249</t>
  </si>
  <si>
    <t>006-01253</t>
  </si>
  <si>
    <t>006-01254</t>
  </si>
  <si>
    <t>006-01262</t>
  </si>
  <si>
    <t>006-01264</t>
  </si>
  <si>
    <t>006-01267</t>
  </si>
  <si>
    <t>006-01269</t>
  </si>
  <si>
    <t>006-01270</t>
  </si>
  <si>
    <t>006-01271</t>
  </si>
  <si>
    <t>006-01279</t>
  </si>
  <si>
    <t>006-01281</t>
  </si>
  <si>
    <t>006-01282</t>
  </si>
  <si>
    <t>006-01288</t>
  </si>
  <si>
    <t>006-01290</t>
  </si>
  <si>
    <t>006-01291</t>
  </si>
  <si>
    <t>006-01292</t>
  </si>
  <si>
    <t>006-01293</t>
  </si>
  <si>
    <t>006-01294</t>
  </si>
  <si>
    <t>006-01295</t>
  </si>
  <si>
    <t>006-01297</t>
  </si>
  <si>
    <t>006-01298</t>
  </si>
  <si>
    <t>006-01299</t>
  </si>
  <si>
    <t>006-01300</t>
  </si>
  <si>
    <t>006-01301</t>
  </si>
  <si>
    <t>006-01302</t>
  </si>
  <si>
    <t>006-01307</t>
  </si>
  <si>
    <t>006-01308</t>
  </si>
  <si>
    <t>006-01310</t>
  </si>
  <si>
    <t>006-01316</t>
  </si>
  <si>
    <t>006-01319</t>
  </si>
  <si>
    <t>006-01322</t>
  </si>
  <si>
    <t>006-01325</t>
  </si>
  <si>
    <t>006-01332</t>
  </si>
  <si>
    <t>006-01333</t>
  </si>
  <si>
    <t>006-01334</t>
  </si>
  <si>
    <t>006-01336</t>
  </si>
  <si>
    <t>006-01338</t>
  </si>
  <si>
    <t>006-01339</t>
  </si>
  <si>
    <t>006-01341</t>
  </si>
  <si>
    <t>006-01343</t>
  </si>
  <si>
    <t>006-01344</t>
  </si>
  <si>
    <t>006-01347</t>
  </si>
  <si>
    <t>006-01349</t>
  </si>
  <si>
    <t>006-01351</t>
  </si>
  <si>
    <t>006-01354</t>
  </si>
  <si>
    <t>006-01364</t>
  </si>
  <si>
    <t>006-01368</t>
  </si>
  <si>
    <t>006-01370</t>
  </si>
  <si>
    <t>006-01374</t>
  </si>
  <si>
    <t>006-01380</t>
  </si>
  <si>
    <t>006-01381</t>
  </si>
  <si>
    <t>006-01382</t>
  </si>
  <si>
    <t>006-01383</t>
  </si>
  <si>
    <t>006-01384</t>
  </si>
  <si>
    <t>006-01385</t>
  </si>
  <si>
    <t>006-01386</t>
  </si>
  <si>
    <t>006-01387</t>
  </si>
  <si>
    <t>006-01389</t>
  </si>
  <si>
    <t>006-01395</t>
  </si>
  <si>
    <t>006-01396</t>
  </si>
  <si>
    <t>006-01399</t>
  </si>
  <si>
    <t>006-01402</t>
  </si>
  <si>
    <t>006-01403</t>
  </si>
  <si>
    <t>006-01409</t>
  </si>
  <si>
    <t>006-01411</t>
  </si>
  <si>
    <t>006-01420</t>
  </si>
  <si>
    <t>006-01429</t>
  </si>
  <si>
    <t>006-01433</t>
  </si>
  <si>
    <t>006-01435</t>
  </si>
  <si>
    <t>006-01440</t>
  </si>
  <si>
    <t>006-01443</t>
  </si>
  <si>
    <t>006-01444</t>
  </si>
  <si>
    <t>006-01445</t>
  </si>
  <si>
    <t>006-01446</t>
  </si>
  <si>
    <t>006-01447</t>
  </si>
  <si>
    <t>006-01448</t>
  </si>
  <si>
    <t>006-01449</t>
  </si>
  <si>
    <t>006-01454</t>
  </si>
  <si>
    <t>006-01455</t>
  </si>
  <si>
    <t>006-01456</t>
  </si>
  <si>
    <t>006-01458</t>
  </si>
  <si>
    <t>006-01459</t>
  </si>
  <si>
    <t>006-01460</t>
  </si>
  <si>
    <t>006-01461</t>
  </si>
  <si>
    <t>006-01462</t>
  </si>
  <si>
    <t>006-01463</t>
  </si>
  <si>
    <t>006-01464</t>
  </si>
  <si>
    <t>006-01465</t>
  </si>
  <si>
    <t>006-01466</t>
  </si>
  <si>
    <t>006-01467</t>
  </si>
  <si>
    <t>006-01468</t>
  </si>
  <si>
    <t>006-01469</t>
  </si>
  <si>
    <t>006-01472</t>
  </si>
  <si>
    <t>006-01477</t>
  </si>
  <si>
    <t>006-01480</t>
  </si>
  <si>
    <t>006-01495</t>
  </si>
  <si>
    <t>006-01496</t>
  </si>
  <si>
    <t>006-01497</t>
  </si>
  <si>
    <t>006-01502</t>
  </si>
  <si>
    <t>006-01503</t>
  </si>
  <si>
    <t>006-01514</t>
  </si>
  <si>
    <t>006-01515</t>
  </si>
  <si>
    <t>006-01516</t>
  </si>
  <si>
    <t>006-01523</t>
  </si>
  <si>
    <t>006-01528</t>
  </si>
  <si>
    <t>006-01531</t>
  </si>
  <si>
    <t>006-01536</t>
  </si>
  <si>
    <t>006-01537</t>
  </si>
  <si>
    <t>006-01538</t>
  </si>
  <si>
    <t>006-01546</t>
  </si>
  <si>
    <t>006-01549</t>
  </si>
  <si>
    <t>006-01550</t>
  </si>
  <si>
    <t>006-01552</t>
  </si>
  <si>
    <t>006-01553</t>
  </si>
  <si>
    <t>006-01559</t>
  </si>
  <si>
    <t>006-01573</t>
  </si>
  <si>
    <t>006-01576</t>
  </si>
  <si>
    <t>006-01582</t>
  </si>
  <si>
    <t>006-01583</t>
  </si>
  <si>
    <t>006-01584</t>
  </si>
  <si>
    <t>006-01585</t>
  </si>
  <si>
    <t>006-01586</t>
  </si>
  <si>
    <t>006-01587</t>
  </si>
  <si>
    <t>006-01588</t>
  </si>
  <si>
    <t>006-01592</t>
  </si>
  <si>
    <t>006-01595</t>
  </si>
  <si>
    <t>006-01597</t>
  </si>
  <si>
    <t>006-01599</t>
  </si>
  <si>
    <t>006-01600</t>
  </si>
  <si>
    <t>006-01606</t>
  </si>
  <si>
    <t>006-01611</t>
  </si>
  <si>
    <t>006-01618</t>
  </si>
  <si>
    <t>006-01619</t>
  </si>
  <si>
    <t>006-01621</t>
  </si>
  <si>
    <t>006-01625</t>
  </si>
  <si>
    <t>006-01626</t>
  </si>
  <si>
    <t>006-01627</t>
  </si>
  <si>
    <t>006-01635</t>
  </si>
  <si>
    <t>006-01637</t>
  </si>
  <si>
    <t>006-01638</t>
  </si>
  <si>
    <t>006-01639</t>
  </si>
  <si>
    <t>006-01640</t>
  </si>
  <si>
    <t>006-01641</t>
  </si>
  <si>
    <t>006-01642</t>
  </si>
  <si>
    <t>006-01644</t>
  </si>
  <si>
    <t>006-01645</t>
  </si>
  <si>
    <t>006-01646</t>
  </si>
  <si>
    <t>006-01647</t>
  </si>
  <si>
    <t>006-01656</t>
  </si>
  <si>
    <t>006-01664</t>
  </si>
  <si>
    <t>006-01671</t>
  </si>
  <si>
    <t>006-01675</t>
  </si>
  <si>
    <t>006-01676</t>
  </si>
  <si>
    <t>006-01680</t>
  </si>
  <si>
    <t>006-01685</t>
  </si>
  <si>
    <t>006-01696</t>
  </si>
  <si>
    <t>006-01705</t>
  </si>
  <si>
    <t>006-01706</t>
  </si>
  <si>
    <t>006-01707</t>
  </si>
  <si>
    <t>006-01708</t>
  </si>
  <si>
    <t>006-01710</t>
  </si>
  <si>
    <t>006-01711</t>
  </si>
  <si>
    <t>006-01718</t>
  </si>
  <si>
    <t>006-01721</t>
  </si>
  <si>
    <t>006-01737</t>
  </si>
  <si>
    <t>006-01746</t>
  </si>
  <si>
    <t>006-01749</t>
  </si>
  <si>
    <t>006-01751</t>
  </si>
  <si>
    <t>006-01759</t>
  </si>
  <si>
    <t>006-01762</t>
  </si>
  <si>
    <t>006-01765</t>
  </si>
  <si>
    <t>006-01770</t>
  </si>
  <si>
    <t>006-01771</t>
  </si>
  <si>
    <t>006-01772</t>
  </si>
  <si>
    <t>006-01774</t>
  </si>
  <si>
    <t>006-01775</t>
  </si>
  <si>
    <t>006-01776</t>
  </si>
  <si>
    <t>006-01777</t>
  </si>
  <si>
    <t>006-01787</t>
  </si>
  <si>
    <t>006-01788</t>
  </si>
  <si>
    <t>006-01790</t>
  </si>
  <si>
    <t>006-01794</t>
  </si>
  <si>
    <t>006-01795</t>
  </si>
  <si>
    <t>006-01801</t>
  </si>
  <si>
    <t>006-01802</t>
  </si>
  <si>
    <t>006-01803</t>
  </si>
  <si>
    <t>006-01806</t>
  </si>
  <si>
    <t>006-01807</t>
  </si>
  <si>
    <t>006-01808</t>
  </si>
  <si>
    <t>006-01810</t>
  </si>
  <si>
    <t>006-01813</t>
  </si>
  <si>
    <t>006-01815</t>
  </si>
  <si>
    <t>006-01820</t>
  </si>
  <si>
    <t>006-01821</t>
  </si>
  <si>
    <t>006-01822</t>
  </si>
  <si>
    <t>006-01828</t>
  </si>
  <si>
    <t>006-01829</t>
  </si>
  <si>
    <t>006-01832</t>
  </si>
  <si>
    <t>006-01841</t>
  </si>
  <si>
    <t>006-01849</t>
  </si>
  <si>
    <t>006-01851</t>
  </si>
  <si>
    <t>006-01852</t>
  </si>
  <si>
    <t>006-01859</t>
  </si>
  <si>
    <t>006-01862</t>
  </si>
  <si>
    <t>006-01880</t>
  </si>
  <si>
    <t>006-01882</t>
  </si>
  <si>
    <t>006-01884</t>
  </si>
  <si>
    <t>006-01886</t>
  </si>
  <si>
    <t>006-01908</t>
  </si>
  <si>
    <t>006-01909</t>
  </si>
  <si>
    <t>006-01913</t>
  </si>
  <si>
    <t>006-01965</t>
  </si>
  <si>
    <t>006-01967</t>
  </si>
  <si>
    <t>006-01968</t>
  </si>
  <si>
    <t>006-01982</t>
  </si>
  <si>
    <t>006-01995</t>
  </si>
  <si>
    <t>006-02013</t>
  </si>
  <si>
    <t>006-02023</t>
  </si>
  <si>
    <t>006-02026</t>
  </si>
  <si>
    <t>006-02034</t>
  </si>
  <si>
    <t>006-02055</t>
  </si>
  <si>
    <t>006-02073</t>
  </si>
  <si>
    <t>006-02074</t>
  </si>
  <si>
    <t>006-02078</t>
  </si>
  <si>
    <t>006-02079</t>
  </si>
  <si>
    <t>006-02095</t>
  </si>
  <si>
    <t>006-02127</t>
  </si>
  <si>
    <t>006-02151</t>
  </si>
  <si>
    <t>006-02170</t>
  </si>
  <si>
    <t>006-02191</t>
  </si>
  <si>
    <t>006-02236</t>
  </si>
  <si>
    <t>006-02241</t>
  </si>
  <si>
    <t>006-02243</t>
  </si>
  <si>
    <t>006-02253</t>
  </si>
  <si>
    <t>006-02257</t>
  </si>
  <si>
    <t>006-02258</t>
  </si>
  <si>
    <t>006-02259</t>
  </si>
  <si>
    <t>006-02260</t>
  </si>
  <si>
    <t>006-02261</t>
  </si>
  <si>
    <t>006-02262</t>
  </si>
  <si>
    <t>006-02263</t>
  </si>
  <si>
    <t>006-02265</t>
  </si>
  <si>
    <t>006-02268</t>
  </si>
  <si>
    <t>006-02269</t>
  </si>
  <si>
    <t>006-02270</t>
  </si>
  <si>
    <t>006-02271</t>
  </si>
  <si>
    <t>006-02272</t>
  </si>
  <si>
    <t>006-02274</t>
  </si>
  <si>
    <t>006-02275</t>
  </si>
  <si>
    <t>006-02277</t>
  </si>
  <si>
    <t>006-02279</t>
  </si>
  <si>
    <t>006-02280</t>
  </si>
  <si>
    <t>006-02307</t>
  </si>
  <si>
    <t>006-02308</t>
  </si>
  <si>
    <t>006-02336</t>
  </si>
  <si>
    <t>006-02343</t>
  </si>
  <si>
    <t>006-02360</t>
  </si>
  <si>
    <t>006-02392</t>
  </si>
  <si>
    <t>006-02398</t>
  </si>
  <si>
    <t>006-02401</t>
  </si>
  <si>
    <t>006-02407</t>
  </si>
  <si>
    <t>006-02420</t>
  </si>
  <si>
    <t>006-02462</t>
  </si>
  <si>
    <t>006-02463</t>
  </si>
  <si>
    <t>006-02465</t>
  </si>
  <si>
    <t>006-02485</t>
  </si>
  <si>
    <t>006-02501</t>
  </si>
  <si>
    <t>006-02502</t>
  </si>
  <si>
    <t>006-02510</t>
  </si>
  <si>
    <t>006-02512</t>
  </si>
  <si>
    <t>006-02537</t>
  </si>
  <si>
    <t>006-02539</t>
  </si>
  <si>
    <t>006-02540</t>
  </si>
  <si>
    <t>006-02547</t>
  </si>
  <si>
    <t>006-02580</t>
  </si>
  <si>
    <t>006-02652</t>
  </si>
  <si>
    <t>006-02653</t>
  </si>
  <si>
    <t>006-02663</t>
  </si>
  <si>
    <t>006-02664</t>
  </si>
  <si>
    <t>006-02665</t>
  </si>
  <si>
    <t>006-02670</t>
  </si>
  <si>
    <t>006-02700</t>
  </si>
  <si>
    <t>006-02701</t>
  </si>
  <si>
    <t>006-02713</t>
  </si>
  <si>
    <t>006-02729</t>
  </si>
  <si>
    <t>006-02730</t>
  </si>
  <si>
    <t>006-02732</t>
  </si>
  <si>
    <t>006-02816</t>
  </si>
  <si>
    <t>006-02821</t>
  </si>
  <si>
    <t>006-02823</t>
  </si>
  <si>
    <t>006-02847</t>
  </si>
  <si>
    <t>006-02849</t>
  </si>
  <si>
    <t>006-02850</t>
  </si>
  <si>
    <t>006-02851</t>
  </si>
  <si>
    <t>006-02856</t>
  </si>
  <si>
    <t>006-02858</t>
  </si>
  <si>
    <t>006-02863</t>
  </si>
  <si>
    <t>006-02878</t>
  </si>
  <si>
    <t>006-02902</t>
  </si>
  <si>
    <t>006-02903</t>
  </si>
  <si>
    <t>006-02904</t>
  </si>
  <si>
    <t>006-02906</t>
  </si>
  <si>
    <t>006-02907</t>
  </si>
  <si>
    <t>006-02908</t>
  </si>
  <si>
    <t>006-02925</t>
  </si>
  <si>
    <t>006-02926</t>
  </si>
  <si>
    <t>006-02928</t>
  </si>
  <si>
    <t>006-02948</t>
  </si>
  <si>
    <t>006-02953</t>
  </si>
  <si>
    <t>006-02956</t>
  </si>
  <si>
    <t>006-02957</t>
  </si>
  <si>
    <t>006-02958</t>
  </si>
  <si>
    <t>006-02959</t>
  </si>
  <si>
    <t>006-02960</t>
  </si>
  <si>
    <t>006-02976</t>
  </si>
  <si>
    <t>006-02987</t>
  </si>
  <si>
    <t>006-02988</t>
  </si>
  <si>
    <t>006-02989</t>
  </si>
  <si>
    <t>006-02990</t>
  </si>
  <si>
    <t>006-02999</t>
  </si>
  <si>
    <t>006-03001</t>
  </si>
  <si>
    <t>006-03004</t>
  </si>
  <si>
    <t>006-03048</t>
  </si>
  <si>
    <t>006-03066</t>
  </si>
  <si>
    <t>006-03068</t>
  </si>
  <si>
    <t>006-03230</t>
  </si>
  <si>
    <t>006-03233</t>
  </si>
  <si>
    <t>006-03234</t>
  </si>
  <si>
    <t>006-03240</t>
  </si>
  <si>
    <t>006-03245</t>
  </si>
  <si>
    <t>006-03246</t>
  </si>
  <si>
    <t>006-03248</t>
  </si>
  <si>
    <t>006-03249</t>
  </si>
  <si>
    <t>006-03250</t>
  </si>
  <si>
    <t>006-03251</t>
  </si>
  <si>
    <t>006-03549</t>
  </si>
  <si>
    <t>006-03551</t>
  </si>
  <si>
    <t>006-03552</t>
  </si>
  <si>
    <t>006-03553</t>
  </si>
  <si>
    <t>006-03561</t>
  </si>
  <si>
    <t>006-03565</t>
  </si>
  <si>
    <t>006-03566</t>
  </si>
  <si>
    <t>006-03567</t>
  </si>
  <si>
    <t>006-03568</t>
  </si>
  <si>
    <t>006-03659</t>
  </si>
  <si>
    <t>006-03693</t>
  </si>
  <si>
    <t>006-03694</t>
  </si>
  <si>
    <t>006-03703</t>
  </si>
  <si>
    <t>006-03704</t>
  </si>
  <si>
    <t>006-03708</t>
  </si>
  <si>
    <t>006-03709</t>
  </si>
  <si>
    <t>006-03720</t>
  </si>
  <si>
    <t>006-03738</t>
  </si>
  <si>
    <t>006-03739</t>
  </si>
  <si>
    <t>006-03740</t>
  </si>
  <si>
    <t>006-03741</t>
  </si>
  <si>
    <t>006-03742</t>
  </si>
  <si>
    <t>006-03743</t>
  </si>
  <si>
    <t>006-03744</t>
  </si>
  <si>
    <t>006-03745</t>
  </si>
  <si>
    <t>006-03746</t>
  </si>
  <si>
    <t>006-03747</t>
  </si>
  <si>
    <t>006-03748</t>
  </si>
  <si>
    <t>006-03749</t>
  </si>
  <si>
    <t>006-03750</t>
  </si>
  <si>
    <t>006-03751</t>
  </si>
  <si>
    <t>006-03752</t>
  </si>
  <si>
    <t>006-03755</t>
  </si>
  <si>
    <t>006-03756</t>
  </si>
  <si>
    <t>006-03757</t>
  </si>
  <si>
    <t>006-03759</t>
  </si>
  <si>
    <t>006-03868</t>
  </si>
  <si>
    <t>006-03869</t>
  </si>
  <si>
    <t>006-03870</t>
  </si>
  <si>
    <t>006-03892</t>
  </si>
  <si>
    <t>006-03894</t>
  </si>
  <si>
    <t>006-03897</t>
  </si>
  <si>
    <t>006-03913</t>
  </si>
  <si>
    <t>006-03914</t>
  </si>
  <si>
    <t>006-03917</t>
  </si>
  <si>
    <t>006-03919</t>
  </si>
  <si>
    <t>006-03920</t>
  </si>
  <si>
    <t>006-03921</t>
  </si>
  <si>
    <t>006-03922</t>
  </si>
  <si>
    <t>006-03923</t>
  </si>
  <si>
    <t>006-03940</t>
  </si>
  <si>
    <t>006-03942</t>
  </si>
  <si>
    <t>006-03943</t>
  </si>
  <si>
    <t>006-03944</t>
  </si>
  <si>
    <t>006-03945</t>
  </si>
  <si>
    <t>006-03946</t>
  </si>
  <si>
    <t>006-03952</t>
  </si>
  <si>
    <t>006-03961</t>
  </si>
  <si>
    <t>006-03970</t>
  </si>
  <si>
    <t>006-03971</t>
  </si>
  <si>
    <t>006-03972</t>
  </si>
  <si>
    <t>006-03974</t>
  </si>
  <si>
    <t>006-03975</t>
  </si>
  <si>
    <t>006-03987</t>
  </si>
  <si>
    <t>006-03991</t>
  </si>
  <si>
    <t>006-03995</t>
  </si>
  <si>
    <t>006-04000</t>
  </si>
  <si>
    <t>006-04027</t>
  </si>
  <si>
    <t>006-04029</t>
  </si>
  <si>
    <t>006-04039</t>
  </si>
  <si>
    <t>006-04057</t>
  </si>
  <si>
    <t>006-04064</t>
  </si>
  <si>
    <t>006-04083</t>
  </si>
  <si>
    <t>006-04084</t>
  </si>
  <si>
    <t>006-04085</t>
  </si>
  <si>
    <t>006-04086</t>
  </si>
  <si>
    <t>006-04088</t>
  </si>
  <si>
    <t>006-04089</t>
  </si>
  <si>
    <t>006-04091</t>
  </si>
  <si>
    <t>006-04092</t>
  </si>
  <si>
    <t>006-04093</t>
  </si>
  <si>
    <t>006-04094</t>
  </si>
  <si>
    <t>006-04096</t>
  </si>
  <si>
    <t>006-04101</t>
  </si>
  <si>
    <t>006-04102</t>
  </si>
  <si>
    <t>006-04103</t>
  </si>
  <si>
    <t>006-04104</t>
  </si>
  <si>
    <t>006-04105</t>
  </si>
  <si>
    <t>006-04131</t>
  </si>
  <si>
    <t>006-04133</t>
  </si>
  <si>
    <t>006-04138</t>
  </si>
  <si>
    <t>006-04140</t>
  </si>
  <si>
    <t>006-04146</t>
  </si>
  <si>
    <t>006-04147</t>
  </si>
  <si>
    <t>006-04148</t>
  </si>
  <si>
    <t>006-04153</t>
  </si>
  <si>
    <t>006-04158</t>
  </si>
  <si>
    <t>006-04159</t>
  </si>
  <si>
    <t>006-04164</t>
  </si>
  <si>
    <t>006-04166</t>
  </si>
  <si>
    <t>006-04167</t>
  </si>
  <si>
    <t>006-04169</t>
  </si>
  <si>
    <t>006-04170</t>
  </si>
  <si>
    <t>006-04172</t>
  </si>
  <si>
    <t>006-04173</t>
  </si>
  <si>
    <t>006-04174</t>
  </si>
  <si>
    <t>006-04175</t>
  </si>
  <si>
    <t>006-04176</t>
  </si>
  <si>
    <t>006-04177</t>
  </si>
  <si>
    <t>006-04178</t>
  </si>
  <si>
    <t>006-04179</t>
  </si>
  <si>
    <t>006-04181</t>
  </si>
  <si>
    <t>006-04182</t>
  </si>
  <si>
    <t>006-04183</t>
  </si>
  <si>
    <t>006-04185</t>
  </si>
  <si>
    <t>006-04186</t>
  </si>
  <si>
    <t>006-04187</t>
  </si>
  <si>
    <t>006-04189</t>
  </si>
  <si>
    <t>006-04191</t>
  </si>
  <si>
    <t>006-04192</t>
  </si>
  <si>
    <t>006-04202</t>
  </si>
  <si>
    <t>006-04203</t>
  </si>
  <si>
    <t>006-04207</t>
  </si>
  <si>
    <t>006-04208</t>
  </si>
  <si>
    <t>006-04218</t>
  </si>
  <si>
    <t>006-04235</t>
  </si>
  <si>
    <t>006-04237</t>
  </si>
  <si>
    <t>006-04239</t>
  </si>
  <si>
    <t>006-04261</t>
  </si>
  <si>
    <t>006-04265</t>
  </si>
  <si>
    <t>006-04267</t>
  </si>
  <si>
    <t>006-04268</t>
  </si>
  <si>
    <t>006-04284</t>
  </si>
  <si>
    <t>006-04285</t>
  </si>
  <si>
    <t>006-04286</t>
  </si>
  <si>
    <t>006-04294</t>
  </si>
  <si>
    <t>006-04307</t>
  </si>
  <si>
    <t>006-04308</t>
  </si>
  <si>
    <t>006-04309</t>
  </si>
  <si>
    <t>006-04318</t>
  </si>
  <si>
    <t>006-04319</t>
  </si>
  <si>
    <t>006-04320</t>
  </si>
  <si>
    <t>006-04321</t>
  </si>
  <si>
    <t>006-04322</t>
  </si>
  <si>
    <t>006-04323</t>
  </si>
  <si>
    <t>006-04324</t>
  </si>
  <si>
    <t>006-04325</t>
  </si>
  <si>
    <t>006-04326</t>
  </si>
  <si>
    <t>006-04327</t>
  </si>
  <si>
    <t>006-04328</t>
  </si>
  <si>
    <t>006-04329</t>
  </si>
  <si>
    <t>006-04330</t>
  </si>
  <si>
    <t>006-04331</t>
  </si>
  <si>
    <t>006-04332</t>
  </si>
  <si>
    <t>006-04333</t>
  </si>
  <si>
    <t>006-04334</t>
  </si>
  <si>
    <t>006-04335</t>
  </si>
  <si>
    <t>006-04336</t>
  </si>
  <si>
    <t>006-04339</t>
  </si>
  <si>
    <t>006-04340</t>
  </si>
  <si>
    <t>006-04341</t>
  </si>
  <si>
    <t>006-04342</t>
  </si>
  <si>
    <t>006-04344</t>
  </si>
  <si>
    <t>006-04346</t>
  </si>
  <si>
    <t>006-04349</t>
  </si>
  <si>
    <t>006-04352</t>
  </si>
  <si>
    <t>006-04353</t>
  </si>
  <si>
    <t>006-04354</t>
  </si>
  <si>
    <t>006-04355</t>
  </si>
  <si>
    <t>006-04356</t>
  </si>
  <si>
    <t>006-04357</t>
  </si>
  <si>
    <t>006-04358</t>
  </si>
  <si>
    <t>006-04361</t>
  </si>
  <si>
    <t>006-04362</t>
  </si>
  <si>
    <t>006-04363</t>
  </si>
  <si>
    <t>006-04364</t>
  </si>
  <si>
    <t>006-04431</t>
  </si>
  <si>
    <t>006-04433</t>
  </si>
  <si>
    <t>006-04436</t>
  </si>
  <si>
    <t>006-04437</t>
  </si>
  <si>
    <t>006-04438</t>
  </si>
  <si>
    <t>006-04440</t>
  </si>
  <si>
    <t>006-04467</t>
  </si>
  <si>
    <t>006-04470</t>
  </si>
  <si>
    <t>006-04471</t>
  </si>
  <si>
    <t>006-04477</t>
  </si>
  <si>
    <t>006-04481</t>
  </si>
  <si>
    <t>006-04482</t>
  </si>
  <si>
    <t>006-04483</t>
  </si>
  <si>
    <t>006-04489</t>
  </si>
  <si>
    <t>006-04495</t>
  </si>
  <si>
    <t>006-04496</t>
  </si>
  <si>
    <t>006-04497</t>
  </si>
  <si>
    <t>006-04499</t>
  </si>
  <si>
    <t>006-04501</t>
  </si>
  <si>
    <t>006-04506</t>
  </si>
  <si>
    <t>006-04507</t>
  </si>
  <si>
    <t>006-04508</t>
  </si>
  <si>
    <t>006-04509</t>
  </si>
  <si>
    <t>006-04510</t>
  </si>
  <si>
    <t>006-04512</t>
  </si>
  <si>
    <t>006-04513</t>
  </si>
  <si>
    <t>006-04514</t>
  </si>
  <si>
    <t>006-04516</t>
  </si>
  <si>
    <t>006-04518</t>
  </si>
  <si>
    <t>006-04519</t>
  </si>
  <si>
    <t>006-04521</t>
  </si>
  <si>
    <t>006-04522</t>
  </si>
  <si>
    <t>006-04528</t>
  </si>
  <si>
    <t>006-04529</t>
  </si>
  <si>
    <t>006-04530</t>
  </si>
  <si>
    <t>006-04534</t>
  </si>
  <si>
    <t>006-04535</t>
  </si>
  <si>
    <t>006-04536</t>
  </si>
  <si>
    <t>006-04537</t>
  </si>
  <si>
    <t>006-04539</t>
  </si>
  <si>
    <t>006-04544</t>
  </si>
  <si>
    <t>006-04549</t>
  </si>
  <si>
    <t>006-04556</t>
  </si>
  <si>
    <t>006-04565</t>
  </si>
  <si>
    <t>006-04598</t>
  </si>
  <si>
    <t>006-04601</t>
  </si>
  <si>
    <t>006-04606</t>
  </si>
  <si>
    <t>006-04634</t>
  </si>
  <si>
    <t>006-04650</t>
  </si>
  <si>
    <t>006-04781</t>
  </si>
  <si>
    <t>006-04813</t>
  </si>
  <si>
    <t>006-04814</t>
  </si>
  <si>
    <t>006-04815</t>
  </si>
  <si>
    <t>006-04837</t>
  </si>
  <si>
    <t>006-04838</t>
  </si>
  <si>
    <t>006-04839</t>
  </si>
  <si>
    <t>006-04840</t>
  </si>
  <si>
    <t>006-04843</t>
  </si>
  <si>
    <t>006-04844</t>
  </si>
  <si>
    <t>006-04851</t>
  </si>
  <si>
    <t>006-04876</t>
  </si>
  <si>
    <t>006-04877</t>
  </si>
  <si>
    <t>006-04878</t>
  </si>
  <si>
    <t>006-04879</t>
  </si>
  <si>
    <t>006-04880</t>
  </si>
  <si>
    <t>006-04881</t>
  </si>
  <si>
    <t>006-04882</t>
  </si>
  <si>
    <t>006-04883</t>
  </si>
  <si>
    <t>006-04884</t>
  </si>
  <si>
    <t>006-04885</t>
  </si>
  <si>
    <t>006-04886</t>
  </si>
  <si>
    <t>006-04887</t>
  </si>
  <si>
    <t>006-04888</t>
  </si>
  <si>
    <t>006-04889</t>
  </si>
  <si>
    <t>006-04890</t>
  </si>
  <si>
    <t>006-04899</t>
  </si>
  <si>
    <t>006-04900</t>
  </si>
  <si>
    <t>006-04901</t>
  </si>
  <si>
    <t>006-04929</t>
  </si>
  <si>
    <t>006-05039</t>
  </si>
  <si>
    <t>006-05040</t>
  </si>
  <si>
    <t>006-05041</t>
  </si>
  <si>
    <t>006-05042</t>
  </si>
  <si>
    <t>006-05043</t>
  </si>
  <si>
    <t>006-05046</t>
  </si>
  <si>
    <t>006-05047</t>
  </si>
  <si>
    <t>006-05050</t>
  </si>
  <si>
    <t>006-05052</t>
  </si>
  <si>
    <t>006-05053</t>
  </si>
  <si>
    <t>006-05054</t>
  </si>
  <si>
    <t>006-05055</t>
  </si>
  <si>
    <t>006-05056</t>
  </si>
  <si>
    <t>006-05057</t>
  </si>
  <si>
    <t>006-05058</t>
  </si>
  <si>
    <t>006-05059</t>
  </si>
  <si>
    <t>006-05067</t>
  </si>
  <si>
    <t>006-05069</t>
  </si>
  <si>
    <t>006-05087</t>
  </si>
  <si>
    <t>006-05107</t>
  </si>
  <si>
    <t>006-05108</t>
  </si>
  <si>
    <t>006-05109</t>
  </si>
  <si>
    <t>006-05120</t>
  </si>
  <si>
    <t>006-05226</t>
  </si>
  <si>
    <t>006-05227</t>
  </si>
  <si>
    <t>006-05228</t>
  </si>
  <si>
    <t>006-05960</t>
  </si>
  <si>
    <t>006-05961</t>
  </si>
  <si>
    <t>006-05962</t>
  </si>
  <si>
    <t>SUP-1770</t>
  </si>
  <si>
    <t>Sup-0030</t>
  </si>
  <si>
    <t>SUP-0976</t>
  </si>
  <si>
    <t>SUP-0978</t>
  </si>
  <si>
    <t>Sup-0038</t>
  </si>
  <si>
    <t>Sup-0054</t>
  </si>
  <si>
    <t>Sup-0069</t>
  </si>
  <si>
    <t>SUP-0565</t>
  </si>
  <si>
    <t>SUP-1370</t>
  </si>
  <si>
    <t>Sup-0010</t>
  </si>
  <si>
    <t>SUP-1333</t>
  </si>
  <si>
    <t>Sup-0055</t>
  </si>
  <si>
    <t>006-02910</t>
  </si>
  <si>
    <t>SUP-1216</t>
  </si>
  <si>
    <t>006-00184</t>
  </si>
  <si>
    <t>006-01980</t>
  </si>
  <si>
    <t>006-01452</t>
  </si>
  <si>
    <t>006-00315</t>
  </si>
  <si>
    <t>3V8-F5371-00</t>
  </si>
  <si>
    <t xml:space="preserve">BAR,TENSION                   </t>
  </si>
  <si>
    <t>3AH-E1311-00-3AH</t>
  </si>
  <si>
    <t>BODY CYLENDER (3AH)</t>
  </si>
  <si>
    <t>5HM-E1311-00</t>
  </si>
  <si>
    <t xml:space="preserve">BODY,CYLINDER 1               </t>
  </si>
  <si>
    <t>5HM-E6371-00</t>
  </si>
  <si>
    <t xml:space="preserve">BOSS,CLUTCH                   </t>
  </si>
  <si>
    <t xml:space="preserve">BRG.                          </t>
  </si>
  <si>
    <t>93310-326M9</t>
  </si>
  <si>
    <t>93340-210Y0</t>
  </si>
  <si>
    <t>58A-H3519-00</t>
  </si>
  <si>
    <t>BRKT.,METER</t>
  </si>
  <si>
    <t>102-22123-00</t>
  </si>
  <si>
    <t xml:space="preserve">BUSH.,1                       </t>
  </si>
  <si>
    <t>5HM-F2216-00</t>
  </si>
  <si>
    <t xml:space="preserve">BUSH.,RR. SHOCK ABSORBER      </t>
  </si>
  <si>
    <t>3V8-F2117-00</t>
  </si>
  <si>
    <t xml:space="preserve">CAP                           </t>
  </si>
  <si>
    <t>3V8-F2315-00</t>
  </si>
  <si>
    <t>5HM-H5540-10</t>
  </si>
  <si>
    <t xml:space="preserve">CDI. UNIT ASSY.               </t>
  </si>
  <si>
    <t>94591-51086</t>
  </si>
  <si>
    <t xml:space="preserve">CHAIN                         </t>
  </si>
  <si>
    <t>4W8-F5366-01</t>
  </si>
  <si>
    <t xml:space="preserve">CLUTCH,HUB                    </t>
  </si>
  <si>
    <t>5ES-F3415-00</t>
  </si>
  <si>
    <t xml:space="preserve">COVER,BALL RACE 1             </t>
  </si>
  <si>
    <t>5HM-E5418-00</t>
  </si>
  <si>
    <t xml:space="preserve">COVER,CHAIN CASE 1            </t>
  </si>
  <si>
    <t>5HM-E5411-11</t>
  </si>
  <si>
    <t xml:space="preserve">COVER,CRANKCASE 1             </t>
  </si>
  <si>
    <t>5HM-E1185-00</t>
  </si>
  <si>
    <t xml:space="preserve">COVER,CYL. HEAD SIDE 3        </t>
  </si>
  <si>
    <t>5HM-E1186-00</t>
  </si>
  <si>
    <t xml:space="preserve">COVER,CYLINDER HEAD SIDE 1    </t>
  </si>
  <si>
    <t>5HM-F7413-00</t>
  </si>
  <si>
    <t>5HM-F7423-00</t>
  </si>
  <si>
    <t xml:space="preserve">COVER,FOOTREST 2              </t>
  </si>
  <si>
    <t>5HM-E5111-00</t>
  </si>
  <si>
    <t xml:space="preserve">CRANKCASE,1                   </t>
  </si>
  <si>
    <t>5HM-F3435-00</t>
  </si>
  <si>
    <t xml:space="preserve">CROWN,HANDLE                  </t>
  </si>
  <si>
    <t xml:space="preserve">DRIVE AXLE ASSY.              </t>
  </si>
  <si>
    <t>3AH-H3350-00</t>
  </si>
  <si>
    <t xml:space="preserve">FLASHER RELAY ASSY.           </t>
  </si>
  <si>
    <t>5HM-F7411-00</t>
  </si>
  <si>
    <t xml:space="preserve">FOOTREST                      </t>
  </si>
  <si>
    <t>4YS-E8511-00</t>
  </si>
  <si>
    <t xml:space="preserve">FORK,SHIFT 1                  </t>
  </si>
  <si>
    <t>4YS-E8512-00</t>
  </si>
  <si>
    <t xml:space="preserve">FORK,SHIFT 2                  </t>
  </si>
  <si>
    <t>5HM-E1351-00</t>
  </si>
  <si>
    <t xml:space="preserve">GASKET,CYLINDER 1             </t>
  </si>
  <si>
    <t>5WT-E1181-00</t>
  </si>
  <si>
    <t>GASKET,CYLINDER HEAD 1 (5HM)</t>
  </si>
  <si>
    <t>4YS-E5641-00</t>
  </si>
  <si>
    <t xml:space="preserve">GEAR,KICK                     </t>
  </si>
  <si>
    <t>3B1-E5451-00</t>
  </si>
  <si>
    <t xml:space="preserve">GSKT.,CRANKCASE COVER 1       </t>
  </si>
  <si>
    <t>5TN-E2231-10</t>
  </si>
  <si>
    <t xml:space="preserve">GUIDE,STOPPER 1               </t>
  </si>
  <si>
    <t>5HM-E5441-00</t>
  </si>
  <si>
    <t xml:space="preserve">HOLDER,CLUTCH WIRE            </t>
  </si>
  <si>
    <t xml:space="preserve">HOLDER,HANDLE UPPER           </t>
  </si>
  <si>
    <t>3AH-H3371-00</t>
  </si>
  <si>
    <t>HORN</t>
  </si>
  <si>
    <t>4W8-F5111-00</t>
  </si>
  <si>
    <t xml:space="preserve">HUB FRONT                          </t>
  </si>
  <si>
    <t xml:space="preserve">IGN. COIL ASSY.               </t>
  </si>
  <si>
    <t>3B1-E3595-00</t>
  </si>
  <si>
    <t xml:space="preserve">JT.                           </t>
  </si>
  <si>
    <t>5HM-E4453-00</t>
  </si>
  <si>
    <t xml:space="preserve">JT.,1                         </t>
  </si>
  <si>
    <t>5HM-H3912-00</t>
  </si>
  <si>
    <t>LEVER,1</t>
  </si>
  <si>
    <t>5HM-H3922-00</t>
  </si>
  <si>
    <t>LEVER,2</t>
  </si>
  <si>
    <t>METER ASSY.</t>
  </si>
  <si>
    <t>5HM-H3500-10</t>
  </si>
  <si>
    <t>5HM-H2540-00</t>
  </si>
  <si>
    <t xml:space="preserve">NEUTRAL SWITCH ASSY.          </t>
  </si>
  <si>
    <t xml:space="preserve">NUT                           </t>
  </si>
  <si>
    <t>90179-08148</t>
  </si>
  <si>
    <t>90179-25836</t>
  </si>
  <si>
    <t>5HM-E8111-00</t>
  </si>
  <si>
    <t xml:space="preserve">PEDAL,SHIFT                   </t>
  </si>
  <si>
    <t>5HV-E1681-00</t>
  </si>
  <si>
    <t>PIN,CRANK</t>
  </si>
  <si>
    <t>5HM-F5121-11</t>
  </si>
  <si>
    <t xml:space="preserve">PLATE,BRAKE SHOE FRONT             </t>
  </si>
  <si>
    <t>5HM-F5321-01</t>
  </si>
  <si>
    <t xml:space="preserve">PLATE,BRAKE SHOE REAR             </t>
  </si>
  <si>
    <t>3AH-E4482-00</t>
  </si>
  <si>
    <t>PLATE,CARB. CAP</t>
  </si>
  <si>
    <t>5HM-E5362-00</t>
  </si>
  <si>
    <t xml:space="preserve">PLUG,OIL LEVEL                </t>
  </si>
  <si>
    <t>94700-00828</t>
  </si>
  <si>
    <t xml:space="preserve">PLUG,SPARK                    </t>
  </si>
  <si>
    <t>37R-F5388-00</t>
  </si>
  <si>
    <t>PULLER,CHAIN 1</t>
  </si>
  <si>
    <t>37R-F5389-00</t>
  </si>
  <si>
    <t>PULLER,CHAIN 2</t>
  </si>
  <si>
    <t>156-23411-00</t>
  </si>
  <si>
    <t xml:space="preserve">RACE,BALL 1                   </t>
  </si>
  <si>
    <t>183-23411-00</t>
  </si>
  <si>
    <t>156-23412-00</t>
  </si>
  <si>
    <t xml:space="preserve">RACE,BALL 2                   </t>
  </si>
  <si>
    <t>183-23412-00</t>
  </si>
  <si>
    <t>3AH-H1960-00</t>
  </si>
  <si>
    <t>RECTIFIER REGULATOR ASSY.</t>
  </si>
  <si>
    <t>5HM-H1960-10</t>
  </si>
  <si>
    <t xml:space="preserve">RECTIFIER REGULATOR ASSY.     </t>
  </si>
  <si>
    <t>5HM-H5111-00</t>
  </si>
  <si>
    <t xml:space="preserve">REFLECTOR,1                   </t>
  </si>
  <si>
    <t>5TN-12117-00</t>
  </si>
  <si>
    <t xml:space="preserve">RET.,VALVE SPRING             </t>
  </si>
  <si>
    <t>156-F341E-01</t>
  </si>
  <si>
    <t xml:space="preserve">RETAINER,BALL BRG         </t>
  </si>
  <si>
    <t>5HM-E1651-00</t>
  </si>
  <si>
    <t xml:space="preserve">ROD,CONNECTING 1              </t>
  </si>
  <si>
    <t>5HM-H1450-00</t>
  </si>
  <si>
    <t xml:space="preserve">ROTOR ASSY.                   </t>
  </si>
  <si>
    <t>58A-F2110-00-P0</t>
  </si>
  <si>
    <t>REAR  ARM (RED)  3AH</t>
  </si>
  <si>
    <t>5HM-F7440-00</t>
  </si>
  <si>
    <t xml:space="preserve">RR. FOOTREST ASSY.,2          </t>
  </si>
  <si>
    <t>5ER-E2119-00</t>
  </si>
  <si>
    <t xml:space="preserve">SEAL,VALVE STEM OIL           </t>
  </si>
  <si>
    <t>5TN-E2126-00</t>
  </si>
  <si>
    <t xml:space="preserve">SEAT,VALVE SPRG. 2            </t>
  </si>
  <si>
    <t>5ER-E8120-30</t>
  </si>
  <si>
    <t>SHIFT LEVER ASSY.</t>
  </si>
  <si>
    <t>5HM-E8101-10</t>
  </si>
  <si>
    <t xml:space="preserve">SHIFT SHAFT ASSY.             </t>
  </si>
  <si>
    <t xml:space="preserve">SPRG.,COMPRESSION             </t>
  </si>
  <si>
    <t>90506-20041</t>
  </si>
  <si>
    <t xml:space="preserve">SPRG.,TENSION                 </t>
  </si>
  <si>
    <t>90506-25806</t>
  </si>
  <si>
    <t>90506-29805</t>
  </si>
  <si>
    <t>90508-14007</t>
  </si>
  <si>
    <t xml:space="preserve">SPRG.,TORSION                 </t>
  </si>
  <si>
    <t>90508-263A8</t>
  </si>
  <si>
    <t>90508-295A0</t>
  </si>
  <si>
    <t>93812-14800</t>
  </si>
  <si>
    <t xml:space="preserve">SPROCKET,DRIVE                </t>
  </si>
  <si>
    <t>5K2-F5437-00</t>
  </si>
  <si>
    <t xml:space="preserve">SPROCKET,RR. WHEEL            </t>
  </si>
  <si>
    <t>5HM-F7111-00</t>
  </si>
  <si>
    <t xml:space="preserve">STAND,MAIN                    </t>
  </si>
  <si>
    <t>5HM-F7311-00</t>
  </si>
  <si>
    <t xml:space="preserve">STAND,SIDE                    </t>
  </si>
  <si>
    <t>4W8-E4498-00</t>
  </si>
  <si>
    <t>STAY,AIR FILTER CASE</t>
  </si>
  <si>
    <t>5HM-F7114-00</t>
  </si>
  <si>
    <t xml:space="preserve">STOPPER                       </t>
  </si>
  <si>
    <t>5HM-E3411-01</t>
  </si>
  <si>
    <t xml:space="preserve">STRAINER,OIL                  </t>
  </si>
  <si>
    <t>5HM-F8100-00</t>
  </si>
  <si>
    <t>TOOL KIT</t>
  </si>
  <si>
    <t>5TN-E2111-00</t>
  </si>
  <si>
    <t>VALVE,1</t>
  </si>
  <si>
    <t>5TN-E2121-00</t>
  </si>
  <si>
    <t>VALVE,2</t>
  </si>
  <si>
    <t>5HM-F6341-01</t>
  </si>
  <si>
    <t xml:space="preserve">WIRE,BRAKE 1                  </t>
  </si>
  <si>
    <t>5DE-F6311-00</t>
  </si>
  <si>
    <t>WIRE,THROTTLE 1</t>
  </si>
  <si>
    <t>5HM-F2310-00-35</t>
  </si>
  <si>
    <t xml:space="preserve">CHAIN CASE ASSY.              </t>
  </si>
  <si>
    <t xml:space="preserve">FUEL COCK ASSY.               </t>
  </si>
  <si>
    <t>3B1-F7112-10</t>
  </si>
  <si>
    <t xml:space="preserve">SHAFT                         </t>
  </si>
  <si>
    <t xml:space="preserve">MUFF.,1                       </t>
  </si>
  <si>
    <t>3B1-F1518-00</t>
  </si>
  <si>
    <t xml:space="preserve">HOLDER,WIRE                   </t>
  </si>
  <si>
    <t>3B1-F1611-00</t>
  </si>
  <si>
    <t xml:space="preserve">RR FENDER                        </t>
  </si>
  <si>
    <t xml:space="preserve">DAMPER                        </t>
  </si>
  <si>
    <t>3B1-F1685-00</t>
  </si>
  <si>
    <t xml:space="preserve">BRKT.,LICENSE                 </t>
  </si>
  <si>
    <t>3B1-F4756-00-P0</t>
  </si>
  <si>
    <t xml:space="preserve">COVER,TAIL                    </t>
  </si>
  <si>
    <t>3B1-F4773-00</t>
  </si>
  <si>
    <t xml:space="preserve">HANDLE,SEAT                   </t>
  </si>
  <si>
    <t>3B1-F6335-00</t>
  </si>
  <si>
    <t xml:space="preserve">WIRE,CLUTCH                   </t>
  </si>
  <si>
    <t>3B1-H1410-01</t>
  </si>
  <si>
    <t>STATOR ASSY.   (3B1)</t>
  </si>
  <si>
    <t>3B1-H3500-00</t>
  </si>
  <si>
    <t>3B1-H3550-00</t>
  </si>
  <si>
    <t xml:space="preserve">SPEEDO. CABLE ASSY.           </t>
  </si>
  <si>
    <t xml:space="preserve">HEAD LIGHT ASSY.              </t>
  </si>
  <si>
    <t>3B1-H5130-00</t>
  </si>
  <si>
    <t xml:space="preserve">RR. REFLECTOR ASSY.,1         </t>
  </si>
  <si>
    <t>3B1-E5461-00</t>
  </si>
  <si>
    <t xml:space="preserve">GSKT.,CRANKCASE COVER 2       </t>
  </si>
  <si>
    <t>5VV-E2151-10</t>
  </si>
  <si>
    <t xml:space="preserve">ARM,VALVE ROCKER 1            </t>
  </si>
  <si>
    <t>3AH-H3371-BL</t>
  </si>
  <si>
    <t>HORN (BLACK)  5HM-3AH</t>
  </si>
  <si>
    <t xml:space="preserve">KICK CRANK ASSY.              </t>
  </si>
  <si>
    <t>5HM-H3330-00</t>
  </si>
  <si>
    <t>RR. FLASHER LIGHT ASSY.,1</t>
  </si>
  <si>
    <t>3B1-E3451-00</t>
  </si>
  <si>
    <t xml:space="preserve">FILTER,ROTARY                 </t>
  </si>
  <si>
    <t>3AH-F1711-00</t>
  </si>
  <si>
    <t>COVER,SIDE without graphic</t>
  </si>
  <si>
    <t>3B1-F4756-00-33</t>
  </si>
  <si>
    <t>3B1-F4161-00</t>
  </si>
  <si>
    <t>EMBLEM,1</t>
  </si>
  <si>
    <t>EMBLEM,2</t>
  </si>
  <si>
    <t>4W8-F5311-01</t>
  </si>
  <si>
    <t xml:space="preserve">HUB REAR                          </t>
  </si>
  <si>
    <t>5HM-E5121-10</t>
  </si>
  <si>
    <t xml:space="preserve">CRANKCASE,2                   </t>
  </si>
  <si>
    <t>3B1-E2156-00</t>
  </si>
  <si>
    <t xml:space="preserve">SHAFT,ROCKER 2                </t>
  </si>
  <si>
    <t>3B1-E4711-00-93</t>
  </si>
  <si>
    <t xml:space="preserve">FUEL TANK COMP.               </t>
  </si>
  <si>
    <t>FUEL COCK ASSY.</t>
  </si>
  <si>
    <t>WIRE HARNESS ASSY.</t>
  </si>
  <si>
    <t xml:space="preserve">PROTECTOR,EXT. PIPE           </t>
  </si>
  <si>
    <t xml:space="preserve">FRAME COMP.                   </t>
  </si>
  <si>
    <t>5HM-E4711-00-93</t>
  </si>
  <si>
    <t>3AH-F4161-00</t>
  </si>
  <si>
    <t>3AH-F4162-00</t>
  </si>
  <si>
    <t>7DY-F3435-00</t>
  </si>
  <si>
    <t xml:space="preserve">CROWN,HANDLE  COMP       </t>
  </si>
  <si>
    <t>7DY-F3340-00</t>
  </si>
  <si>
    <t xml:space="preserve">UNDER BRACKET COMP.           </t>
  </si>
  <si>
    <t>7DY-F7111-00</t>
  </si>
  <si>
    <t>7DY-E4613-00</t>
  </si>
  <si>
    <t>GASKET EXHAUST PIPE</t>
  </si>
  <si>
    <t>7DY-E4628-00-93</t>
  </si>
  <si>
    <t xml:space="preserve">PROTECTOR,EXT. PIPE </t>
  </si>
  <si>
    <t>7DY-E4711-00-93</t>
  </si>
  <si>
    <t xml:space="preserve">MUFFLER ASSY </t>
  </si>
  <si>
    <t>7DY-F6111-00</t>
  </si>
  <si>
    <t xml:space="preserve">HANDLE BAR+BALANCER_x000D_
</t>
  </si>
  <si>
    <t>7DY-H3550-00</t>
  </si>
  <si>
    <t>SPEEDOMETER. CABLE ASSY.</t>
  </si>
  <si>
    <t>7DY-F6311-00</t>
  </si>
  <si>
    <t xml:space="preserve">CABLE,THROTTLE 1               </t>
  </si>
  <si>
    <t>7DY-F6335-00</t>
  </si>
  <si>
    <t xml:space="preserve">CABLE,CLUTCH              </t>
  </si>
  <si>
    <t>7DY-F6341-00</t>
  </si>
  <si>
    <t xml:space="preserve">CABLE, BREAK                  </t>
  </si>
  <si>
    <t>7DY-E4441-00</t>
  </si>
  <si>
    <t xml:space="preserve">COVER ELEMENT </t>
  </si>
  <si>
    <t>95607-08025</t>
  </si>
  <si>
    <t>NUT,CROWN</t>
  </si>
  <si>
    <t>7DY-F5371-00</t>
  </si>
  <si>
    <t>ARM,REAR BRAKE STOPPER</t>
  </si>
  <si>
    <t>7DY-F6243-00</t>
  </si>
  <si>
    <t xml:space="preserve">TUBE,THROTTLE </t>
  </si>
  <si>
    <t>7DY-F6242-00</t>
  </si>
  <si>
    <t xml:space="preserve">GRIP,2                        </t>
  </si>
  <si>
    <t>7DY-F6241-00</t>
  </si>
  <si>
    <t xml:space="preserve">GRIP,1                        </t>
  </si>
  <si>
    <t>7DY-F1518-00</t>
  </si>
  <si>
    <t>7DY-F1521-00</t>
  </si>
  <si>
    <t xml:space="preserve">FLAP ,FRONT FENDER                        </t>
  </si>
  <si>
    <t>7DY-F7423-00</t>
  </si>
  <si>
    <t>COVER,FOOTREST FRONT</t>
  </si>
  <si>
    <t>7DY-F7430-00</t>
  </si>
  <si>
    <t xml:space="preserve">REAR. FOOTREST ASSY    </t>
  </si>
  <si>
    <t>7DY-F2315-00</t>
  </si>
  <si>
    <t xml:space="preserve">CAP ,CHAIN CASE                          </t>
  </si>
  <si>
    <t>7DY-F1621-00</t>
  </si>
  <si>
    <t>FLAP,REAR FENDER</t>
  </si>
  <si>
    <t>7DY-F5181-00</t>
  </si>
  <si>
    <t>AXLE,FRONTWHEEL.</t>
  </si>
  <si>
    <t>7DY-F5380-00</t>
  </si>
  <si>
    <t xml:space="preserve">PULLER, CHAIN_x000D_
</t>
  </si>
  <si>
    <t>7DY-F2141-00</t>
  </si>
  <si>
    <t xml:space="preserve">SHAFT,PIVOT                   </t>
  </si>
  <si>
    <t>7DY-12176-00</t>
  </si>
  <si>
    <t>SPROCKET, CAM CHAIN</t>
  </si>
  <si>
    <t>94591-51085</t>
  </si>
  <si>
    <t>CAM CHAIN</t>
  </si>
  <si>
    <t>7DY-12221-00</t>
  </si>
  <si>
    <t>ROLLER CAM CHAIN TENSIONER</t>
  </si>
  <si>
    <t>7DY-12223-00</t>
  </si>
  <si>
    <t>SPROCKET DRIVE OIL PUMP</t>
  </si>
  <si>
    <t>PISTON</t>
  </si>
  <si>
    <t>7DY-E5620-00-93</t>
  </si>
  <si>
    <t>KICK CRANK ASSY.</t>
  </si>
  <si>
    <t>7DY-H5540-00</t>
  </si>
  <si>
    <t>7DY-E4101-00</t>
  </si>
  <si>
    <t xml:space="preserve">CARBURETOR ASSY. </t>
  </si>
  <si>
    <t>7DY-H2310-00</t>
  </si>
  <si>
    <t>7DY-13300-00</t>
  </si>
  <si>
    <t>OIL PUMP ASSY.</t>
  </si>
  <si>
    <t>7DY-F4500-00</t>
  </si>
  <si>
    <t>7DY-E2530-00</t>
  </si>
  <si>
    <t>STOP SWITCH ASSY.(REAR)</t>
  </si>
  <si>
    <t>7DY-H2590-00</t>
  </si>
  <si>
    <t xml:space="preserve">WIRE HARNESS ASSY.            </t>
  </si>
  <si>
    <t>7DY-H3350-00</t>
  </si>
  <si>
    <t>FLASHER RELAY ASSY.</t>
  </si>
  <si>
    <t>7DY-H1960-00</t>
  </si>
  <si>
    <t>RECTIFIER &amp; REGULATOR ASSY.</t>
  </si>
  <si>
    <t>7DY-13586-00</t>
  </si>
  <si>
    <t>JT.,CARBURETOR 1</t>
  </si>
  <si>
    <t>7DY-15431-00</t>
  </si>
  <si>
    <t>COVER, CLUTCH</t>
  </si>
  <si>
    <t>7DY-11166-00</t>
  </si>
  <si>
    <t xml:space="preserve">PIPE,BREATHER 1 </t>
  </si>
  <si>
    <t>93812-14900</t>
  </si>
  <si>
    <t>DRIVE,SPROCKET(14T)</t>
  </si>
  <si>
    <t>7DY-F7211-00-93</t>
  </si>
  <si>
    <t>PEDAL,BRAKE</t>
  </si>
  <si>
    <t>7DY-F2210-00-33</t>
  </si>
  <si>
    <t xml:space="preserve">SHOCK ABSORBER,RR.            </t>
  </si>
  <si>
    <t>7DY-F4730-00</t>
  </si>
  <si>
    <t xml:space="preserve">DOUBLE SEAT ASSY.               </t>
  </si>
  <si>
    <t>7DY-H4300-00</t>
  </si>
  <si>
    <t>7DY-H4700-00</t>
  </si>
  <si>
    <t xml:space="preserve">TAIL LIGHT UNIT ASSY.              </t>
  </si>
  <si>
    <t>7DY-H3371-00</t>
  </si>
  <si>
    <t xml:space="preserve">HORN                          </t>
  </si>
  <si>
    <t>7DY-F7209-00</t>
  </si>
  <si>
    <t xml:space="preserve">SPRING.,TENSION                 </t>
  </si>
  <si>
    <t>7DY-F9805-00</t>
  </si>
  <si>
    <t xml:space="preserve">FOOTREST ,FRONT                     </t>
  </si>
  <si>
    <t>7DY-F1510-00-33</t>
  </si>
  <si>
    <t>7DY-F1610-00-93</t>
  </si>
  <si>
    <t xml:space="preserve">REAR FENDER COMP. (CHROME)              </t>
  </si>
  <si>
    <t>7DY-F7231-00</t>
  </si>
  <si>
    <t xml:space="preserve">ROD,BREAK                     </t>
  </si>
  <si>
    <t>7DY-F5121-00-35</t>
  </si>
  <si>
    <t xml:space="preserve">PLATE,BRAKE SHOE FRONT              </t>
  </si>
  <si>
    <t>7DY-F5111-00</t>
  </si>
  <si>
    <t xml:space="preserve">HUB ASSY.FRONT                     </t>
  </si>
  <si>
    <t>7DY-F5321-00-35</t>
  </si>
  <si>
    <t>PLATE,BRAKE SHOE REAR COMP.</t>
  </si>
  <si>
    <t>7DY-F5310-00</t>
  </si>
  <si>
    <t xml:space="preserve">HUB ASSY REAR.                     </t>
  </si>
  <si>
    <t>7DY-F5366-00</t>
  </si>
  <si>
    <t>7DY-F4790-00</t>
  </si>
  <si>
    <t>GRIP RIGHT</t>
  </si>
  <si>
    <t>7DY-F3441-00</t>
  </si>
  <si>
    <t>7DY-H3320-00</t>
  </si>
  <si>
    <t>FRONT FLASHER LIGHT ASSY.,2</t>
  </si>
  <si>
    <t>7DY-H3340-00</t>
  </si>
  <si>
    <t>REAR FLASHER LIGHT ASSY.,2</t>
  </si>
  <si>
    <t>7DY-H2110-00</t>
  </si>
  <si>
    <t xml:space="preserve">BATTERY. ASSY.                   </t>
  </si>
  <si>
    <t>7DY-H3368-00</t>
  </si>
  <si>
    <t>STAY REAR FLASHER</t>
  </si>
  <si>
    <t>7DY-F4780-00</t>
  </si>
  <si>
    <t>GRIP LEFT</t>
  </si>
  <si>
    <t>7DY-F1110-00</t>
  </si>
  <si>
    <t>7DY-F2330-00-35</t>
  </si>
  <si>
    <t>CASE, CHAIN SET</t>
  </si>
  <si>
    <t>7DY-F1610-00-33</t>
  </si>
  <si>
    <t xml:space="preserve">REAR FENDER COMP. (BLACK)              </t>
  </si>
  <si>
    <t>7DY-F1782-00</t>
  </si>
  <si>
    <t>EMBLEM,2  SIDE COVER</t>
  </si>
  <si>
    <t>7DY-F1781-00</t>
  </si>
  <si>
    <t>EMBLEM,1 SIDE COVER</t>
  </si>
  <si>
    <t>7DY-F3395-00</t>
  </si>
  <si>
    <t xml:space="preserve">EMBLEM                        </t>
  </si>
  <si>
    <t>7DY-F5437-00</t>
  </si>
  <si>
    <t xml:space="preserve">SPROCKET,DRIVEN (41T)       </t>
  </si>
  <si>
    <t>3B15-F471K-00-P0</t>
  </si>
  <si>
    <t>COVER TAIL-1 (RED)</t>
  </si>
  <si>
    <t>3B15-F472K-00-P0</t>
  </si>
  <si>
    <t>COVER TAIL-2 (RED)</t>
  </si>
  <si>
    <t>3B15-F4110-00-33</t>
  </si>
  <si>
    <t>FUEL TANK COM (BLACK)</t>
  </si>
  <si>
    <t xml:space="preserve">COVER,CRANKCASE 2 </t>
  </si>
  <si>
    <t>7DY-F4240-40-PO</t>
  </si>
  <si>
    <t>GRAPHICS,FUEL TANK SET RIGHT(RED)</t>
  </si>
  <si>
    <t>7DY-F4110-01-P0</t>
  </si>
  <si>
    <t>7DY-F1711-01-P0</t>
  </si>
  <si>
    <t xml:space="preserve">SIDE COVER ASSY.1            </t>
  </si>
  <si>
    <t>7DY-F1721-01-P0</t>
  </si>
  <si>
    <t xml:space="preserve">SIDE COVER ASSY.,2            </t>
  </si>
  <si>
    <t>7DY-F4110-01-33</t>
  </si>
  <si>
    <t>4B1-F6243-00</t>
  </si>
  <si>
    <t>3XO-F4110-01-P0</t>
  </si>
  <si>
    <t>FUEL TANK COMP. (RED)</t>
  </si>
  <si>
    <t>3XO-F1711-01-P0</t>
  </si>
  <si>
    <t>SIDE COVER-1 (RED)</t>
  </si>
  <si>
    <t>3XO-F1751-00-P0</t>
  </si>
  <si>
    <t>OIL TANK (RED)</t>
  </si>
  <si>
    <t>COVER,CRANKCASE 2</t>
  </si>
  <si>
    <t>4B1-F6242-00</t>
  </si>
  <si>
    <t>GRIP,2</t>
  </si>
  <si>
    <t>TUBE,GUIDE</t>
  </si>
  <si>
    <t>4B1-F6241-00</t>
  </si>
  <si>
    <t>GRIP,1</t>
  </si>
  <si>
    <t>BTRY. ASSY.</t>
  </si>
  <si>
    <t xml:space="preserve">FR. FENDER COMP.              </t>
  </si>
  <si>
    <t>SUP-1726</t>
  </si>
  <si>
    <t>3B15-F1710-00-P0</t>
  </si>
  <si>
    <t>SIDE COVER ASSY-1 (RED)</t>
  </si>
  <si>
    <t>3B15-F1720-00-P0</t>
  </si>
  <si>
    <t>SIDE COVER ASSY-2 (RED)</t>
  </si>
  <si>
    <t>3B15-F4710-00-33</t>
  </si>
  <si>
    <t>SIDE COVER ASSY-1 (BLACK)</t>
  </si>
  <si>
    <t>3B15-F1720-00-33</t>
  </si>
  <si>
    <t>SIDE COVER ASSY-2 (BLACK)</t>
  </si>
  <si>
    <t>ALSONS AUTO PARTS (PVT) LTD</t>
  </si>
  <si>
    <t>ASLAM ENTERPRISES</t>
  </si>
  <si>
    <t>BRG.</t>
  </si>
  <si>
    <t>BEWL-UNIT-AEWL</t>
  </si>
  <si>
    <t>BEWL-UNIT-BEWL</t>
  </si>
  <si>
    <t>BEWL-UNIT-ELECOM</t>
  </si>
  <si>
    <t xml:space="preserve">FRONT FENDER COMP. (BLACK)            </t>
  </si>
  <si>
    <t>HASAN ENGINEERING</t>
  </si>
  <si>
    <t>KAYA INDUSTRIES</t>
  </si>
  <si>
    <t>M.S. ENGINEERING COMPANY</t>
  </si>
  <si>
    <t>MUKHTAR ENGINEERING WORKS</t>
  </si>
  <si>
    <t>PARAGON ENTERPRISES</t>
  </si>
  <si>
    <t>SUPER TECH AUTOPARTS (PVT) LTD</t>
  </si>
  <si>
    <t>TECHNOCIRCLE MANUFACTURING WORKS</t>
  </si>
  <si>
    <t>TELETRONIX INDUSTRIES</t>
  </si>
  <si>
    <t>37R-E5421-00</t>
  </si>
  <si>
    <t>3B1-F1510-00-33</t>
  </si>
  <si>
    <t>SP</t>
  </si>
  <si>
    <t>IDSF</t>
  </si>
  <si>
    <t>006-00001</t>
  </si>
  <si>
    <t>006-00002</t>
  </si>
  <si>
    <t>006-00005</t>
  </si>
  <si>
    <t>006-00006</t>
  </si>
  <si>
    <t>006-00009</t>
  </si>
  <si>
    <t>006-00011</t>
  </si>
  <si>
    <t>006-00013</t>
  </si>
  <si>
    <t>006-00014</t>
  </si>
  <si>
    <t>006-00015</t>
  </si>
  <si>
    <t>006-00029</t>
  </si>
  <si>
    <t>006-00030</t>
  </si>
  <si>
    <t>006-00034</t>
  </si>
  <si>
    <t>006-00036</t>
  </si>
  <si>
    <t>006-00062</t>
  </si>
  <si>
    <t>006-00064</t>
  </si>
  <si>
    <t>006-00067</t>
  </si>
  <si>
    <t>006-00080</t>
  </si>
  <si>
    <t>006-00085</t>
  </si>
  <si>
    <t>006-00145</t>
  </si>
  <si>
    <t>006-00148</t>
  </si>
  <si>
    <t>006-00152</t>
  </si>
  <si>
    <t>006-00171</t>
  </si>
  <si>
    <t>006-00189</t>
  </si>
  <si>
    <t>006-00196</t>
  </si>
  <si>
    <t>006-00205</t>
  </si>
  <si>
    <t>006-00209</t>
  </si>
  <si>
    <t>006-00212</t>
  </si>
  <si>
    <t>006-00220</t>
  </si>
  <si>
    <t>006-00227</t>
  </si>
  <si>
    <t>006-00266</t>
  </si>
  <si>
    <t>006-00268</t>
  </si>
  <si>
    <t>006-00301</t>
  </si>
  <si>
    <t>006-00305</t>
  </si>
  <si>
    <t>006-00314</t>
  </si>
  <si>
    <t>006-00318</t>
  </si>
  <si>
    <t>006-00327</t>
  </si>
  <si>
    <t>006-00348</t>
  </si>
  <si>
    <t>006-00350</t>
  </si>
  <si>
    <t>006-00369</t>
  </si>
  <si>
    <t>006-00415</t>
  </si>
  <si>
    <t>006-00419</t>
  </si>
  <si>
    <t>006-00434</t>
  </si>
  <si>
    <t>006-00449</t>
  </si>
  <si>
    <t>006-00465</t>
  </si>
  <si>
    <t>006-00469</t>
  </si>
  <si>
    <t>006-00470</t>
  </si>
  <si>
    <t>006-00471</t>
  </si>
  <si>
    <t>006-00473</t>
  </si>
  <si>
    <t>006-00475</t>
  </si>
  <si>
    <t>006-00479</t>
  </si>
  <si>
    <t>006-00481</t>
  </si>
  <si>
    <t>006-00482</t>
  </si>
  <si>
    <t>006-00483</t>
  </si>
  <si>
    <t>006-00490</t>
  </si>
  <si>
    <t>006-00499</t>
  </si>
  <si>
    <t>006-00516</t>
  </si>
  <si>
    <t>006-00519</t>
  </si>
  <si>
    <t>006-00529</t>
  </si>
  <si>
    <t>006-00536</t>
  </si>
  <si>
    <t>006-00543</t>
  </si>
  <si>
    <t>006-00547</t>
  </si>
  <si>
    <t>006-00550</t>
  </si>
  <si>
    <t>006-00563</t>
  </si>
  <si>
    <t>006-00564</t>
  </si>
  <si>
    <t>006-00569</t>
  </si>
  <si>
    <t>006-00580</t>
  </si>
  <si>
    <t>006-00582</t>
  </si>
  <si>
    <t>006-00591</t>
  </si>
  <si>
    <t>006-00600</t>
  </si>
  <si>
    <t>006-00601</t>
  </si>
  <si>
    <t>006-00626</t>
  </si>
  <si>
    <t>006-00632</t>
  </si>
  <si>
    <t>006-00642</t>
  </si>
  <si>
    <t>006-00646</t>
  </si>
  <si>
    <t>006-00659</t>
  </si>
  <si>
    <t>006-00661</t>
  </si>
  <si>
    <t>006-00682</t>
  </si>
  <si>
    <t>006-00683</t>
  </si>
  <si>
    <t>006-00687</t>
  </si>
  <si>
    <t>006-00689</t>
  </si>
  <si>
    <t>006-00708</t>
  </si>
  <si>
    <t>006-00711</t>
  </si>
  <si>
    <t>006-00713</t>
  </si>
  <si>
    <t>006-00715</t>
  </si>
  <si>
    <t>006-00725</t>
  </si>
  <si>
    <t>006-00729</t>
  </si>
  <si>
    <t>006-00732</t>
  </si>
  <si>
    <t>006-00738</t>
  </si>
  <si>
    <t>006-00754</t>
  </si>
  <si>
    <t>006-00763</t>
  </si>
  <si>
    <t>006-00770</t>
  </si>
  <si>
    <t>006-00777</t>
  </si>
  <si>
    <t>006-00799</t>
  </si>
  <si>
    <t>006-00803</t>
  </si>
  <si>
    <t>006-00817</t>
  </si>
  <si>
    <t>006-00820</t>
  </si>
  <si>
    <t>006-00832</t>
  </si>
  <si>
    <t>006-00834</t>
  </si>
  <si>
    <t>006-00837</t>
  </si>
  <si>
    <t>006-00838</t>
  </si>
  <si>
    <t>006-00869</t>
  </si>
  <si>
    <t>006-00874</t>
  </si>
  <si>
    <t>006-00884</t>
  </si>
  <si>
    <t>006-00944</t>
  </si>
  <si>
    <t>006-00964</t>
  </si>
  <si>
    <t>006-00970</t>
  </si>
  <si>
    <t>006-00972</t>
  </si>
  <si>
    <t>006-00973</t>
  </si>
  <si>
    <t>006-01032</t>
  </si>
  <si>
    <t>006-01040</t>
  </si>
  <si>
    <t>006-01041</t>
  </si>
  <si>
    <t>006-01077</t>
  </si>
  <si>
    <t>006-01093</t>
  </si>
  <si>
    <t>006-01099</t>
  </si>
  <si>
    <t>006-01100</t>
  </si>
  <si>
    <t>006-01105</t>
  </si>
  <si>
    <t>006-01115</t>
  </si>
  <si>
    <t>006-01123</t>
  </si>
  <si>
    <t>006-01126</t>
  </si>
  <si>
    <t>006-01141</t>
  </si>
  <si>
    <t>006-01143</t>
  </si>
  <si>
    <t>006-01182</t>
  </si>
  <si>
    <t>006-01186</t>
  </si>
  <si>
    <t>006-01189</t>
  </si>
  <si>
    <t>006-01193</t>
  </si>
  <si>
    <t>006-01226</t>
  </si>
  <si>
    <t>006-01255</t>
  </si>
  <si>
    <t>006-01257</t>
  </si>
  <si>
    <t>006-01259</t>
  </si>
  <si>
    <t>006-01260</t>
  </si>
  <si>
    <t>006-01261</t>
  </si>
  <si>
    <t>006-01342</t>
  </si>
  <si>
    <t>006-01355</t>
  </si>
  <si>
    <t>006-01366</t>
  </si>
  <si>
    <t>006-01371</t>
  </si>
  <si>
    <t>006-01390</t>
  </si>
  <si>
    <t>006-01410</t>
  </si>
  <si>
    <t>006-01416</t>
  </si>
  <si>
    <t>006-01421</t>
  </si>
  <si>
    <t>006-01432</t>
  </si>
  <si>
    <t>006-01438</t>
  </si>
  <si>
    <t>006-01439</t>
  </si>
  <si>
    <t>006-01453</t>
  </si>
  <si>
    <t>006-01470</t>
  </si>
  <si>
    <t>006-01473</t>
  </si>
  <si>
    <t>006-01499</t>
  </si>
  <si>
    <t>006-01500</t>
  </si>
  <si>
    <t>006-01506</t>
  </si>
  <si>
    <t>006-01507</t>
  </si>
  <si>
    <t>006-01527</t>
  </si>
  <si>
    <t>006-01533</t>
  </si>
  <si>
    <t>006-01563</t>
  </si>
  <si>
    <t>006-01591</t>
  </si>
  <si>
    <t>006-01612</t>
  </si>
  <si>
    <t>006-01620</t>
  </si>
  <si>
    <t>006-01630</t>
  </si>
  <si>
    <t>006-01631</t>
  </si>
  <si>
    <t>006-01633</t>
  </si>
  <si>
    <t>006-01634</t>
  </si>
  <si>
    <t>006-01649</t>
  </si>
  <si>
    <t>006-01650</t>
  </si>
  <si>
    <t>006-01651</t>
  </si>
  <si>
    <t>006-01652</t>
  </si>
  <si>
    <t>006-01654</t>
  </si>
  <si>
    <t>006-01655</t>
  </si>
  <si>
    <t>006-01657</t>
  </si>
  <si>
    <t>006-01658</t>
  </si>
  <si>
    <t>006-01659</t>
  </si>
  <si>
    <t>006-01660</t>
  </si>
  <si>
    <t>006-01662</t>
  </si>
  <si>
    <t>006-01663</t>
  </si>
  <si>
    <t>006-01665</t>
  </si>
  <si>
    <t>006-01666</t>
  </si>
  <si>
    <t>006-01667</t>
  </si>
  <si>
    <t>006-01668</t>
  </si>
  <si>
    <t>006-01669</t>
  </si>
  <si>
    <t>006-01672</t>
  </si>
  <si>
    <t>006-01673</t>
  </si>
  <si>
    <t>006-01674</t>
  </si>
  <si>
    <t>006-01677</t>
  </si>
  <si>
    <t>006-01678</t>
  </si>
  <si>
    <t>006-01679</t>
  </si>
  <si>
    <t>006-01682</t>
  </si>
  <si>
    <t>006-01683</t>
  </si>
  <si>
    <t>006-01684</t>
  </si>
  <si>
    <t>006-01686</t>
  </si>
  <si>
    <t>006-01687</t>
  </si>
  <si>
    <t>006-01690</t>
  </si>
  <si>
    <t>006-01691</t>
  </si>
  <si>
    <t>006-01692</t>
  </si>
  <si>
    <t>006-01693</t>
  </si>
  <si>
    <t>006-01694</t>
  </si>
  <si>
    <t>006-01702</t>
  </si>
  <si>
    <t>006-01709</t>
  </si>
  <si>
    <t>006-01750</t>
  </si>
  <si>
    <t>006-01786</t>
  </si>
  <si>
    <t>006-01791</t>
  </si>
  <si>
    <t>006-01809</t>
  </si>
  <si>
    <t>006-01825</t>
  </si>
  <si>
    <t>006-01833</t>
  </si>
  <si>
    <t>006-01834</t>
  </si>
  <si>
    <t>006-01835</t>
  </si>
  <si>
    <t>006-01836</t>
  </si>
  <si>
    <t>006-01838</t>
  </si>
  <si>
    <t>006-01866</t>
  </si>
  <si>
    <t>006-01881</t>
  </si>
  <si>
    <t>006-01883</t>
  </si>
  <si>
    <t>006-01912</t>
  </si>
  <si>
    <t>006-01922</t>
  </si>
  <si>
    <t>006-01925</t>
  </si>
  <si>
    <t>006-01935</t>
  </si>
  <si>
    <t>006-01944</t>
  </si>
  <si>
    <t>006-01946</t>
  </si>
  <si>
    <t>006-01958</t>
  </si>
  <si>
    <t>006-01972</t>
  </si>
  <si>
    <t>006-01978</t>
  </si>
  <si>
    <t>006-01981</t>
  </si>
  <si>
    <t>006-01983</t>
  </si>
  <si>
    <t>006-01984</t>
  </si>
  <si>
    <t>006-01985</t>
  </si>
  <si>
    <t>006-01986</t>
  </si>
  <si>
    <t>006-01987</t>
  </si>
  <si>
    <t>006-01988</t>
  </si>
  <si>
    <t>006-01989</t>
  </si>
  <si>
    <t>006-01990</t>
  </si>
  <si>
    <t>006-01991</t>
  </si>
  <si>
    <t>006-01992</t>
  </si>
  <si>
    <t>006-01993</t>
  </si>
  <si>
    <t>006-01996</t>
  </si>
  <si>
    <t>006-01997</t>
  </si>
  <si>
    <t>006-01998</t>
  </si>
  <si>
    <t>006-01999</t>
  </si>
  <si>
    <t>006-02000</t>
  </si>
  <si>
    <t>006-02001</t>
  </si>
  <si>
    <t>006-02002</t>
  </si>
  <si>
    <t>006-02003</t>
  </si>
  <si>
    <t>006-02004</t>
  </si>
  <si>
    <t>006-02005</t>
  </si>
  <si>
    <t>006-02006</t>
  </si>
  <si>
    <t>006-02007</t>
  </si>
  <si>
    <t>006-02008</t>
  </si>
  <si>
    <t>006-02009</t>
  </si>
  <si>
    <t>006-02010</t>
  </si>
  <si>
    <t>006-02011</t>
  </si>
  <si>
    <t>006-02012</t>
  </si>
  <si>
    <t>006-02014</t>
  </si>
  <si>
    <t>006-02015</t>
  </si>
  <si>
    <t>006-02018</t>
  </si>
  <si>
    <t>006-02020</t>
  </si>
  <si>
    <t>006-02021</t>
  </si>
  <si>
    <t>006-02022</t>
  </si>
  <si>
    <t>006-02027</t>
  </si>
  <si>
    <t>006-02028</t>
  </si>
  <si>
    <t>006-02029</t>
  </si>
  <si>
    <t>006-02030</t>
  </si>
  <si>
    <t>006-02031</t>
  </si>
  <si>
    <t>006-02032</t>
  </si>
  <si>
    <t>006-02033</t>
  </si>
  <si>
    <t>006-02035</t>
  </si>
  <si>
    <t>006-02036</t>
  </si>
  <si>
    <t>006-02037</t>
  </si>
  <si>
    <t>006-02038</t>
  </si>
  <si>
    <t>006-02039</t>
  </si>
  <si>
    <t>006-02040</t>
  </si>
  <si>
    <t>006-02043</t>
  </si>
  <si>
    <t>006-02044</t>
  </si>
  <si>
    <t>006-02045</t>
  </si>
  <si>
    <t>006-02046</t>
  </si>
  <si>
    <t>006-02047</t>
  </si>
  <si>
    <t>006-02048</t>
  </si>
  <si>
    <t>006-02049</t>
  </si>
  <si>
    <t>006-02050</t>
  </si>
  <si>
    <t>006-02051</t>
  </si>
  <si>
    <t>006-02052</t>
  </si>
  <si>
    <t>006-02053</t>
  </si>
  <si>
    <t>006-02054</t>
  </si>
  <si>
    <t>006-02056</t>
  </si>
  <si>
    <t>006-02057</t>
  </si>
  <si>
    <t>006-02058</t>
  </si>
  <si>
    <t>006-02059</t>
  </si>
  <si>
    <t>006-02063</t>
  </si>
  <si>
    <t>006-02064</t>
  </si>
  <si>
    <t>006-02066</t>
  </si>
  <si>
    <t>006-02067</t>
  </si>
  <si>
    <t>006-02068</t>
  </si>
  <si>
    <t>006-02069</t>
  </si>
  <si>
    <t>006-02070</t>
  </si>
  <si>
    <t>006-02071</t>
  </si>
  <si>
    <t>006-02072</t>
  </si>
  <si>
    <t>006-02075</t>
  </si>
  <si>
    <t>006-02076</t>
  </si>
  <si>
    <t>006-02077</t>
  </si>
  <si>
    <t>006-02082</t>
  </si>
  <si>
    <t>006-02084</t>
  </si>
  <si>
    <t>006-02085</t>
  </si>
  <si>
    <t>006-02086</t>
  </si>
  <si>
    <t>006-02087</t>
  </si>
  <si>
    <t>006-02088</t>
  </si>
  <si>
    <t>006-02089</t>
  </si>
  <si>
    <t>006-02090</t>
  </si>
  <si>
    <t>006-02091</t>
  </si>
  <si>
    <t>006-02092</t>
  </si>
  <si>
    <t>006-02094</t>
  </si>
  <si>
    <t>006-02099</t>
  </si>
  <si>
    <t>006-02104</t>
  </si>
  <si>
    <t>006-02105</t>
  </si>
  <si>
    <t>006-02106</t>
  </si>
  <si>
    <t>006-02107</t>
  </si>
  <si>
    <t>006-02108</t>
  </si>
  <si>
    <t>006-02109</t>
  </si>
  <si>
    <t>006-02110</t>
  </si>
  <si>
    <t>006-02111</t>
  </si>
  <si>
    <t>006-02112</t>
  </si>
  <si>
    <t>006-02113</t>
  </si>
  <si>
    <t>006-02114</t>
  </si>
  <si>
    <t>006-02115</t>
  </si>
  <si>
    <t>006-02116</t>
  </si>
  <si>
    <t>006-02117</t>
  </si>
  <si>
    <t>006-02118</t>
  </si>
  <si>
    <t>006-02119</t>
  </si>
  <si>
    <t>006-02120</t>
  </si>
  <si>
    <t>006-02121</t>
  </si>
  <si>
    <t>006-02122</t>
  </si>
  <si>
    <t>006-02124</t>
  </si>
  <si>
    <t>006-02125</t>
  </si>
  <si>
    <t>006-02126</t>
  </si>
  <si>
    <t>006-02128</t>
  </si>
  <si>
    <t>006-02129</t>
  </si>
  <si>
    <t>006-02130</t>
  </si>
  <si>
    <t>006-02131</t>
  </si>
  <si>
    <t>006-02132</t>
  </si>
  <si>
    <t>006-02135</t>
  </si>
  <si>
    <t>006-02140</t>
  </si>
  <si>
    <t>006-02142</t>
  </si>
  <si>
    <t>006-02154</t>
  </si>
  <si>
    <t>006-02157</t>
  </si>
  <si>
    <t>006-02158</t>
  </si>
  <si>
    <t>006-02159</t>
  </si>
  <si>
    <t>006-02160</t>
  </si>
  <si>
    <t>006-02161</t>
  </si>
  <si>
    <t>006-02162</t>
  </si>
  <si>
    <t>006-02163</t>
  </si>
  <si>
    <t>006-02165</t>
  </si>
  <si>
    <t>006-02166</t>
  </si>
  <si>
    <t>006-02167</t>
  </si>
  <si>
    <t>006-02168</t>
  </si>
  <si>
    <t>006-02169</t>
  </si>
  <si>
    <t>006-02172</t>
  </si>
  <si>
    <t>006-02173</t>
  </si>
  <si>
    <t>006-02174</t>
  </si>
  <si>
    <t>006-02175</t>
  </si>
  <si>
    <t>006-02176</t>
  </si>
  <si>
    <t>006-02179</t>
  </si>
  <si>
    <t>006-02185</t>
  </si>
  <si>
    <t>006-02186</t>
  </si>
  <si>
    <t>006-02187</t>
  </si>
  <si>
    <t>006-02189</t>
  </si>
  <si>
    <t>006-02190</t>
  </si>
  <si>
    <t>006-02197</t>
  </si>
  <si>
    <t>006-02198</t>
  </si>
  <si>
    <t>006-02234</t>
  </si>
  <si>
    <t>006-02242</t>
  </si>
  <si>
    <t>006-02246</t>
  </si>
  <si>
    <t>006-02247</t>
  </si>
  <si>
    <t>006-02248</t>
  </si>
  <si>
    <t>006-02249</t>
  </si>
  <si>
    <t>006-02250</t>
  </si>
  <si>
    <t>006-02251</t>
  </si>
  <si>
    <t>006-02252</t>
  </si>
  <si>
    <t>006-02254</t>
  </si>
  <si>
    <t>006-02256</t>
  </si>
  <si>
    <t>006-02264</t>
  </si>
  <si>
    <t>006-02266</t>
  </si>
  <si>
    <t>006-02267</t>
  </si>
  <si>
    <t>006-02273</t>
  </si>
  <si>
    <t>006-02276</t>
  </si>
  <si>
    <t>006-02278</t>
  </si>
  <si>
    <t>006-02285</t>
  </si>
  <si>
    <t>006-02286</t>
  </si>
  <si>
    <t>006-02287</t>
  </si>
  <si>
    <t>006-02293</t>
  </si>
  <si>
    <t>006-02309</t>
  </si>
  <si>
    <t>006-02312</t>
  </si>
  <si>
    <t>006-02313</t>
  </si>
  <si>
    <t>006-02314</t>
  </si>
  <si>
    <t>006-02315</t>
  </si>
  <si>
    <t>006-02318</t>
  </si>
  <si>
    <t>006-02326</t>
  </si>
  <si>
    <t>006-02330</t>
  </si>
  <si>
    <t>006-02337</t>
  </si>
  <si>
    <t>006-02340</t>
  </si>
  <si>
    <t>006-02344</t>
  </si>
  <si>
    <t>006-02345</t>
  </si>
  <si>
    <t>006-02350</t>
  </si>
  <si>
    <t>006-02368</t>
  </si>
  <si>
    <t>006-02370</t>
  </si>
  <si>
    <t>006-02374</t>
  </si>
  <si>
    <t>006-02375</t>
  </si>
  <si>
    <t>006-02376</t>
  </si>
  <si>
    <t>006-02396</t>
  </si>
  <si>
    <t>006-02399</t>
  </si>
  <si>
    <t>006-02400</t>
  </si>
  <si>
    <t>006-02402</t>
  </si>
  <si>
    <t>006-02403</t>
  </si>
  <si>
    <t>006-02404</t>
  </si>
  <si>
    <t>006-02405</t>
  </si>
  <si>
    <t>006-02408</t>
  </si>
  <si>
    <t>006-02411</t>
  </si>
  <si>
    <t>006-02414</t>
  </si>
  <si>
    <t>006-02418</t>
  </si>
  <si>
    <t>006-02422</t>
  </si>
  <si>
    <t>006-02423</t>
  </si>
  <si>
    <t>006-02425</t>
  </si>
  <si>
    <t>006-02426</t>
  </si>
  <si>
    <t>006-02427</t>
  </si>
  <si>
    <t>006-02428</t>
  </si>
  <si>
    <t>006-02430</t>
  </si>
  <si>
    <t>006-02431</t>
  </si>
  <si>
    <t>006-02433</t>
  </si>
  <si>
    <t>006-02438</t>
  </si>
  <si>
    <t>006-02445</t>
  </si>
  <si>
    <t>006-02446</t>
  </si>
  <si>
    <t>006-02447</t>
  </si>
  <si>
    <t>006-02449</t>
  </si>
  <si>
    <t>006-02453</t>
  </si>
  <si>
    <t>006-02454</t>
  </si>
  <si>
    <t>006-02457</t>
  </si>
  <si>
    <t>006-02460</t>
  </si>
  <si>
    <t>006-02461</t>
  </si>
  <si>
    <t>006-02464</t>
  </si>
  <si>
    <t>006-02466</t>
  </si>
  <si>
    <t>006-02467</t>
  </si>
  <si>
    <t>006-02468</t>
  </si>
  <si>
    <t>006-02469</t>
  </si>
  <si>
    <t>006-02470</t>
  </si>
  <si>
    <t>006-02472</t>
  </si>
  <si>
    <t>006-02473</t>
  </si>
  <si>
    <t>006-02474</t>
  </si>
  <si>
    <t>006-02477</t>
  </si>
  <si>
    <t>006-02479</t>
  </si>
  <si>
    <t>006-02488</t>
  </si>
  <si>
    <t>006-02489</t>
  </si>
  <si>
    <t>006-02504</t>
  </si>
  <si>
    <t>006-02506</t>
  </si>
  <si>
    <t>006-02507</t>
  </si>
  <si>
    <t>006-02508</t>
  </si>
  <si>
    <t>006-02509</t>
  </si>
  <si>
    <t>006-02513</t>
  </si>
  <si>
    <t>006-02515</t>
  </si>
  <si>
    <t>006-02517</t>
  </si>
  <si>
    <t>006-02522</t>
  </si>
  <si>
    <t>006-02529</t>
  </si>
  <si>
    <t>006-02548</t>
  </si>
  <si>
    <t>006-02553</t>
  </si>
  <si>
    <t>006-02569</t>
  </si>
  <si>
    <t>006-02571</t>
  </si>
  <si>
    <t>006-02599</t>
  </si>
  <si>
    <t>006-02604</t>
  </si>
  <si>
    <t>006-02617</t>
  </si>
  <si>
    <t>006-02640</t>
  </si>
  <si>
    <t>006-02641</t>
  </si>
  <si>
    <t>006-02667</t>
  </si>
  <si>
    <t>006-02668</t>
  </si>
  <si>
    <t>006-02672</t>
  </si>
  <si>
    <t>006-02707</t>
  </si>
  <si>
    <t>006-02739</t>
  </si>
  <si>
    <t>006-02740</t>
  </si>
  <si>
    <t>006-02746</t>
  </si>
  <si>
    <t>006-02751</t>
  </si>
  <si>
    <t>006-02752</t>
  </si>
  <si>
    <t>006-02753</t>
  </si>
  <si>
    <t>006-02769</t>
  </si>
  <si>
    <t>006-02770</t>
  </si>
  <si>
    <t>006-02771</t>
  </si>
  <si>
    <t>006-02825</t>
  </si>
  <si>
    <t>006-02832</t>
  </si>
  <si>
    <t>006-02840</t>
  </si>
  <si>
    <t>006-02842</t>
  </si>
  <si>
    <t>006-02860</t>
  </si>
  <si>
    <t>006-02862</t>
  </si>
  <si>
    <t>006-02864</t>
  </si>
  <si>
    <t>006-02876</t>
  </si>
  <si>
    <t>006-02877</t>
  </si>
  <si>
    <t>006-02893</t>
  </si>
  <si>
    <t>006-02911</t>
  </si>
  <si>
    <t>006-02923</t>
  </si>
  <si>
    <t>006-02935</t>
  </si>
  <si>
    <t>006-02943</t>
  </si>
  <si>
    <t>006-02961</t>
  </si>
  <si>
    <t>006-02964</t>
  </si>
  <si>
    <t>006-02970</t>
  </si>
  <si>
    <t>006-02971</t>
  </si>
  <si>
    <t>006-02973</t>
  </si>
  <si>
    <t>006-02974</t>
  </si>
  <si>
    <t>006-02975</t>
  </si>
  <si>
    <t>006-02977</t>
  </si>
  <si>
    <t>006-02978</t>
  </si>
  <si>
    <t>006-02980</t>
  </si>
  <si>
    <t>006-02981</t>
  </si>
  <si>
    <t>006-02983</t>
  </si>
  <si>
    <t>006-02985</t>
  </si>
  <si>
    <t>006-02991</t>
  </si>
  <si>
    <t>006-02992</t>
  </si>
  <si>
    <t>006-02995</t>
  </si>
  <si>
    <t>006-02996</t>
  </si>
  <si>
    <t>006-02998</t>
  </si>
  <si>
    <t>006-03006</t>
  </si>
  <si>
    <t>006-03013</t>
  </si>
  <si>
    <t>006-03015</t>
  </si>
  <si>
    <t>006-03022</t>
  </si>
  <si>
    <t>006-03031</t>
  </si>
  <si>
    <t>006-03034</t>
  </si>
  <si>
    <t>006-03035</t>
  </si>
  <si>
    <t>006-03036</t>
  </si>
  <si>
    <t>006-03038</t>
  </si>
  <si>
    <t>006-03045</t>
  </si>
  <si>
    <t>006-03056</t>
  </si>
  <si>
    <t>006-03254</t>
  </si>
  <si>
    <t>006-03304</t>
  </si>
  <si>
    <t>006-03306</t>
  </si>
  <si>
    <t>006-03586</t>
  </si>
  <si>
    <t>006-03630</t>
  </si>
  <si>
    <t>006-03705</t>
  </si>
  <si>
    <t>006-03753</t>
  </si>
  <si>
    <t>006-03754</t>
  </si>
  <si>
    <t>006-03760</t>
  </si>
  <si>
    <t>006-03761</t>
  </si>
  <si>
    <t>006-03762</t>
  </si>
  <si>
    <t>006-03772</t>
  </si>
  <si>
    <t>006-03783</t>
  </si>
  <si>
    <t>006-03787</t>
  </si>
  <si>
    <t>006-03809</t>
  </si>
  <si>
    <t>006-03830</t>
  </si>
  <si>
    <t>006-03863</t>
  </si>
  <si>
    <t>006-04090</t>
  </si>
  <si>
    <t>006-04106</t>
  </si>
  <si>
    <t>006-04108</t>
  </si>
  <si>
    <t>006-04110</t>
  </si>
  <si>
    <t>006-04111</t>
  </si>
  <si>
    <t>006-04113</t>
  </si>
  <si>
    <t>006-04114</t>
  </si>
  <si>
    <t>006-04120</t>
  </si>
  <si>
    <t>006-04121</t>
  </si>
  <si>
    <t>006-04125</t>
  </si>
  <si>
    <t>006-04144</t>
  </si>
  <si>
    <t>006-04160</t>
  </si>
  <si>
    <t>006-04165</t>
  </si>
  <si>
    <t>006-04193</t>
  </si>
  <si>
    <t>006-04194</t>
  </si>
  <si>
    <t>006-04199</t>
  </si>
  <si>
    <t>006-04206</t>
  </si>
  <si>
    <t>006-04209</t>
  </si>
  <si>
    <t>006-04213</t>
  </si>
  <si>
    <t>006-04219</t>
  </si>
  <si>
    <t>006-04223</t>
  </si>
  <si>
    <t>006-04224</t>
  </si>
  <si>
    <t>006-04225</t>
  </si>
  <si>
    <t>006-04226</t>
  </si>
  <si>
    <t>006-04227</t>
  </si>
  <si>
    <t>006-04228</t>
  </si>
  <si>
    <t>006-04229</t>
  </si>
  <si>
    <t>006-04230</t>
  </si>
  <si>
    <t>006-04231</t>
  </si>
  <si>
    <t>006-04232</t>
  </si>
  <si>
    <t>006-04236</t>
  </si>
  <si>
    <t>006-04238</t>
  </si>
  <si>
    <t>006-04240</t>
  </si>
  <si>
    <t>006-04244</t>
  </si>
  <si>
    <t>006-04246</t>
  </si>
  <si>
    <t>006-04247</t>
  </si>
  <si>
    <t>006-04251</t>
  </si>
  <si>
    <t>006-04253</t>
  </si>
  <si>
    <t>006-04255</t>
  </si>
  <si>
    <t>006-04266</t>
  </si>
  <si>
    <t>006-04271</t>
  </si>
  <si>
    <t>006-04272</t>
  </si>
  <si>
    <t>006-04273</t>
  </si>
  <si>
    <t>006-04274</t>
  </si>
  <si>
    <t>006-04275</t>
  </si>
  <si>
    <t>006-04276</t>
  </si>
  <si>
    <t>006-04277</t>
  </si>
  <si>
    <t>006-04280</t>
  </si>
  <si>
    <t>006-04281</t>
  </si>
  <si>
    <t>006-04282</t>
  </si>
  <si>
    <t>006-04283</t>
  </si>
  <si>
    <t>006-04288</t>
  </si>
  <si>
    <t>006-04289</t>
  </si>
  <si>
    <t>006-04290</t>
  </si>
  <si>
    <t>006-04291</t>
  </si>
  <si>
    <t>006-04292</t>
  </si>
  <si>
    <t>006-04293</t>
  </si>
  <si>
    <t>006-04305</t>
  </si>
  <si>
    <t>006-04310</t>
  </si>
  <si>
    <t>006-04450</t>
  </si>
  <si>
    <t>006-04466</t>
  </si>
  <si>
    <t>006-04494</t>
  </si>
  <si>
    <t>006-04511</t>
  </si>
  <si>
    <t>006-04515</t>
  </si>
  <si>
    <t>006-04517</t>
  </si>
  <si>
    <t>006-04523</t>
  </si>
  <si>
    <t>006-04524</t>
  </si>
  <si>
    <t>006-04525</t>
  </si>
  <si>
    <t>006-04526</t>
  </si>
  <si>
    <t>006-04527</t>
  </si>
  <si>
    <t>006-04533</t>
  </si>
  <si>
    <t>006-04540</t>
  </si>
  <si>
    <t>006-04541</t>
  </si>
  <si>
    <t>006-04542</t>
  </si>
  <si>
    <t>006-04543</t>
  </si>
  <si>
    <t>006-04545</t>
  </si>
  <si>
    <t>006-04546</t>
  </si>
  <si>
    <t>006-04547</t>
  </si>
  <si>
    <t>006-04548</t>
  </si>
  <si>
    <t>006-04550</t>
  </si>
  <si>
    <t>006-04551</t>
  </si>
  <si>
    <t>006-04552</t>
  </si>
  <si>
    <t>006-04553</t>
  </si>
  <si>
    <t>006-04554</t>
  </si>
  <si>
    <t>006-04555</t>
  </si>
  <si>
    <t>006-04558</t>
  </si>
  <si>
    <t>006-04564</t>
  </si>
  <si>
    <t>006-04576</t>
  </si>
  <si>
    <t>006-04583</t>
  </si>
  <si>
    <t>006-04584</t>
  </si>
  <si>
    <t>006-04587</t>
  </si>
  <si>
    <t>006-04588</t>
  </si>
  <si>
    <t>006-04618</t>
  </si>
  <si>
    <t>006-04621</t>
  </si>
  <si>
    <t>006-04664</t>
  </si>
  <si>
    <t>006-04710</t>
  </si>
  <si>
    <t>006-04712</t>
  </si>
  <si>
    <t>006-04714</t>
  </si>
  <si>
    <t>006-04715</t>
  </si>
  <si>
    <t>006-04716</t>
  </si>
  <si>
    <t>006-04717</t>
  </si>
  <si>
    <t>006-04718</t>
  </si>
  <si>
    <t>006-04719</t>
  </si>
  <si>
    <t>006-04720</t>
  </si>
  <si>
    <t>006-04721</t>
  </si>
  <si>
    <t>006-04722</t>
  </si>
  <si>
    <t>006-04723</t>
  </si>
  <si>
    <t>006-04724</t>
  </si>
  <si>
    <t>006-04725</t>
  </si>
  <si>
    <t>006-04726</t>
  </si>
  <si>
    <t>006-04727</t>
  </si>
  <si>
    <t>006-04728</t>
  </si>
  <si>
    <t>006-04734</t>
  </si>
  <si>
    <t>006-04743</t>
  </si>
  <si>
    <t>006-04746</t>
  </si>
  <si>
    <t>006-04748</t>
  </si>
  <si>
    <t>006-04749</t>
  </si>
  <si>
    <t>006-04750</t>
  </si>
  <si>
    <t>006-04756</t>
  </si>
  <si>
    <t>006-04758</t>
  </si>
  <si>
    <t>006-04759</t>
  </si>
  <si>
    <t>006-04772</t>
  </si>
  <si>
    <t>006-04773</t>
  </si>
  <si>
    <t>006-04774</t>
  </si>
  <si>
    <t>006-04775</t>
  </si>
  <si>
    <t>006-04776</t>
  </si>
  <si>
    <t>006-04778</t>
  </si>
  <si>
    <t>006-04779</t>
  </si>
  <si>
    <t>006-04782</t>
  </si>
  <si>
    <t>006-04783</t>
  </si>
  <si>
    <t>006-04784</t>
  </si>
  <si>
    <t>006-04785</t>
  </si>
  <si>
    <t>006-04786</t>
  </si>
  <si>
    <t>006-04788</t>
  </si>
  <si>
    <t>006-04818</t>
  </si>
  <si>
    <t>006-04836</t>
  </si>
  <si>
    <t>006-04841</t>
  </si>
  <si>
    <t>006-04852</t>
  </si>
  <si>
    <t>006-04853</t>
  </si>
  <si>
    <t>006-04854</t>
  </si>
  <si>
    <t>006-04855</t>
  </si>
  <si>
    <t>006-04856</t>
  </si>
  <si>
    <t>006-04857</t>
  </si>
  <si>
    <t>006-04858</t>
  </si>
  <si>
    <t>006-04860</t>
  </si>
  <si>
    <t>006-04861</t>
  </si>
  <si>
    <t>006-04873</t>
  </si>
  <si>
    <t>006-04874</t>
  </si>
  <si>
    <t>006-04898</t>
  </si>
  <si>
    <t>006-04902</t>
  </si>
  <si>
    <t>006-04903</t>
  </si>
  <si>
    <t>006-04904</t>
  </si>
  <si>
    <t>006-04905</t>
  </si>
  <si>
    <t>006-04906</t>
  </si>
  <si>
    <t>006-04907</t>
  </si>
  <si>
    <t>006-04908</t>
  </si>
  <si>
    <t>006-04909</t>
  </si>
  <si>
    <t>006-04910</t>
  </si>
  <si>
    <t>006-04911</t>
  </si>
  <si>
    <t>006-04912</t>
  </si>
  <si>
    <t>006-04913</t>
  </si>
  <si>
    <t>006-04918</t>
  </si>
  <si>
    <t>006-04919</t>
  </si>
  <si>
    <t>006-04920</t>
  </si>
  <si>
    <t>006-04925</t>
  </si>
  <si>
    <t>006-04926</t>
  </si>
  <si>
    <t>006-04932</t>
  </si>
  <si>
    <t>006-04941</t>
  </si>
  <si>
    <t>006-04942</t>
  </si>
  <si>
    <t>006-04943</t>
  </si>
  <si>
    <t>006-04944</t>
  </si>
  <si>
    <t>006-04953</t>
  </si>
  <si>
    <t>006-04958</t>
  </si>
  <si>
    <t>006-05083</t>
  </si>
  <si>
    <t>006-05090</t>
  </si>
  <si>
    <t>006-05091</t>
  </si>
  <si>
    <t>006-05092</t>
  </si>
  <si>
    <t>006-05231</t>
  </si>
  <si>
    <t>006-05862</t>
  </si>
  <si>
    <t>006-06099</t>
  </si>
  <si>
    <t>SUP-1413</t>
  </si>
  <si>
    <t>SUP-0330</t>
  </si>
  <si>
    <t>SUP-0133</t>
  </si>
  <si>
    <t>Sup-0031</t>
  </si>
  <si>
    <t>Sup-0016</t>
  </si>
  <si>
    <t>SUP-1295</t>
  </si>
  <si>
    <t>-</t>
  </si>
  <si>
    <t>3AH-H4115-00</t>
  </si>
  <si>
    <t>RIM,HEAD LIGHT   (3AH)</t>
  </si>
  <si>
    <t>5DE-F4315-00</t>
  </si>
  <si>
    <t>RIM,HEAD LIGHT (5ES)</t>
  </si>
  <si>
    <t>AL-UMAIR ENGINEERS</t>
  </si>
  <si>
    <t>5HM-H3550-00</t>
  </si>
  <si>
    <t>SPEEDO. CABLE ASSY.</t>
  </si>
  <si>
    <t>37R-83941-00</t>
  </si>
  <si>
    <t>LEVER STARTER  LOCAL 3AH</t>
  </si>
  <si>
    <t>AUTOMOTIVE PLASTICS</t>
  </si>
  <si>
    <t>5HM-E4418-00</t>
  </si>
  <si>
    <t>COVER,2</t>
  </si>
  <si>
    <t>3AH-H4121-00</t>
  </si>
  <si>
    <t>LENS  HEAD LIGHT  3AH</t>
  </si>
  <si>
    <t>5ES-H4721-00</t>
  </si>
  <si>
    <t>LENS TAIL LIGHT  (5ES)</t>
  </si>
  <si>
    <t>7DY-15151-00</t>
  </si>
  <si>
    <t>CRANKCASE,2</t>
  </si>
  <si>
    <t>7DY-15150-00</t>
  </si>
  <si>
    <t xml:space="preserve">CRANKCASE,1 </t>
  </si>
  <si>
    <t>DYL MOTORCYCLES LTD.</t>
  </si>
  <si>
    <t>4W8-E4412-00</t>
  </si>
  <si>
    <t>CAP,CASE 1</t>
  </si>
  <si>
    <t>58A-E5121-00</t>
  </si>
  <si>
    <t>5ES-E4710-00</t>
  </si>
  <si>
    <t>MUFF. ASSY.,1</t>
  </si>
  <si>
    <t>1YJ-F7211-01</t>
  </si>
  <si>
    <t>5HM-F7430-00</t>
  </si>
  <si>
    <t xml:space="preserve">RR. FOOTREST ASSY.,1          </t>
  </si>
  <si>
    <t>3AHC-F1510-00</t>
  </si>
  <si>
    <t>FRONT FENDER COMP  3AHC</t>
  </si>
  <si>
    <t>ECHO PACK</t>
  </si>
  <si>
    <t>27.25 x  26.75 x 9.7</t>
  </si>
  <si>
    <t>CARTON RR.FENDER</t>
  </si>
  <si>
    <t>22 x 12.5 x 22.5</t>
  </si>
  <si>
    <t>CARTON FUEL TANK</t>
  </si>
  <si>
    <t>24.65*12.5*12.25</t>
  </si>
  <si>
    <t>CARTON SIDE COVER PLAIN</t>
  </si>
  <si>
    <t>4W8-F5364-00</t>
  </si>
  <si>
    <t>5HM3-F6242-01</t>
  </si>
  <si>
    <t>GRIP,2  ASSY WITH TUBE 5HM</t>
  </si>
  <si>
    <t>3AH-E5362-00</t>
  </si>
  <si>
    <t>PLUG,OIL LEVEL</t>
  </si>
  <si>
    <t>5HM-F6242-00</t>
  </si>
  <si>
    <t>5HM-H2590-10</t>
  </si>
  <si>
    <t>58A-H2530-V2</t>
  </si>
  <si>
    <t>STOP SWITCH ASSY. REAR</t>
  </si>
  <si>
    <t>58A-E5611-00</t>
  </si>
  <si>
    <t>KICK CRANK ASSY</t>
  </si>
  <si>
    <t>3AH-F7411-00</t>
  </si>
  <si>
    <t>FOOTREST</t>
  </si>
  <si>
    <t>4W8-F7112-00</t>
  </si>
  <si>
    <t>SHAFT</t>
  </si>
  <si>
    <t>90501-203G2</t>
  </si>
  <si>
    <t>3AH-E23141-00-3AH</t>
  </si>
  <si>
    <t>SPRING FRONT FORK  LOCAL</t>
  </si>
  <si>
    <t>3AH-14482-00</t>
  </si>
  <si>
    <t>SPRING,REAR CUSHION</t>
  </si>
  <si>
    <t>SHELL PAKISTAN LIMITED</t>
  </si>
  <si>
    <t>90793-AK401</t>
  </si>
  <si>
    <t>YAMALUBE 4 STK OIL (20.50)</t>
  </si>
  <si>
    <t>90795-DY407</t>
  </si>
  <si>
    <t>DYL LUBE 0.7 LITER</t>
  </si>
  <si>
    <t>90795-DY408</t>
  </si>
  <si>
    <t>DYL LUBE 0.8 LITER</t>
  </si>
  <si>
    <t>90795-DY410</t>
  </si>
  <si>
    <t>DYL LUBE 1.0 LITER</t>
  </si>
  <si>
    <t>SKYWAYS MANUFACTURE (PVT)  LIMITED</t>
  </si>
  <si>
    <t>7DY-E4450-00</t>
  </si>
  <si>
    <t>ELEMENT AIR CLEANER ASSY</t>
  </si>
  <si>
    <t>3AH-H4700-00-</t>
  </si>
  <si>
    <t>TAIL LIGHT UNIT ASSY. 5ES</t>
  </si>
  <si>
    <t>3AH-E1161-00</t>
  </si>
  <si>
    <t>ABSORBER,1</t>
  </si>
  <si>
    <t>3AH-E1162-00</t>
  </si>
  <si>
    <t>ABSORBER,2</t>
  </si>
  <si>
    <t>3AH-E1127-00</t>
  </si>
  <si>
    <t>ABSORBER,3</t>
  </si>
  <si>
    <t>5HM-E4410-00</t>
  </si>
  <si>
    <t xml:space="preserve">AIR FILTER ASSY.              </t>
  </si>
  <si>
    <t>5HM-17411-W0</t>
  </si>
  <si>
    <t xml:space="preserve">AXLE,MAIN FORGING             </t>
  </si>
  <si>
    <t>4W8-H2131-00</t>
  </si>
  <si>
    <t>BAND,BATTERY</t>
  </si>
  <si>
    <t>58A-F1776-00</t>
  </si>
  <si>
    <t>BAND,TANK FITTING</t>
  </si>
  <si>
    <t>3AH-H4130-00</t>
  </si>
  <si>
    <t>HEAD LIGHT  AASY COM  3AHC</t>
  </si>
  <si>
    <t>3AH-H4111-00</t>
  </si>
  <si>
    <t>BODY,HEAD LIGHT   3AH</t>
  </si>
  <si>
    <t>5DE-H4130-00</t>
  </si>
  <si>
    <t>BODY HEAD LIGHT 5ES</t>
  </si>
  <si>
    <t>90116-07035</t>
  </si>
  <si>
    <t>BOLT,STUD</t>
  </si>
  <si>
    <t>37R-E6371-00</t>
  </si>
  <si>
    <t>BOSS,CLUTCH    3AH</t>
  </si>
  <si>
    <t>3AH-F177G-00</t>
  </si>
  <si>
    <t>BOX,BATTERY</t>
  </si>
  <si>
    <t>93310-21403</t>
  </si>
  <si>
    <t>3AH-F7412-00</t>
  </si>
  <si>
    <t>BRAKET, FOOTREST_x000D_
_x000D_
_x000D_
_x000D_
_x000D_
_x000D_
_x000D_
_x000D_
_x000D_
_x000D_
_x000D_
_x000D_
_x000D_
_x000D_
_x000D_
_x000D_
BRACKET FOOTREST 1</t>
  </si>
  <si>
    <t>5ES-F1689-00</t>
  </si>
  <si>
    <t>BRKT.,2</t>
  </si>
  <si>
    <t>3AH-H2110-00</t>
  </si>
  <si>
    <t>37R-E4481-00</t>
  </si>
  <si>
    <t>CAP,CARB.</t>
  </si>
  <si>
    <t>3XO-E4101-00</t>
  </si>
  <si>
    <t>CARB. ASSY.,LH.</t>
  </si>
  <si>
    <t>99009-30400</t>
  </si>
  <si>
    <t>CIRCLIP (S)</t>
  </si>
  <si>
    <t>90460-53808</t>
  </si>
  <si>
    <t>CLAMP,HOSE</t>
  </si>
  <si>
    <t>90460-58807</t>
  </si>
  <si>
    <t>3AH-F5149-00</t>
  </si>
  <si>
    <t xml:space="preserve">CLUTCH,METER                  </t>
  </si>
  <si>
    <t>5HM-E4417-00</t>
  </si>
  <si>
    <t>COVER,1</t>
  </si>
  <si>
    <t>5HM-E5421-00</t>
  </si>
  <si>
    <t>COVER,FOOTREST</t>
  </si>
  <si>
    <t>58A-F6372-00</t>
  </si>
  <si>
    <t>COVER,LEVER</t>
  </si>
  <si>
    <t>58A-E5111-00</t>
  </si>
  <si>
    <t>CRANKCASE,1</t>
  </si>
  <si>
    <t>37R-F6261-00</t>
  </si>
  <si>
    <t>CYL. ( CONNECTOR CABLE)</t>
  </si>
  <si>
    <t>5HM-F3102-00</t>
  </si>
  <si>
    <t>DAMPER ASSY.,LH.</t>
  </si>
  <si>
    <t>5HM-F3103-00</t>
  </si>
  <si>
    <t>FRONT FORK ASSY</t>
  </si>
  <si>
    <t>4W8-F7414-00</t>
  </si>
  <si>
    <t>DAMPER,FOOT REST 1</t>
  </si>
  <si>
    <t>5HM-E7402-00</t>
  </si>
  <si>
    <t>5E2-16150-01</t>
  </si>
  <si>
    <t>PRIMARY DRIVEN GEAR COMP.</t>
  </si>
  <si>
    <t>5HM-16150-00</t>
  </si>
  <si>
    <t xml:space="preserve">DRIVEN GEAR ASSY.             </t>
  </si>
  <si>
    <t>3AH-F3395-00</t>
  </si>
  <si>
    <t>EMBLEM</t>
  </si>
  <si>
    <t>3AHB-F1610-93</t>
  </si>
  <si>
    <t>FRONT FENDER COMP  (3AHA,3AHB)</t>
  </si>
  <si>
    <t>5E2-18511-00</t>
  </si>
  <si>
    <t>FORK,SHIFT 1</t>
  </si>
  <si>
    <t>5E2-18512-00</t>
  </si>
  <si>
    <t>FORK,SHIFT 2</t>
  </si>
  <si>
    <t>5ES-H3310-00</t>
  </si>
  <si>
    <t>FR. FLASHER LIGHT ASSY.,1</t>
  </si>
  <si>
    <t>5HM-H3310-00</t>
  </si>
  <si>
    <t>FR. FLASHER LIGHT ASSY.,1 5HM</t>
  </si>
  <si>
    <t>5ES-H3320-00</t>
  </si>
  <si>
    <t>FR. FLASHER LIGHT ASSY.,2</t>
  </si>
  <si>
    <t>5DE-H3980-00</t>
  </si>
  <si>
    <t>FR. STOP SWITCH ASSY</t>
  </si>
  <si>
    <t>5HM-24500-00</t>
  </si>
  <si>
    <t>3AH-E4479-00</t>
  </si>
  <si>
    <t>FUNNEL</t>
  </si>
  <si>
    <t>3AH-E1181-00</t>
  </si>
  <si>
    <t>GASKET,CYLINDER HEAD 1</t>
  </si>
  <si>
    <t>3AH-E7121-00</t>
  </si>
  <si>
    <t>GEAR,2ND PINION</t>
  </si>
  <si>
    <t>3AH-E7231-01</t>
  </si>
  <si>
    <t>GEAR,3RD WHEEL</t>
  </si>
  <si>
    <t>126-13178-00</t>
  </si>
  <si>
    <t>GEAR,DRIVE</t>
  </si>
  <si>
    <t>5ES-F6241-01</t>
  </si>
  <si>
    <t>4W8-F6111-01</t>
  </si>
  <si>
    <t>HANDLE</t>
  </si>
  <si>
    <t>5DE-H4310-01</t>
  </si>
  <si>
    <t>HEAD LIGHT UNIT ASSY. 5ES/5HM</t>
  </si>
  <si>
    <t>58A-E1111-00</t>
  </si>
  <si>
    <t>HEAD,CYLINDER 1</t>
  </si>
  <si>
    <t>3AH-F1518-00</t>
  </si>
  <si>
    <t>HOLDER,CABLE   (3AHC)</t>
  </si>
  <si>
    <t>5HM-F1518-10</t>
  </si>
  <si>
    <t>HOLDER,WIRE</t>
  </si>
  <si>
    <t>2JG-16351-02</t>
  </si>
  <si>
    <t>PLATE PRESSURE  1  (5HM)</t>
  </si>
  <si>
    <t>4W8-E4454-00</t>
  </si>
  <si>
    <t>JT.</t>
  </si>
  <si>
    <t>4W8-E4453-00</t>
  </si>
  <si>
    <t>JT.,1</t>
  </si>
  <si>
    <t>5HM-E3586-10</t>
  </si>
  <si>
    <t xml:space="preserve">JT.,CARBURETOR 1              </t>
  </si>
  <si>
    <t>3B1-E5620-00</t>
  </si>
  <si>
    <t>5HM-E5660-00</t>
  </si>
  <si>
    <t>KICK AXLE ASSY.</t>
  </si>
  <si>
    <t>3V8-F1724-00</t>
  </si>
  <si>
    <t>KNOB,SIDE COVER 2</t>
  </si>
  <si>
    <t>3AH-H3312-00</t>
  </si>
  <si>
    <t>LENS,FLASHER 5ES</t>
  </si>
  <si>
    <t>5HM-H3312-00</t>
  </si>
  <si>
    <t xml:space="preserve">LENS,FLASHER                  </t>
  </si>
  <si>
    <t>5HM-H4721-00</t>
  </si>
  <si>
    <t>LENS,TAIL LIGHT (5HM)</t>
  </si>
  <si>
    <t>5HM3 -H2920-00</t>
  </si>
  <si>
    <t>LEVER HOLDER ASSY COM 2 5HM</t>
  </si>
  <si>
    <t>3AH-H3912-00</t>
  </si>
  <si>
    <t>3AH-H3922-00</t>
  </si>
  <si>
    <t>NUT,MUFF. JT.</t>
  </si>
  <si>
    <t>3AH-E4612-00</t>
  </si>
  <si>
    <t>NUT,RING</t>
  </si>
  <si>
    <t>3AH-F1770-00</t>
  </si>
  <si>
    <t>OIL TANK CAP ASSY.</t>
  </si>
  <si>
    <t>5HM-F7211-00</t>
  </si>
  <si>
    <t>4W8-E8111-00</t>
  </si>
  <si>
    <t>PEDAL,SHIFT</t>
  </si>
  <si>
    <t>3AH-H3530-20</t>
  </si>
  <si>
    <t>PILOT LAMP ASSY.</t>
  </si>
  <si>
    <t>3AH-H3530-30</t>
  </si>
  <si>
    <t>5ES-F119X-00</t>
  </si>
  <si>
    <t>PIPE SILENCER</t>
  </si>
  <si>
    <t>3AH-E4611-00</t>
  </si>
  <si>
    <t>PIPE,EXT. 1</t>
  </si>
  <si>
    <t>5E2-11631-00</t>
  </si>
  <si>
    <t>3AH-E6324-00</t>
  </si>
  <si>
    <t>PLATE,CLUTCH (514)</t>
  </si>
  <si>
    <t>5HM-E6324-00</t>
  </si>
  <si>
    <t xml:space="preserve">PLATE,CLUTCH 1                </t>
  </si>
  <si>
    <t>4EU-16321-00</t>
  </si>
  <si>
    <t>PLATE,FRICTION 1</t>
  </si>
  <si>
    <t>5JE-16321-00</t>
  </si>
  <si>
    <t>3AH-H2370-00</t>
  </si>
  <si>
    <t>PLUG CAP ASSY.</t>
  </si>
  <si>
    <t>5HM-H2370-00</t>
  </si>
  <si>
    <t xml:space="preserve">PLUG CAP ASSY.                </t>
  </si>
  <si>
    <t>3AH-E8589-00</t>
  </si>
  <si>
    <t>PLUG,BLIND</t>
  </si>
  <si>
    <t>3AH-E6350-00</t>
  </si>
  <si>
    <t>PLATE PRESSURE.(532-) LOCAL</t>
  </si>
  <si>
    <t>5HM-E4628-10</t>
  </si>
  <si>
    <t>5HM-E6340-00</t>
  </si>
  <si>
    <t xml:space="preserve">PUSH LEVER ASSY.              </t>
  </si>
  <si>
    <t>3AH-H5111-00</t>
  </si>
  <si>
    <t>REFLECTOR,1  5ES</t>
  </si>
  <si>
    <t>3AH-85550-20</t>
  </si>
  <si>
    <t>ROTOR ASSY.  3AH</t>
  </si>
  <si>
    <t>3AH-F1610-00</t>
  </si>
  <si>
    <t>REAR. FENDER  5ES-3AHD</t>
  </si>
  <si>
    <t>5HM-F1610-00</t>
  </si>
  <si>
    <t>REAR FENDER COMP  5HM</t>
  </si>
  <si>
    <t>2N3-16341-00</t>
  </si>
  <si>
    <t>SCREW,PUSH</t>
  </si>
  <si>
    <t>3AH-E5660-00</t>
  </si>
  <si>
    <t>KICK AXEL  (KICK SHAFT)</t>
  </si>
  <si>
    <t>5E2-18540-00</t>
  </si>
  <si>
    <t>SHIFT CAM ASSY.</t>
  </si>
  <si>
    <t>3AH-E8101-00</t>
  </si>
  <si>
    <t>SHIFT SHAFT ASSY.</t>
  </si>
  <si>
    <t>3AH-E4753-00</t>
  </si>
  <si>
    <t>SILENCER,1</t>
  </si>
  <si>
    <t>3AH-H3510-10</t>
  </si>
  <si>
    <t>SPEEDO METER ASSY (3AHD)</t>
  </si>
  <si>
    <t>32M-H3550-00</t>
  </si>
  <si>
    <t>90501-04002</t>
  </si>
  <si>
    <t>90501-20126</t>
  </si>
  <si>
    <t>SPRG., CLUTCH</t>
  </si>
  <si>
    <t>90506-08183</t>
  </si>
  <si>
    <t>SPRG.,TENSION</t>
  </si>
  <si>
    <t>90506-09009</t>
  </si>
  <si>
    <t>SPRG.,TENSION  3AH</t>
  </si>
  <si>
    <t>90506-12001</t>
  </si>
  <si>
    <t>90506-15001</t>
  </si>
  <si>
    <t>90508-26012-00</t>
  </si>
  <si>
    <t>SPRG.,TORSION  5HM</t>
  </si>
  <si>
    <t>90508-26041</t>
  </si>
  <si>
    <t>SPRG.,TORSION</t>
  </si>
  <si>
    <t>90508-32054</t>
  </si>
  <si>
    <t>93812-15801</t>
  </si>
  <si>
    <t>SPROCKET,DRIVE</t>
  </si>
  <si>
    <t>3AH-F5436-00</t>
  </si>
  <si>
    <t>SPROCKET,RR. WHEEL</t>
  </si>
  <si>
    <t>3V8-F7111-01</t>
  </si>
  <si>
    <t>STAND,MAIN</t>
  </si>
  <si>
    <t>3AH-F7311-00</t>
  </si>
  <si>
    <t>STAND,SIDE</t>
  </si>
  <si>
    <t>4W8-E4493-00</t>
  </si>
  <si>
    <t>STAY,1</t>
  </si>
  <si>
    <t>58A-H2539-00</t>
  </si>
  <si>
    <t>STAY,STOP SWITCH</t>
  </si>
  <si>
    <t>5HM-H2530-00</t>
  </si>
  <si>
    <t>REAR STOP SWITCH . 5HM</t>
  </si>
  <si>
    <t>132-18140-01</t>
  </si>
  <si>
    <t>STOPPER LEVER ASSY.</t>
  </si>
  <si>
    <t>3AH-F8100-00</t>
  </si>
  <si>
    <t>5HM-F3340-00</t>
  </si>
  <si>
    <t>UNDER BRACKET COMP. 5HM2</t>
  </si>
  <si>
    <t>3AH-H2590-00</t>
  </si>
  <si>
    <t>58A-F6335-00</t>
  </si>
  <si>
    <t>WIRE,CLUTCH</t>
  </si>
  <si>
    <t>5HM-F6335-00</t>
  </si>
  <si>
    <t>37R-F6331-00</t>
  </si>
  <si>
    <t>WIRE,STARTER</t>
  </si>
  <si>
    <t>5HM-F6311-00</t>
  </si>
  <si>
    <t>55K-24521-00</t>
  </si>
  <si>
    <t>CUP FILTER</t>
  </si>
  <si>
    <t>1M7-11650-00</t>
  </si>
  <si>
    <t>CONNECTING ROD  (3AH)</t>
  </si>
  <si>
    <t>5E2-11630-00</t>
  </si>
  <si>
    <t>PISTON ASSY (STD)  (3AH)</t>
  </si>
  <si>
    <t>5E2-11630-20</t>
  </si>
  <si>
    <t>PISTON ASSY (2ND O/S)  (3AH)</t>
  </si>
  <si>
    <t>5E2-11630-40</t>
  </si>
  <si>
    <t>PISTON ASSY (4TH O/S)  (3AH)</t>
  </si>
  <si>
    <t>2N3-15660-00</t>
  </si>
  <si>
    <t>KICK AXLE</t>
  </si>
  <si>
    <t>2AL-85580-MO</t>
  </si>
  <si>
    <t>COIL PULSER</t>
  </si>
  <si>
    <t>401-16111-00-30</t>
  </si>
  <si>
    <t>GEAR PRIMARY DRIVE (C)</t>
  </si>
  <si>
    <t>488-13101-03</t>
  </si>
  <si>
    <t>OIL PUMP ASSY  (488)</t>
  </si>
  <si>
    <t>180-15687-00</t>
  </si>
  <si>
    <t>CLIP GEAR KICK  (YB-80)</t>
  </si>
  <si>
    <t>5HM-F2210-10-93</t>
  </si>
  <si>
    <t>131-16352-01</t>
  </si>
  <si>
    <t>PLATE PRESSURE  (131-16352-01)</t>
  </si>
  <si>
    <t>3B1-F1510-00-P0</t>
  </si>
  <si>
    <t>3B1-F3395-00</t>
  </si>
  <si>
    <t>3B1-F4730-00</t>
  </si>
  <si>
    <t>DBL. SEAT ASSY.</t>
  </si>
  <si>
    <t>3B1-F6111-00</t>
  </si>
  <si>
    <t>3B1-H2590-40</t>
  </si>
  <si>
    <t>3B1-H4310-00</t>
  </si>
  <si>
    <t xml:space="preserve">HEAD LIGHT UNIT ASSY.,1       </t>
  </si>
  <si>
    <t>3B1-H4315-00</t>
  </si>
  <si>
    <t xml:space="preserve">RIM,HEAD LAMP                 </t>
  </si>
  <si>
    <t>5TN-E1134-00</t>
  </si>
  <si>
    <t xml:space="preserve">GUIDE,VALVE 2                 </t>
  </si>
  <si>
    <t>3AH-E1311-00</t>
  </si>
  <si>
    <t>BODY,CYLINDER 1</t>
  </si>
  <si>
    <t>90506-15822</t>
  </si>
  <si>
    <t>SPRING, BRAKE SHOE 3AH</t>
  </si>
  <si>
    <t>3AH-H2911-01</t>
  </si>
  <si>
    <t>KNOB-2     RIGHT</t>
  </si>
  <si>
    <t>5HM-F2210-00-P1</t>
  </si>
  <si>
    <t>SHOCK,ABSORBER R.R. (SLV.)</t>
  </si>
  <si>
    <t>58A-F6341-00</t>
  </si>
  <si>
    <t>CABLE,BRAKE  3AH</t>
  </si>
  <si>
    <t>3AH-E4710-00</t>
  </si>
  <si>
    <t>MUFFLER ASSY   3AH</t>
  </si>
  <si>
    <t>4YS-E1607-00</t>
  </si>
  <si>
    <t>PISTON RING (1.00MM O/S)  (5HM)</t>
  </si>
  <si>
    <t>4W8-F2530-00</t>
  </si>
  <si>
    <t>BRAKE, SHOE 3AHA</t>
  </si>
  <si>
    <t>3AHC-F2530-00</t>
  </si>
  <si>
    <t>BRAKE SHOE COMP.  3AHC-3B1</t>
  </si>
  <si>
    <t>5DV-14185-00</t>
  </si>
  <si>
    <t>FLOAT  5HM</t>
  </si>
  <si>
    <t>7LG-14150-11</t>
  </si>
  <si>
    <t>NEEDLE ASSY  (5HM)</t>
  </si>
  <si>
    <t>55K-24515-01</t>
  </si>
  <si>
    <t>NET,FILTER 2</t>
  </si>
  <si>
    <t>4YS-E1603-00</t>
  </si>
  <si>
    <t>PISTON RING SET (STD)   5HM</t>
  </si>
  <si>
    <t>5HM-23141-21</t>
  </si>
  <si>
    <t>SPRING,FRONT FORK (5HM)  IMP</t>
  </si>
  <si>
    <t>193-14142-17</t>
  </si>
  <si>
    <t>JET PILOT   (NO.17.5)</t>
  </si>
  <si>
    <t>90508-26136</t>
  </si>
  <si>
    <t>SPRING, TORSION  YB OLD</t>
  </si>
  <si>
    <t>90445-09353</t>
  </si>
  <si>
    <t>HOSE PIPE  3AH     IMP</t>
  </si>
  <si>
    <t>2N3-11601-00</t>
  </si>
  <si>
    <t>PISTON RING SET(STD)</t>
  </si>
  <si>
    <t>5E2-11636-00</t>
  </si>
  <si>
    <t>PISTON(0.50MMO/S)   (3AH)</t>
  </si>
  <si>
    <t>3AH-E5411-00</t>
  </si>
  <si>
    <t>COVER, CRANK CASE 1  (3AHB)</t>
  </si>
  <si>
    <t>31J-14107-00</t>
  </si>
  <si>
    <t>NEEDLE, VALVE SET (YB-80)</t>
  </si>
  <si>
    <t>552-23141-00</t>
  </si>
  <si>
    <t>FRONT FROK SPRING IMP</t>
  </si>
  <si>
    <t>3AH-F4730-00</t>
  </si>
  <si>
    <t>DOUBLE SEAT   3AHA  554</t>
  </si>
  <si>
    <t>5K2-F1521-00</t>
  </si>
  <si>
    <t>FLAP,FRONT FENDER</t>
  </si>
  <si>
    <t>5ES-E3512-00</t>
  </si>
  <si>
    <t>VALVE</t>
  </si>
  <si>
    <t>3B1-F0001-00</t>
  </si>
  <si>
    <t>EMBLEM,TUNNING FORK (3D)</t>
  </si>
  <si>
    <t>3AH-E1200-00</t>
  </si>
  <si>
    <t>GASKET,HALF SET</t>
  </si>
  <si>
    <t>3AH-F5155-10</t>
  </si>
  <si>
    <t>LEVER,CAM SHAFT FRONT  3AH</t>
  </si>
  <si>
    <t>3AH-F5355-00</t>
  </si>
  <si>
    <t>LEVER,CAM SHAFT REAR  3AH</t>
  </si>
  <si>
    <t>3AH-E5413-00</t>
  </si>
  <si>
    <t>COVER,CARBURATOR  (3AHB)</t>
  </si>
  <si>
    <t>58A-F1751-00-P0</t>
  </si>
  <si>
    <t>OIL TANK  WHITHOUT GRAPHIC</t>
  </si>
  <si>
    <t>4VU-F3145-00</t>
  </si>
  <si>
    <t>F. FORK OIL SEAL</t>
  </si>
  <si>
    <t>5HM-E6350-00</t>
  </si>
  <si>
    <t xml:space="preserve">PRESS. PLATE ASSY.,1          </t>
  </si>
  <si>
    <t>5ES-F6242-02</t>
  </si>
  <si>
    <t>GRIP(RH) 2</t>
  </si>
  <si>
    <t>4W8-F6243-01</t>
  </si>
  <si>
    <t>TUBE,THROTTLE GUIDE</t>
  </si>
  <si>
    <t>5HM-F3102-10</t>
  </si>
  <si>
    <t>DAMPER ASSY.RH</t>
  </si>
  <si>
    <t>5HM-F3152-00</t>
  </si>
  <si>
    <t xml:space="preserve">SUB-SPRG.                     </t>
  </si>
  <si>
    <t>3AH-E1351-01</t>
  </si>
  <si>
    <t>GASKET,CYLINDER 1</t>
  </si>
  <si>
    <t>3AH-H4551-00-35</t>
  </si>
  <si>
    <t>BRACKET LICENSE (SQUARE). 3AH</t>
  </si>
  <si>
    <t>5HM-F477U-60</t>
  </si>
  <si>
    <t>GRAPHIC SET,1</t>
  </si>
  <si>
    <t>5HM3-H2914-00</t>
  </si>
  <si>
    <t>LEVER HOLDER  ASSY COMP.,1 5HM</t>
  </si>
  <si>
    <t>35Y-E1490J-00</t>
  </si>
  <si>
    <t>NEEDLE SET</t>
  </si>
  <si>
    <t>5ES-2210-00-33</t>
  </si>
  <si>
    <t>REAR ARM COMP.(5ES)</t>
  </si>
  <si>
    <t>3B1-K4500-00</t>
  </si>
  <si>
    <t>KNOB, FUEL COCK ASSY</t>
  </si>
  <si>
    <t>4YS-E8140-00</t>
  </si>
  <si>
    <t xml:space="preserve">STOPPER LEVER ASSY.           </t>
  </si>
  <si>
    <t>7DY-18351-00</t>
  </si>
  <si>
    <t xml:space="preserve">CLUTCH OUTER CASE </t>
  </si>
  <si>
    <t>7DY-16111-00</t>
  </si>
  <si>
    <t>GEAR,PRIMARY DRIVE WITH GUIDE</t>
  </si>
  <si>
    <t>7DY-16321-00</t>
  </si>
  <si>
    <t>PLATE,FRICTION</t>
  </si>
  <si>
    <t>7DY-16325-00</t>
  </si>
  <si>
    <t>PLATE,CLUTCH 2</t>
  </si>
  <si>
    <t>7DY-16150-00</t>
  </si>
  <si>
    <t>PRIMARY DIRVEN GEAR COMP.</t>
  </si>
  <si>
    <t>7DY-85540-00</t>
  </si>
  <si>
    <t>NEUTRAL SWITCH ASSY</t>
  </si>
  <si>
    <t>7DY-94570-00</t>
  </si>
  <si>
    <t>CHAIN, (DID420M-104RJ)</t>
  </si>
  <si>
    <t>7DY-E1181-00</t>
  </si>
  <si>
    <t>7DY-13596-00</t>
  </si>
  <si>
    <t>INSULATOR CARBURATOR</t>
  </si>
  <si>
    <t>7DY-11351-00</t>
  </si>
  <si>
    <t>GASKET CYLINDER</t>
  </si>
  <si>
    <t>7DY-12119-00</t>
  </si>
  <si>
    <t>SEAL, VALVE STEAM</t>
  </si>
  <si>
    <t>7DY-12151-00</t>
  </si>
  <si>
    <t>ARM, VALVE ROCKER</t>
  </si>
  <si>
    <t>7DY-12118-00</t>
  </si>
  <si>
    <t>COTTER, VALVE</t>
  </si>
  <si>
    <t>7DY-15421-00</t>
  </si>
  <si>
    <t>7DY-15362-00</t>
  </si>
  <si>
    <t>PLUG OIL LEVEL ASSY</t>
  </si>
  <si>
    <t>7DY-16382-00</t>
  </si>
  <si>
    <t>AXLE PUSH LEVER ASSY</t>
  </si>
  <si>
    <t>7DY-14711-00</t>
  </si>
  <si>
    <t>AXLE MAIN (11T)</t>
  </si>
  <si>
    <t>7DY-17402-00</t>
  </si>
  <si>
    <t>AXLE DRIVE</t>
  </si>
  <si>
    <t>7DY-17231-00</t>
  </si>
  <si>
    <t>GEAR 3RD WHEEL (27T)</t>
  </si>
  <si>
    <t>7DY-F3122-00</t>
  </si>
  <si>
    <t xml:space="preserve">COVER,OUTER COMP.    </t>
  </si>
  <si>
    <t>7DY-H5111-00</t>
  </si>
  <si>
    <t xml:space="preserve">REFLECTOR                 </t>
  </si>
  <si>
    <t>7DY-F3102-00</t>
  </si>
  <si>
    <t xml:space="preserve">DAMPER ASSY.,LH.              </t>
  </si>
  <si>
    <t>7DY-F3103-10</t>
  </si>
  <si>
    <t>FRONT FORK ASSY (RIGHT)</t>
  </si>
  <si>
    <t>BRACKET MUFFLER</t>
  </si>
  <si>
    <t>7DY-H5112-00-99</t>
  </si>
  <si>
    <t>STAY REFLECTOR SET</t>
  </si>
  <si>
    <t>7DY-H4315-00</t>
  </si>
  <si>
    <t>RIM ,HEAD LIGHT COMP</t>
  </si>
  <si>
    <t>7DY-H4311-00</t>
  </si>
  <si>
    <t xml:space="preserve">BODY,HEAD LIGHT               </t>
  </si>
  <si>
    <t>7DY-H472C-00</t>
  </si>
  <si>
    <t xml:space="preserve">LENS TAIL LIGHT COMP        </t>
  </si>
  <si>
    <t>7DY-H3322-00</t>
  </si>
  <si>
    <t>7DY-90506-00</t>
  </si>
  <si>
    <t>SPRING, BRAKE SHOES</t>
  </si>
  <si>
    <t>7DY-F7411-00-33</t>
  </si>
  <si>
    <t>7DY-15411- 00</t>
  </si>
  <si>
    <t>COVER, CRANKCASE 1</t>
  </si>
  <si>
    <t>7DY-14311-00</t>
  </si>
  <si>
    <t>TIMING DRIVE SPROCKET</t>
  </si>
  <si>
    <t>3B13-E4101-01</t>
  </si>
  <si>
    <t>CARBURATOR ASSY (NEW)</t>
  </si>
  <si>
    <t>7DY-33110-00</t>
  </si>
  <si>
    <t xml:space="preserve">HEAD LIGHT BEAM COMP          </t>
  </si>
  <si>
    <t>3B1-F2530-00</t>
  </si>
  <si>
    <t>BRAKE SHOE 3B11.5HM6.3AHG</t>
  </si>
  <si>
    <t>7DY-18101-00.</t>
  </si>
  <si>
    <t>SHIFT SHAFT (7DY)</t>
  </si>
  <si>
    <t>7DY-WF53E-00-01</t>
  </si>
  <si>
    <t>BRAKE SHOE  (7DY)</t>
  </si>
  <si>
    <t>7DY-H2910-20-00</t>
  </si>
  <si>
    <t>LEVER HOLDER ASSY COMPLETE  KIT</t>
  </si>
  <si>
    <t>3AHI-F1711-01-P0</t>
  </si>
  <si>
    <t>SIDE COVER (3AHI)</t>
  </si>
  <si>
    <t>3AHI-F1751-00-P0</t>
  </si>
  <si>
    <t>OIL TANK (3AHI)</t>
  </si>
  <si>
    <t>3AHI-F4110-00-P0</t>
  </si>
  <si>
    <t>FUEL TANK ASSY (3AHI)</t>
  </si>
  <si>
    <t>7DY-F2210-01-PO</t>
  </si>
  <si>
    <t>SHOCK ABSORBER ASSY  RED (DYL)</t>
  </si>
  <si>
    <t>5HM-F4730-10</t>
  </si>
  <si>
    <t>7DY-11650-00</t>
  </si>
  <si>
    <t>CONNECTING ROD KIT</t>
  </si>
  <si>
    <t>5HM8-F1711-01-P0</t>
  </si>
  <si>
    <t>SIDE COVER -1 (RED)             5HM8</t>
  </si>
  <si>
    <t>5HM8-F1721-01-P0</t>
  </si>
  <si>
    <t>SIDE COVER -2  (RED)            5HM8</t>
  </si>
  <si>
    <t>7DY-F3141-00-PO</t>
  </si>
  <si>
    <t xml:space="preserve">COVER UPPER SET (RED)  7DY _x000D_
_x000D_
</t>
  </si>
  <si>
    <t>7DY-F3141-00-33</t>
  </si>
  <si>
    <t xml:space="preserve">COVER UPPER SET (BLACK) 7DY _x000D_
_x000D_
</t>
  </si>
  <si>
    <t>5HM-F6280-10</t>
  </si>
  <si>
    <t xml:space="preserve">REAR VIEW MIRROR SET 5HM /3AHG _x000D_
_x000D_
</t>
  </si>
  <si>
    <t>7DY-F7311-00-33</t>
  </si>
  <si>
    <t xml:space="preserve">SIDE STAND  7DY _x000D_
</t>
  </si>
  <si>
    <t>7DY-F1711-01-33</t>
  </si>
  <si>
    <t>7DY-F1721-01-33</t>
  </si>
  <si>
    <t>7DY-F4700-01-33</t>
  </si>
  <si>
    <t>GRAPHIC TAIL SET ( BLACK)</t>
  </si>
  <si>
    <t>5HM-XE516-00</t>
  </si>
  <si>
    <t>PLUG, BLIND 1&amp;2 SET</t>
  </si>
  <si>
    <t>Sup-0017</t>
  </si>
  <si>
    <t>SUP-0617</t>
  </si>
  <si>
    <t>SUP-0108</t>
  </si>
  <si>
    <t>A.I. ENTERPRISES</t>
  </si>
  <si>
    <t>AJR METAL FABRICATORS (PVT) LTD</t>
  </si>
  <si>
    <t>AL-MUSTAFA PACKAGES</t>
  </si>
  <si>
    <t>6*10*7</t>
  </si>
  <si>
    <t>BOX SPEED METER 3B11</t>
  </si>
  <si>
    <t>3B15-F4110-00-P0</t>
  </si>
  <si>
    <t>FUEL TANK COM (RED)</t>
  </si>
  <si>
    <t>3B15-F471K-00-33</t>
  </si>
  <si>
    <t>COVER TAIL-1 (BLACK)</t>
  </si>
  <si>
    <t>3B15-F472K-00-33</t>
  </si>
  <si>
    <t>COVER TAIL-2 (BLACK)</t>
  </si>
  <si>
    <t>38.75 x 11.5 x 11.0</t>
  </si>
  <si>
    <t>CARTON MUFFLER 5HM</t>
  </si>
  <si>
    <t>27.25 x 26.75 x 19</t>
  </si>
  <si>
    <t>CARTON 3B1</t>
  </si>
  <si>
    <t>29.25*7.75*5.75</t>
  </si>
  <si>
    <t>CARTON HANDLE BAR</t>
  </si>
  <si>
    <t>FRICTION MATERIALS COMPONENTS (PVT.) LTD</t>
  </si>
</sst>
</file>

<file path=xl/styles.xml><?xml version="1.0" encoding="utf-8"?>
<styleSheet xmlns="http://schemas.openxmlformats.org/spreadsheetml/2006/main">
  <fonts count="27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9"/>
      <color theme="2" tint="-9.9978637043366805E-2"/>
      <name val="Calibri"/>
      <family val="2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00B0F0"/>
        <bgColor indexed="64"/>
      </patternFill>
    </fill>
    <fill>
      <patternFill patternType="solid">
        <fgColor rgb="FF70CE9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2A6E4"/>
        <bgColor indexed="64"/>
      </patternFill>
    </fill>
    <fill>
      <patternFill patternType="solid">
        <fgColor rgb="FFF5B1E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5" fillId="2" borderId="3" applyNumberFormat="0" applyFont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2" fillId="14" borderId="6" applyNumberFormat="0" applyAlignment="0" applyProtection="0"/>
    <xf numFmtId="0" fontId="23" fillId="0" borderId="7" applyNumberFormat="0" applyFill="0" applyAlignment="0" applyProtection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wrapText="1"/>
    </xf>
    <xf numFmtId="0" fontId="1" fillId="0" borderId="0" xfId="0" applyNumberFormat="1" applyFont="1" applyAlignment="1">
      <alignment vertical="center" wrapText="1"/>
    </xf>
    <xf numFmtId="0" fontId="4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0" xfId="0" applyNumberFormat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3" fillId="6" borderId="0" xfId="0" applyFont="1" applyFill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3" fillId="9" borderId="0" xfId="0" applyFont="1" applyFill="1" applyAlignment="1">
      <alignment horizontal="center" vertical="center"/>
    </xf>
    <xf numFmtId="0" fontId="7" fillId="0" borderId="0" xfId="0" applyFont="1"/>
    <xf numFmtId="0" fontId="3" fillId="11" borderId="0" xfId="0" applyFont="1" applyFill="1" applyBorder="1"/>
    <xf numFmtId="0" fontId="3" fillId="11" borderId="2" xfId="0" applyFont="1" applyFill="1" applyBorder="1"/>
    <xf numFmtId="0" fontId="15" fillId="11" borderId="0" xfId="0" applyFont="1" applyFill="1" applyBorder="1" applyAlignment="1">
      <alignment horizontal="left" vertical="top"/>
    </xf>
    <xf numFmtId="0" fontId="16" fillId="11" borderId="2" xfId="0" applyFont="1" applyFill="1" applyBorder="1" applyAlignment="1" applyProtection="1">
      <alignment horizontal="center"/>
    </xf>
    <xf numFmtId="0" fontId="16" fillId="11" borderId="0" xfId="0" applyFont="1" applyFill="1" applyBorder="1" applyAlignment="1" applyProtection="1">
      <alignment horizontal="center"/>
      <protection locked="0"/>
    </xf>
    <xf numFmtId="0" fontId="16" fillId="11" borderId="2" xfId="0" applyFont="1" applyFill="1" applyBorder="1" applyAlignment="1">
      <alignment horizontal="center" vertical="top"/>
    </xf>
    <xf numFmtId="0" fontId="18" fillId="11" borderId="0" xfId="3" applyFill="1" applyBorder="1" applyAlignment="1" applyProtection="1"/>
    <xf numFmtId="0" fontId="19" fillId="11" borderId="2" xfId="0" applyFont="1" applyFill="1" applyBorder="1"/>
    <xf numFmtId="0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NumberFormat="1" applyFont="1" applyAlignment="1">
      <alignment vertical="center" wrapText="1"/>
    </xf>
    <xf numFmtId="0" fontId="20" fillId="0" borderId="0" xfId="0" applyFont="1"/>
    <xf numFmtId="0" fontId="21" fillId="0" borderId="0" xfId="0" applyFont="1" applyAlignment="1">
      <alignment horizontal="center"/>
    </xf>
    <xf numFmtId="0" fontId="20" fillId="0" borderId="0" xfId="0" applyNumberFormat="1" applyFont="1"/>
    <xf numFmtId="0" fontId="0" fillId="12" borderId="4" xfId="0" applyFont="1" applyFill="1" applyBorder="1"/>
    <xf numFmtId="0" fontId="0" fillId="13" borderId="4" xfId="0" applyFont="1" applyFill="1" applyBorder="1"/>
    <xf numFmtId="0" fontId="0" fillId="13" borderId="5" xfId="0" applyFont="1" applyFill="1" applyBorder="1"/>
    <xf numFmtId="0" fontId="0" fillId="12" borderId="5" xfId="0" applyFont="1" applyFill="1" applyBorder="1"/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4" fillId="14" borderId="6" xfId="4" applyNumberFormat="1" applyFont="1" applyAlignment="1" applyProtection="1">
      <alignment horizontal="center"/>
    </xf>
    <xf numFmtId="0" fontId="10" fillId="0" borderId="0" xfId="0" applyFont="1"/>
    <xf numFmtId="49" fontId="10" fillId="0" borderId="0" xfId="0" applyNumberFormat="1" applyFont="1"/>
    <xf numFmtId="0" fontId="26" fillId="2" borderId="7" xfId="5" applyFont="1" applyFill="1" applyAlignment="1" applyProtection="1">
      <alignment horizontal="right"/>
    </xf>
    <xf numFmtId="0" fontId="2" fillId="11" borderId="1" xfId="1" applyFill="1"/>
    <xf numFmtId="0" fontId="1" fillId="0" borderId="0" xfId="0" applyNumberFormat="1" applyFont="1" applyAlignment="1">
      <alignment horizontal="center" vertical="center"/>
    </xf>
    <xf numFmtId="0" fontId="25" fillId="0" borderId="1" xfId="1" applyFont="1" applyAlignment="1">
      <alignment horizontal="center"/>
    </xf>
    <xf numFmtId="0" fontId="18" fillId="2" borderId="3" xfId="3" applyFill="1" applyBorder="1" applyAlignment="1" applyProtection="1">
      <alignment horizontal="center"/>
    </xf>
    <xf numFmtId="0" fontId="18" fillId="2" borderId="3" xfId="2" applyFont="1" applyAlignment="1" applyProtection="1">
      <alignment horizontal="center"/>
    </xf>
    <xf numFmtId="0" fontId="6" fillId="0" borderId="1" xfId="1" applyFont="1" applyAlignment="1">
      <alignment horizontal="center"/>
    </xf>
    <xf numFmtId="0" fontId="8" fillId="0" borderId="0" xfId="0" applyFont="1" applyAlignment="1">
      <alignment horizontal="left" wrapText="1"/>
    </xf>
    <xf numFmtId="0" fontId="14" fillId="2" borderId="3" xfId="2" applyFont="1" applyAlignment="1">
      <alignment horizontal="center" vertical="center"/>
    </xf>
  </cellXfs>
  <cellStyles count="6">
    <cellStyle name="Heading 1" xfId="1" builtinId="16"/>
    <cellStyle name="Hyperlink" xfId="3" builtinId="8"/>
    <cellStyle name="Input" xfId="4" builtinId="20"/>
    <cellStyle name="Normal" xfId="0" builtinId="0"/>
    <cellStyle name="Note" xfId="2" builtinId="10"/>
    <cellStyle name="Total" xfId="5" builtinId="25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ill>
        <patternFill>
          <bgColor theme="5" tint="0.3999450666829432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 patternType="gray0625">
          <fgColor theme="3" tint="0.79998168889431442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fgColor auto="1"/>
        </patternFill>
      </fill>
    </dxf>
    <dxf>
      <fill>
        <patternFill>
          <bgColor theme="2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mergeCell="0" readingOrder="0"/>
    </dxf>
    <dxf>
      <fill>
        <patternFill>
          <bgColor theme="6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3" tint="0.79998168889431442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255" justifyLastLine="0" shrinkToFit="0" mergeCell="0" readingOrder="0"/>
    </dxf>
    <dxf>
      <numFmt numFmtId="30" formatCode="@"/>
      <alignment horizontal="center" vertical="bottom" textRotation="0" wrapText="0" indent="0" relativeIndent="255" justifyLastLine="0" shrinkToFit="0" mergeCell="0" readingOrder="0"/>
    </dxf>
    <dxf>
      <numFmt numFmtId="30" formatCode="@"/>
      <alignment horizontal="center" vertical="bottom" textRotation="0" wrapText="0" indent="0" relativeIndent="0" justifyLastLine="0" shrinkToFit="0" mergeCell="0" readingOrder="0"/>
    </dxf>
  </dxfs>
  <tableStyles count="0" defaultTableStyle="TableStyleMedium9" defaultPivotStyle="PivotStyleLight16"/>
  <colors>
    <mruColors>
      <color rgb="FFF5B1E3"/>
      <color rgb="FF72A6E4"/>
      <color rgb="FF70CE9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92.168.3.138_Grn" backgroundRefresh="0" connectionId="2" autoFormatId="16" applyNumberFormats="0" applyBorderFormats="0" applyFontFormats="0" applyPatternFormats="0" applyAlignmentFormats="0" applyWidthHeightFormats="0">
  <queryTableRefresh nextId="8">
    <queryTableFields count="5">
      <queryTableField id="1" name="supcode" tableColumnId="1"/>
      <queryTableField id="2" name="DayNo" tableColumnId="2"/>
      <queryTableField id="3" name="item_key" tableColumnId="3"/>
      <queryTableField id="6" name="Qty" tableColumnId="4"/>
      <queryTableField id="7" name="RType" tableColumnId="5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111" unboundColumnsRight="32">
    <queryTableFields count="38">
      <queryTableField id="109" name="VType" tableColumnId="39"/>
      <queryTableField id="1" name="VendorName" tableColumnId="1"/>
      <queryTableField id="2" name="Item_key" tableColumnId="2"/>
      <queryTableField id="3" name="itemNo" tableColumnId="3"/>
      <queryTableField id="4" name="itemName" tableColumnId="4"/>
      <queryTableField id="76" name="RType" tableColumnId="5"/>
      <queryTableField id="77" dataBound="0" tableColumnId="6"/>
      <queryTableField id="78" dataBound="0" tableColumnId="7"/>
      <queryTableField id="79" dataBound="0" tableColumnId="8"/>
      <queryTableField id="107" dataBound="0" tableColumnId="9"/>
      <queryTableField id="106" dataBound="0" tableColumnId="10"/>
      <queryTableField id="105" dataBound="0" tableColumnId="11"/>
      <queryTableField id="104" dataBound="0" tableColumnId="12"/>
      <queryTableField id="103" dataBound="0" tableColumnId="13"/>
      <queryTableField id="102" dataBound="0" tableColumnId="14"/>
      <queryTableField id="101" dataBound="0" tableColumnId="15"/>
      <queryTableField id="100" dataBound="0" tableColumnId="16"/>
      <queryTableField id="99" dataBound="0" tableColumnId="17"/>
      <queryTableField id="98" dataBound="0" tableColumnId="18"/>
      <queryTableField id="97" dataBound="0" tableColumnId="19"/>
      <queryTableField id="96" dataBound="0" tableColumnId="20"/>
      <queryTableField id="95" dataBound="0" tableColumnId="21"/>
      <queryTableField id="94" dataBound="0" tableColumnId="22"/>
      <queryTableField id="93" dataBound="0" tableColumnId="23"/>
      <queryTableField id="92" dataBound="0" tableColumnId="24"/>
      <queryTableField id="91" dataBound="0" tableColumnId="25"/>
      <queryTableField id="90" dataBound="0" tableColumnId="26"/>
      <queryTableField id="89" dataBound="0" tableColumnId="27"/>
      <queryTableField id="88" dataBound="0" tableColumnId="28"/>
      <queryTableField id="87" dataBound="0" tableColumnId="29"/>
      <queryTableField id="86" dataBound="0" tableColumnId="30"/>
      <queryTableField id="85" dataBound="0" tableColumnId="31"/>
      <queryTableField id="84" dataBound="0" tableColumnId="32"/>
      <queryTableField id="83" dataBound="0" tableColumnId="33"/>
      <queryTableField id="82" dataBound="0" tableColumnId="34"/>
      <queryTableField id="81" dataBound="0" tableColumnId="35"/>
      <queryTableField id="80" dataBound="0" tableColumnId="36"/>
      <queryTableField id="108" dataBound="0" tableColumnId="37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5" autoFormatId="16" applyNumberFormats="0" applyBorderFormats="0" applyFontFormats="0" applyPatternFormats="0" applyAlignmentFormats="0" applyWidthHeightFormats="0">
  <queryTableRefresh nextId="7">
    <queryTableFields count="4">
      <queryTableField id="1" name="item_key" tableColumnId="1"/>
      <queryTableField id="2" name="DayNo" tableColumnId="2"/>
      <queryTableField id="4" name="IType" tableColumnId="4"/>
      <queryTableField id="6" name="Qty" tableColumnId="5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4" autoFormatId="16" applyNumberFormats="0" applyBorderFormats="0" applyFontFormats="0" applyPatternFormats="0" applyAlignmentFormats="0" applyWidthHeightFormats="0">
  <queryTableRefresh nextId="37" unboundColumnsRight="32">
    <queryTableFields count="36">
      <queryTableField id="1" name="item_key" tableColumnId="1"/>
      <queryTableField id="2" name="itemNo" tableColumnId="2"/>
      <queryTableField id="3" name="itemName" tableColumnId="3"/>
      <queryTableField id="4" name="I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35" dataBound="0" tableColumnId="9"/>
      <queryTableField id="34" dataBound="0" tableColumnId="10"/>
      <queryTableField id="33" dataBound="0" tableColumnId="11"/>
      <queryTableField id="32" dataBound="0" tableColumnId="12"/>
      <queryTableField id="31" dataBound="0" tableColumnId="13"/>
      <queryTableField id="30" dataBound="0" tableColumnId="14"/>
      <queryTableField id="29" dataBound="0" tableColumnId="15"/>
      <queryTableField id="28" dataBound="0" tableColumnId="16"/>
      <queryTableField id="27" dataBound="0" tableColumnId="17"/>
      <queryTableField id="26" dataBound="0" tableColumnId="18"/>
      <queryTableField id="25" dataBound="0" tableColumnId="19"/>
      <queryTableField id="24" dataBound="0" tableColumnId="20"/>
      <queryTableField id="23" dataBound="0" tableColumnId="21"/>
      <queryTableField id="22" dataBound="0" tableColumnId="22"/>
      <queryTableField id="21" dataBound="0" tableColumnId="23"/>
      <queryTableField id="20" dataBound="0" tableColumnId="24"/>
      <queryTableField id="19" dataBound="0" tableColumnId="25"/>
      <queryTableField id="18" dataBound="0" tableColumnId="26"/>
      <queryTableField id="17" dataBound="0" tableColumnId="27"/>
      <queryTableField id="16" dataBound="0" tableColumnId="28"/>
      <queryTableField id="15" dataBound="0" tableColumnId="29"/>
      <queryTableField id="14" dataBound="0" tableColumnId="30"/>
      <queryTableField id="13" dataBound="0" tableColumnId="31"/>
      <queryTableField id="12" dataBound="0" tableColumnId="32"/>
      <queryTableField id="11" dataBound="0" tableColumnId="33"/>
      <queryTableField id="10" dataBound="0" tableColumnId="34"/>
      <queryTableField id="9" dataBound="0" tableColumnId="35"/>
      <queryTableField id="36" dataBound="0" tableColumnId="36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16" applyNumberFormats="0" applyBorderFormats="0" applyFontFormats="0" applyPatternFormats="0" applyAlignmentFormats="0" applyWidthHeightFormats="0">
  <queryTableRefresh nextId="18" unboundColumnsRight="14">
    <queryTableFields count="17">
      <queryTableField id="1" name="item_key" tableColumnId="1"/>
      <queryTableField id="2" name="itemNo" tableColumnId="2"/>
      <queryTableField id="3" name="itemName" tableColumnId="3"/>
      <queryTableField id="14" dataBound="0" tableColumnId="14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16" dataBound="0" tableColumnId="16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7" dataBound="0" tableColumnId="17"/>
      <queryTableField id="15" dataBound="0" tableColumnId="15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tem_key" tableColumnId="1"/>
      <queryTableField id="2" name="OpQty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able__192.168.3.138_Grn" displayName="Table__192.168.3.138_Grn" ref="A1:E237" tableType="queryTable" totalsRowShown="0">
  <autoFilter ref="A1:E237"/>
  <tableColumns count="5">
    <tableColumn id="1" uniqueName="1" name="supcode" queryTableFieldId="1"/>
    <tableColumn id="2" uniqueName="2" name="DayNo" queryTableFieldId="2"/>
    <tableColumn id="3" uniqueName="3" name="item_key" queryTableFieldId="3"/>
    <tableColumn id="4" uniqueName="4" name="Qty" queryTableFieldId="6"/>
    <tableColumn id="5" uniqueName="5" name="RType" queryTableField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8:B17" totalsRowShown="0">
  <autoFilter ref="A8:B17">
    <filterColumn colId="0">
      <filters>
        <filter val="1"/>
      </filters>
    </filterColumn>
  </autoFilter>
  <tableColumns count="2">
    <tableColumn id="1" name="Unit Code" dataDxfId="150"/>
    <tableColumn id="2" name="Unit Nam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9" name="Table9" displayName="Table9" ref="E8:F57" totalsRowShown="0">
  <autoFilter ref="E8:F57"/>
  <tableColumns count="2">
    <tableColumn id="1" name="Location Code" dataDxfId="149"/>
    <tableColumn id="2" name="Location Name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Table_ExternalData_1" displayName="Table_ExternalData_1" ref="A4:AL97" tableType="queryTable" headerRowDxfId="148" dataDxfId="147">
  <autoFilter ref="A4:AL97"/>
  <tableColumns count="38">
    <tableColumn id="39" uniqueName="39" name="VType" queryTableFieldId="109" dataDxfId="81"/>
    <tableColumn id="1" uniqueName="1" name="VendorName" totalsRowLabel="Total" queryTableFieldId="1" dataDxfId="80" totalsRowDxfId="146"/>
    <tableColumn id="2" uniqueName="2" name="Item_key" queryTableFieldId="2" dataDxfId="79" totalsRowDxfId="145"/>
    <tableColumn id="3" uniqueName="3" name="itemNo" queryTableFieldId="3" dataDxfId="78" totalsRowDxfId="144"/>
    <tableColumn id="4" uniqueName="4" name="itemName" queryTableFieldId="4" dataDxfId="77" totalsRowDxfId="143"/>
    <tableColumn id="5" uniqueName="5" name="RType" queryTableFieldId="76" dataDxfId="76" totalsRowDxfId="142"/>
    <tableColumn id="6" uniqueName="6" name="1" totalsRowFunction="sum" queryTableFieldId="77" dataDxfId="75" totalsRowDxfId="141">
      <calculatedColumnFormula>SUMIFS(GQList,GIList,Table_ExternalData_1[[#This Row],[Item_key]],GDList,Table_ExternalData_1[[#Headers],[1]])</calculatedColumnFormula>
    </tableColumn>
    <tableColumn id="7" uniqueName="7" name="2" totalsRowFunction="sum" queryTableFieldId="78" dataDxfId="74" totalsRowDxfId="140">
      <calculatedColumnFormula>SUMIFS(GQList,GIList,Table_ExternalData_1[[#This Row],[Item_key]],GDList,Table_ExternalData_1[[#Headers],[2]])</calculatedColumnFormula>
    </tableColumn>
    <tableColumn id="8" uniqueName="8" name="3" totalsRowFunction="sum" queryTableFieldId="79" dataDxfId="73" totalsRowDxfId="139">
      <calculatedColumnFormula>SUMIFS(GQList,GIList,Table_ExternalData_1[[#This Row],[Item_key]],GDList,Table_ExternalData_1[[#Headers],[3]])</calculatedColumnFormula>
    </tableColumn>
    <tableColumn id="9" uniqueName="9" name="4" totalsRowFunction="sum" queryTableFieldId="107" dataDxfId="72" totalsRowDxfId="138">
      <calculatedColumnFormula>SUMIFS(GQList,GIList,Table_ExternalData_1[[#This Row],[Item_key]],GDList,Table_ExternalData_1[[#Headers],[4]])</calculatedColumnFormula>
    </tableColumn>
    <tableColumn id="10" uniqueName="10" name="5" totalsRowFunction="sum" queryTableFieldId="106" dataDxfId="71" totalsRowDxfId="137">
      <calculatedColumnFormula>SUMIFS(GQList,GIList,Table_ExternalData_1[[#This Row],[Item_key]],GDList,Table_ExternalData_1[[#Headers],[5]])</calculatedColumnFormula>
    </tableColumn>
    <tableColumn id="11" uniqueName="11" name="6" queryTableFieldId="105" dataDxfId="70" totalsRowDxfId="136">
      <calculatedColumnFormula>SUMIFS(GQList,GIList,Table_ExternalData_1[[#This Row],[Item_key]],GDList,Table_ExternalData_1[[#Headers],[6]])</calculatedColumnFormula>
    </tableColumn>
    <tableColumn id="12" uniqueName="12" name="7" queryTableFieldId="104" dataDxfId="69" totalsRowDxfId="135">
      <calculatedColumnFormula>SUMIFS(GQList,GIList,Table_ExternalData_1[[#This Row],[Item_key]],GDList,Table_ExternalData_1[[#Headers],[7]])</calculatedColumnFormula>
    </tableColumn>
    <tableColumn id="13" uniqueName="13" name="8" queryTableFieldId="103" dataDxfId="68" totalsRowDxfId="134">
      <calculatedColumnFormula>SUMIFS(GQList,GIList,Table_ExternalData_1[[#This Row],[Item_key]],GDList,Table_ExternalData_1[[#Headers],[8]])</calculatedColumnFormula>
    </tableColumn>
    <tableColumn id="14" uniqueName="14" name="9" queryTableFieldId="102" dataDxfId="67" totalsRowDxfId="133">
      <calculatedColumnFormula>SUMIFS(GQList,GIList,Table_ExternalData_1[[#This Row],[Item_key]],GDList,Table_ExternalData_1[[#Headers],[9]])</calculatedColumnFormula>
    </tableColumn>
    <tableColumn id="15" uniqueName="15" name="10" queryTableFieldId="101" dataDxfId="66" totalsRowDxfId="132">
      <calculatedColumnFormula>SUMIFS(GQList,GIList,Table_ExternalData_1[[#This Row],[Item_key]],GDList,Table_ExternalData_1[[#Headers],[10]])</calculatedColumnFormula>
    </tableColumn>
    <tableColumn id="16" uniqueName="16" name="11" queryTableFieldId="100" dataDxfId="65" totalsRowDxfId="131">
      <calculatedColumnFormula>SUMIFS(GQList,GIList,Table_ExternalData_1[[#This Row],[Item_key]],GDList,Table_ExternalData_1[[#Headers],[11]])</calculatedColumnFormula>
    </tableColumn>
    <tableColumn id="17" uniqueName="17" name="12" queryTableFieldId="99" dataDxfId="64" totalsRowDxfId="130">
      <calculatedColumnFormula>SUMIFS(GQList,GIList,Table_ExternalData_1[[#This Row],[Item_key]],GDList,Table_ExternalData_1[[#Headers],[12]])</calculatedColumnFormula>
    </tableColumn>
    <tableColumn id="18" uniqueName="18" name="13" queryTableFieldId="98" dataDxfId="63" totalsRowDxfId="129">
      <calculatedColumnFormula>SUMIFS(GQList,GIList,Table_ExternalData_1[[#This Row],[Item_key]],GDList,Table_ExternalData_1[[#Headers],[13]])</calculatedColumnFormula>
    </tableColumn>
    <tableColumn id="19" uniqueName="19" name="14" queryTableFieldId="97" dataDxfId="62" totalsRowDxfId="128">
      <calculatedColumnFormula>SUMIFS(GQList,GIList,Table_ExternalData_1[[#This Row],[Item_key]],GDList,Table_ExternalData_1[[#Headers],[14]])</calculatedColumnFormula>
    </tableColumn>
    <tableColumn id="20" uniqueName="20" name="15" queryTableFieldId="96" dataDxfId="61" totalsRowDxfId="127">
      <calculatedColumnFormula>SUMIFS(GQList,GIList,Table_ExternalData_1[[#This Row],[Item_key]],GDList,Table_ExternalData_1[[#Headers],[15]])</calculatedColumnFormula>
    </tableColumn>
    <tableColumn id="21" uniqueName="21" name="16" queryTableFieldId="95" dataDxfId="60" totalsRowDxfId="126">
      <calculatedColumnFormula>SUMIFS(GQList,GIList,Table_ExternalData_1[[#This Row],[Item_key]],GDList,Table_ExternalData_1[[#Headers],[16]])</calculatedColumnFormula>
    </tableColumn>
    <tableColumn id="22" uniqueName="22" name="17" queryTableFieldId="94" dataDxfId="59" totalsRowDxfId="125">
      <calculatedColumnFormula>SUMIFS(GQList,GIList,Table_ExternalData_1[[#This Row],[Item_key]],GDList,Table_ExternalData_1[[#Headers],[17]])</calculatedColumnFormula>
    </tableColumn>
    <tableColumn id="23" uniqueName="23" name="18" queryTableFieldId="93" dataDxfId="58" totalsRowDxfId="124">
      <calculatedColumnFormula>SUMIFS(GQList,GIList,Table_ExternalData_1[[#This Row],[Item_key]],GDList,Table_ExternalData_1[[#Headers],[18]])</calculatedColumnFormula>
    </tableColumn>
    <tableColumn id="24" uniqueName="24" name="19" queryTableFieldId="92" dataDxfId="57" totalsRowDxfId="123">
      <calculatedColumnFormula>SUMIFS(GQList,GIList,Table_ExternalData_1[[#This Row],[Item_key]],GDList,Table_ExternalData_1[[#Headers],[19]])</calculatedColumnFormula>
    </tableColumn>
    <tableColumn id="25" uniqueName="25" name="20" queryTableFieldId="91" dataDxfId="56" totalsRowDxfId="122">
      <calculatedColumnFormula>SUMIFS(GQList,GIList,Table_ExternalData_1[[#This Row],[Item_key]],GDList,Table_ExternalData_1[[#Headers],[20]])</calculatedColumnFormula>
    </tableColumn>
    <tableColumn id="26" uniqueName="26" name="21" queryTableFieldId="90" dataDxfId="55" totalsRowDxfId="121">
      <calculatedColumnFormula>SUMIFS(GQList,GIList,Table_ExternalData_1[[#This Row],[Item_key]],GDList,Table_ExternalData_1[[#Headers],[21]])</calculatedColumnFormula>
    </tableColumn>
    <tableColumn id="27" uniqueName="27" name="22" queryTableFieldId="89" dataDxfId="54" totalsRowDxfId="120">
      <calculatedColumnFormula>SUMIFS(GQList,GIList,Table_ExternalData_1[[#This Row],[Item_key]],GDList,Table_ExternalData_1[[#Headers],[22]])</calculatedColumnFormula>
    </tableColumn>
    <tableColumn id="28" uniqueName="28" name="23" queryTableFieldId="88" dataDxfId="53" totalsRowDxfId="119">
      <calculatedColumnFormula>SUMIFS(GQList,GIList,Table_ExternalData_1[[#This Row],[Item_key]],GDList,Table_ExternalData_1[[#Headers],[23]])</calculatedColumnFormula>
    </tableColumn>
    <tableColumn id="29" uniqueName="29" name="24" queryTableFieldId="87" dataDxfId="52" totalsRowDxfId="118">
      <calculatedColumnFormula>SUMIFS(GQList,GIList,Table_ExternalData_1[[#This Row],[Item_key]],GDList,Table_ExternalData_1[[#Headers],[24]])</calculatedColumnFormula>
    </tableColumn>
    <tableColumn id="30" uniqueName="30" name="25" queryTableFieldId="86" dataDxfId="51" totalsRowDxfId="117">
      <calculatedColumnFormula>SUMIFS(GQList,GIList,Table_ExternalData_1[[#This Row],[Item_key]],GDList,Table_ExternalData_1[[#Headers],[25]])</calculatedColumnFormula>
    </tableColumn>
    <tableColumn id="31" uniqueName="31" name="26" queryTableFieldId="85" dataDxfId="50" totalsRowDxfId="116">
      <calculatedColumnFormula>SUMIFS(GQList,GIList,Table_ExternalData_1[[#This Row],[Item_key]],GDList,Table_ExternalData_1[[#Headers],[26]])</calculatedColumnFormula>
    </tableColumn>
    <tableColumn id="32" uniqueName="32" name="27" queryTableFieldId="84" dataDxfId="49" totalsRowDxfId="115">
      <calculatedColumnFormula>SUMIFS(GQList,GIList,Table_ExternalData_1[[#This Row],[Item_key]],GDList,Table_ExternalData_1[[#Headers],[27]])</calculatedColumnFormula>
    </tableColumn>
    <tableColumn id="33" uniqueName="33" name="28" queryTableFieldId="83" dataDxfId="48" totalsRowDxfId="114">
      <calculatedColumnFormula>SUMIFS(GQList,GIList,Table_ExternalData_1[[#This Row],[Item_key]],GDList,Table_ExternalData_1[[#Headers],[28]])</calculatedColumnFormula>
    </tableColumn>
    <tableColumn id="34" uniqueName="34" name="29" queryTableFieldId="82" dataDxfId="47" totalsRowDxfId="113">
      <calculatedColumnFormula>SUMIFS(GQList,GIList,Table_ExternalData_1[[#This Row],[Item_key]],GDList,Table_ExternalData_1[[#Headers],[29]])</calculatedColumnFormula>
    </tableColumn>
    <tableColumn id="35" uniqueName="35" name="30" queryTableFieldId="81" dataDxfId="46" totalsRowDxfId="112">
      <calculatedColumnFormula>SUMIFS(GQList,GIList,Table_ExternalData_1[[#This Row],[Item_key]],GDList,Table_ExternalData_1[[#Headers],[30]])</calculatedColumnFormula>
    </tableColumn>
    <tableColumn id="36" uniqueName="36" name="31" queryTableFieldId="80" dataDxfId="45" totalsRowDxfId="111">
      <calculatedColumnFormula>SUMIFS(GQList,GIList,Table_ExternalData_1[[#This Row],[Item_key]],GDList,Table_ExternalData_1[[#Headers],[31]])</calculatedColumnFormula>
    </tableColumn>
    <tableColumn id="37" uniqueName="37" name="Total" queryTableFieldId="108" dataDxfId="44" totalsRowDxfId="110">
      <calculatedColumnFormula>SUM(Table_ExternalData_1[[#This Row],[1]:[31]])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3" name="Table_ExternalData_14" displayName="Table_ExternalData_14" ref="A1:D882" tableType="queryTable" totalsRowShown="0">
  <autoFilter ref="A1:D882">
    <filterColumn colId="0">
      <filters>
        <filter val="006-04505"/>
      </filters>
    </filterColumn>
  </autoFilter>
  <tableColumns count="4">
    <tableColumn id="1" uniqueName="1" name="item_key" queryTableFieldId="1"/>
    <tableColumn id="2" uniqueName="2" name="DayNo" queryTableFieldId="2"/>
    <tableColumn id="4" uniqueName="4" name="IType" queryTableFieldId="4"/>
    <tableColumn id="5" uniqueName="5" name="Qty" queryTableField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able_ExternalData_15" displayName="Table_ExternalData_15" ref="A4:AJ398" tableType="queryTable" totalsRowShown="0" headerRowDxfId="109" dataDxfId="108">
  <autoFilter ref="A4:AJ398"/>
  <tableColumns count="36">
    <tableColumn id="1" uniqueName="1" name="item_key" queryTableFieldId="1" dataDxfId="35"/>
    <tableColumn id="2" uniqueName="2" name="itemNo" queryTableFieldId="2" dataDxfId="34"/>
    <tableColumn id="3" uniqueName="3" name="itemName" queryTableFieldId="3" dataDxfId="33"/>
    <tableColumn id="4" uniqueName="4" name="IType" queryTableFieldId="4" dataDxfId="32"/>
    <tableColumn id="5" uniqueName="5" name="1" queryTableFieldId="5" dataDxfId="31">
      <calculatedColumnFormula>SUMIFS(IsQList,IsIList,Table_ExternalData_15[[#This Row],[item_key]],IsITypeList,Table_ExternalData_15[[#This Row],[IType]],IsDList,Table_ExternalData_15[[#Headers],[1]])</calculatedColumnFormula>
    </tableColumn>
    <tableColumn id="6" uniqueName="6" name="2" queryTableFieldId="6" dataDxfId="30">
      <calculatedColumnFormula>SUMIFS(IsQList,IsIList,Table_ExternalData_15[[#This Row],[item_key]],IsITypeList,Table_ExternalData_15[[#This Row],[IType]],IsDList,Table_ExternalData_15[[#Headers],[2]])</calculatedColumnFormula>
    </tableColumn>
    <tableColumn id="7" uniqueName="7" name="3" queryTableFieldId="7" dataDxfId="29">
      <calculatedColumnFormula>SUMIFS(IsQList,IsIList,Table_ExternalData_15[[#This Row],[item_key]],IsITypeList,Table_ExternalData_15[[#This Row],[IType]],IsDList,Table_ExternalData_15[[#Headers],[3]])</calculatedColumnFormula>
    </tableColumn>
    <tableColumn id="8" uniqueName="8" name="4" queryTableFieldId="8" dataDxfId="28">
      <calculatedColumnFormula>SUMIFS(IsQList,IsIList,Table_ExternalData_15[[#This Row],[item_key]],IsITypeList,Table_ExternalData_15[[#This Row],[IType]],IsDList,Table_ExternalData_15[[#Headers],[4]])</calculatedColumnFormula>
    </tableColumn>
    <tableColumn id="9" uniqueName="9" name="5" queryTableFieldId="35" dataDxfId="27">
      <calculatedColumnFormula>SUMIFS(IsQList,IsIList,Table_ExternalData_15[[#This Row],[item_key]],IsITypeList,Table_ExternalData_15[[#This Row],[IType]],IsDList,Table_ExternalData_15[[#Headers],[5]])</calculatedColumnFormula>
    </tableColumn>
    <tableColumn id="10" uniqueName="10" name="6" queryTableFieldId="34" dataDxfId="26">
      <calculatedColumnFormula>SUMIFS(IsQList,IsIList,Table_ExternalData_15[[#This Row],[item_key]],IsITypeList,Table_ExternalData_15[[#This Row],[IType]],IsDList,Table_ExternalData_15[[#Headers],[6]])</calculatedColumnFormula>
    </tableColumn>
    <tableColumn id="11" uniqueName="11" name="7" queryTableFieldId="33" dataDxfId="25">
      <calculatedColumnFormula>SUMIFS(IsQList,IsIList,Table_ExternalData_15[[#This Row],[item_key]],IsITypeList,Table_ExternalData_15[[#This Row],[IType]],IsDList,Table_ExternalData_15[[#Headers],[7]])</calculatedColumnFormula>
    </tableColumn>
    <tableColumn id="12" uniqueName="12" name="8" queryTableFieldId="32" dataDxfId="24">
      <calculatedColumnFormula>SUMIFS(IsQList,IsIList,Table_ExternalData_15[[#This Row],[item_key]],IsITypeList,Table_ExternalData_15[[#This Row],[IType]],IsDList,Table_ExternalData_15[[#Headers],[8]])</calculatedColumnFormula>
    </tableColumn>
    <tableColumn id="13" uniqueName="13" name="9" queryTableFieldId="31" dataDxfId="23">
      <calculatedColumnFormula>SUMIFS(IsQList,IsIList,Table_ExternalData_15[[#This Row],[item_key]],IsITypeList,Table_ExternalData_15[[#This Row],[IType]],IsDList,Table_ExternalData_15[[#Headers],[9]])</calculatedColumnFormula>
    </tableColumn>
    <tableColumn id="14" uniqueName="14" name="10" queryTableFieldId="30" dataDxfId="22">
      <calculatedColumnFormula>SUMIFS(IsQList,IsIList,Table_ExternalData_15[[#This Row],[item_key]],IsITypeList,Table_ExternalData_15[[#This Row],[IType]],IsDList,Table_ExternalData_15[[#Headers],[10]])</calculatedColumnFormula>
    </tableColumn>
    <tableColumn id="15" uniqueName="15" name="11" queryTableFieldId="29" dataDxfId="21">
      <calculatedColumnFormula>SUMIFS(IsQList,IsIList,Table_ExternalData_15[[#This Row],[item_key]],IsITypeList,Table_ExternalData_15[[#This Row],[IType]],IsDList,Table_ExternalData_15[[#Headers],[11]])</calculatedColumnFormula>
    </tableColumn>
    <tableColumn id="16" uniqueName="16" name="12" queryTableFieldId="28" dataDxfId="20">
      <calculatedColumnFormula>SUMIFS(IsQList,IsIList,Table_ExternalData_15[[#This Row],[item_key]],IsITypeList,Table_ExternalData_15[[#This Row],[IType]],IsDList,Table_ExternalData_15[[#Headers],[12]])</calculatedColumnFormula>
    </tableColumn>
    <tableColumn id="17" uniqueName="17" name="13" queryTableFieldId="27" dataDxfId="19">
      <calculatedColumnFormula>SUMIFS(IsQList,IsIList,Table_ExternalData_15[[#This Row],[item_key]],IsITypeList,Table_ExternalData_15[[#This Row],[IType]],IsDList,Table_ExternalData_15[[#Headers],[13]])</calculatedColumnFormula>
    </tableColumn>
    <tableColumn id="18" uniqueName="18" name="14" queryTableFieldId="26" dataDxfId="18">
      <calculatedColumnFormula>SUMIFS(IsQList,IsIList,Table_ExternalData_15[[#This Row],[item_key]],IsITypeList,Table_ExternalData_15[[#This Row],[IType]],IsDList,Table_ExternalData_15[[#Headers],[14]])</calculatedColumnFormula>
    </tableColumn>
    <tableColumn id="19" uniqueName="19" name="15" queryTableFieldId="25" dataDxfId="17">
      <calculatedColumnFormula>SUMIFS(IsQList,IsIList,Table_ExternalData_15[[#This Row],[item_key]],IsITypeList,Table_ExternalData_15[[#This Row],[IType]],IsDList,Table_ExternalData_15[[#Headers],[15]])</calculatedColumnFormula>
    </tableColumn>
    <tableColumn id="20" uniqueName="20" name="16" queryTableFieldId="24" dataDxfId="16">
      <calculatedColumnFormula>SUMIFS(IsQList,IsIList,Table_ExternalData_15[[#This Row],[item_key]],IsITypeList,Table_ExternalData_15[[#This Row],[IType]],IsDList,Table_ExternalData_15[[#Headers],[16]])</calculatedColumnFormula>
    </tableColumn>
    <tableColumn id="21" uniqueName="21" name="17" queryTableFieldId="23" dataDxfId="15">
      <calculatedColumnFormula>SUMIFS(IsQList,IsIList,Table_ExternalData_15[[#This Row],[item_key]],IsITypeList,Table_ExternalData_15[[#This Row],[IType]],IsDList,Table_ExternalData_15[[#Headers],[17]])</calculatedColumnFormula>
    </tableColumn>
    <tableColumn id="22" uniqueName="22" name="18" queryTableFieldId="22" dataDxfId="14">
      <calculatedColumnFormula>SUMIFS(IsQList,IsIList,Table_ExternalData_15[[#This Row],[item_key]],IsITypeList,Table_ExternalData_15[[#This Row],[IType]],IsDList,Table_ExternalData_15[[#Headers],[18]])</calculatedColumnFormula>
    </tableColumn>
    <tableColumn id="23" uniqueName="23" name="19" queryTableFieldId="21" dataDxfId="13">
      <calculatedColumnFormula>SUMIFS(IsQList,IsIList,Table_ExternalData_15[[#This Row],[item_key]],IsITypeList,Table_ExternalData_15[[#This Row],[IType]],IsDList,Table_ExternalData_15[[#Headers],[19]])</calculatedColumnFormula>
    </tableColumn>
    <tableColumn id="24" uniqueName="24" name="20" queryTableFieldId="20" dataDxfId="12">
      <calculatedColumnFormula>SUMIFS(IsQList,IsIList,Table_ExternalData_15[[#This Row],[item_key]],IsITypeList,Table_ExternalData_15[[#This Row],[IType]],IsDList,Table_ExternalData_15[[#Headers],[20]])</calculatedColumnFormula>
    </tableColumn>
    <tableColumn id="25" uniqueName="25" name="21" queryTableFieldId="19" dataDxfId="11">
      <calculatedColumnFormula>SUMIFS(IsQList,IsIList,Table_ExternalData_15[[#This Row],[item_key]],IsITypeList,Table_ExternalData_15[[#This Row],[IType]],IsDList,Table_ExternalData_15[[#Headers],[21]])</calculatedColumnFormula>
    </tableColumn>
    <tableColumn id="26" uniqueName="26" name="22" queryTableFieldId="18" dataDxfId="10">
      <calculatedColumnFormula>SUMIFS(IsQList,IsIList,Table_ExternalData_15[[#This Row],[item_key]],IsITypeList,Table_ExternalData_15[[#This Row],[IType]],IsDList,Table_ExternalData_15[[#Headers],[22]])</calculatedColumnFormula>
    </tableColumn>
    <tableColumn id="27" uniqueName="27" name="23" queryTableFieldId="17" dataDxfId="9">
      <calculatedColumnFormula>SUMIFS(IsQList,IsIList,Table_ExternalData_15[[#This Row],[item_key]],IsITypeList,Table_ExternalData_15[[#This Row],[IType]],IsDList,Table_ExternalData_15[[#Headers],[23]])</calculatedColumnFormula>
    </tableColumn>
    <tableColumn id="28" uniqueName="28" name="24" queryTableFieldId="16" dataDxfId="8">
      <calculatedColumnFormula>SUMIFS(IsQList,IsIList,Table_ExternalData_15[[#This Row],[item_key]],IsITypeList,Table_ExternalData_15[[#This Row],[IType]],IsDList,Table_ExternalData_15[[#Headers],[24]])</calculatedColumnFormula>
    </tableColumn>
    <tableColumn id="29" uniqueName="29" name="25" queryTableFieldId="15" dataDxfId="7">
      <calculatedColumnFormula>SUMIFS(IsQList,IsIList,Table_ExternalData_15[[#This Row],[item_key]],IsITypeList,Table_ExternalData_15[[#This Row],[IType]],IsDList,Table_ExternalData_15[[#Headers],[25]])</calculatedColumnFormula>
    </tableColumn>
    <tableColumn id="30" uniqueName="30" name="26" queryTableFieldId="14" dataDxfId="6">
      <calculatedColumnFormula>SUMIFS(IsQList,IsIList,Table_ExternalData_15[[#This Row],[item_key]],IsITypeList,Table_ExternalData_15[[#This Row],[IType]],IsDList,Table_ExternalData_15[[#Headers],[26]])</calculatedColumnFormula>
    </tableColumn>
    <tableColumn id="31" uniqueName="31" name="27" queryTableFieldId="13" dataDxfId="5">
      <calculatedColumnFormula>SUMIFS(IsQList,IsIList,Table_ExternalData_15[[#This Row],[item_key]],IsITypeList,Table_ExternalData_15[[#This Row],[IType]],IsDList,Table_ExternalData_15[[#Headers],[27]])</calculatedColumnFormula>
    </tableColumn>
    <tableColumn id="32" uniqueName="32" name="28" queryTableFieldId="12" dataDxfId="4">
      <calculatedColumnFormula>SUMIFS(IsQList,IsIList,Table_ExternalData_15[[#This Row],[item_key]],IsITypeList,Table_ExternalData_15[[#This Row],[IType]],IsDList,Table_ExternalData_15[[#Headers],[28]])</calculatedColumnFormula>
    </tableColumn>
    <tableColumn id="33" uniqueName="33" name="29" queryTableFieldId="11" dataDxfId="3">
      <calculatedColumnFormula>SUMIFS(IsQList,IsIList,Table_ExternalData_15[[#This Row],[item_key]],IsITypeList,Table_ExternalData_15[[#This Row],[IType]],IsDList,Table_ExternalData_15[[#Headers],[29]])</calculatedColumnFormula>
    </tableColumn>
    <tableColumn id="34" uniqueName="34" name="30" queryTableFieldId="10" dataDxfId="2">
      <calculatedColumnFormula>SUMIFS(IsQList,IsIList,Table_ExternalData_15[[#This Row],[item_key]],IsITypeList,Table_ExternalData_15[[#This Row],[IType]],IsDList,Table_ExternalData_15[[#Headers],[30]])</calculatedColumnFormula>
    </tableColumn>
    <tableColumn id="35" uniqueName="35" name="31" queryTableFieldId="9" dataDxfId="1">
      <calculatedColumnFormula>SUMIFS(IsQList,IsIList,Table_ExternalData_15[[#This Row],[item_key]],IsITypeList,Table_ExternalData_15[[#This Row],[IType]],IsDList,Table_ExternalData_15[[#Headers],[31]])</calculatedColumnFormula>
    </tableColumn>
    <tableColumn id="36" uniqueName="36" name="Total" queryTableFieldId="36" dataDxfId="0">
      <calculatedColumnFormula>SUM(Table_ExternalData_15[[#This Row],[1]:[31]])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6" name="Table_ExternalData_17" displayName="Table_ExternalData_17" ref="A4:Q486" tableType="queryTable" totalsRowShown="0" headerRowDxfId="107" dataDxfId="106">
  <autoFilter ref="A4:Q486"/>
  <tableColumns count="17">
    <tableColumn id="1" uniqueName="1" name="item_key" queryTableFieldId="1" dataDxfId="105"/>
    <tableColumn id="2" uniqueName="2" name="itemNo" queryTableFieldId="2" dataDxfId="104"/>
    <tableColumn id="3" uniqueName="3" name="itemName" queryTableFieldId="3" dataDxfId="103"/>
    <tableColumn id="14" uniqueName="14" name="Opening" queryTableFieldId="14" dataDxfId="102">
      <calculatedColumnFormula>SUMIFS(OPBQList,OPBIList,Table_ExternalData_17[[#This Row],[item_key]])+SUMIFS(GQList,GIList,Table_ExternalData_17[[#This Row],[item_key]],GDList,0)-ABS(SUMIFS(IsQList,IsIList,Table_ExternalData_17[[#This Row],[item_key]],IsDList,0))</calculatedColumnFormula>
    </tableColumn>
    <tableColumn id="4" uniqueName="4" name="GRN" queryTableFieldId="4" dataDxfId="101">
      <calculatedColumnFormula>SUMIFS(GQList,GIList,Table_ExternalData_17[[#This Row],[item_key]],GTList,Table_ExternalData_17[[#Headers],[GRN]],GDList,"&lt;&gt;"&amp;0)</calculatedColumnFormula>
    </tableColumn>
    <tableColumn id="5" uniqueName="5" name="VSTR" queryTableFieldId="5" dataDxfId="100">
      <calculatedColumnFormula>SUMIFS(GQList,GIList,Table_ExternalData_17[[#This Row],[item_key]],GTList,Table_ExternalData_17[[#Headers],[VSTR]],GDList,"&lt;&gt;"&amp;0)</calculatedColumnFormula>
    </tableColumn>
    <tableColumn id="6" uniqueName="6" name="SR" queryTableFieldId="6" dataDxfId="99">
      <calculatedColumnFormula>SUMIFS(GQList,GIList,Table_ExternalData_17[[#This Row],[item_key]],GTList,Table_ExternalData_17[[#Headers],[SR]],GDList,"&lt;&gt;"&amp;0)</calculatedColumnFormula>
    </tableColumn>
    <tableColumn id="7" uniqueName="7" name="TR" queryTableFieldId="7" dataDxfId="98">
      <calculatedColumnFormula>SUMIFS(GQList,GIList,Table_ExternalData_17[[#This Row],[item_key]],GTList,Table_ExternalData_17[[#Headers],[TR]],GDList,"&lt;&gt;"&amp;0)</calculatedColumnFormula>
    </tableColumn>
    <tableColumn id="8" uniqueName="8" name="RCA" queryTableFieldId="8" dataDxfId="97">
      <calculatedColumnFormula>SUMIFS(GQList,GIList,Table_ExternalData_17[[#This Row],[item_key]],GTList,Table_ExternalData_17[[#Headers],[RCA]],GDList,"&lt;&gt;"&amp;0)</calculatedColumnFormula>
    </tableColumn>
    <tableColumn id="16" uniqueName="16" name="Total Receipt" queryTableFieldId="16" dataDxfId="96">
      <calculatedColumnFormula>SUM(Table_ExternalData_17[[#This Row],[GRN]]+Table_ExternalData_17[[#This Row],[VSTR]]+Table_ExternalData_17[[#This Row],[SR]]+Table_ExternalData_17[[#This Row],[TR]]+Table_ExternalData_17[[#This Row],[RCA]])</calculatedColumnFormula>
    </tableColumn>
    <tableColumn id="9" uniqueName="9" name="R/P" queryTableFieldId="9" dataDxfId="95">
      <calculatedColumnFormula>SUMIFS(IsQList,IsIList,Table_ExternalData_17[[#This Row],[item_key]],IsITypeList,Table_ExternalData_17[[#Headers],[R/P]],IsDList,"&lt;&gt;"&amp;0)</calculatedColumnFormula>
    </tableColumn>
    <tableColumn id="10" uniqueName="10" name="CST" queryTableFieldId="10" dataDxfId="94">
      <calculatedColumnFormula>SUMIFS(IsQList,IsIList,Table_ExternalData_17[[#This Row],[item_key]],IsITypeList,Table_ExternalData_17[[#Headers],[CST]],IsDList,"&lt;&gt;"&amp;0)</calculatedColumnFormula>
    </tableColumn>
    <tableColumn id="11" uniqueName="11" name="S/I" queryTableFieldId="11" dataDxfId="93">
      <calculatedColumnFormula>SUMIFS(IsQList,IsIList,Table_ExternalData_15[[#This Row],[item_key]],IsITypeList,Table_ExternalData_17[[#Headers],[S/I]],IsDList,"&lt;&gt;"&amp;0)</calculatedColumnFormula>
    </tableColumn>
    <tableColumn id="12" uniqueName="12" name="VST" queryTableFieldId="12" dataDxfId="92">
      <calculatedColumnFormula>SUMIFS(IsQList,IsIList,Table_ExternalData_15[[#This Row],[item_key]],IsITypeList,Table_ExternalData_17[[#Headers],[VST]],IsDList,"&lt;&gt;"&amp;0)</calculatedColumnFormula>
    </tableColumn>
    <tableColumn id="13" uniqueName="13" name="RTN" queryTableFieldId="13" dataDxfId="91">
      <calculatedColumnFormula>ABS(SUMIFS(IsQList,IsIList,Table_ExternalData_17[[#This Row],[item_key]],IsITypeList,Table_ExternalData_17[[#Headers],[RTN]],IsDList,"&lt;&gt;"&amp;0))</calculatedColumnFormula>
    </tableColumn>
    <tableColumn id="17" uniqueName="17" name="Total Issue" queryTableFieldId="17" dataDxfId="90">
      <calculatedColumnFormula>SUM(Table_ExternalData_17[[#This Row],[R/P]:[RTN]])</calculatedColumnFormula>
    </tableColumn>
    <tableColumn id="15" uniqueName="15" name="Closing Balance" queryTableFieldId="15" dataDxfId="89">
      <calculatedColumnFormula>SUM((Table_ExternalData_17[[#This Row],[Opening]]+Table_ExternalData_17[[#This Row],[Total Receipt]])-ABS(Table_ExternalData_17[[#This Row],[Total Issue]]))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5" name="Table_ExternalData_16" displayName="Table_ExternalData_16" ref="A1:B1728" tableType="queryTable" totalsRowShown="0">
  <autoFilter ref="A1:B1728"/>
  <tableColumns count="2">
    <tableColumn id="1" uniqueName="1" name="item_key" queryTableFieldId="1"/>
    <tableColumn id="2" uniqueName="2" name="OpQty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37"/>
  <sheetViews>
    <sheetView workbookViewId="0">
      <selection activeCell="B7" sqref="B7"/>
    </sheetView>
  </sheetViews>
  <sheetFormatPr defaultRowHeight="15"/>
  <cols>
    <col min="1" max="1" width="10.7109375" customWidth="1"/>
    <col min="3" max="3" width="11.5703125" bestFit="1" customWidth="1"/>
    <col min="4" max="4" width="6.42578125" customWidth="1"/>
    <col min="5" max="5" width="8.7109375" bestFit="1" customWidth="1"/>
    <col min="6" max="6" width="10.85546875" bestFit="1" customWidth="1"/>
    <col min="7" max="7" width="10" bestFit="1" customWidth="1"/>
  </cols>
  <sheetData>
    <row r="1" spans="1:5">
      <c r="A1" t="s">
        <v>0</v>
      </c>
      <c r="B1" t="s">
        <v>1</v>
      </c>
      <c r="C1" t="s">
        <v>2</v>
      </c>
      <c r="D1" t="s">
        <v>15</v>
      </c>
      <c r="E1" t="s">
        <v>16</v>
      </c>
    </row>
    <row r="2" spans="1:5">
      <c r="A2" t="s">
        <v>1184</v>
      </c>
      <c r="B2">
        <v>3</v>
      </c>
      <c r="C2" t="s">
        <v>1773</v>
      </c>
      <c r="D2">
        <v>100</v>
      </c>
      <c r="E2" t="s">
        <v>17</v>
      </c>
    </row>
    <row r="3" spans="1:5">
      <c r="A3" t="s">
        <v>2339</v>
      </c>
      <c r="B3">
        <v>3</v>
      </c>
      <c r="C3" t="s">
        <v>718</v>
      </c>
      <c r="D3">
        <v>100</v>
      </c>
      <c r="E3" t="s">
        <v>17</v>
      </c>
    </row>
    <row r="4" spans="1:5">
      <c r="A4" t="s">
        <v>1184</v>
      </c>
      <c r="B4">
        <v>3</v>
      </c>
      <c r="C4" t="s">
        <v>758</v>
      </c>
      <c r="D4">
        <v>50</v>
      </c>
      <c r="E4" t="s">
        <v>17</v>
      </c>
    </row>
    <row r="5" spans="1:5">
      <c r="A5" t="s">
        <v>2341</v>
      </c>
      <c r="B5">
        <v>3</v>
      </c>
      <c r="C5" t="s">
        <v>1841</v>
      </c>
      <c r="D5">
        <v>6024</v>
      </c>
      <c r="E5" t="s">
        <v>17</v>
      </c>
    </row>
    <row r="6" spans="1:5">
      <c r="A6" t="s">
        <v>2341</v>
      </c>
      <c r="B6">
        <v>3</v>
      </c>
      <c r="C6" t="s">
        <v>1180</v>
      </c>
      <c r="D6">
        <v>9240</v>
      </c>
      <c r="E6" t="s">
        <v>17</v>
      </c>
    </row>
    <row r="7" spans="1:5">
      <c r="A7" t="s">
        <v>2341</v>
      </c>
      <c r="B7">
        <v>3</v>
      </c>
      <c r="C7" t="s">
        <v>1181</v>
      </c>
      <c r="D7">
        <v>6000</v>
      </c>
      <c r="E7" t="s">
        <v>17</v>
      </c>
    </row>
    <row r="8" spans="1:5">
      <c r="A8" t="s">
        <v>2341</v>
      </c>
      <c r="B8">
        <v>3</v>
      </c>
      <c r="C8" t="s">
        <v>1182</v>
      </c>
      <c r="D8">
        <v>2760</v>
      </c>
      <c r="E8" t="s">
        <v>17</v>
      </c>
    </row>
    <row r="9" spans="1:5">
      <c r="A9" t="s">
        <v>173</v>
      </c>
      <c r="B9">
        <v>4</v>
      </c>
      <c r="C9" t="s">
        <v>432</v>
      </c>
      <c r="D9">
        <v>50</v>
      </c>
      <c r="E9" t="s">
        <v>17</v>
      </c>
    </row>
    <row r="10" spans="1:5">
      <c r="A10" t="s">
        <v>2339</v>
      </c>
      <c r="B10">
        <v>4</v>
      </c>
      <c r="C10" t="s">
        <v>1173</v>
      </c>
      <c r="D10">
        <v>53</v>
      </c>
      <c r="E10" t="s">
        <v>17</v>
      </c>
    </row>
    <row r="11" spans="1:5">
      <c r="A11" t="s">
        <v>1193</v>
      </c>
      <c r="B11">
        <v>6</v>
      </c>
      <c r="C11" t="s">
        <v>312</v>
      </c>
      <c r="D11">
        <v>100</v>
      </c>
      <c r="E11" t="s">
        <v>17</v>
      </c>
    </row>
    <row r="12" spans="1:5">
      <c r="A12" t="s">
        <v>1193</v>
      </c>
      <c r="B12">
        <v>6</v>
      </c>
      <c r="C12" t="s">
        <v>330</v>
      </c>
      <c r="D12">
        <v>600</v>
      </c>
      <c r="E12" t="s">
        <v>17</v>
      </c>
    </row>
    <row r="13" spans="1:5">
      <c r="A13" t="s">
        <v>1193</v>
      </c>
      <c r="B13">
        <v>6</v>
      </c>
      <c r="C13" t="s">
        <v>1707</v>
      </c>
      <c r="D13">
        <v>300</v>
      </c>
      <c r="E13" t="s">
        <v>17</v>
      </c>
    </row>
    <row r="14" spans="1:5">
      <c r="A14" t="s">
        <v>1193</v>
      </c>
      <c r="B14">
        <v>6</v>
      </c>
      <c r="C14" t="s">
        <v>533</v>
      </c>
      <c r="D14">
        <v>500</v>
      </c>
      <c r="E14" t="s">
        <v>17</v>
      </c>
    </row>
    <row r="15" spans="1:5">
      <c r="A15" t="s">
        <v>1193</v>
      </c>
      <c r="B15">
        <v>6</v>
      </c>
      <c r="C15" t="s">
        <v>534</v>
      </c>
      <c r="D15">
        <v>200</v>
      </c>
      <c r="E15" t="s">
        <v>17</v>
      </c>
    </row>
    <row r="16" spans="1:5">
      <c r="A16" t="s">
        <v>1193</v>
      </c>
      <c r="B16">
        <v>6</v>
      </c>
      <c r="C16" t="s">
        <v>2062</v>
      </c>
      <c r="D16">
        <v>50</v>
      </c>
      <c r="E16" t="s">
        <v>17</v>
      </c>
    </row>
    <row r="17" spans="1:5">
      <c r="A17" t="s">
        <v>2340</v>
      </c>
      <c r="B17">
        <v>8</v>
      </c>
      <c r="C17" t="s">
        <v>1750</v>
      </c>
      <c r="D17">
        <v>50</v>
      </c>
      <c r="E17" t="s">
        <v>17</v>
      </c>
    </row>
    <row r="18" spans="1:5">
      <c r="A18" t="s">
        <v>1597</v>
      </c>
      <c r="B18">
        <v>8</v>
      </c>
      <c r="C18" t="s">
        <v>1763</v>
      </c>
      <c r="D18">
        <v>100</v>
      </c>
      <c r="E18" t="s">
        <v>17</v>
      </c>
    </row>
    <row r="19" spans="1:5">
      <c r="A19" t="s">
        <v>1597</v>
      </c>
      <c r="B19">
        <v>8</v>
      </c>
      <c r="C19" t="s">
        <v>702</v>
      </c>
      <c r="D19">
        <v>200</v>
      </c>
      <c r="E19" t="s">
        <v>17</v>
      </c>
    </row>
    <row r="20" spans="1:5">
      <c r="A20" t="s">
        <v>1597</v>
      </c>
      <c r="B20">
        <v>8</v>
      </c>
      <c r="C20" t="s">
        <v>709</v>
      </c>
      <c r="D20">
        <v>200</v>
      </c>
      <c r="E20" t="s">
        <v>17</v>
      </c>
    </row>
    <row r="21" spans="1:5">
      <c r="A21" t="s">
        <v>1597</v>
      </c>
      <c r="B21">
        <v>8</v>
      </c>
      <c r="C21" t="s">
        <v>760</v>
      </c>
      <c r="D21">
        <v>100</v>
      </c>
      <c r="E21" t="s">
        <v>17</v>
      </c>
    </row>
    <row r="22" spans="1:5">
      <c r="A22" t="s">
        <v>2342</v>
      </c>
      <c r="B22">
        <v>8</v>
      </c>
      <c r="C22" t="s">
        <v>953</v>
      </c>
      <c r="D22">
        <v>6000</v>
      </c>
      <c r="E22" t="s">
        <v>17</v>
      </c>
    </row>
    <row r="23" spans="1:5">
      <c r="A23" t="s">
        <v>1186</v>
      </c>
      <c r="B23">
        <v>8</v>
      </c>
      <c r="C23" t="s">
        <v>1029</v>
      </c>
      <c r="D23">
        <v>1</v>
      </c>
      <c r="E23" t="s">
        <v>17</v>
      </c>
    </row>
    <row r="24" spans="1:5">
      <c r="A24" t="s">
        <v>1184</v>
      </c>
      <c r="B24">
        <v>9</v>
      </c>
      <c r="C24" t="s">
        <v>364</v>
      </c>
      <c r="D24">
        <v>250</v>
      </c>
      <c r="E24" t="s">
        <v>17</v>
      </c>
    </row>
    <row r="25" spans="1:5">
      <c r="A25" t="s">
        <v>1192</v>
      </c>
      <c r="B25">
        <v>9</v>
      </c>
      <c r="C25" t="s">
        <v>456</v>
      </c>
      <c r="D25">
        <v>14</v>
      </c>
      <c r="E25" t="s">
        <v>17</v>
      </c>
    </row>
    <row r="26" spans="1:5">
      <c r="A26" t="s">
        <v>1184</v>
      </c>
      <c r="B26">
        <v>9</v>
      </c>
      <c r="C26" t="s">
        <v>1773</v>
      </c>
      <c r="D26">
        <v>200</v>
      </c>
      <c r="E26" t="s">
        <v>17</v>
      </c>
    </row>
    <row r="27" spans="1:5">
      <c r="A27" t="s">
        <v>1184</v>
      </c>
      <c r="B27">
        <v>9</v>
      </c>
      <c r="C27" t="s">
        <v>1846</v>
      </c>
      <c r="D27">
        <v>500</v>
      </c>
      <c r="E27" t="s">
        <v>17</v>
      </c>
    </row>
    <row r="28" spans="1:5">
      <c r="A28" t="s">
        <v>2341</v>
      </c>
      <c r="B28">
        <v>9</v>
      </c>
      <c r="C28" t="s">
        <v>1181</v>
      </c>
      <c r="D28">
        <v>3936</v>
      </c>
      <c r="E28" t="s">
        <v>17</v>
      </c>
    </row>
    <row r="29" spans="1:5">
      <c r="A29" t="s">
        <v>2339</v>
      </c>
      <c r="B29">
        <v>10</v>
      </c>
      <c r="C29" t="s">
        <v>1653</v>
      </c>
      <c r="D29">
        <v>97</v>
      </c>
      <c r="E29" t="s">
        <v>17</v>
      </c>
    </row>
    <row r="30" spans="1:5">
      <c r="A30" t="s">
        <v>2339</v>
      </c>
      <c r="B30">
        <v>10</v>
      </c>
      <c r="C30" t="s">
        <v>242</v>
      </c>
      <c r="D30">
        <v>99</v>
      </c>
      <c r="E30" t="s">
        <v>17</v>
      </c>
    </row>
    <row r="31" spans="1:5">
      <c r="A31" t="s">
        <v>1189</v>
      </c>
      <c r="B31">
        <v>10</v>
      </c>
      <c r="C31" t="s">
        <v>371</v>
      </c>
      <c r="D31">
        <v>200</v>
      </c>
      <c r="E31" t="s">
        <v>17</v>
      </c>
    </row>
    <row r="32" spans="1:5">
      <c r="A32" t="s">
        <v>1191</v>
      </c>
      <c r="B32">
        <v>10</v>
      </c>
      <c r="C32" t="s">
        <v>408</v>
      </c>
      <c r="D32">
        <v>450</v>
      </c>
      <c r="E32" t="s">
        <v>17</v>
      </c>
    </row>
    <row r="33" spans="1:5">
      <c r="A33" t="s">
        <v>1189</v>
      </c>
      <c r="B33">
        <v>10</v>
      </c>
      <c r="C33" t="s">
        <v>425</v>
      </c>
      <c r="D33">
        <v>500</v>
      </c>
      <c r="E33" t="s">
        <v>17</v>
      </c>
    </row>
    <row r="34" spans="1:5">
      <c r="A34" t="s">
        <v>2339</v>
      </c>
      <c r="B34">
        <v>10</v>
      </c>
      <c r="C34" t="s">
        <v>657</v>
      </c>
      <c r="D34">
        <v>200</v>
      </c>
      <c r="E34" t="s">
        <v>17</v>
      </c>
    </row>
    <row r="35" spans="1:5">
      <c r="A35" t="s">
        <v>2339</v>
      </c>
      <c r="B35">
        <v>10</v>
      </c>
      <c r="C35" t="s">
        <v>718</v>
      </c>
      <c r="D35">
        <v>92</v>
      </c>
      <c r="E35" t="s">
        <v>17</v>
      </c>
    </row>
    <row r="36" spans="1:5">
      <c r="A36" t="s">
        <v>2339</v>
      </c>
      <c r="B36">
        <v>10</v>
      </c>
      <c r="C36" t="s">
        <v>729</v>
      </c>
      <c r="D36">
        <v>183</v>
      </c>
      <c r="E36" t="s">
        <v>17</v>
      </c>
    </row>
    <row r="37" spans="1:5">
      <c r="A37" t="s">
        <v>2339</v>
      </c>
      <c r="B37">
        <v>10</v>
      </c>
      <c r="C37" t="s">
        <v>1821</v>
      </c>
      <c r="D37">
        <v>20</v>
      </c>
      <c r="E37" t="s">
        <v>17</v>
      </c>
    </row>
    <row r="38" spans="1:5">
      <c r="A38" t="s">
        <v>2339</v>
      </c>
      <c r="B38">
        <v>10</v>
      </c>
      <c r="C38" t="s">
        <v>745</v>
      </c>
      <c r="D38">
        <v>150</v>
      </c>
      <c r="E38" t="s">
        <v>17</v>
      </c>
    </row>
    <row r="39" spans="1:5">
      <c r="A39" t="s">
        <v>1191</v>
      </c>
      <c r="B39">
        <v>10</v>
      </c>
      <c r="C39" t="s">
        <v>750</v>
      </c>
      <c r="D39">
        <v>300</v>
      </c>
      <c r="E39" t="s">
        <v>17</v>
      </c>
    </row>
    <row r="40" spans="1:5">
      <c r="A40" t="s">
        <v>2341</v>
      </c>
      <c r="B40">
        <v>10</v>
      </c>
      <c r="C40" t="s">
        <v>1841</v>
      </c>
      <c r="D40">
        <v>4800</v>
      </c>
      <c r="E40" t="s">
        <v>17</v>
      </c>
    </row>
    <row r="41" spans="1:5">
      <c r="A41" t="s">
        <v>2339</v>
      </c>
      <c r="B41">
        <v>10</v>
      </c>
      <c r="C41" t="s">
        <v>797</v>
      </c>
      <c r="D41">
        <v>115</v>
      </c>
      <c r="E41" t="s">
        <v>17</v>
      </c>
    </row>
    <row r="42" spans="1:5">
      <c r="A42" t="s">
        <v>1189</v>
      </c>
      <c r="B42">
        <v>10</v>
      </c>
      <c r="C42" t="s">
        <v>2009</v>
      </c>
      <c r="D42">
        <v>1000</v>
      </c>
      <c r="E42" t="s">
        <v>17</v>
      </c>
    </row>
    <row r="43" spans="1:5">
      <c r="A43" t="s">
        <v>2339</v>
      </c>
      <c r="B43">
        <v>10</v>
      </c>
      <c r="C43" t="s">
        <v>2056</v>
      </c>
      <c r="D43">
        <v>100</v>
      </c>
      <c r="E43" t="s">
        <v>17</v>
      </c>
    </row>
    <row r="44" spans="1:5">
      <c r="A44" s="42" t="s">
        <v>1191</v>
      </c>
      <c r="B44" s="42">
        <v>10</v>
      </c>
      <c r="C44" s="42" t="s">
        <v>946</v>
      </c>
      <c r="D44" s="42">
        <v>100</v>
      </c>
      <c r="E44" s="42" t="s">
        <v>17</v>
      </c>
    </row>
    <row r="45" spans="1:5">
      <c r="A45" s="42" t="s">
        <v>1191</v>
      </c>
      <c r="B45" s="42">
        <v>10</v>
      </c>
      <c r="C45" s="42" t="s">
        <v>947</v>
      </c>
      <c r="D45" s="42">
        <v>100</v>
      </c>
      <c r="E45" s="42" t="s">
        <v>17</v>
      </c>
    </row>
    <row r="46" spans="1:5">
      <c r="A46" s="42" t="s">
        <v>2339</v>
      </c>
      <c r="B46" s="42">
        <v>10</v>
      </c>
      <c r="C46" s="42" t="s">
        <v>1136</v>
      </c>
      <c r="D46" s="42">
        <v>10</v>
      </c>
      <c r="E46" s="42" t="s">
        <v>17</v>
      </c>
    </row>
    <row r="47" spans="1:5">
      <c r="A47" s="42" t="s">
        <v>2339</v>
      </c>
      <c r="B47" s="42">
        <v>10</v>
      </c>
      <c r="C47" s="42" t="s">
        <v>1137</v>
      </c>
      <c r="D47" s="42">
        <v>10</v>
      </c>
      <c r="E47" s="42" t="s">
        <v>17</v>
      </c>
    </row>
    <row r="48" spans="1:5">
      <c r="A48" s="42" t="s">
        <v>2339</v>
      </c>
      <c r="B48" s="42">
        <v>10</v>
      </c>
      <c r="C48" s="42" t="s">
        <v>1141</v>
      </c>
      <c r="D48" s="42">
        <v>6</v>
      </c>
      <c r="E48" s="42" t="s">
        <v>17</v>
      </c>
    </row>
    <row r="49" spans="1:5">
      <c r="A49" s="42" t="s">
        <v>2339</v>
      </c>
      <c r="B49" s="42">
        <v>10</v>
      </c>
      <c r="C49" s="42" t="s">
        <v>1142</v>
      </c>
      <c r="D49" s="42">
        <v>6</v>
      </c>
      <c r="E49" s="42" t="s">
        <v>17</v>
      </c>
    </row>
    <row r="50" spans="1:5">
      <c r="A50" s="42" t="s">
        <v>2339</v>
      </c>
      <c r="B50" s="42">
        <v>10</v>
      </c>
      <c r="C50" s="42" t="s">
        <v>1164</v>
      </c>
      <c r="D50" s="42">
        <v>38</v>
      </c>
      <c r="E50" s="42" t="s">
        <v>17</v>
      </c>
    </row>
    <row r="51" spans="1:5">
      <c r="A51" s="42" t="s">
        <v>2339</v>
      </c>
      <c r="B51" s="42">
        <v>10</v>
      </c>
      <c r="C51" s="42" t="s">
        <v>1165</v>
      </c>
      <c r="D51" s="42">
        <v>38</v>
      </c>
      <c r="E51" s="42" t="s">
        <v>17</v>
      </c>
    </row>
    <row r="52" spans="1:5">
      <c r="A52" s="42" t="s">
        <v>2341</v>
      </c>
      <c r="B52" s="42">
        <v>10</v>
      </c>
      <c r="C52" s="42" t="s">
        <v>1180</v>
      </c>
      <c r="D52" s="42">
        <v>7200</v>
      </c>
      <c r="E52" s="42" t="s">
        <v>17</v>
      </c>
    </row>
    <row r="53" spans="1:5">
      <c r="A53" s="42" t="s">
        <v>2341</v>
      </c>
      <c r="B53" s="42">
        <v>10</v>
      </c>
      <c r="C53" s="42" t="s">
        <v>1182</v>
      </c>
      <c r="D53" s="42">
        <v>600</v>
      </c>
      <c r="E53" s="42" t="s">
        <v>17</v>
      </c>
    </row>
    <row r="54" spans="1:5">
      <c r="A54" s="42" t="s">
        <v>2339</v>
      </c>
      <c r="B54" s="42">
        <v>11</v>
      </c>
      <c r="C54" s="42" t="s">
        <v>1633</v>
      </c>
      <c r="D54" s="42">
        <v>50</v>
      </c>
      <c r="E54" s="42" t="s">
        <v>17</v>
      </c>
    </row>
    <row r="55" spans="1:5">
      <c r="A55" s="42" t="s">
        <v>2339</v>
      </c>
      <c r="B55" s="42">
        <v>11</v>
      </c>
      <c r="C55" s="42" t="s">
        <v>1719</v>
      </c>
      <c r="D55" s="42">
        <v>50</v>
      </c>
      <c r="E55" s="42" t="s">
        <v>17</v>
      </c>
    </row>
    <row r="56" spans="1:5">
      <c r="A56" s="42" t="s">
        <v>174</v>
      </c>
      <c r="B56" s="42">
        <v>11</v>
      </c>
      <c r="C56" s="42" t="s">
        <v>653</v>
      </c>
      <c r="D56" s="42">
        <v>50</v>
      </c>
      <c r="E56" s="42" t="s">
        <v>17</v>
      </c>
    </row>
    <row r="57" spans="1:5">
      <c r="A57" s="42" t="s">
        <v>2339</v>
      </c>
      <c r="B57" s="42">
        <v>11</v>
      </c>
      <c r="C57" s="42" t="s">
        <v>718</v>
      </c>
      <c r="D57" s="42">
        <v>58</v>
      </c>
      <c r="E57" s="42" t="s">
        <v>17</v>
      </c>
    </row>
    <row r="58" spans="1:5">
      <c r="A58" s="42" t="s">
        <v>2339</v>
      </c>
      <c r="B58" s="42">
        <v>11</v>
      </c>
      <c r="C58" s="42" t="s">
        <v>729</v>
      </c>
      <c r="D58" s="42">
        <v>14</v>
      </c>
      <c r="E58" s="42" t="s">
        <v>17</v>
      </c>
    </row>
    <row r="59" spans="1:5">
      <c r="A59" s="42" t="s">
        <v>2339</v>
      </c>
      <c r="B59" s="42">
        <v>11</v>
      </c>
      <c r="C59" s="42" t="s">
        <v>745</v>
      </c>
      <c r="D59" s="42">
        <v>10</v>
      </c>
      <c r="E59" s="42" t="s">
        <v>17</v>
      </c>
    </row>
    <row r="60" spans="1:5">
      <c r="A60" s="42" t="s">
        <v>1184</v>
      </c>
      <c r="B60" s="42">
        <v>11</v>
      </c>
      <c r="C60" s="42" t="s">
        <v>758</v>
      </c>
      <c r="D60" s="42">
        <v>50</v>
      </c>
      <c r="E60" s="42" t="s">
        <v>17</v>
      </c>
    </row>
    <row r="61" spans="1:5">
      <c r="A61" s="42" t="s">
        <v>2339</v>
      </c>
      <c r="B61" s="42">
        <v>11</v>
      </c>
      <c r="C61" s="42" t="s">
        <v>813</v>
      </c>
      <c r="D61" s="42">
        <v>6</v>
      </c>
      <c r="E61" s="42" t="s">
        <v>17</v>
      </c>
    </row>
    <row r="62" spans="1:5">
      <c r="A62" s="42" t="s">
        <v>2342</v>
      </c>
      <c r="B62" s="42">
        <v>11</v>
      </c>
      <c r="C62" s="42" t="s">
        <v>953</v>
      </c>
      <c r="D62" s="42">
        <v>6000</v>
      </c>
      <c r="E62" s="42" t="s">
        <v>17</v>
      </c>
    </row>
    <row r="63" spans="1:5">
      <c r="A63" s="42" t="s">
        <v>2339</v>
      </c>
      <c r="B63" s="42">
        <v>11</v>
      </c>
      <c r="C63" s="42" t="s">
        <v>1135</v>
      </c>
      <c r="D63" s="42">
        <v>10</v>
      </c>
      <c r="E63" s="42" t="s">
        <v>17</v>
      </c>
    </row>
    <row r="64" spans="1:5">
      <c r="A64" s="42" t="s">
        <v>2339</v>
      </c>
      <c r="B64" s="42">
        <v>11</v>
      </c>
      <c r="C64" s="42" t="s">
        <v>1136</v>
      </c>
      <c r="D64" s="42">
        <v>10</v>
      </c>
      <c r="E64" s="42" t="s">
        <v>17</v>
      </c>
    </row>
    <row r="65" spans="1:5">
      <c r="A65" s="42" t="s">
        <v>2339</v>
      </c>
      <c r="B65" s="42">
        <v>11</v>
      </c>
      <c r="C65" s="42" t="s">
        <v>1137</v>
      </c>
      <c r="D65" s="42">
        <v>10</v>
      </c>
      <c r="E65" s="42" t="s">
        <v>17</v>
      </c>
    </row>
    <row r="66" spans="1:5">
      <c r="A66" s="42" t="s">
        <v>2339</v>
      </c>
      <c r="B66" s="42">
        <v>11</v>
      </c>
      <c r="C66" s="42" t="s">
        <v>1138</v>
      </c>
      <c r="D66" s="42">
        <v>10</v>
      </c>
      <c r="E66" s="42" t="s">
        <v>17</v>
      </c>
    </row>
    <row r="67" spans="1:5">
      <c r="A67" s="42" t="s">
        <v>2339</v>
      </c>
      <c r="B67" s="42">
        <v>11</v>
      </c>
      <c r="C67" s="42" t="s">
        <v>1139</v>
      </c>
      <c r="D67" s="42">
        <v>10</v>
      </c>
      <c r="E67" s="42" t="s">
        <v>17</v>
      </c>
    </row>
    <row r="68" spans="1:5">
      <c r="A68" s="42" t="s">
        <v>2339</v>
      </c>
      <c r="B68" s="42">
        <v>11</v>
      </c>
      <c r="C68" s="42" t="s">
        <v>1140</v>
      </c>
      <c r="D68" s="42">
        <v>6</v>
      </c>
      <c r="E68" s="42" t="s">
        <v>17</v>
      </c>
    </row>
    <row r="69" spans="1:5">
      <c r="A69" s="42" t="s">
        <v>2339</v>
      </c>
      <c r="B69" s="42">
        <v>11</v>
      </c>
      <c r="C69" s="42" t="s">
        <v>1141</v>
      </c>
      <c r="D69" s="42">
        <v>6</v>
      </c>
      <c r="E69" s="42" t="s">
        <v>17</v>
      </c>
    </row>
    <row r="70" spans="1:5">
      <c r="A70" s="42" t="s">
        <v>2339</v>
      </c>
      <c r="B70" s="42">
        <v>11</v>
      </c>
      <c r="C70" s="42" t="s">
        <v>1142</v>
      </c>
      <c r="D70" s="42">
        <v>6</v>
      </c>
      <c r="E70" s="42" t="s">
        <v>17</v>
      </c>
    </row>
    <row r="71" spans="1:5">
      <c r="A71" s="42" t="s">
        <v>2339</v>
      </c>
      <c r="B71" s="42">
        <v>11</v>
      </c>
      <c r="C71" s="42" t="s">
        <v>1143</v>
      </c>
      <c r="D71" s="42">
        <v>6</v>
      </c>
      <c r="E71" s="42" t="s">
        <v>17</v>
      </c>
    </row>
    <row r="72" spans="1:5">
      <c r="A72" s="42" t="s">
        <v>2339</v>
      </c>
      <c r="B72" s="42">
        <v>11</v>
      </c>
      <c r="C72" s="42" t="s">
        <v>1144</v>
      </c>
      <c r="D72" s="42">
        <v>6</v>
      </c>
      <c r="E72" s="42" t="s">
        <v>17</v>
      </c>
    </row>
    <row r="73" spans="1:5">
      <c r="A73" s="42" t="s">
        <v>1194</v>
      </c>
      <c r="B73" s="42">
        <v>15</v>
      </c>
      <c r="C73" s="42" t="s">
        <v>542</v>
      </c>
      <c r="D73" s="42">
        <v>500</v>
      </c>
      <c r="E73" s="42" t="s">
        <v>17</v>
      </c>
    </row>
    <row r="74" spans="1:5">
      <c r="A74" s="42" t="s">
        <v>2865</v>
      </c>
      <c r="B74" s="42">
        <v>15</v>
      </c>
      <c r="C74" s="42" t="s">
        <v>551</v>
      </c>
      <c r="D74" s="42">
        <v>200</v>
      </c>
      <c r="E74" s="42" t="s">
        <v>17</v>
      </c>
    </row>
    <row r="75" spans="1:5">
      <c r="A75" s="42" t="s">
        <v>1183</v>
      </c>
      <c r="B75" s="42">
        <v>16</v>
      </c>
      <c r="C75" s="42" t="s">
        <v>333</v>
      </c>
      <c r="D75" s="42">
        <v>26</v>
      </c>
      <c r="E75" s="42" t="s">
        <v>17</v>
      </c>
    </row>
    <row r="76" spans="1:5">
      <c r="A76" s="42" t="s">
        <v>2339</v>
      </c>
      <c r="B76" s="42">
        <v>16</v>
      </c>
      <c r="C76" s="42" t="s">
        <v>729</v>
      </c>
      <c r="D76" s="42">
        <v>170</v>
      </c>
      <c r="E76" s="42" t="s">
        <v>17</v>
      </c>
    </row>
    <row r="77" spans="1:5">
      <c r="A77" s="42" t="s">
        <v>1192</v>
      </c>
      <c r="B77" s="42">
        <v>16</v>
      </c>
      <c r="C77" s="42" t="s">
        <v>759</v>
      </c>
      <c r="D77" s="42">
        <v>12</v>
      </c>
      <c r="E77" s="42" t="s">
        <v>17</v>
      </c>
    </row>
    <row r="78" spans="1:5">
      <c r="A78" s="42" t="s">
        <v>1183</v>
      </c>
      <c r="B78" s="42">
        <v>16</v>
      </c>
      <c r="C78" s="42" t="s">
        <v>845</v>
      </c>
      <c r="D78" s="42">
        <v>38</v>
      </c>
      <c r="E78" s="42" t="s">
        <v>17</v>
      </c>
    </row>
    <row r="79" spans="1:5">
      <c r="A79" s="42" t="s">
        <v>1185</v>
      </c>
      <c r="B79" s="42">
        <v>16</v>
      </c>
      <c r="C79" s="42" t="s">
        <v>1134</v>
      </c>
      <c r="D79" s="42">
        <v>200</v>
      </c>
      <c r="E79" s="42" t="s">
        <v>17</v>
      </c>
    </row>
    <row r="80" spans="1:5">
      <c r="A80" s="42" t="s">
        <v>2339</v>
      </c>
      <c r="B80" s="42">
        <v>16</v>
      </c>
      <c r="C80" s="42" t="s">
        <v>1173</v>
      </c>
      <c r="D80" s="42">
        <v>2</v>
      </c>
      <c r="E80" s="42" t="s">
        <v>17</v>
      </c>
    </row>
    <row r="81" spans="1:5">
      <c r="A81" s="42" t="s">
        <v>2339</v>
      </c>
      <c r="B81" s="42">
        <v>17</v>
      </c>
      <c r="C81" s="42" t="s">
        <v>1166</v>
      </c>
      <c r="D81" s="42">
        <v>5</v>
      </c>
      <c r="E81" s="42" t="s">
        <v>17</v>
      </c>
    </row>
    <row r="82" spans="1:5">
      <c r="A82" s="42" t="s">
        <v>2339</v>
      </c>
      <c r="B82" s="42">
        <v>17</v>
      </c>
      <c r="C82" s="42" t="s">
        <v>1167</v>
      </c>
      <c r="D82" s="42">
        <v>5</v>
      </c>
      <c r="E82" s="42" t="s">
        <v>17</v>
      </c>
    </row>
    <row r="83" spans="1:5">
      <c r="A83" s="42" t="s">
        <v>1193</v>
      </c>
      <c r="B83" s="42">
        <v>17</v>
      </c>
      <c r="C83" s="42" t="s">
        <v>1177</v>
      </c>
      <c r="D83" s="42">
        <v>100</v>
      </c>
      <c r="E83" s="42" t="s">
        <v>17</v>
      </c>
    </row>
    <row r="84" spans="1:5">
      <c r="A84" s="42" t="s">
        <v>1193</v>
      </c>
      <c r="B84" s="42">
        <v>17</v>
      </c>
      <c r="C84" s="42" t="s">
        <v>1178</v>
      </c>
      <c r="D84" s="42">
        <v>100</v>
      </c>
      <c r="E84" s="42" t="s">
        <v>17</v>
      </c>
    </row>
    <row r="85" spans="1:5">
      <c r="A85" s="42" t="s">
        <v>1193</v>
      </c>
      <c r="B85" s="42">
        <v>17</v>
      </c>
      <c r="C85" s="42" t="s">
        <v>1179</v>
      </c>
      <c r="D85" s="42">
        <v>100</v>
      </c>
      <c r="E85" s="42" t="s">
        <v>17</v>
      </c>
    </row>
    <row r="86" spans="1:5">
      <c r="A86" s="42" t="s">
        <v>2341</v>
      </c>
      <c r="B86" s="42">
        <v>23</v>
      </c>
      <c r="C86" s="42" t="s">
        <v>1841</v>
      </c>
      <c r="D86" s="42">
        <v>4800</v>
      </c>
      <c r="E86" s="42" t="s">
        <v>17</v>
      </c>
    </row>
    <row r="87" spans="1:5">
      <c r="A87" s="42" t="s">
        <v>2341</v>
      </c>
      <c r="B87" s="42">
        <v>23</v>
      </c>
      <c r="C87" s="42" t="s">
        <v>1181</v>
      </c>
      <c r="D87" s="42">
        <v>12000</v>
      </c>
      <c r="E87" s="42" t="s">
        <v>17</v>
      </c>
    </row>
    <row r="88" spans="1:5">
      <c r="A88" s="42" t="s">
        <v>2343</v>
      </c>
      <c r="B88" s="42">
        <v>24</v>
      </c>
      <c r="C88" s="42" t="s">
        <v>193</v>
      </c>
      <c r="D88" s="42">
        <v>200</v>
      </c>
      <c r="E88" s="42" t="s">
        <v>17</v>
      </c>
    </row>
    <row r="89" spans="1:5">
      <c r="A89" s="42" t="s">
        <v>2343</v>
      </c>
      <c r="B89" s="42">
        <v>24</v>
      </c>
      <c r="C89" s="42" t="s">
        <v>1642</v>
      </c>
      <c r="D89" s="42">
        <v>300</v>
      </c>
      <c r="E89" s="42" t="s">
        <v>17</v>
      </c>
    </row>
    <row r="90" spans="1:5">
      <c r="A90" s="42" t="s">
        <v>2343</v>
      </c>
      <c r="B90" s="42">
        <v>24</v>
      </c>
      <c r="C90" s="42" t="s">
        <v>360</v>
      </c>
      <c r="D90" s="42">
        <v>100</v>
      </c>
      <c r="E90" s="42" t="s">
        <v>17</v>
      </c>
    </row>
    <row r="91" spans="1:5">
      <c r="A91" s="42" t="s">
        <v>2343</v>
      </c>
      <c r="B91" s="42">
        <v>24</v>
      </c>
      <c r="C91" s="42" t="s">
        <v>1692</v>
      </c>
      <c r="D91" s="42">
        <v>100</v>
      </c>
      <c r="E91" s="42" t="s">
        <v>17</v>
      </c>
    </row>
    <row r="92" spans="1:5">
      <c r="A92" s="42" t="s">
        <v>2343</v>
      </c>
      <c r="B92" s="42">
        <v>24</v>
      </c>
      <c r="C92" s="42" t="s">
        <v>1713</v>
      </c>
      <c r="D92" s="42">
        <v>60</v>
      </c>
      <c r="E92" s="42" t="s">
        <v>17</v>
      </c>
    </row>
    <row r="93" spans="1:5">
      <c r="A93" s="42" t="s">
        <v>2343</v>
      </c>
      <c r="B93" s="42">
        <v>24</v>
      </c>
      <c r="C93" s="42" t="s">
        <v>437</v>
      </c>
      <c r="D93" s="42">
        <v>500</v>
      </c>
      <c r="E93" s="42" t="s">
        <v>17</v>
      </c>
    </row>
    <row r="94" spans="1:5">
      <c r="A94" s="42" t="s">
        <v>86</v>
      </c>
      <c r="B94" s="42">
        <v>25</v>
      </c>
      <c r="C94" s="42" t="s">
        <v>2319</v>
      </c>
      <c r="D94" s="42">
        <v>99</v>
      </c>
      <c r="E94" s="42" t="s">
        <v>17</v>
      </c>
    </row>
    <row r="95" spans="1:5">
      <c r="A95" s="42" t="s">
        <v>2866</v>
      </c>
      <c r="B95" s="42">
        <v>27</v>
      </c>
      <c r="C95" s="42" t="s">
        <v>722</v>
      </c>
      <c r="D95" s="42">
        <v>32</v>
      </c>
      <c r="E95" s="42" t="s">
        <v>17</v>
      </c>
    </row>
    <row r="96" spans="1:5">
      <c r="A96" s="42" t="s">
        <v>1188</v>
      </c>
      <c r="B96" s="42">
        <v>28</v>
      </c>
      <c r="C96" s="42" t="s">
        <v>411</v>
      </c>
      <c r="D96" s="42">
        <v>100</v>
      </c>
      <c r="E96" s="42" t="s">
        <v>17</v>
      </c>
    </row>
    <row r="97" spans="1:5">
      <c r="A97" s="42" t="s">
        <v>1196</v>
      </c>
      <c r="B97" s="42">
        <v>28</v>
      </c>
      <c r="C97" s="42" t="s">
        <v>1746</v>
      </c>
      <c r="D97" s="42">
        <v>500</v>
      </c>
      <c r="E97" s="42" t="s">
        <v>17</v>
      </c>
    </row>
    <row r="98" spans="1:5">
      <c r="A98" s="42" t="s">
        <v>1192</v>
      </c>
      <c r="B98" s="42">
        <v>28</v>
      </c>
      <c r="C98" s="42" t="s">
        <v>759</v>
      </c>
      <c r="D98" s="42">
        <v>84</v>
      </c>
      <c r="E98" s="42" t="s">
        <v>17</v>
      </c>
    </row>
    <row r="99" spans="1:5">
      <c r="A99" s="42" t="s">
        <v>2342</v>
      </c>
      <c r="B99" s="42">
        <v>28</v>
      </c>
      <c r="C99" s="42" t="s">
        <v>953</v>
      </c>
      <c r="D99" s="42">
        <v>5880</v>
      </c>
      <c r="E99" s="42" t="s">
        <v>17</v>
      </c>
    </row>
    <row r="100" spans="1:5">
      <c r="A100" s="42" t="s">
        <v>2341</v>
      </c>
      <c r="B100" s="42">
        <v>28</v>
      </c>
      <c r="C100" s="42" t="s">
        <v>1180</v>
      </c>
      <c r="D100" s="42">
        <v>4800</v>
      </c>
      <c r="E100" s="42" t="s">
        <v>17</v>
      </c>
    </row>
    <row r="101" spans="1:5">
      <c r="A101" s="42" t="s">
        <v>1186</v>
      </c>
      <c r="B101" s="42">
        <v>29</v>
      </c>
      <c r="C101" s="42" t="s">
        <v>324</v>
      </c>
      <c r="D101" s="42">
        <v>5</v>
      </c>
      <c r="E101" s="42" t="s">
        <v>17</v>
      </c>
    </row>
    <row r="102" spans="1:5">
      <c r="A102" s="42" t="s">
        <v>1187</v>
      </c>
      <c r="B102" s="42">
        <v>29</v>
      </c>
      <c r="C102" s="42" t="s">
        <v>420</v>
      </c>
      <c r="D102" s="42">
        <v>100</v>
      </c>
      <c r="E102" s="42" t="s">
        <v>17</v>
      </c>
    </row>
    <row r="103" spans="1:5">
      <c r="A103" s="42" t="s">
        <v>1185</v>
      </c>
      <c r="B103" s="42">
        <v>29</v>
      </c>
      <c r="C103" s="42" t="s">
        <v>520</v>
      </c>
      <c r="D103" s="42">
        <v>100</v>
      </c>
      <c r="E103" s="42" t="s">
        <v>17</v>
      </c>
    </row>
    <row r="104" spans="1:5">
      <c r="A104" s="42" t="s">
        <v>2341</v>
      </c>
      <c r="B104" s="42">
        <v>29</v>
      </c>
      <c r="C104" s="42" t="s">
        <v>1841</v>
      </c>
      <c r="D104" s="42">
        <v>4080</v>
      </c>
      <c r="E104" s="42" t="s">
        <v>17</v>
      </c>
    </row>
    <row r="105" spans="1:5">
      <c r="A105" s="42" t="s">
        <v>1187</v>
      </c>
      <c r="B105" s="42">
        <v>29</v>
      </c>
      <c r="C105" s="42" t="s">
        <v>792</v>
      </c>
      <c r="D105" s="42">
        <v>100</v>
      </c>
      <c r="E105" s="42" t="s">
        <v>17</v>
      </c>
    </row>
    <row r="106" spans="1:5">
      <c r="A106" s="42" t="s">
        <v>1185</v>
      </c>
      <c r="B106" s="42">
        <v>29</v>
      </c>
      <c r="C106" s="42" t="s">
        <v>838</v>
      </c>
      <c r="D106" s="42">
        <v>50</v>
      </c>
      <c r="E106" s="42" t="s">
        <v>17</v>
      </c>
    </row>
    <row r="107" spans="1:5">
      <c r="A107" s="42" t="s">
        <v>1186</v>
      </c>
      <c r="B107" s="42">
        <v>29</v>
      </c>
      <c r="C107" s="42" t="s">
        <v>1028</v>
      </c>
      <c r="D107" s="42">
        <v>10</v>
      </c>
      <c r="E107" s="42" t="s">
        <v>17</v>
      </c>
    </row>
    <row r="108" spans="1:5">
      <c r="A108" s="42" t="s">
        <v>2341</v>
      </c>
      <c r="B108" s="42">
        <v>29</v>
      </c>
      <c r="C108" s="42" t="s">
        <v>1180</v>
      </c>
      <c r="D108" s="42">
        <v>9000</v>
      </c>
      <c r="E108" s="42" t="s">
        <v>17</v>
      </c>
    </row>
    <row r="109" spans="1:5">
      <c r="A109" s="42" t="s">
        <v>2341</v>
      </c>
      <c r="B109" s="42">
        <v>29</v>
      </c>
      <c r="C109" s="42" t="s">
        <v>1181</v>
      </c>
      <c r="D109" s="42">
        <v>8400</v>
      </c>
      <c r="E109" s="42" t="s">
        <v>17</v>
      </c>
    </row>
    <row r="110" spans="1:5">
      <c r="A110" s="42" t="s">
        <v>2341</v>
      </c>
      <c r="B110" s="42">
        <v>29</v>
      </c>
      <c r="C110" s="42" t="s">
        <v>1182</v>
      </c>
      <c r="D110" s="42">
        <v>3600</v>
      </c>
      <c r="E110" s="42" t="s">
        <v>17</v>
      </c>
    </row>
    <row r="111" spans="1:5">
      <c r="A111" s="42" t="s">
        <v>2341</v>
      </c>
      <c r="B111" s="42">
        <v>30</v>
      </c>
      <c r="C111" s="42" t="s">
        <v>1841</v>
      </c>
      <c r="D111" s="42">
        <v>10320</v>
      </c>
      <c r="E111" s="42" t="s">
        <v>17</v>
      </c>
    </row>
    <row r="112" spans="1:5">
      <c r="A112" s="42" t="s">
        <v>1190</v>
      </c>
      <c r="B112" s="42">
        <v>30</v>
      </c>
      <c r="C112" s="42" t="s">
        <v>1875</v>
      </c>
      <c r="D112" s="42">
        <v>800</v>
      </c>
      <c r="E112" s="42" t="s">
        <v>17</v>
      </c>
    </row>
    <row r="113" spans="1:5">
      <c r="A113" s="42" t="s">
        <v>1190</v>
      </c>
      <c r="B113" s="42">
        <v>30</v>
      </c>
      <c r="C113" s="42" t="s">
        <v>781</v>
      </c>
      <c r="D113" s="42">
        <v>3000</v>
      </c>
      <c r="E113" s="42" t="s">
        <v>17</v>
      </c>
    </row>
    <row r="114" spans="1:5">
      <c r="A114" s="42" t="s">
        <v>1190</v>
      </c>
      <c r="B114" s="42">
        <v>30</v>
      </c>
      <c r="C114" s="42" t="s">
        <v>2254</v>
      </c>
      <c r="D114" s="42">
        <v>2000</v>
      </c>
      <c r="E114" s="42" t="s">
        <v>17</v>
      </c>
    </row>
    <row r="115" spans="1:5">
      <c r="A115" s="42" t="s">
        <v>2341</v>
      </c>
      <c r="B115" s="42">
        <v>30</v>
      </c>
      <c r="C115" s="42" t="s">
        <v>1180</v>
      </c>
      <c r="D115" s="42">
        <v>4800</v>
      </c>
      <c r="E115" s="42" t="s">
        <v>17</v>
      </c>
    </row>
    <row r="116" spans="1:5">
      <c r="A116" s="42" t="s">
        <v>2344</v>
      </c>
      <c r="B116" s="42">
        <v>31</v>
      </c>
      <c r="C116" s="42" t="s">
        <v>2264</v>
      </c>
      <c r="D116" s="42">
        <v>250</v>
      </c>
      <c r="E116" s="42" t="s">
        <v>17</v>
      </c>
    </row>
    <row r="117" spans="1:5">
      <c r="A117" s="42" t="s">
        <v>2344</v>
      </c>
      <c r="B117" s="42">
        <v>31</v>
      </c>
      <c r="C117" s="42" t="s">
        <v>2266</v>
      </c>
      <c r="D117" s="42">
        <v>100</v>
      </c>
      <c r="E117" s="42" t="s">
        <v>17</v>
      </c>
    </row>
    <row r="118" spans="1:5">
      <c r="A118" s="42" t="s">
        <v>2344</v>
      </c>
      <c r="B118" s="42">
        <v>31</v>
      </c>
      <c r="C118" s="42" t="s">
        <v>2267</v>
      </c>
      <c r="D118" s="42">
        <v>43</v>
      </c>
      <c r="E118" s="42" t="s">
        <v>17</v>
      </c>
    </row>
    <row r="119" spans="1:5">
      <c r="A119" s="42" t="s">
        <v>2344</v>
      </c>
      <c r="B119" s="42">
        <v>31</v>
      </c>
      <c r="C119" s="42" t="s">
        <v>2269</v>
      </c>
      <c r="D119" s="42">
        <v>98</v>
      </c>
      <c r="E119" s="42" t="s">
        <v>17</v>
      </c>
    </row>
    <row r="120" spans="1:5">
      <c r="A120" s="42" t="s">
        <v>2344</v>
      </c>
      <c r="B120" s="42">
        <v>31</v>
      </c>
      <c r="C120" s="42" t="s">
        <v>2288</v>
      </c>
      <c r="D120" s="42">
        <v>92</v>
      </c>
      <c r="E120" s="42" t="s">
        <v>17</v>
      </c>
    </row>
    <row r="121" spans="1:5">
      <c r="A121" s="42" t="s">
        <v>2344</v>
      </c>
      <c r="B121" s="42">
        <v>31</v>
      </c>
      <c r="C121" s="42" t="s">
        <v>2290</v>
      </c>
      <c r="D121" s="42">
        <v>50</v>
      </c>
      <c r="E121" s="42" t="s">
        <v>17</v>
      </c>
    </row>
    <row r="122" spans="1:5">
      <c r="A122" s="42" t="s">
        <v>2867</v>
      </c>
      <c r="B122" s="42">
        <v>31</v>
      </c>
      <c r="C122" s="42" t="s">
        <v>2303</v>
      </c>
      <c r="D122" s="42">
        <v>155</v>
      </c>
      <c r="E122" s="42" t="s">
        <v>17</v>
      </c>
    </row>
    <row r="123" spans="1:5">
      <c r="A123" s="42" t="s">
        <v>81</v>
      </c>
      <c r="B123" s="42">
        <v>0</v>
      </c>
      <c r="C123" s="42" t="s">
        <v>185</v>
      </c>
      <c r="D123" s="42">
        <v>200</v>
      </c>
      <c r="E123" s="42" t="s">
        <v>17</v>
      </c>
    </row>
    <row r="124" spans="1:5">
      <c r="A124" s="42" t="s">
        <v>81</v>
      </c>
      <c r="B124" s="42">
        <v>0</v>
      </c>
      <c r="C124" s="42" t="s">
        <v>193</v>
      </c>
      <c r="D124" s="42">
        <v>200</v>
      </c>
      <c r="E124" s="42" t="s">
        <v>17</v>
      </c>
    </row>
    <row r="125" spans="1:5">
      <c r="A125" s="42" t="s">
        <v>81</v>
      </c>
      <c r="B125" s="42">
        <v>0</v>
      </c>
      <c r="C125" s="42" t="s">
        <v>217</v>
      </c>
      <c r="D125" s="42">
        <v>300</v>
      </c>
      <c r="E125" s="42" t="s">
        <v>17</v>
      </c>
    </row>
    <row r="126" spans="1:5">
      <c r="A126" s="42" t="s">
        <v>81</v>
      </c>
      <c r="B126" s="42">
        <v>0</v>
      </c>
      <c r="C126" s="42" t="s">
        <v>221</v>
      </c>
      <c r="D126" s="42">
        <v>40</v>
      </c>
      <c r="E126" s="42" t="s">
        <v>17</v>
      </c>
    </row>
    <row r="127" spans="1:5">
      <c r="A127" s="42" t="s">
        <v>81</v>
      </c>
      <c r="B127" s="42">
        <v>0</v>
      </c>
      <c r="C127" s="42" t="s">
        <v>259</v>
      </c>
      <c r="D127" s="42">
        <v>400</v>
      </c>
      <c r="E127" s="42" t="s">
        <v>17</v>
      </c>
    </row>
    <row r="128" spans="1:5">
      <c r="A128" s="42" t="s">
        <v>81</v>
      </c>
      <c r="B128" s="42">
        <v>0</v>
      </c>
      <c r="C128" s="42" t="s">
        <v>265</v>
      </c>
      <c r="D128" s="42">
        <v>1000</v>
      </c>
      <c r="E128" s="42" t="s">
        <v>17</v>
      </c>
    </row>
    <row r="129" spans="1:5">
      <c r="A129" s="42" t="s">
        <v>81</v>
      </c>
      <c r="B129" s="42">
        <v>0</v>
      </c>
      <c r="C129" s="42" t="s">
        <v>272</v>
      </c>
      <c r="D129" s="42">
        <v>300</v>
      </c>
      <c r="E129" s="42" t="s">
        <v>17</v>
      </c>
    </row>
    <row r="130" spans="1:5">
      <c r="A130" s="42" t="s">
        <v>81</v>
      </c>
      <c r="B130" s="42">
        <v>0</v>
      </c>
      <c r="C130" s="42" t="s">
        <v>286</v>
      </c>
      <c r="D130" s="42">
        <v>600</v>
      </c>
      <c r="E130" s="42" t="s">
        <v>17</v>
      </c>
    </row>
    <row r="131" spans="1:5">
      <c r="A131" s="42" t="s">
        <v>81</v>
      </c>
      <c r="B131" s="42">
        <v>0</v>
      </c>
      <c r="C131" s="42" t="s">
        <v>301</v>
      </c>
      <c r="D131" s="42">
        <v>10</v>
      </c>
      <c r="E131" s="42" t="s">
        <v>17</v>
      </c>
    </row>
    <row r="132" spans="1:5">
      <c r="A132" s="42" t="s">
        <v>81</v>
      </c>
      <c r="B132" s="42">
        <v>0</v>
      </c>
      <c r="C132" s="42" t="s">
        <v>312</v>
      </c>
      <c r="D132" s="42">
        <v>50</v>
      </c>
      <c r="E132" s="42" t="s">
        <v>17</v>
      </c>
    </row>
    <row r="133" spans="1:5">
      <c r="A133" s="42" t="s">
        <v>81</v>
      </c>
      <c r="B133" s="42">
        <v>0</v>
      </c>
      <c r="C133" s="42" t="s">
        <v>330</v>
      </c>
      <c r="D133" s="42">
        <v>800</v>
      </c>
      <c r="E133" s="42" t="s">
        <v>17</v>
      </c>
    </row>
    <row r="134" spans="1:5">
      <c r="A134" s="42" t="s">
        <v>81</v>
      </c>
      <c r="B134" s="42">
        <v>0</v>
      </c>
      <c r="C134" s="42" t="s">
        <v>354</v>
      </c>
      <c r="D134" s="42">
        <v>300</v>
      </c>
      <c r="E134" s="42" t="s">
        <v>17</v>
      </c>
    </row>
    <row r="135" spans="1:5">
      <c r="A135" s="42" t="s">
        <v>81</v>
      </c>
      <c r="B135" s="42">
        <v>0</v>
      </c>
      <c r="C135" s="42" t="s">
        <v>356</v>
      </c>
      <c r="D135" s="42">
        <v>600</v>
      </c>
      <c r="E135" s="42" t="s">
        <v>17</v>
      </c>
    </row>
    <row r="136" spans="1:5">
      <c r="A136" s="42" t="s">
        <v>81</v>
      </c>
      <c r="B136" s="42">
        <v>0</v>
      </c>
      <c r="C136" s="42" t="s">
        <v>358</v>
      </c>
      <c r="D136" s="42">
        <v>500</v>
      </c>
      <c r="E136" s="42" t="s">
        <v>17</v>
      </c>
    </row>
    <row r="137" spans="1:5">
      <c r="A137" s="42" t="s">
        <v>81</v>
      </c>
      <c r="B137" s="42">
        <v>0</v>
      </c>
      <c r="C137" s="42" t="s">
        <v>360</v>
      </c>
      <c r="D137" s="42">
        <v>15</v>
      </c>
      <c r="E137" s="42" t="s">
        <v>17</v>
      </c>
    </row>
    <row r="138" spans="1:5">
      <c r="A138" s="42" t="s">
        <v>81</v>
      </c>
      <c r="B138" s="42">
        <v>0</v>
      </c>
      <c r="C138" s="42" t="s">
        <v>1692</v>
      </c>
      <c r="D138" s="42">
        <v>60</v>
      </c>
      <c r="E138" s="42" t="s">
        <v>17</v>
      </c>
    </row>
    <row r="139" spans="1:5">
      <c r="A139" s="42" t="s">
        <v>81</v>
      </c>
      <c r="B139" s="42">
        <v>0</v>
      </c>
      <c r="C139" s="42" t="s">
        <v>364</v>
      </c>
      <c r="D139" s="42">
        <v>850</v>
      </c>
      <c r="E139" s="42" t="s">
        <v>17</v>
      </c>
    </row>
    <row r="140" spans="1:5">
      <c r="A140" s="42" t="s">
        <v>81</v>
      </c>
      <c r="B140" s="42">
        <v>0</v>
      </c>
      <c r="C140" s="42" t="s">
        <v>385</v>
      </c>
      <c r="D140" s="42">
        <v>450</v>
      </c>
      <c r="E140" s="42" t="s">
        <v>17</v>
      </c>
    </row>
    <row r="141" spans="1:5">
      <c r="A141" s="42" t="s">
        <v>81</v>
      </c>
      <c r="B141" s="42">
        <v>0</v>
      </c>
      <c r="C141" s="42" t="s">
        <v>1707</v>
      </c>
      <c r="D141" s="42">
        <v>125</v>
      </c>
      <c r="E141" s="42" t="s">
        <v>17</v>
      </c>
    </row>
    <row r="142" spans="1:5">
      <c r="A142" s="42" t="s">
        <v>81</v>
      </c>
      <c r="B142" s="42">
        <v>0</v>
      </c>
      <c r="C142" s="42" t="s">
        <v>1713</v>
      </c>
      <c r="D142" s="42">
        <v>10</v>
      </c>
      <c r="E142" s="42" t="s">
        <v>17</v>
      </c>
    </row>
    <row r="143" spans="1:5">
      <c r="A143" s="42" t="s">
        <v>81</v>
      </c>
      <c r="B143" s="42">
        <v>0</v>
      </c>
      <c r="C143" s="42" t="s">
        <v>422</v>
      </c>
      <c r="D143" s="42">
        <v>15</v>
      </c>
      <c r="E143" s="42" t="s">
        <v>17</v>
      </c>
    </row>
    <row r="144" spans="1:5">
      <c r="A144" s="42" t="s">
        <v>81</v>
      </c>
      <c r="B144" s="42">
        <v>0</v>
      </c>
      <c r="C144" s="42" t="s">
        <v>433</v>
      </c>
      <c r="D144" s="42">
        <v>100</v>
      </c>
      <c r="E144" s="42" t="s">
        <v>17</v>
      </c>
    </row>
    <row r="145" spans="1:5">
      <c r="A145" s="42" t="s">
        <v>81</v>
      </c>
      <c r="B145" s="42">
        <v>0</v>
      </c>
      <c r="C145" s="42" t="s">
        <v>434</v>
      </c>
      <c r="D145" s="42">
        <v>50</v>
      </c>
      <c r="E145" s="42" t="s">
        <v>17</v>
      </c>
    </row>
    <row r="146" spans="1:5">
      <c r="A146" s="42" t="s">
        <v>81</v>
      </c>
      <c r="B146" s="42">
        <v>0</v>
      </c>
      <c r="C146" s="42" t="s">
        <v>1723</v>
      </c>
      <c r="D146" s="42">
        <v>300</v>
      </c>
      <c r="E146" s="42" t="s">
        <v>17</v>
      </c>
    </row>
    <row r="147" spans="1:5">
      <c r="A147" s="42" t="s">
        <v>81</v>
      </c>
      <c r="B147" s="42">
        <v>0</v>
      </c>
      <c r="C147" s="42" t="s">
        <v>1733</v>
      </c>
      <c r="D147" s="42">
        <v>25</v>
      </c>
      <c r="E147" s="42" t="s">
        <v>17</v>
      </c>
    </row>
    <row r="148" spans="1:5">
      <c r="A148" s="42" t="s">
        <v>81</v>
      </c>
      <c r="B148" s="42">
        <v>0</v>
      </c>
      <c r="C148" s="42" t="s">
        <v>503</v>
      </c>
      <c r="D148" s="42">
        <v>250</v>
      </c>
      <c r="E148" s="42" t="s">
        <v>17</v>
      </c>
    </row>
    <row r="149" spans="1:5">
      <c r="A149" s="42" t="s">
        <v>81</v>
      </c>
      <c r="B149" s="42">
        <v>0</v>
      </c>
      <c r="C149" s="42" t="s">
        <v>520</v>
      </c>
      <c r="D149" s="42">
        <v>300</v>
      </c>
      <c r="E149" s="42" t="s">
        <v>17</v>
      </c>
    </row>
    <row r="150" spans="1:5">
      <c r="A150" s="42" t="s">
        <v>81</v>
      </c>
      <c r="B150" s="42">
        <v>0</v>
      </c>
      <c r="C150" s="42" t="s">
        <v>523</v>
      </c>
      <c r="D150" s="42">
        <v>200</v>
      </c>
      <c r="E150" s="42" t="s">
        <v>17</v>
      </c>
    </row>
    <row r="151" spans="1:5">
      <c r="A151" s="42" t="s">
        <v>81</v>
      </c>
      <c r="B151" s="42">
        <v>0</v>
      </c>
      <c r="C151" s="42" t="s">
        <v>534</v>
      </c>
      <c r="D151" s="42">
        <v>150</v>
      </c>
      <c r="E151" s="42" t="s">
        <v>17</v>
      </c>
    </row>
    <row r="152" spans="1:5">
      <c r="A152" s="42" t="s">
        <v>81</v>
      </c>
      <c r="B152" s="42">
        <v>0</v>
      </c>
      <c r="C152" s="42" t="s">
        <v>1747</v>
      </c>
      <c r="D152" s="42">
        <v>686</v>
      </c>
      <c r="E152" s="42" t="s">
        <v>17</v>
      </c>
    </row>
    <row r="153" spans="1:5">
      <c r="A153" s="42" t="s">
        <v>81</v>
      </c>
      <c r="B153" s="42">
        <v>0</v>
      </c>
      <c r="C153" s="42" t="s">
        <v>542</v>
      </c>
      <c r="D153" s="42">
        <v>100</v>
      </c>
      <c r="E153" s="42" t="s">
        <v>17</v>
      </c>
    </row>
    <row r="154" spans="1:5">
      <c r="A154" s="42" t="s">
        <v>81</v>
      </c>
      <c r="B154" s="42">
        <v>0</v>
      </c>
      <c r="C154" s="42" t="s">
        <v>551</v>
      </c>
      <c r="D154" s="42">
        <v>100</v>
      </c>
      <c r="E154" s="42" t="s">
        <v>17</v>
      </c>
    </row>
    <row r="155" spans="1:5">
      <c r="A155" s="42" t="s">
        <v>81</v>
      </c>
      <c r="B155" s="42">
        <v>0</v>
      </c>
      <c r="C155" s="42" t="s">
        <v>1750</v>
      </c>
      <c r="D155" s="42">
        <v>50</v>
      </c>
      <c r="E155" s="42" t="s">
        <v>17</v>
      </c>
    </row>
    <row r="156" spans="1:5">
      <c r="A156" s="42" t="s">
        <v>81</v>
      </c>
      <c r="B156" s="42">
        <v>0</v>
      </c>
      <c r="C156" s="42" t="s">
        <v>561</v>
      </c>
      <c r="D156" s="42">
        <v>10</v>
      </c>
      <c r="E156" s="42" t="s">
        <v>17</v>
      </c>
    </row>
    <row r="157" spans="1:5">
      <c r="A157" s="42" t="s">
        <v>81</v>
      </c>
      <c r="B157" s="42">
        <v>0</v>
      </c>
      <c r="C157" s="42" t="s">
        <v>566</v>
      </c>
      <c r="D157" s="42">
        <v>70</v>
      </c>
      <c r="E157" s="42" t="s">
        <v>17</v>
      </c>
    </row>
    <row r="158" spans="1:5">
      <c r="A158" s="42" t="s">
        <v>81</v>
      </c>
      <c r="B158" s="42">
        <v>0</v>
      </c>
      <c r="C158" s="42" t="s">
        <v>1755</v>
      </c>
      <c r="D158" s="42">
        <v>25</v>
      </c>
      <c r="E158" s="42" t="s">
        <v>17</v>
      </c>
    </row>
    <row r="159" spans="1:5">
      <c r="A159" s="42" t="s">
        <v>81</v>
      </c>
      <c r="B159" s="42">
        <v>0</v>
      </c>
      <c r="C159" s="42" t="s">
        <v>567</v>
      </c>
      <c r="D159" s="42">
        <v>25</v>
      </c>
      <c r="E159" s="42" t="s">
        <v>17</v>
      </c>
    </row>
    <row r="160" spans="1:5">
      <c r="A160" s="42" t="s">
        <v>81</v>
      </c>
      <c r="B160" s="42">
        <v>0</v>
      </c>
      <c r="C160" s="42" t="s">
        <v>608</v>
      </c>
      <c r="D160" s="42">
        <v>100</v>
      </c>
      <c r="E160" s="42" t="s">
        <v>17</v>
      </c>
    </row>
    <row r="161" spans="1:5">
      <c r="A161" s="42" t="s">
        <v>81</v>
      </c>
      <c r="B161" s="42">
        <v>0</v>
      </c>
      <c r="C161" s="42" t="s">
        <v>618</v>
      </c>
      <c r="D161" s="42">
        <v>300</v>
      </c>
      <c r="E161" s="42" t="s">
        <v>17</v>
      </c>
    </row>
    <row r="162" spans="1:5">
      <c r="A162" s="42" t="s">
        <v>81</v>
      </c>
      <c r="B162" s="42">
        <v>0</v>
      </c>
      <c r="C162" s="42" t="s">
        <v>1765</v>
      </c>
      <c r="D162" s="42">
        <v>500</v>
      </c>
      <c r="E162" s="42" t="s">
        <v>17</v>
      </c>
    </row>
    <row r="163" spans="1:5">
      <c r="A163" s="42" t="s">
        <v>81</v>
      </c>
      <c r="B163" s="42">
        <v>0</v>
      </c>
      <c r="C163" s="42" t="s">
        <v>635</v>
      </c>
      <c r="D163" s="42">
        <v>200</v>
      </c>
      <c r="E163" s="42" t="s">
        <v>17</v>
      </c>
    </row>
    <row r="164" spans="1:5">
      <c r="A164" s="42" t="s">
        <v>81</v>
      </c>
      <c r="B164" s="42">
        <v>0</v>
      </c>
      <c r="C164" s="42" t="s">
        <v>637</v>
      </c>
      <c r="D164" s="42">
        <v>600</v>
      </c>
      <c r="E164" s="42" t="s">
        <v>17</v>
      </c>
    </row>
    <row r="165" spans="1:5">
      <c r="A165" s="42" t="s">
        <v>81</v>
      </c>
      <c r="B165" s="42">
        <v>0</v>
      </c>
      <c r="C165" s="42" t="s">
        <v>640</v>
      </c>
      <c r="D165" s="42">
        <v>400</v>
      </c>
      <c r="E165" s="42" t="s">
        <v>17</v>
      </c>
    </row>
    <row r="166" spans="1:5">
      <c r="A166" s="42" t="s">
        <v>81</v>
      </c>
      <c r="B166" s="42">
        <v>0</v>
      </c>
      <c r="C166" s="42" t="s">
        <v>641</v>
      </c>
      <c r="D166" s="42">
        <v>1200</v>
      </c>
      <c r="E166" s="42" t="s">
        <v>17</v>
      </c>
    </row>
    <row r="167" spans="1:5">
      <c r="A167" s="42" t="s">
        <v>81</v>
      </c>
      <c r="B167" s="42">
        <v>0</v>
      </c>
      <c r="C167" s="42" t="s">
        <v>1773</v>
      </c>
      <c r="D167" s="42">
        <v>700</v>
      </c>
      <c r="E167" s="42" t="s">
        <v>17</v>
      </c>
    </row>
    <row r="168" spans="1:5">
      <c r="A168" s="42" t="s">
        <v>81</v>
      </c>
      <c r="B168" s="42">
        <v>0</v>
      </c>
      <c r="C168" s="42" t="s">
        <v>665</v>
      </c>
      <c r="D168" s="42">
        <v>250</v>
      </c>
      <c r="E168" s="42" t="s">
        <v>17</v>
      </c>
    </row>
    <row r="169" spans="1:5">
      <c r="A169" s="42" t="s">
        <v>81</v>
      </c>
      <c r="B169" s="42">
        <v>0</v>
      </c>
      <c r="C169" s="42" t="s">
        <v>1788</v>
      </c>
      <c r="D169" s="42">
        <v>20</v>
      </c>
      <c r="E169" s="42" t="s">
        <v>17</v>
      </c>
    </row>
    <row r="170" spans="1:5">
      <c r="A170" s="42" t="s">
        <v>81</v>
      </c>
      <c r="B170" s="42">
        <v>0</v>
      </c>
      <c r="C170" s="42" t="s">
        <v>712</v>
      </c>
      <c r="D170" s="42">
        <v>400</v>
      </c>
      <c r="E170" s="42" t="s">
        <v>17</v>
      </c>
    </row>
    <row r="171" spans="1:5">
      <c r="A171" s="42" t="s">
        <v>81</v>
      </c>
      <c r="B171" s="42">
        <v>0</v>
      </c>
      <c r="C171" s="42" t="s">
        <v>1790</v>
      </c>
      <c r="D171" s="42">
        <v>200</v>
      </c>
      <c r="E171" s="42" t="s">
        <v>17</v>
      </c>
    </row>
    <row r="172" spans="1:5">
      <c r="A172" s="42" t="s">
        <v>81</v>
      </c>
      <c r="B172" s="42">
        <v>0</v>
      </c>
      <c r="C172" s="42" t="s">
        <v>1791</v>
      </c>
      <c r="D172" s="42">
        <v>100</v>
      </c>
      <c r="E172" s="42" t="s">
        <v>17</v>
      </c>
    </row>
    <row r="173" spans="1:5">
      <c r="A173" s="42" t="s">
        <v>81</v>
      </c>
      <c r="B173" s="42">
        <v>0</v>
      </c>
      <c r="C173" s="42" t="s">
        <v>1795</v>
      </c>
      <c r="D173" s="42">
        <v>25</v>
      </c>
      <c r="E173" s="42" t="s">
        <v>17</v>
      </c>
    </row>
    <row r="174" spans="1:5">
      <c r="A174" s="42" t="s">
        <v>81</v>
      </c>
      <c r="B174" s="42">
        <v>0</v>
      </c>
      <c r="C174" s="42" t="s">
        <v>1799</v>
      </c>
      <c r="D174" s="42">
        <v>1500</v>
      </c>
      <c r="E174" s="42" t="s">
        <v>17</v>
      </c>
    </row>
    <row r="175" spans="1:5">
      <c r="A175" s="42" t="s">
        <v>81</v>
      </c>
      <c r="B175" s="42">
        <v>0</v>
      </c>
      <c r="C175" s="42" t="s">
        <v>718</v>
      </c>
      <c r="D175" s="42">
        <v>880</v>
      </c>
      <c r="E175" s="42" t="s">
        <v>17</v>
      </c>
    </row>
    <row r="176" spans="1:5">
      <c r="A176" s="42" t="s">
        <v>81</v>
      </c>
      <c r="B176" s="42">
        <v>0</v>
      </c>
      <c r="C176" s="42" t="s">
        <v>731</v>
      </c>
      <c r="D176" s="42">
        <v>50</v>
      </c>
      <c r="E176" s="42" t="s">
        <v>17</v>
      </c>
    </row>
    <row r="177" spans="1:5">
      <c r="A177" s="42" t="s">
        <v>81</v>
      </c>
      <c r="B177" s="42">
        <v>0</v>
      </c>
      <c r="C177" s="42" t="s">
        <v>746</v>
      </c>
      <c r="D177" s="42">
        <v>7</v>
      </c>
      <c r="E177" s="42" t="s">
        <v>17</v>
      </c>
    </row>
    <row r="178" spans="1:5">
      <c r="A178" s="42" t="s">
        <v>81</v>
      </c>
      <c r="B178" s="42">
        <v>0</v>
      </c>
      <c r="C178" s="42" t="s">
        <v>755</v>
      </c>
      <c r="D178" s="42">
        <v>5</v>
      </c>
      <c r="E178" s="42" t="s">
        <v>17</v>
      </c>
    </row>
    <row r="179" spans="1:5">
      <c r="A179" s="42" t="s">
        <v>81</v>
      </c>
      <c r="B179" s="42">
        <v>0</v>
      </c>
      <c r="C179" s="42" t="s">
        <v>758</v>
      </c>
      <c r="D179" s="42">
        <v>100</v>
      </c>
      <c r="E179" s="42" t="s">
        <v>17</v>
      </c>
    </row>
    <row r="180" spans="1:5">
      <c r="A180" s="42" t="s">
        <v>81</v>
      </c>
      <c r="B180" s="42">
        <v>0</v>
      </c>
      <c r="C180" s="42" t="s">
        <v>759</v>
      </c>
      <c r="D180" s="42">
        <v>50</v>
      </c>
      <c r="E180" s="42" t="s">
        <v>17</v>
      </c>
    </row>
    <row r="181" spans="1:5">
      <c r="A181" s="42" t="s">
        <v>81</v>
      </c>
      <c r="B181" s="42">
        <v>0</v>
      </c>
      <c r="C181" s="42" t="s">
        <v>1824</v>
      </c>
      <c r="D181" s="42">
        <v>20</v>
      </c>
      <c r="E181" s="42" t="s">
        <v>17</v>
      </c>
    </row>
    <row r="182" spans="1:5">
      <c r="A182" s="42" t="s">
        <v>81</v>
      </c>
      <c r="B182" s="42">
        <v>0</v>
      </c>
      <c r="C182" s="42" t="s">
        <v>1827</v>
      </c>
      <c r="D182" s="42">
        <v>20</v>
      </c>
      <c r="E182" s="42" t="s">
        <v>17</v>
      </c>
    </row>
    <row r="183" spans="1:5">
      <c r="A183" s="42" t="s">
        <v>81</v>
      </c>
      <c r="B183" s="42">
        <v>0</v>
      </c>
      <c r="C183" s="42" t="s">
        <v>771</v>
      </c>
      <c r="D183" s="42">
        <v>40</v>
      </c>
      <c r="E183" s="42" t="s">
        <v>17</v>
      </c>
    </row>
    <row r="184" spans="1:5">
      <c r="A184" s="42" t="s">
        <v>81</v>
      </c>
      <c r="B184" s="42">
        <v>0</v>
      </c>
      <c r="C184" s="42" t="s">
        <v>1840</v>
      </c>
      <c r="D184" s="42">
        <v>200</v>
      </c>
      <c r="E184" s="42" t="s">
        <v>17</v>
      </c>
    </row>
    <row r="185" spans="1:5">
      <c r="A185" s="42" t="s">
        <v>81</v>
      </c>
      <c r="B185" s="42">
        <v>0</v>
      </c>
      <c r="C185" s="42" t="s">
        <v>1841</v>
      </c>
      <c r="D185" s="42">
        <v>27576</v>
      </c>
      <c r="E185" s="42" t="s">
        <v>17</v>
      </c>
    </row>
    <row r="186" spans="1:5">
      <c r="A186" s="42" t="s">
        <v>81</v>
      </c>
      <c r="B186" s="42">
        <v>0</v>
      </c>
      <c r="C186" s="42" t="s">
        <v>1875</v>
      </c>
      <c r="D186" s="42">
        <v>2200</v>
      </c>
      <c r="E186" s="42" t="s">
        <v>17</v>
      </c>
    </row>
    <row r="187" spans="1:5">
      <c r="A187" s="42" t="s">
        <v>81</v>
      </c>
      <c r="B187" s="42">
        <v>0</v>
      </c>
      <c r="C187" s="42" t="s">
        <v>781</v>
      </c>
      <c r="D187" s="42">
        <v>2600</v>
      </c>
      <c r="E187" s="42" t="s">
        <v>17</v>
      </c>
    </row>
    <row r="188" spans="1:5">
      <c r="A188" s="42" t="s">
        <v>81</v>
      </c>
      <c r="B188" s="42">
        <v>0</v>
      </c>
      <c r="C188" s="42" t="s">
        <v>1900</v>
      </c>
      <c r="D188" s="42">
        <v>600</v>
      </c>
      <c r="E188" s="42" t="s">
        <v>17</v>
      </c>
    </row>
    <row r="189" spans="1:5">
      <c r="A189" s="42" t="s">
        <v>81</v>
      </c>
      <c r="B189" s="42">
        <v>0</v>
      </c>
      <c r="C189" s="42" t="s">
        <v>791</v>
      </c>
      <c r="D189" s="42">
        <v>400</v>
      </c>
      <c r="E189" s="42" t="s">
        <v>17</v>
      </c>
    </row>
    <row r="190" spans="1:5">
      <c r="A190" s="42" t="s">
        <v>81</v>
      </c>
      <c r="B190" s="42">
        <v>0</v>
      </c>
      <c r="C190" s="42" t="s">
        <v>795</v>
      </c>
      <c r="D190" s="42">
        <v>100</v>
      </c>
      <c r="E190" s="42" t="s">
        <v>17</v>
      </c>
    </row>
    <row r="191" spans="1:5">
      <c r="A191" s="42" t="s">
        <v>81</v>
      </c>
      <c r="B191" s="42">
        <v>0</v>
      </c>
      <c r="C191" s="42" t="s">
        <v>2002</v>
      </c>
      <c r="D191" s="42">
        <v>800</v>
      </c>
      <c r="E191" s="42" t="s">
        <v>17</v>
      </c>
    </row>
    <row r="192" spans="1:5">
      <c r="A192" s="42" t="s">
        <v>81</v>
      </c>
      <c r="B192" s="42">
        <v>0</v>
      </c>
      <c r="C192" s="42" t="s">
        <v>2009</v>
      </c>
      <c r="D192" s="42">
        <v>500</v>
      </c>
      <c r="E192" s="42" t="s">
        <v>17</v>
      </c>
    </row>
    <row r="193" spans="1:5">
      <c r="A193" s="42" t="s">
        <v>81</v>
      </c>
      <c r="B193" s="42">
        <v>0</v>
      </c>
      <c r="C193" s="42" t="s">
        <v>2026</v>
      </c>
      <c r="D193" s="42">
        <v>3500</v>
      </c>
      <c r="E193" s="42" t="s">
        <v>17</v>
      </c>
    </row>
    <row r="194" spans="1:5">
      <c r="A194" s="42" t="s">
        <v>81</v>
      </c>
      <c r="B194" s="42">
        <v>0</v>
      </c>
      <c r="C194" s="42" t="s">
        <v>2062</v>
      </c>
      <c r="D194" s="42">
        <v>20</v>
      </c>
      <c r="E194" s="42" t="s">
        <v>17</v>
      </c>
    </row>
    <row r="195" spans="1:5">
      <c r="A195" s="42" t="s">
        <v>81</v>
      </c>
      <c r="B195" s="42">
        <v>0</v>
      </c>
      <c r="C195" s="42" t="s">
        <v>842</v>
      </c>
      <c r="D195" s="42">
        <v>20</v>
      </c>
      <c r="E195" s="42" t="s">
        <v>17</v>
      </c>
    </row>
    <row r="196" spans="1:5">
      <c r="A196" s="42" t="s">
        <v>81</v>
      </c>
      <c r="B196" s="42">
        <v>0</v>
      </c>
      <c r="C196" s="42" t="s">
        <v>859</v>
      </c>
      <c r="D196" s="42">
        <v>15</v>
      </c>
      <c r="E196" s="42" t="s">
        <v>17</v>
      </c>
    </row>
    <row r="197" spans="1:5">
      <c r="A197" s="42" t="s">
        <v>81</v>
      </c>
      <c r="B197" s="42">
        <v>0</v>
      </c>
      <c r="C197" s="42" t="s">
        <v>871</v>
      </c>
      <c r="D197" s="42">
        <v>20</v>
      </c>
      <c r="E197" s="42" t="s">
        <v>17</v>
      </c>
    </row>
    <row r="198" spans="1:5">
      <c r="A198" s="42" t="s">
        <v>81</v>
      </c>
      <c r="B198" s="42">
        <v>0</v>
      </c>
      <c r="C198" s="42" t="s">
        <v>2136</v>
      </c>
      <c r="D198" s="42">
        <v>250</v>
      </c>
      <c r="E198" s="42" t="s">
        <v>17</v>
      </c>
    </row>
    <row r="199" spans="1:5">
      <c r="A199" s="42" t="s">
        <v>81</v>
      </c>
      <c r="B199" s="42">
        <v>0</v>
      </c>
      <c r="C199" s="42" t="s">
        <v>2140</v>
      </c>
      <c r="D199" s="42">
        <v>10</v>
      </c>
      <c r="E199" s="42" t="s">
        <v>17</v>
      </c>
    </row>
    <row r="200" spans="1:5">
      <c r="A200" s="42" t="s">
        <v>81</v>
      </c>
      <c r="B200" s="42">
        <v>0</v>
      </c>
      <c r="C200" s="42" t="s">
        <v>947</v>
      </c>
      <c r="D200" s="42">
        <v>20</v>
      </c>
      <c r="E200" s="42" t="s">
        <v>17</v>
      </c>
    </row>
    <row r="201" spans="1:5">
      <c r="A201" s="42" t="s">
        <v>81</v>
      </c>
      <c r="B201" s="42">
        <v>0</v>
      </c>
      <c r="C201" s="42" t="s">
        <v>949</v>
      </c>
      <c r="D201" s="42">
        <v>50</v>
      </c>
      <c r="E201" s="42" t="s">
        <v>17</v>
      </c>
    </row>
    <row r="202" spans="1:5">
      <c r="A202" s="42" t="s">
        <v>81</v>
      </c>
      <c r="B202" s="42">
        <v>0</v>
      </c>
      <c r="C202" s="42" t="s">
        <v>953</v>
      </c>
      <c r="D202" s="42">
        <v>18540</v>
      </c>
      <c r="E202" s="42" t="s">
        <v>17</v>
      </c>
    </row>
    <row r="203" spans="1:5">
      <c r="A203" s="42" t="s">
        <v>81</v>
      </c>
      <c r="B203" s="42">
        <v>0</v>
      </c>
      <c r="C203" s="42" t="s">
        <v>954</v>
      </c>
      <c r="D203" s="42">
        <v>10</v>
      </c>
      <c r="E203" s="42" t="s">
        <v>17</v>
      </c>
    </row>
    <row r="204" spans="1:5">
      <c r="A204" s="42" t="s">
        <v>81</v>
      </c>
      <c r="B204" s="42">
        <v>0</v>
      </c>
      <c r="C204" s="42" t="s">
        <v>961</v>
      </c>
      <c r="D204" s="42">
        <v>500</v>
      </c>
      <c r="E204" s="42" t="s">
        <v>17</v>
      </c>
    </row>
    <row r="205" spans="1:5">
      <c r="A205" s="42" t="s">
        <v>81</v>
      </c>
      <c r="B205" s="42">
        <v>0</v>
      </c>
      <c r="C205" s="42" t="s">
        <v>963</v>
      </c>
      <c r="D205" s="42">
        <v>100</v>
      </c>
      <c r="E205" s="42" t="s">
        <v>17</v>
      </c>
    </row>
    <row r="206" spans="1:5">
      <c r="A206" s="42" t="s">
        <v>81</v>
      </c>
      <c r="B206" s="42">
        <v>0</v>
      </c>
      <c r="C206" s="42" t="s">
        <v>964</v>
      </c>
      <c r="D206" s="42">
        <v>250</v>
      </c>
      <c r="E206" s="42" t="s">
        <v>17</v>
      </c>
    </row>
    <row r="207" spans="1:5">
      <c r="A207" s="42" t="s">
        <v>81</v>
      </c>
      <c r="B207" s="42">
        <v>0</v>
      </c>
      <c r="C207" s="42" t="s">
        <v>965</v>
      </c>
      <c r="D207" s="42">
        <v>499</v>
      </c>
      <c r="E207" s="42" t="s">
        <v>17</v>
      </c>
    </row>
    <row r="208" spans="1:5">
      <c r="A208" s="42" t="s">
        <v>81</v>
      </c>
      <c r="B208" s="42">
        <v>0</v>
      </c>
      <c r="C208" s="42" t="s">
        <v>1012</v>
      </c>
      <c r="D208" s="42">
        <v>60</v>
      </c>
      <c r="E208" s="42" t="s">
        <v>17</v>
      </c>
    </row>
    <row r="209" spans="1:5">
      <c r="A209" s="42" t="s">
        <v>81</v>
      </c>
      <c r="B209" s="42">
        <v>0</v>
      </c>
      <c r="C209" s="42" t="s">
        <v>1029</v>
      </c>
      <c r="D209" s="42">
        <v>1</v>
      </c>
      <c r="E209" s="42" t="s">
        <v>17</v>
      </c>
    </row>
    <row r="210" spans="1:5">
      <c r="A210" s="42" t="s">
        <v>81</v>
      </c>
      <c r="B210" s="42">
        <v>0</v>
      </c>
      <c r="C210" s="42" t="s">
        <v>1079</v>
      </c>
      <c r="D210" s="42">
        <v>1980</v>
      </c>
      <c r="E210" s="42" t="s">
        <v>17</v>
      </c>
    </row>
    <row r="211" spans="1:5">
      <c r="A211" s="42" t="s">
        <v>81</v>
      </c>
      <c r="B211" s="42">
        <v>0</v>
      </c>
      <c r="C211" s="42" t="s">
        <v>1083</v>
      </c>
      <c r="D211" s="42">
        <v>2</v>
      </c>
      <c r="E211" s="42" t="s">
        <v>17</v>
      </c>
    </row>
    <row r="212" spans="1:5">
      <c r="A212" s="42" t="s">
        <v>81</v>
      </c>
      <c r="B212" s="42">
        <v>0</v>
      </c>
      <c r="C212" s="42" t="s">
        <v>1104</v>
      </c>
      <c r="D212" s="42">
        <v>5</v>
      </c>
      <c r="E212" s="42" t="s">
        <v>17</v>
      </c>
    </row>
    <row r="213" spans="1:5">
      <c r="A213" s="42" t="s">
        <v>81</v>
      </c>
      <c r="B213" s="42">
        <v>0</v>
      </c>
      <c r="C213" s="42" t="s">
        <v>2244</v>
      </c>
      <c r="D213" s="42">
        <v>20</v>
      </c>
      <c r="E213" s="42" t="s">
        <v>17</v>
      </c>
    </row>
    <row r="214" spans="1:5">
      <c r="A214" s="42" t="s">
        <v>81</v>
      </c>
      <c r="B214" s="42">
        <v>0</v>
      </c>
      <c r="C214" s="42" t="s">
        <v>1123</v>
      </c>
      <c r="D214" s="42">
        <v>60</v>
      </c>
      <c r="E214" s="42" t="s">
        <v>17</v>
      </c>
    </row>
    <row r="215" spans="1:5">
      <c r="A215" s="42" t="s">
        <v>81</v>
      </c>
      <c r="B215" s="42">
        <v>0</v>
      </c>
      <c r="C215" s="42" t="s">
        <v>2254</v>
      </c>
      <c r="D215" s="42">
        <v>2200</v>
      </c>
      <c r="E215" s="42" t="s">
        <v>17</v>
      </c>
    </row>
    <row r="216" spans="1:5">
      <c r="A216" s="42" t="s">
        <v>81</v>
      </c>
      <c r="B216" s="42">
        <v>0</v>
      </c>
      <c r="C216" s="42" t="s">
        <v>2262</v>
      </c>
      <c r="D216" s="42">
        <v>104</v>
      </c>
      <c r="E216" s="42" t="s">
        <v>17</v>
      </c>
    </row>
    <row r="217" spans="1:5">
      <c r="A217" s="42" t="s">
        <v>81</v>
      </c>
      <c r="B217" s="42">
        <v>0</v>
      </c>
      <c r="C217" s="42" t="s">
        <v>2263</v>
      </c>
      <c r="D217" s="42">
        <v>124</v>
      </c>
      <c r="E217" s="42" t="s">
        <v>17</v>
      </c>
    </row>
    <row r="218" spans="1:5">
      <c r="A218" s="42" t="s">
        <v>81</v>
      </c>
      <c r="B218" s="42">
        <v>0</v>
      </c>
      <c r="C218" s="42" t="s">
        <v>2264</v>
      </c>
      <c r="D218" s="42">
        <v>209</v>
      </c>
      <c r="E218" s="42" t="s">
        <v>17</v>
      </c>
    </row>
    <row r="219" spans="1:5">
      <c r="A219" s="42" t="s">
        <v>81</v>
      </c>
      <c r="B219" s="42">
        <v>0</v>
      </c>
      <c r="C219" s="42" t="s">
        <v>2265</v>
      </c>
      <c r="D219" s="42">
        <v>172</v>
      </c>
      <c r="E219" s="42" t="s">
        <v>17</v>
      </c>
    </row>
    <row r="220" spans="1:5">
      <c r="A220" s="42" t="s">
        <v>81</v>
      </c>
      <c r="B220" s="42">
        <v>0</v>
      </c>
      <c r="C220" s="42" t="s">
        <v>2266</v>
      </c>
      <c r="D220" s="42">
        <v>98</v>
      </c>
      <c r="E220" s="42" t="s">
        <v>17</v>
      </c>
    </row>
    <row r="221" spans="1:5">
      <c r="A221" s="42" t="s">
        <v>81</v>
      </c>
      <c r="B221" s="42">
        <v>0</v>
      </c>
      <c r="C221" s="42" t="s">
        <v>2267</v>
      </c>
      <c r="D221" s="42">
        <v>50</v>
      </c>
      <c r="E221" s="42" t="s">
        <v>17</v>
      </c>
    </row>
    <row r="222" spans="1:5">
      <c r="A222" s="42" t="s">
        <v>81</v>
      </c>
      <c r="B222" s="42">
        <v>0</v>
      </c>
      <c r="C222" s="42" t="s">
        <v>2269</v>
      </c>
      <c r="D222" s="42">
        <v>98</v>
      </c>
      <c r="E222" s="42" t="s">
        <v>17</v>
      </c>
    </row>
    <row r="223" spans="1:5">
      <c r="A223" s="42" t="s">
        <v>81</v>
      </c>
      <c r="B223" s="42">
        <v>0</v>
      </c>
      <c r="C223" s="42" t="s">
        <v>2285</v>
      </c>
      <c r="D223" s="42">
        <v>132</v>
      </c>
      <c r="E223" s="42" t="s">
        <v>17</v>
      </c>
    </row>
    <row r="224" spans="1:5">
      <c r="A224" s="42" t="s">
        <v>81</v>
      </c>
      <c r="B224" s="42">
        <v>0</v>
      </c>
      <c r="C224" s="42" t="s">
        <v>2287</v>
      </c>
      <c r="D224" s="42">
        <v>215</v>
      </c>
      <c r="E224" s="42" t="s">
        <v>17</v>
      </c>
    </row>
    <row r="225" spans="1:5">
      <c r="A225" s="42" t="s">
        <v>81</v>
      </c>
      <c r="B225" s="42">
        <v>0</v>
      </c>
      <c r="C225" s="42" t="s">
        <v>2288</v>
      </c>
      <c r="D225" s="42">
        <v>92</v>
      </c>
      <c r="E225" s="42" t="s">
        <v>17</v>
      </c>
    </row>
    <row r="226" spans="1:5">
      <c r="A226" s="42" t="s">
        <v>81</v>
      </c>
      <c r="B226" s="42">
        <v>0</v>
      </c>
      <c r="C226" s="42" t="s">
        <v>2291</v>
      </c>
      <c r="D226" s="42">
        <v>55</v>
      </c>
      <c r="E226" s="42" t="s">
        <v>17</v>
      </c>
    </row>
    <row r="227" spans="1:5">
      <c r="A227" s="42" t="s">
        <v>81</v>
      </c>
      <c r="B227" s="42">
        <v>0</v>
      </c>
      <c r="C227" s="42" t="s">
        <v>1130</v>
      </c>
      <c r="D227" s="42">
        <v>134</v>
      </c>
      <c r="E227" s="42" t="s">
        <v>17</v>
      </c>
    </row>
    <row r="228" spans="1:5">
      <c r="A228" s="42" t="s">
        <v>81</v>
      </c>
      <c r="B228" s="42">
        <v>0</v>
      </c>
      <c r="C228" s="42" t="s">
        <v>1138</v>
      </c>
      <c r="D228" s="42">
        <v>10</v>
      </c>
      <c r="E228" s="42" t="s">
        <v>17</v>
      </c>
    </row>
    <row r="229" spans="1:5">
      <c r="A229" s="42" t="s">
        <v>81</v>
      </c>
      <c r="B229" s="42">
        <v>0</v>
      </c>
      <c r="C229" s="42" t="s">
        <v>1139</v>
      </c>
      <c r="D229" s="42">
        <v>10</v>
      </c>
      <c r="E229" s="42" t="s">
        <v>17</v>
      </c>
    </row>
    <row r="230" spans="1:5">
      <c r="A230" s="42" t="s">
        <v>81</v>
      </c>
      <c r="B230" s="42">
        <v>0</v>
      </c>
      <c r="C230" s="42" t="s">
        <v>1163</v>
      </c>
      <c r="D230" s="42">
        <v>20</v>
      </c>
      <c r="E230" s="42" t="s">
        <v>17</v>
      </c>
    </row>
    <row r="231" spans="1:5">
      <c r="A231" s="42" t="s">
        <v>81</v>
      </c>
      <c r="B231" s="42">
        <v>0</v>
      </c>
      <c r="C231" s="42" t="s">
        <v>1170</v>
      </c>
      <c r="D231" s="42">
        <v>20</v>
      </c>
      <c r="E231" s="42" t="s">
        <v>17</v>
      </c>
    </row>
    <row r="232" spans="1:5">
      <c r="A232" s="42" t="s">
        <v>81</v>
      </c>
      <c r="B232" s="42">
        <v>0</v>
      </c>
      <c r="C232" s="42" t="s">
        <v>1173</v>
      </c>
      <c r="D232" s="42">
        <v>277</v>
      </c>
      <c r="E232" s="42" t="s">
        <v>17</v>
      </c>
    </row>
    <row r="233" spans="1:5">
      <c r="A233" s="42" t="s">
        <v>81</v>
      </c>
      <c r="B233" s="42">
        <v>0</v>
      </c>
      <c r="C233" s="42" t="s">
        <v>1174</v>
      </c>
      <c r="D233" s="42">
        <v>500</v>
      </c>
      <c r="E233" s="42" t="s">
        <v>17</v>
      </c>
    </row>
    <row r="234" spans="1:5">
      <c r="A234" s="42" t="s">
        <v>81</v>
      </c>
      <c r="B234" s="42">
        <v>0</v>
      </c>
      <c r="C234" s="42" t="s">
        <v>1175</v>
      </c>
      <c r="D234" s="42">
        <v>500</v>
      </c>
      <c r="E234" s="42" t="s">
        <v>17</v>
      </c>
    </row>
    <row r="235" spans="1:5">
      <c r="A235" s="42" t="s">
        <v>81</v>
      </c>
      <c r="B235" s="42">
        <v>0</v>
      </c>
      <c r="C235" s="42" t="s">
        <v>1180</v>
      </c>
      <c r="D235" s="42">
        <v>47880</v>
      </c>
      <c r="E235" s="42" t="s">
        <v>17</v>
      </c>
    </row>
    <row r="236" spans="1:5">
      <c r="A236" s="42" t="s">
        <v>81</v>
      </c>
      <c r="B236" s="42">
        <v>0</v>
      </c>
      <c r="C236" s="42" t="s">
        <v>1181</v>
      </c>
      <c r="D236" s="42">
        <v>17424</v>
      </c>
      <c r="E236" s="42" t="s">
        <v>17</v>
      </c>
    </row>
    <row r="237" spans="1:5">
      <c r="A237" s="42" t="s">
        <v>81</v>
      </c>
      <c r="B237" s="42">
        <v>0</v>
      </c>
      <c r="C237" s="42" t="s">
        <v>1182</v>
      </c>
      <c r="D237" s="42">
        <v>3600</v>
      </c>
      <c r="E237" s="42" t="s">
        <v>17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7"/>
  <sheetViews>
    <sheetView showRowColHeaders="0" workbookViewId="0">
      <selection activeCell="C20" sqref="C20"/>
    </sheetView>
  </sheetViews>
  <sheetFormatPr defaultRowHeight="15"/>
  <cols>
    <col min="1" max="1" width="21.42578125" customWidth="1"/>
    <col min="2" max="2" width="42" customWidth="1"/>
    <col min="3" max="3" width="24.28515625" customWidth="1"/>
    <col min="4" max="4" width="30.5703125" style="43" customWidth="1"/>
    <col min="5" max="7" width="30.5703125" customWidth="1"/>
  </cols>
  <sheetData>
    <row r="1" spans="1:6" ht="21.75" thickBot="1">
      <c r="C1" s="51" t="s">
        <v>99</v>
      </c>
      <c r="D1" s="51"/>
    </row>
    <row r="2" spans="1:6" ht="21.75" thickTop="1">
      <c r="C2" s="46"/>
      <c r="D2" s="47"/>
    </row>
    <row r="3" spans="1:6" ht="21.75" thickBot="1">
      <c r="C3" s="48" t="s">
        <v>93</v>
      </c>
      <c r="D3" s="45">
        <v>13</v>
      </c>
    </row>
    <row r="4" spans="1:6" ht="22.5" thickTop="1" thickBot="1">
      <c r="C4" s="48" t="s">
        <v>94</v>
      </c>
      <c r="D4" s="45" t="s">
        <v>164</v>
      </c>
    </row>
    <row r="5" spans="1:6" ht="22.5" thickTop="1" thickBot="1">
      <c r="C5" s="48" t="s">
        <v>95</v>
      </c>
      <c r="D5" s="45" t="s">
        <v>34</v>
      </c>
    </row>
    <row r="6" spans="1:6" ht="22.5" thickTop="1" thickBot="1">
      <c r="C6" s="48" t="s">
        <v>96</v>
      </c>
      <c r="D6" s="45" t="s">
        <v>1623</v>
      </c>
    </row>
    <row r="7" spans="1:6" ht="22.5" thickTop="1" thickBot="1">
      <c r="A7" s="52" t="s">
        <v>162</v>
      </c>
      <c r="B7" s="52"/>
      <c r="C7" s="48" t="s">
        <v>97</v>
      </c>
      <c r="D7" s="45" t="s">
        <v>1624</v>
      </c>
      <c r="E7" s="53" t="s">
        <v>163</v>
      </c>
      <c r="F7" s="53"/>
    </row>
    <row r="8" spans="1:6" ht="15.75" thickTop="1">
      <c r="A8" s="42" t="s">
        <v>109</v>
      </c>
      <c r="B8" s="42" t="s">
        <v>110</v>
      </c>
      <c r="E8" s="42" t="s">
        <v>160</v>
      </c>
      <c r="F8" s="42" t="s">
        <v>161</v>
      </c>
    </row>
    <row r="9" spans="1:6">
      <c r="A9" s="44" t="s">
        <v>98</v>
      </c>
      <c r="B9" s="42" t="s">
        <v>100</v>
      </c>
      <c r="E9" s="44" t="s">
        <v>98</v>
      </c>
      <c r="F9" s="42" t="s">
        <v>111</v>
      </c>
    </row>
    <row r="10" spans="1:6">
      <c r="A10" s="44" t="s">
        <v>164</v>
      </c>
      <c r="B10" s="42" t="s">
        <v>101</v>
      </c>
      <c r="E10" s="44" t="s">
        <v>164</v>
      </c>
      <c r="F10" s="42" t="s">
        <v>112</v>
      </c>
    </row>
    <row r="11" spans="1:6" ht="15" customHeight="1">
      <c r="A11" s="44" t="s">
        <v>165</v>
      </c>
      <c r="B11" s="42" t="s">
        <v>102</v>
      </c>
      <c r="E11" s="44" t="s">
        <v>165</v>
      </c>
      <c r="F11" s="42" t="s">
        <v>113</v>
      </c>
    </row>
    <row r="12" spans="1:6" ht="15" customHeight="1">
      <c r="A12" s="44" t="s">
        <v>166</v>
      </c>
      <c r="B12" s="42" t="s">
        <v>103</v>
      </c>
      <c r="E12" s="44" t="s">
        <v>166</v>
      </c>
      <c r="F12" s="42" t="s">
        <v>114</v>
      </c>
    </row>
    <row r="13" spans="1:6" ht="15" customHeight="1">
      <c r="A13" s="44" t="s">
        <v>167</v>
      </c>
      <c r="B13" s="42" t="s">
        <v>104</v>
      </c>
      <c r="E13" s="44" t="s">
        <v>167</v>
      </c>
      <c r="F13" s="42" t="s">
        <v>115</v>
      </c>
    </row>
    <row r="14" spans="1:6" ht="15" customHeight="1">
      <c r="A14" s="44" t="s">
        <v>168</v>
      </c>
      <c r="B14" s="42" t="s">
        <v>105</v>
      </c>
      <c r="E14" s="44" t="s">
        <v>168</v>
      </c>
      <c r="F14" s="42" t="s">
        <v>116</v>
      </c>
    </row>
    <row r="15" spans="1:6" ht="15" customHeight="1">
      <c r="A15" s="44" t="s">
        <v>169</v>
      </c>
      <c r="B15" s="42" t="s">
        <v>106</v>
      </c>
      <c r="E15" s="44" t="s">
        <v>169</v>
      </c>
      <c r="F15" s="42" t="s">
        <v>117</v>
      </c>
    </row>
    <row r="16" spans="1:6" ht="15" customHeight="1">
      <c r="A16" s="44" t="s">
        <v>170</v>
      </c>
      <c r="B16" s="42" t="s">
        <v>107</v>
      </c>
      <c r="E16" s="44" t="s">
        <v>170</v>
      </c>
      <c r="F16" s="42" t="s">
        <v>118</v>
      </c>
    </row>
    <row r="17" spans="1:6" ht="15" customHeight="1">
      <c r="A17" s="44" t="s">
        <v>171</v>
      </c>
      <c r="B17" s="42" t="s">
        <v>108</v>
      </c>
      <c r="E17" s="44" t="s">
        <v>171</v>
      </c>
      <c r="F17" s="42" t="s">
        <v>119</v>
      </c>
    </row>
    <row r="18" spans="1:6" ht="15" customHeight="1">
      <c r="E18" s="44">
        <v>10</v>
      </c>
      <c r="F18" s="42" t="s">
        <v>120</v>
      </c>
    </row>
    <row r="19" spans="1:6">
      <c r="E19" s="44">
        <v>11</v>
      </c>
      <c r="F19" s="42" t="s">
        <v>121</v>
      </c>
    </row>
    <row r="20" spans="1:6">
      <c r="E20" s="44">
        <v>15</v>
      </c>
      <c r="F20" s="42" t="s">
        <v>122</v>
      </c>
    </row>
    <row r="21" spans="1:6">
      <c r="E21" s="44">
        <v>16</v>
      </c>
      <c r="F21" s="42" t="s">
        <v>123</v>
      </c>
    </row>
    <row r="22" spans="1:6">
      <c r="E22" s="44">
        <v>18</v>
      </c>
      <c r="F22" s="42" t="s">
        <v>124</v>
      </c>
    </row>
    <row r="23" spans="1:6">
      <c r="E23" s="44">
        <v>21</v>
      </c>
      <c r="F23" s="42" t="s">
        <v>125</v>
      </c>
    </row>
    <row r="24" spans="1:6">
      <c r="E24" s="44">
        <v>22</v>
      </c>
      <c r="F24" s="42" t="s">
        <v>126</v>
      </c>
    </row>
    <row r="25" spans="1:6">
      <c r="E25" s="44">
        <v>23</v>
      </c>
      <c r="F25" s="42" t="s">
        <v>127</v>
      </c>
    </row>
    <row r="26" spans="1:6">
      <c r="E26" s="44">
        <v>24</v>
      </c>
      <c r="F26" s="42" t="s">
        <v>128</v>
      </c>
    </row>
    <row r="27" spans="1:6">
      <c r="E27" s="44">
        <v>25</v>
      </c>
      <c r="F27" s="42" t="s">
        <v>129</v>
      </c>
    </row>
    <row r="28" spans="1:6">
      <c r="E28" s="44">
        <v>27</v>
      </c>
      <c r="F28" s="42" t="s">
        <v>130</v>
      </c>
    </row>
    <row r="29" spans="1:6">
      <c r="E29" s="44">
        <v>28</v>
      </c>
      <c r="F29" s="42" t="s">
        <v>131</v>
      </c>
    </row>
    <row r="30" spans="1:6">
      <c r="E30" s="44">
        <v>30</v>
      </c>
      <c r="F30" s="42" t="s">
        <v>132</v>
      </c>
    </row>
    <row r="31" spans="1:6">
      <c r="E31" s="44">
        <v>31</v>
      </c>
      <c r="F31" s="42" t="s">
        <v>133</v>
      </c>
    </row>
    <row r="32" spans="1:6">
      <c r="E32" s="44">
        <v>32</v>
      </c>
      <c r="F32" s="42" t="s">
        <v>134</v>
      </c>
    </row>
    <row r="33" spans="5:6">
      <c r="E33" s="44">
        <v>33</v>
      </c>
      <c r="F33" s="42" t="s">
        <v>135</v>
      </c>
    </row>
    <row r="34" spans="5:6">
      <c r="E34" s="44">
        <v>34</v>
      </c>
      <c r="F34" s="42" t="s">
        <v>136</v>
      </c>
    </row>
    <row r="35" spans="5:6">
      <c r="E35" s="44">
        <v>35</v>
      </c>
      <c r="F35" s="42" t="s">
        <v>137</v>
      </c>
    </row>
    <row r="36" spans="5:6">
      <c r="E36" s="44">
        <v>36</v>
      </c>
      <c r="F36" s="42" t="s">
        <v>138</v>
      </c>
    </row>
    <row r="37" spans="5:6">
      <c r="E37" s="44">
        <v>37</v>
      </c>
      <c r="F37" s="42" t="s">
        <v>139</v>
      </c>
    </row>
    <row r="38" spans="5:6">
      <c r="E38" s="44">
        <v>38</v>
      </c>
      <c r="F38" s="42" t="s">
        <v>140</v>
      </c>
    </row>
    <row r="39" spans="5:6">
      <c r="E39" s="44">
        <v>39</v>
      </c>
      <c r="F39" s="42" t="s">
        <v>141</v>
      </c>
    </row>
    <row r="40" spans="5:6">
      <c r="E40" s="44">
        <v>40</v>
      </c>
      <c r="F40" s="42" t="s">
        <v>142</v>
      </c>
    </row>
    <row r="41" spans="5:6">
      <c r="E41" s="44">
        <v>41</v>
      </c>
      <c r="F41" s="42" t="s">
        <v>143</v>
      </c>
    </row>
    <row r="42" spans="5:6">
      <c r="E42" s="44">
        <v>42</v>
      </c>
      <c r="F42" s="42" t="s">
        <v>144</v>
      </c>
    </row>
    <row r="43" spans="5:6">
      <c r="E43" s="44">
        <v>43</v>
      </c>
      <c r="F43" s="42" t="s">
        <v>145</v>
      </c>
    </row>
    <row r="44" spans="5:6">
      <c r="E44" s="44">
        <v>44</v>
      </c>
      <c r="F44" s="42" t="s">
        <v>146</v>
      </c>
    </row>
    <row r="45" spans="5:6">
      <c r="E45" s="44">
        <v>45</v>
      </c>
      <c r="F45" s="42" t="s">
        <v>147</v>
      </c>
    </row>
    <row r="46" spans="5:6">
      <c r="E46" s="44">
        <v>46</v>
      </c>
      <c r="F46" s="42" t="s">
        <v>148</v>
      </c>
    </row>
    <row r="47" spans="5:6">
      <c r="E47" s="44">
        <v>47</v>
      </c>
      <c r="F47" s="42" t="s">
        <v>149</v>
      </c>
    </row>
    <row r="48" spans="5:6">
      <c r="E48" s="44">
        <v>48</v>
      </c>
      <c r="F48" s="42" t="s">
        <v>150</v>
      </c>
    </row>
    <row r="49" spans="5:6">
      <c r="E49" s="44">
        <v>49</v>
      </c>
      <c r="F49" s="42" t="s">
        <v>151</v>
      </c>
    </row>
    <row r="50" spans="5:6">
      <c r="E50" s="44">
        <v>61</v>
      </c>
      <c r="F50" s="42" t="s">
        <v>152</v>
      </c>
    </row>
    <row r="51" spans="5:6">
      <c r="E51" s="44">
        <v>62</v>
      </c>
      <c r="F51" s="42" t="s">
        <v>153</v>
      </c>
    </row>
    <row r="52" spans="5:6">
      <c r="E52" s="44">
        <v>63</v>
      </c>
      <c r="F52" s="42" t="s">
        <v>154</v>
      </c>
    </row>
    <row r="53" spans="5:6">
      <c r="E53" s="44">
        <v>64</v>
      </c>
      <c r="F53" s="42" t="s">
        <v>155</v>
      </c>
    </row>
    <row r="54" spans="5:6">
      <c r="E54" s="44">
        <v>65</v>
      </c>
      <c r="F54" s="42" t="s">
        <v>156</v>
      </c>
    </row>
    <row r="55" spans="5:6">
      <c r="E55" s="44">
        <v>66</v>
      </c>
      <c r="F55" s="42" t="s">
        <v>157</v>
      </c>
    </row>
    <row r="56" spans="5:6">
      <c r="E56" s="44">
        <v>67</v>
      </c>
      <c r="F56" s="42" t="s">
        <v>158</v>
      </c>
    </row>
    <row r="57" spans="5:6">
      <c r="E57" s="44">
        <v>68</v>
      </c>
      <c r="F57" s="42" t="s">
        <v>159</v>
      </c>
    </row>
  </sheetData>
  <mergeCells count="3">
    <mergeCell ref="C1:D1"/>
    <mergeCell ref="A7:B7"/>
    <mergeCell ref="E7:F7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L97"/>
  <sheetViews>
    <sheetView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B7" sqref="B7"/>
    </sheetView>
  </sheetViews>
  <sheetFormatPr defaultRowHeight="12"/>
  <cols>
    <col min="1" max="1" width="7.7109375" style="1" bestFit="1" customWidth="1"/>
    <col min="2" max="2" width="36.140625" style="2" customWidth="1"/>
    <col min="3" max="3" width="10" style="2" bestFit="1" customWidth="1"/>
    <col min="4" max="4" width="14.5703125" style="2" customWidth="1"/>
    <col min="5" max="5" width="26.28515625" style="4" customWidth="1"/>
    <col min="6" max="6" width="5.42578125" style="4" bestFit="1" customWidth="1"/>
    <col min="7" max="8" width="4.140625" style="1" customWidth="1"/>
    <col min="9" max="9" width="4.42578125" style="1" customWidth="1"/>
    <col min="10" max="13" width="4.140625" style="1" customWidth="1"/>
    <col min="14" max="15" width="4.42578125" style="1" customWidth="1"/>
    <col min="16" max="16" width="5" style="1" customWidth="1"/>
    <col min="17" max="17" width="5" style="1" bestFit="1" customWidth="1"/>
    <col min="18" max="20" width="5" style="1" customWidth="1"/>
    <col min="21" max="21" width="5" style="1" bestFit="1" customWidth="1"/>
    <col min="22" max="24" width="5" style="1" customWidth="1"/>
    <col min="25" max="25" width="5" style="1" bestFit="1" customWidth="1"/>
    <col min="26" max="28" width="5" style="1" customWidth="1"/>
    <col min="29" max="29" width="5.28515625" style="1" bestFit="1" customWidth="1"/>
    <col min="30" max="31" width="5" style="1" customWidth="1"/>
    <col min="32" max="32" width="5" style="1" bestFit="1" customWidth="1"/>
    <col min="33" max="33" width="5" style="1" customWidth="1"/>
    <col min="34" max="34" width="5" style="1" bestFit="1" customWidth="1"/>
    <col min="35" max="35" width="5" style="1" customWidth="1"/>
    <col min="36" max="36" width="5.28515625" style="1" customWidth="1"/>
    <col min="37" max="37" width="5" style="1" customWidth="1"/>
    <col min="38" max="38" width="6.85546875" style="1" customWidth="1"/>
    <col min="39" max="16384" width="9.140625" style="1"/>
  </cols>
  <sheetData>
    <row r="1" spans="1:38" ht="27" thickBot="1">
      <c r="A1" s="54" t="s">
        <v>50</v>
      </c>
      <c r="B1" s="54"/>
      <c r="G1" s="56" t="s">
        <v>75</v>
      </c>
      <c r="H1" s="56"/>
      <c r="I1" s="56"/>
      <c r="J1" s="56"/>
      <c r="K1" s="56"/>
      <c r="L1" s="13" t="s">
        <v>17</v>
      </c>
      <c r="M1" s="21" t="s">
        <v>63</v>
      </c>
      <c r="N1" s="20" t="s">
        <v>18</v>
      </c>
      <c r="O1" s="18" t="s">
        <v>76</v>
      </c>
      <c r="P1" s="19" t="s">
        <v>74</v>
      </c>
    </row>
    <row r="2" spans="1:38" ht="13.5" thickTop="1">
      <c r="D2" s="55" t="s">
        <v>66</v>
      </c>
      <c r="E2" s="55"/>
    </row>
    <row r="3" spans="1:38" ht="30.75" customHeight="1">
      <c r="G3" s="7" t="str">
        <f>MID(CHOOSE(WEEKDAY(DATE(MasterSheet!$B1,MasterSheet!$A1,Table_ExternalData_1[[#Headers],[1]])),"Sunday","Monday","Tuesday","Wednesday","Thursday","Friday","Saturday"),1,3)</f>
        <v>Wed</v>
      </c>
      <c r="H3" s="7" t="str">
        <f>MID(CHOOSE(WEEKDAY(DATE(MasterSheet!$B1,MasterSheet!$A1,Table_ExternalData_1[[#Headers],[2]])),"Sunday","Monday","Tuesday","Wednesday","Thursday","Friday","Saturday"),1,3)</f>
        <v>Thu</v>
      </c>
      <c r="I3" s="7" t="str">
        <f>MID(CHOOSE(WEEKDAY(DATE(MasterSheet!$B1,MasterSheet!$A1,Table_ExternalData_1[[#Headers],[3]])),"Sunday","Monday","Tuesday","Wednesday","Thursday","Friday","Saturday"),1,3)</f>
        <v>Fri</v>
      </c>
      <c r="J3" s="7" t="str">
        <f>MID(CHOOSE(WEEKDAY(DATE(MasterSheet!$B1,MasterSheet!$A1,Table_ExternalData_1[[#Headers],[4]])),"Sunday","Monday","Tuesday","Wednesday","Thursday","Friday","Saturday"),1,3)</f>
        <v>Sat</v>
      </c>
      <c r="K3" s="7" t="str">
        <f>MID(CHOOSE(WEEKDAY(DATE(MasterSheet!$B1,MasterSheet!$A1,Table_ExternalData_1[[#Headers],[5]])),"Sunday","Monday","Tuesday","Wednesday","Thursday","Friday","Saturday"),1,3)</f>
        <v>Sun</v>
      </c>
      <c r="L3" s="7" t="str">
        <f>MID(CHOOSE(WEEKDAY(DATE(MasterSheet!$B1,MasterSheet!$A1,Table_ExternalData_1[[#Headers],[2]])),"Sunday","Monday","Tuesday","Wednesday","Thursday","Friday","Saturday"),1,3)</f>
        <v>Thu</v>
      </c>
      <c r="M3" s="7" t="str">
        <f>MID(CHOOSE(WEEKDAY(DATE(MasterSheet!$B1,MasterSheet!$A1,Table_ExternalData_1[[#Headers],[3]])),"Sunday","Monday","Tuesday","Wednesday","Thursday","Friday","Saturday"),1,3)</f>
        <v>Fri</v>
      </c>
      <c r="N3" s="7" t="str">
        <f>MID(CHOOSE(WEEKDAY(DATE(MasterSheet!$B1,MasterSheet!$A1,Table_ExternalData_1[[#Headers],[4]])),"Sunday","Monday","Tuesday","Wednesday","Thursday","Friday","Saturday"),1,3)</f>
        <v>Sat</v>
      </c>
      <c r="O3" s="7" t="str">
        <f>MID(CHOOSE(WEEKDAY(DATE(MasterSheet!$B1,MasterSheet!$A1,Table_ExternalData_1[[#Headers],[5]])),"Sunday","Monday","Tuesday","Wednesday","Thursday","Friday","Saturday"),1,3)</f>
        <v>Sun</v>
      </c>
      <c r="P3" s="7" t="str">
        <f>MID(CHOOSE(WEEKDAY(DATE(MasterSheet!$B1,MasterSheet!$A1,Table_ExternalData_1[[#Headers],[6]])),"Sunday","Monday","Tuesday","Wednesday","Thursday","Friday","Saturday"),1,3)</f>
        <v>Mon</v>
      </c>
      <c r="Q3" s="7" t="str">
        <f>MID(CHOOSE(WEEKDAY(DATE(MasterSheet!$B1,MasterSheet!$A1,Table_ExternalData_1[[#Headers],[3]])),"Sunday","Monday","Tuesday","Wednesday","Thursday","Friday","Saturday"),1,3)</f>
        <v>Fri</v>
      </c>
      <c r="R3" s="7" t="str">
        <f>MID(CHOOSE(WEEKDAY(DATE(MasterSheet!$B1,MasterSheet!$A1,Table_ExternalData_1[[#Headers],[4]])),"Sunday","Monday","Tuesday","Wednesday","Thursday","Friday","Saturday"),1,3)</f>
        <v>Sat</v>
      </c>
      <c r="S3" s="7" t="str">
        <f>MID(CHOOSE(WEEKDAY(DATE(MasterSheet!$B1,MasterSheet!$A1,Table_ExternalData_1[[#Headers],[5]])),"Sunday","Monday","Tuesday","Wednesday","Thursday","Friday","Saturday"),1,3)</f>
        <v>Sun</v>
      </c>
      <c r="T3" s="7" t="str">
        <f>MID(CHOOSE(WEEKDAY(DATE(MasterSheet!$B1,MasterSheet!$A1,Table_ExternalData_1[[#Headers],[6]])),"Sunday","Monday","Tuesday","Wednesday","Thursday","Friday","Saturday"),1,3)</f>
        <v>Mon</v>
      </c>
      <c r="U3" s="7" t="str">
        <f>MID(CHOOSE(WEEKDAY(DATE(MasterSheet!$B1,MasterSheet!$A1,Table_ExternalData_1[[#Headers],[7]])),"Sunday","Monday","Tuesday","Wednesday","Thursday","Friday","Saturday"),1,3)</f>
        <v>Tue</v>
      </c>
      <c r="V3" s="7" t="str">
        <f>MID(CHOOSE(WEEKDAY(DATE(MasterSheet!$B1,MasterSheet!$A1,Table_ExternalData_1[[#Headers],[4]])),"Sunday","Monday","Tuesday","Wednesday","Thursday","Friday","Saturday"),1,3)</f>
        <v>Sat</v>
      </c>
      <c r="W3" s="7" t="str">
        <f>MID(CHOOSE(WEEKDAY(DATE(MasterSheet!$B1,MasterSheet!$A1,Table_ExternalData_1[[#Headers],[5]])),"Sunday","Monday","Tuesday","Wednesday","Thursday","Friday","Saturday"),1,3)</f>
        <v>Sun</v>
      </c>
      <c r="X3" s="7" t="str">
        <f>MID(CHOOSE(WEEKDAY(DATE(MasterSheet!$B1,MasterSheet!$A1,Table_ExternalData_1[[#Headers],[6]])),"Sunday","Monday","Tuesday","Wednesday","Thursday","Friday","Saturday"),1,3)</f>
        <v>Mon</v>
      </c>
      <c r="Y3" s="7" t="str">
        <f>MID(CHOOSE(WEEKDAY(DATE(MasterSheet!$B1,MasterSheet!$A1,Table_ExternalData_1[[#Headers],[7]])),"Sunday","Monday","Tuesday","Wednesday","Thursday","Friday","Saturday"),1,3)</f>
        <v>Tue</v>
      </c>
      <c r="Z3" s="7" t="str">
        <f>MID(CHOOSE(WEEKDAY(DATE(MasterSheet!$B1,MasterSheet!$A1,Table_ExternalData_1[[#Headers],[8]])),"Sunday","Monday","Tuesday","Wednesday","Thursday","Friday","Saturday"),1,3)</f>
        <v>Wed</v>
      </c>
      <c r="AA3" s="7" t="str">
        <f>MID(CHOOSE(WEEKDAY(DATE(MasterSheet!$B1,MasterSheet!$A1,Table_ExternalData_1[[#Headers],[5]])),"Sunday","Monday","Tuesday","Wednesday","Thursday","Friday","Saturday"),1,3)</f>
        <v>Sun</v>
      </c>
      <c r="AB3" s="7" t="str">
        <f>MID(CHOOSE(WEEKDAY(DATE(MasterSheet!$B1,MasterSheet!$A1,Table_ExternalData_1[[#Headers],[6]])),"Sunday","Monday","Tuesday","Wednesday","Thursday","Friday","Saturday"),1,3)</f>
        <v>Mon</v>
      </c>
      <c r="AC3" s="7" t="str">
        <f>MID(CHOOSE(WEEKDAY(DATE(MasterSheet!$B1,MasterSheet!$A1,Table_ExternalData_1[[#Headers],[7]])),"Sunday","Monday","Tuesday","Wednesday","Thursday","Friday","Saturday"),1,3)</f>
        <v>Tue</v>
      </c>
      <c r="AD3" s="7" t="str">
        <f>MID(CHOOSE(WEEKDAY(DATE(MasterSheet!$B1,MasterSheet!$A1,Table_ExternalData_1[[#Headers],[8]])),"Sunday","Monday","Tuesday","Wednesday","Thursday","Friday","Saturday"),1,3)</f>
        <v>Wed</v>
      </c>
      <c r="AE3" s="7" t="str">
        <f>MID(CHOOSE(WEEKDAY(DATE(MasterSheet!$B1,MasterSheet!$A1,Table_ExternalData_1[[#Headers],[9]])),"Sunday","Monday","Tuesday","Wednesday","Thursday","Friday","Saturday"),1,3)</f>
        <v>Thu</v>
      </c>
      <c r="AF3" s="7" t="str">
        <f>MID(CHOOSE(WEEKDAY(DATE(MasterSheet!$B1,MasterSheet!$A1,Table_ExternalData_1[[#Headers],[6]])),"Sunday","Monday","Tuesday","Wednesday","Thursday","Friday","Saturday"),1,3)</f>
        <v>Mon</v>
      </c>
      <c r="AG3" s="7" t="str">
        <f>MID(CHOOSE(WEEKDAY(DATE(MasterSheet!$B1,MasterSheet!$A1,Table_ExternalData_1[[#Headers],[7]])),"Sunday","Monday","Tuesday","Wednesday","Thursday","Friday","Saturday"),1,3)</f>
        <v>Tue</v>
      </c>
      <c r="AH3" s="7" t="str">
        <f>MID(CHOOSE(WEEKDAY(DATE(MasterSheet!$B1,MasterSheet!$A1,Table_ExternalData_1[[#Headers],[8]])),"Sunday","Monday","Tuesday","Wednesday","Thursday","Friday","Saturday"),1,3)</f>
        <v>Wed</v>
      </c>
      <c r="AI3" s="7" t="str">
        <f>MID(CHOOSE(WEEKDAY(DATE(MasterSheet!$B1,MasterSheet!$A1,Table_ExternalData_1[[#Headers],[9]])),"Sunday","Monday","Tuesday","Wednesday","Thursday","Friday","Saturday"),1,3)</f>
        <v>Thu</v>
      </c>
      <c r="AJ3" s="7" t="str">
        <f>MID(CHOOSE(WEEKDAY(DATE(MasterSheet!$B1,MasterSheet!$A1,Table_ExternalData_1[[#Headers],[10]])),"Sunday","Monday","Tuesday","Wednesday","Thursday","Friday","Saturday"),1,3)</f>
        <v>Fri</v>
      </c>
      <c r="AK3" s="7" t="str">
        <f>MID(CHOOSE(WEEKDAY(DATE(MasterSheet!$B1,MasterSheet!$A1,Table_ExternalData_1[[#Headers],[7]])),"Sunday","Monday","Tuesday","Wednesday","Thursday","Friday","Saturday"),1,3)</f>
        <v>Tue</v>
      </c>
    </row>
    <row r="4" spans="1:38" s="2" customFormat="1">
      <c r="A4" s="9" t="s">
        <v>64</v>
      </c>
      <c r="B4" s="2" t="s">
        <v>6</v>
      </c>
      <c r="C4" s="2" t="s">
        <v>7</v>
      </c>
      <c r="D4" s="2" t="s">
        <v>8</v>
      </c>
      <c r="E4" s="2" t="s">
        <v>9</v>
      </c>
      <c r="F4" s="5" t="s">
        <v>16</v>
      </c>
      <c r="G4" s="2" t="s">
        <v>19</v>
      </c>
      <c r="H4" s="2" t="s">
        <v>20</v>
      </c>
      <c r="I4" s="2" t="s">
        <v>21</v>
      </c>
      <c r="J4" s="2" t="s">
        <v>22</v>
      </c>
      <c r="K4" s="2" t="s">
        <v>23</v>
      </c>
      <c r="L4" s="2" t="s">
        <v>24</v>
      </c>
      <c r="M4" s="2" t="s">
        <v>25</v>
      </c>
      <c r="N4" s="2" t="s">
        <v>26</v>
      </c>
      <c r="O4" s="2" t="s">
        <v>27</v>
      </c>
      <c r="P4" s="2" t="s">
        <v>28</v>
      </c>
      <c r="Q4" s="2" t="s">
        <v>29</v>
      </c>
      <c r="R4" s="2" t="s">
        <v>30</v>
      </c>
      <c r="S4" s="2" t="s">
        <v>31</v>
      </c>
      <c r="T4" s="2" t="s">
        <v>32</v>
      </c>
      <c r="U4" s="2" t="s">
        <v>33</v>
      </c>
      <c r="V4" s="2" t="s">
        <v>34</v>
      </c>
      <c r="W4" s="2" t="s">
        <v>35</v>
      </c>
      <c r="X4" s="2" t="s">
        <v>36</v>
      </c>
      <c r="Y4" s="2" t="s">
        <v>37</v>
      </c>
      <c r="Z4" s="2" t="s">
        <v>38</v>
      </c>
      <c r="AA4" s="2" t="s">
        <v>39</v>
      </c>
      <c r="AB4" s="2" t="s">
        <v>40</v>
      </c>
      <c r="AC4" s="2" t="s">
        <v>41</v>
      </c>
      <c r="AD4" s="2" t="s">
        <v>42</v>
      </c>
      <c r="AE4" s="2" t="s">
        <v>43</v>
      </c>
      <c r="AF4" s="2" t="s">
        <v>44</v>
      </c>
      <c r="AG4" s="2" t="s">
        <v>45</v>
      </c>
      <c r="AH4" s="2" t="s">
        <v>46</v>
      </c>
      <c r="AI4" s="2" t="s">
        <v>47</v>
      </c>
      <c r="AJ4" s="2" t="s">
        <v>48</v>
      </c>
      <c r="AK4" s="2" t="s">
        <v>49</v>
      </c>
      <c r="AL4" s="2" t="s">
        <v>14</v>
      </c>
    </row>
    <row r="5" spans="1:38">
      <c r="A5" s="8" t="s">
        <v>65</v>
      </c>
      <c r="B5" s="3" t="s">
        <v>2345</v>
      </c>
      <c r="C5" s="3" t="s">
        <v>1750</v>
      </c>
      <c r="D5" s="3" t="s">
        <v>2346</v>
      </c>
      <c r="E5" s="3" t="s">
        <v>2347</v>
      </c>
      <c r="F5" s="8" t="s">
        <v>17</v>
      </c>
      <c r="G5" s="6">
        <f>SUMIFS(GQList,GIList,Table_ExternalData_1[[#This Row],[Item_key]],GDList,Table_ExternalData_1[[#Headers],[1]])</f>
        <v>0</v>
      </c>
      <c r="H5" s="6">
        <f>SUMIFS(GQList,GIList,Table_ExternalData_1[[#This Row],[Item_key]],GDList,Table_ExternalData_1[[#Headers],[2]])</f>
        <v>0</v>
      </c>
      <c r="I5" s="6">
        <f>SUMIFS(GQList,GIList,Table_ExternalData_1[[#This Row],[Item_key]],GDList,Table_ExternalData_1[[#Headers],[3]])</f>
        <v>0</v>
      </c>
      <c r="J5" s="6">
        <f>SUMIFS(GQList,GIList,Table_ExternalData_1[[#This Row],[Item_key]],GDList,Table_ExternalData_1[[#Headers],[4]])</f>
        <v>0</v>
      </c>
      <c r="K5" s="6">
        <f>SUMIFS(GQList,GIList,Table_ExternalData_1[[#This Row],[Item_key]],GDList,Table_ExternalData_1[[#Headers],[5]])</f>
        <v>0</v>
      </c>
      <c r="L5" s="6">
        <f>SUMIFS(GQList,GIList,Table_ExternalData_1[[#This Row],[Item_key]],GDList,Table_ExternalData_1[[#Headers],[6]])</f>
        <v>0</v>
      </c>
      <c r="M5" s="6">
        <f>SUMIFS(GQList,GIList,Table_ExternalData_1[[#This Row],[Item_key]],GDList,Table_ExternalData_1[[#Headers],[7]])</f>
        <v>0</v>
      </c>
      <c r="N5" s="6">
        <f>SUMIFS(GQList,GIList,Table_ExternalData_1[[#This Row],[Item_key]],GDList,Table_ExternalData_1[[#Headers],[8]])</f>
        <v>50</v>
      </c>
      <c r="O5" s="6">
        <f>SUMIFS(GQList,GIList,Table_ExternalData_1[[#This Row],[Item_key]],GDList,Table_ExternalData_1[[#Headers],[9]])</f>
        <v>0</v>
      </c>
      <c r="P5" s="6">
        <f>SUMIFS(GQList,GIList,Table_ExternalData_1[[#This Row],[Item_key]],GDList,Table_ExternalData_1[[#Headers],[10]])</f>
        <v>0</v>
      </c>
      <c r="Q5" s="6">
        <f>SUMIFS(GQList,GIList,Table_ExternalData_1[[#This Row],[Item_key]],GDList,Table_ExternalData_1[[#Headers],[11]])</f>
        <v>0</v>
      </c>
      <c r="R5" s="6">
        <f>SUMIFS(GQList,GIList,Table_ExternalData_1[[#This Row],[Item_key]],GDList,Table_ExternalData_1[[#Headers],[12]])</f>
        <v>0</v>
      </c>
      <c r="S5" s="6">
        <f>SUMIFS(GQList,GIList,Table_ExternalData_1[[#This Row],[Item_key]],GDList,Table_ExternalData_1[[#Headers],[13]])</f>
        <v>0</v>
      </c>
      <c r="T5" s="6">
        <f>SUMIFS(GQList,GIList,Table_ExternalData_1[[#This Row],[Item_key]],GDList,Table_ExternalData_1[[#Headers],[14]])</f>
        <v>0</v>
      </c>
      <c r="U5" s="6">
        <f>SUMIFS(GQList,GIList,Table_ExternalData_1[[#This Row],[Item_key]],GDList,Table_ExternalData_1[[#Headers],[15]])</f>
        <v>0</v>
      </c>
      <c r="V5" s="6">
        <f>SUMIFS(GQList,GIList,Table_ExternalData_1[[#This Row],[Item_key]],GDList,Table_ExternalData_1[[#Headers],[16]])</f>
        <v>0</v>
      </c>
      <c r="W5" s="6">
        <f>SUMIFS(GQList,GIList,Table_ExternalData_1[[#This Row],[Item_key]],GDList,Table_ExternalData_1[[#Headers],[17]])</f>
        <v>0</v>
      </c>
      <c r="X5" s="6">
        <f>SUMIFS(GQList,GIList,Table_ExternalData_1[[#This Row],[Item_key]],GDList,Table_ExternalData_1[[#Headers],[18]])</f>
        <v>0</v>
      </c>
      <c r="Y5" s="6">
        <f>SUMIFS(GQList,GIList,Table_ExternalData_1[[#This Row],[Item_key]],GDList,Table_ExternalData_1[[#Headers],[19]])</f>
        <v>0</v>
      </c>
      <c r="Z5" s="6">
        <f>SUMIFS(GQList,GIList,Table_ExternalData_1[[#This Row],[Item_key]],GDList,Table_ExternalData_1[[#Headers],[20]])</f>
        <v>0</v>
      </c>
      <c r="AA5" s="6">
        <f>SUMIFS(GQList,GIList,Table_ExternalData_1[[#This Row],[Item_key]],GDList,Table_ExternalData_1[[#Headers],[21]])</f>
        <v>0</v>
      </c>
      <c r="AB5" s="6">
        <f>SUMIFS(GQList,GIList,Table_ExternalData_1[[#This Row],[Item_key]],GDList,Table_ExternalData_1[[#Headers],[22]])</f>
        <v>0</v>
      </c>
      <c r="AC5" s="6">
        <f>SUMIFS(GQList,GIList,Table_ExternalData_1[[#This Row],[Item_key]],GDList,Table_ExternalData_1[[#Headers],[23]])</f>
        <v>0</v>
      </c>
      <c r="AD5" s="6">
        <f>SUMIFS(GQList,GIList,Table_ExternalData_1[[#This Row],[Item_key]],GDList,Table_ExternalData_1[[#Headers],[24]])</f>
        <v>0</v>
      </c>
      <c r="AE5" s="6">
        <f>SUMIFS(GQList,GIList,Table_ExternalData_1[[#This Row],[Item_key]],GDList,Table_ExternalData_1[[#Headers],[25]])</f>
        <v>0</v>
      </c>
      <c r="AF5" s="6">
        <f>SUMIFS(GQList,GIList,Table_ExternalData_1[[#This Row],[Item_key]],GDList,Table_ExternalData_1[[#Headers],[26]])</f>
        <v>0</v>
      </c>
      <c r="AG5" s="6">
        <f>SUMIFS(GQList,GIList,Table_ExternalData_1[[#This Row],[Item_key]],GDList,Table_ExternalData_1[[#Headers],[27]])</f>
        <v>0</v>
      </c>
      <c r="AH5" s="6">
        <f>SUMIFS(GQList,GIList,Table_ExternalData_1[[#This Row],[Item_key]],GDList,Table_ExternalData_1[[#Headers],[28]])</f>
        <v>0</v>
      </c>
      <c r="AI5" s="6">
        <f>SUMIFS(GQList,GIList,Table_ExternalData_1[[#This Row],[Item_key]],GDList,Table_ExternalData_1[[#Headers],[29]])</f>
        <v>0</v>
      </c>
      <c r="AJ5" s="6">
        <f>SUMIFS(GQList,GIList,Table_ExternalData_1[[#This Row],[Item_key]],GDList,Table_ExternalData_1[[#Headers],[30]])</f>
        <v>0</v>
      </c>
      <c r="AK5" s="6">
        <f>SUMIFS(GQList,GIList,Table_ExternalData_1[[#This Row],[Item_key]],GDList,Table_ExternalData_1[[#Headers],[31]])</f>
        <v>0</v>
      </c>
      <c r="AL5" s="6">
        <f>SUM(Table_ExternalData_1[[#This Row],[1]:[31]])</f>
        <v>50</v>
      </c>
    </row>
    <row r="6" spans="1:38">
      <c r="A6" s="31" t="s">
        <v>65</v>
      </c>
      <c r="B6" s="32" t="s">
        <v>2868</v>
      </c>
      <c r="C6" s="32" t="s">
        <v>551</v>
      </c>
      <c r="D6" s="32" t="s">
        <v>1314</v>
      </c>
      <c r="E6" s="32" t="s">
        <v>1315</v>
      </c>
      <c r="F6" s="33" t="s">
        <v>17</v>
      </c>
      <c r="G6" s="34">
        <f>SUMIFS(GQList,GIList,Table_ExternalData_1[[#This Row],[Item_key]],GDList,Table_ExternalData_1[[#Headers],[1]])</f>
        <v>0</v>
      </c>
      <c r="H6" s="34">
        <f>SUMIFS(GQList,GIList,Table_ExternalData_1[[#This Row],[Item_key]],GDList,Table_ExternalData_1[[#Headers],[2]])</f>
        <v>0</v>
      </c>
      <c r="I6" s="34">
        <f>SUMIFS(GQList,GIList,Table_ExternalData_1[[#This Row],[Item_key]],GDList,Table_ExternalData_1[[#Headers],[3]])</f>
        <v>0</v>
      </c>
      <c r="J6" s="34">
        <f>SUMIFS(GQList,GIList,Table_ExternalData_1[[#This Row],[Item_key]],GDList,Table_ExternalData_1[[#Headers],[4]])</f>
        <v>0</v>
      </c>
      <c r="K6" s="34">
        <f>SUMIFS(GQList,GIList,Table_ExternalData_1[[#This Row],[Item_key]],GDList,Table_ExternalData_1[[#Headers],[5]])</f>
        <v>0</v>
      </c>
      <c r="L6" s="34">
        <f>SUMIFS(GQList,GIList,Table_ExternalData_1[[#This Row],[Item_key]],GDList,Table_ExternalData_1[[#Headers],[6]])</f>
        <v>0</v>
      </c>
      <c r="M6" s="34">
        <f>SUMIFS(GQList,GIList,Table_ExternalData_1[[#This Row],[Item_key]],GDList,Table_ExternalData_1[[#Headers],[7]])</f>
        <v>0</v>
      </c>
      <c r="N6" s="34">
        <f>SUMIFS(GQList,GIList,Table_ExternalData_1[[#This Row],[Item_key]],GDList,Table_ExternalData_1[[#Headers],[8]])</f>
        <v>0</v>
      </c>
      <c r="O6" s="34">
        <f>SUMIFS(GQList,GIList,Table_ExternalData_1[[#This Row],[Item_key]],GDList,Table_ExternalData_1[[#Headers],[9]])</f>
        <v>0</v>
      </c>
      <c r="P6" s="34">
        <f>SUMIFS(GQList,GIList,Table_ExternalData_1[[#This Row],[Item_key]],GDList,Table_ExternalData_1[[#Headers],[10]])</f>
        <v>0</v>
      </c>
      <c r="Q6" s="34">
        <f>SUMIFS(GQList,GIList,Table_ExternalData_1[[#This Row],[Item_key]],GDList,Table_ExternalData_1[[#Headers],[11]])</f>
        <v>0</v>
      </c>
      <c r="R6" s="34">
        <f>SUMIFS(GQList,GIList,Table_ExternalData_1[[#This Row],[Item_key]],GDList,Table_ExternalData_1[[#Headers],[12]])</f>
        <v>0</v>
      </c>
      <c r="S6" s="34">
        <f>SUMIFS(GQList,GIList,Table_ExternalData_1[[#This Row],[Item_key]],GDList,Table_ExternalData_1[[#Headers],[13]])</f>
        <v>0</v>
      </c>
      <c r="T6" s="34">
        <f>SUMIFS(GQList,GIList,Table_ExternalData_1[[#This Row],[Item_key]],GDList,Table_ExternalData_1[[#Headers],[14]])</f>
        <v>0</v>
      </c>
      <c r="U6" s="34">
        <f>SUMIFS(GQList,GIList,Table_ExternalData_1[[#This Row],[Item_key]],GDList,Table_ExternalData_1[[#Headers],[15]])</f>
        <v>200</v>
      </c>
      <c r="V6" s="34">
        <f>SUMIFS(GQList,GIList,Table_ExternalData_1[[#This Row],[Item_key]],GDList,Table_ExternalData_1[[#Headers],[16]])</f>
        <v>0</v>
      </c>
      <c r="W6" s="34">
        <f>SUMIFS(GQList,GIList,Table_ExternalData_1[[#This Row],[Item_key]],GDList,Table_ExternalData_1[[#Headers],[17]])</f>
        <v>0</v>
      </c>
      <c r="X6" s="34">
        <f>SUMIFS(GQList,GIList,Table_ExternalData_1[[#This Row],[Item_key]],GDList,Table_ExternalData_1[[#Headers],[18]])</f>
        <v>0</v>
      </c>
      <c r="Y6" s="34">
        <f>SUMIFS(GQList,GIList,Table_ExternalData_1[[#This Row],[Item_key]],GDList,Table_ExternalData_1[[#Headers],[19]])</f>
        <v>0</v>
      </c>
      <c r="Z6" s="34">
        <f>SUMIFS(GQList,GIList,Table_ExternalData_1[[#This Row],[Item_key]],GDList,Table_ExternalData_1[[#Headers],[20]])</f>
        <v>0</v>
      </c>
      <c r="AA6" s="34">
        <f>SUMIFS(GQList,GIList,Table_ExternalData_1[[#This Row],[Item_key]],GDList,Table_ExternalData_1[[#Headers],[21]])</f>
        <v>0</v>
      </c>
      <c r="AB6" s="34">
        <f>SUMIFS(GQList,GIList,Table_ExternalData_1[[#This Row],[Item_key]],GDList,Table_ExternalData_1[[#Headers],[22]])</f>
        <v>0</v>
      </c>
      <c r="AC6" s="34">
        <f>SUMIFS(GQList,GIList,Table_ExternalData_1[[#This Row],[Item_key]],GDList,Table_ExternalData_1[[#Headers],[23]])</f>
        <v>0</v>
      </c>
      <c r="AD6" s="34">
        <f>SUMIFS(GQList,GIList,Table_ExternalData_1[[#This Row],[Item_key]],GDList,Table_ExternalData_1[[#Headers],[24]])</f>
        <v>0</v>
      </c>
      <c r="AE6" s="34">
        <f>SUMIFS(GQList,GIList,Table_ExternalData_1[[#This Row],[Item_key]],GDList,Table_ExternalData_1[[#Headers],[25]])</f>
        <v>0</v>
      </c>
      <c r="AF6" s="34">
        <f>SUMIFS(GQList,GIList,Table_ExternalData_1[[#This Row],[Item_key]],GDList,Table_ExternalData_1[[#Headers],[26]])</f>
        <v>0</v>
      </c>
      <c r="AG6" s="34">
        <f>SUMIFS(GQList,GIList,Table_ExternalData_1[[#This Row],[Item_key]],GDList,Table_ExternalData_1[[#Headers],[27]])</f>
        <v>0</v>
      </c>
      <c r="AH6" s="34">
        <f>SUMIFS(GQList,GIList,Table_ExternalData_1[[#This Row],[Item_key]],GDList,Table_ExternalData_1[[#Headers],[28]])</f>
        <v>0</v>
      </c>
      <c r="AI6" s="34">
        <f>SUMIFS(GQList,GIList,Table_ExternalData_1[[#This Row],[Item_key]],GDList,Table_ExternalData_1[[#Headers],[29]])</f>
        <v>0</v>
      </c>
      <c r="AJ6" s="34">
        <f>SUMIFS(GQList,GIList,Table_ExternalData_1[[#This Row],[Item_key]],GDList,Table_ExternalData_1[[#Headers],[30]])</f>
        <v>0</v>
      </c>
      <c r="AK6" s="34">
        <f>SUMIFS(GQList,GIList,Table_ExternalData_1[[#This Row],[Item_key]],GDList,Table_ExternalData_1[[#Headers],[31]])</f>
        <v>0</v>
      </c>
      <c r="AL6" s="34">
        <f>SUM(Table_ExternalData_1[[#This Row],[1]:[31]])</f>
        <v>200</v>
      </c>
    </row>
    <row r="7" spans="1:38">
      <c r="A7" s="31" t="s">
        <v>65</v>
      </c>
      <c r="B7" s="32" t="s">
        <v>2869</v>
      </c>
      <c r="C7" s="32" t="s">
        <v>722</v>
      </c>
      <c r="D7" s="32" t="s">
        <v>1372</v>
      </c>
      <c r="E7" s="32" t="s">
        <v>1373</v>
      </c>
      <c r="F7" s="33" t="s">
        <v>17</v>
      </c>
      <c r="G7" s="34">
        <f>SUMIFS(GQList,GIList,Table_ExternalData_1[[#This Row],[Item_key]],GDList,Table_ExternalData_1[[#Headers],[1]])</f>
        <v>0</v>
      </c>
      <c r="H7" s="34">
        <f>SUMIFS(GQList,GIList,Table_ExternalData_1[[#This Row],[Item_key]],GDList,Table_ExternalData_1[[#Headers],[2]])</f>
        <v>0</v>
      </c>
      <c r="I7" s="34">
        <f>SUMIFS(GQList,GIList,Table_ExternalData_1[[#This Row],[Item_key]],GDList,Table_ExternalData_1[[#Headers],[3]])</f>
        <v>0</v>
      </c>
      <c r="J7" s="34">
        <f>SUMIFS(GQList,GIList,Table_ExternalData_1[[#This Row],[Item_key]],GDList,Table_ExternalData_1[[#Headers],[4]])</f>
        <v>0</v>
      </c>
      <c r="K7" s="34">
        <f>SUMIFS(GQList,GIList,Table_ExternalData_1[[#This Row],[Item_key]],GDList,Table_ExternalData_1[[#Headers],[5]])</f>
        <v>0</v>
      </c>
      <c r="L7" s="34">
        <f>SUMIFS(GQList,GIList,Table_ExternalData_1[[#This Row],[Item_key]],GDList,Table_ExternalData_1[[#Headers],[6]])</f>
        <v>0</v>
      </c>
      <c r="M7" s="34">
        <f>SUMIFS(GQList,GIList,Table_ExternalData_1[[#This Row],[Item_key]],GDList,Table_ExternalData_1[[#Headers],[7]])</f>
        <v>0</v>
      </c>
      <c r="N7" s="34">
        <f>SUMIFS(GQList,GIList,Table_ExternalData_1[[#This Row],[Item_key]],GDList,Table_ExternalData_1[[#Headers],[8]])</f>
        <v>0</v>
      </c>
      <c r="O7" s="34">
        <f>SUMIFS(GQList,GIList,Table_ExternalData_1[[#This Row],[Item_key]],GDList,Table_ExternalData_1[[#Headers],[9]])</f>
        <v>0</v>
      </c>
      <c r="P7" s="34">
        <f>SUMIFS(GQList,GIList,Table_ExternalData_1[[#This Row],[Item_key]],GDList,Table_ExternalData_1[[#Headers],[10]])</f>
        <v>0</v>
      </c>
      <c r="Q7" s="34">
        <f>SUMIFS(GQList,GIList,Table_ExternalData_1[[#This Row],[Item_key]],GDList,Table_ExternalData_1[[#Headers],[11]])</f>
        <v>0</v>
      </c>
      <c r="R7" s="34">
        <f>SUMIFS(GQList,GIList,Table_ExternalData_1[[#This Row],[Item_key]],GDList,Table_ExternalData_1[[#Headers],[12]])</f>
        <v>0</v>
      </c>
      <c r="S7" s="34">
        <f>SUMIFS(GQList,GIList,Table_ExternalData_1[[#This Row],[Item_key]],GDList,Table_ExternalData_1[[#Headers],[13]])</f>
        <v>0</v>
      </c>
      <c r="T7" s="34">
        <f>SUMIFS(GQList,GIList,Table_ExternalData_1[[#This Row],[Item_key]],GDList,Table_ExternalData_1[[#Headers],[14]])</f>
        <v>0</v>
      </c>
      <c r="U7" s="34">
        <f>SUMIFS(GQList,GIList,Table_ExternalData_1[[#This Row],[Item_key]],GDList,Table_ExternalData_1[[#Headers],[15]])</f>
        <v>0</v>
      </c>
      <c r="V7" s="34">
        <f>SUMIFS(GQList,GIList,Table_ExternalData_1[[#This Row],[Item_key]],GDList,Table_ExternalData_1[[#Headers],[16]])</f>
        <v>0</v>
      </c>
      <c r="W7" s="34">
        <f>SUMIFS(GQList,GIList,Table_ExternalData_1[[#This Row],[Item_key]],GDList,Table_ExternalData_1[[#Headers],[17]])</f>
        <v>0</v>
      </c>
      <c r="X7" s="34">
        <f>SUMIFS(GQList,GIList,Table_ExternalData_1[[#This Row],[Item_key]],GDList,Table_ExternalData_1[[#Headers],[18]])</f>
        <v>0</v>
      </c>
      <c r="Y7" s="34">
        <f>SUMIFS(GQList,GIList,Table_ExternalData_1[[#This Row],[Item_key]],GDList,Table_ExternalData_1[[#Headers],[19]])</f>
        <v>0</v>
      </c>
      <c r="Z7" s="34">
        <f>SUMIFS(GQList,GIList,Table_ExternalData_1[[#This Row],[Item_key]],GDList,Table_ExternalData_1[[#Headers],[20]])</f>
        <v>0</v>
      </c>
      <c r="AA7" s="34">
        <f>SUMIFS(GQList,GIList,Table_ExternalData_1[[#This Row],[Item_key]],GDList,Table_ExternalData_1[[#Headers],[21]])</f>
        <v>0</v>
      </c>
      <c r="AB7" s="34">
        <f>SUMIFS(GQList,GIList,Table_ExternalData_1[[#This Row],[Item_key]],GDList,Table_ExternalData_1[[#Headers],[22]])</f>
        <v>0</v>
      </c>
      <c r="AC7" s="34">
        <f>SUMIFS(GQList,GIList,Table_ExternalData_1[[#This Row],[Item_key]],GDList,Table_ExternalData_1[[#Headers],[23]])</f>
        <v>0</v>
      </c>
      <c r="AD7" s="34">
        <f>SUMIFS(GQList,GIList,Table_ExternalData_1[[#This Row],[Item_key]],GDList,Table_ExternalData_1[[#Headers],[24]])</f>
        <v>0</v>
      </c>
      <c r="AE7" s="34">
        <f>SUMIFS(GQList,GIList,Table_ExternalData_1[[#This Row],[Item_key]],GDList,Table_ExternalData_1[[#Headers],[25]])</f>
        <v>0</v>
      </c>
      <c r="AF7" s="34">
        <f>SUMIFS(GQList,GIList,Table_ExternalData_1[[#This Row],[Item_key]],GDList,Table_ExternalData_1[[#Headers],[26]])</f>
        <v>0</v>
      </c>
      <c r="AG7" s="34">
        <f>SUMIFS(GQList,GIList,Table_ExternalData_1[[#This Row],[Item_key]],GDList,Table_ExternalData_1[[#Headers],[27]])</f>
        <v>32</v>
      </c>
      <c r="AH7" s="34">
        <f>SUMIFS(GQList,GIList,Table_ExternalData_1[[#This Row],[Item_key]],GDList,Table_ExternalData_1[[#Headers],[28]])</f>
        <v>0</v>
      </c>
      <c r="AI7" s="34">
        <f>SUMIFS(GQList,GIList,Table_ExternalData_1[[#This Row],[Item_key]],GDList,Table_ExternalData_1[[#Headers],[29]])</f>
        <v>0</v>
      </c>
      <c r="AJ7" s="34">
        <f>SUMIFS(GQList,GIList,Table_ExternalData_1[[#This Row],[Item_key]],GDList,Table_ExternalData_1[[#Headers],[30]])</f>
        <v>0</v>
      </c>
      <c r="AK7" s="34">
        <f>SUMIFS(GQList,GIList,Table_ExternalData_1[[#This Row],[Item_key]],GDList,Table_ExternalData_1[[#Headers],[31]])</f>
        <v>0</v>
      </c>
      <c r="AL7" s="34">
        <f>SUM(Table_ExternalData_1[[#This Row],[1]:[31]])</f>
        <v>32</v>
      </c>
    </row>
    <row r="8" spans="1:38">
      <c r="A8" s="31" t="s">
        <v>65</v>
      </c>
      <c r="B8" s="32" t="s">
        <v>2870</v>
      </c>
      <c r="C8" s="32" t="s">
        <v>2303</v>
      </c>
      <c r="D8" s="32" t="s">
        <v>2871</v>
      </c>
      <c r="E8" s="32" t="s">
        <v>2872</v>
      </c>
      <c r="F8" s="33" t="s">
        <v>17</v>
      </c>
      <c r="G8" s="34">
        <f>SUMIFS(GQList,GIList,Table_ExternalData_1[[#This Row],[Item_key]],GDList,Table_ExternalData_1[[#Headers],[1]])</f>
        <v>0</v>
      </c>
      <c r="H8" s="34">
        <f>SUMIFS(GQList,GIList,Table_ExternalData_1[[#This Row],[Item_key]],GDList,Table_ExternalData_1[[#Headers],[2]])</f>
        <v>0</v>
      </c>
      <c r="I8" s="34">
        <f>SUMIFS(GQList,GIList,Table_ExternalData_1[[#This Row],[Item_key]],GDList,Table_ExternalData_1[[#Headers],[3]])</f>
        <v>0</v>
      </c>
      <c r="J8" s="34">
        <f>SUMIFS(GQList,GIList,Table_ExternalData_1[[#This Row],[Item_key]],GDList,Table_ExternalData_1[[#Headers],[4]])</f>
        <v>0</v>
      </c>
      <c r="K8" s="34">
        <f>SUMIFS(GQList,GIList,Table_ExternalData_1[[#This Row],[Item_key]],GDList,Table_ExternalData_1[[#Headers],[5]])</f>
        <v>0</v>
      </c>
      <c r="L8" s="34">
        <f>SUMIFS(GQList,GIList,Table_ExternalData_1[[#This Row],[Item_key]],GDList,Table_ExternalData_1[[#Headers],[6]])</f>
        <v>0</v>
      </c>
      <c r="M8" s="34">
        <f>SUMIFS(GQList,GIList,Table_ExternalData_1[[#This Row],[Item_key]],GDList,Table_ExternalData_1[[#Headers],[7]])</f>
        <v>0</v>
      </c>
      <c r="N8" s="34">
        <f>SUMIFS(GQList,GIList,Table_ExternalData_1[[#This Row],[Item_key]],GDList,Table_ExternalData_1[[#Headers],[8]])</f>
        <v>0</v>
      </c>
      <c r="O8" s="34">
        <f>SUMIFS(GQList,GIList,Table_ExternalData_1[[#This Row],[Item_key]],GDList,Table_ExternalData_1[[#Headers],[9]])</f>
        <v>0</v>
      </c>
      <c r="P8" s="34">
        <f>SUMIFS(GQList,GIList,Table_ExternalData_1[[#This Row],[Item_key]],GDList,Table_ExternalData_1[[#Headers],[10]])</f>
        <v>0</v>
      </c>
      <c r="Q8" s="34">
        <f>SUMIFS(GQList,GIList,Table_ExternalData_1[[#This Row],[Item_key]],GDList,Table_ExternalData_1[[#Headers],[11]])</f>
        <v>0</v>
      </c>
      <c r="R8" s="34">
        <f>SUMIFS(GQList,GIList,Table_ExternalData_1[[#This Row],[Item_key]],GDList,Table_ExternalData_1[[#Headers],[12]])</f>
        <v>0</v>
      </c>
      <c r="S8" s="34">
        <f>SUMIFS(GQList,GIList,Table_ExternalData_1[[#This Row],[Item_key]],GDList,Table_ExternalData_1[[#Headers],[13]])</f>
        <v>0</v>
      </c>
      <c r="T8" s="34">
        <f>SUMIFS(GQList,GIList,Table_ExternalData_1[[#This Row],[Item_key]],GDList,Table_ExternalData_1[[#Headers],[14]])</f>
        <v>0</v>
      </c>
      <c r="U8" s="34">
        <f>SUMIFS(GQList,GIList,Table_ExternalData_1[[#This Row],[Item_key]],GDList,Table_ExternalData_1[[#Headers],[15]])</f>
        <v>0</v>
      </c>
      <c r="V8" s="34">
        <f>SUMIFS(GQList,GIList,Table_ExternalData_1[[#This Row],[Item_key]],GDList,Table_ExternalData_1[[#Headers],[16]])</f>
        <v>0</v>
      </c>
      <c r="W8" s="34">
        <f>SUMIFS(GQList,GIList,Table_ExternalData_1[[#This Row],[Item_key]],GDList,Table_ExternalData_1[[#Headers],[17]])</f>
        <v>0</v>
      </c>
      <c r="X8" s="34">
        <f>SUMIFS(GQList,GIList,Table_ExternalData_1[[#This Row],[Item_key]],GDList,Table_ExternalData_1[[#Headers],[18]])</f>
        <v>0</v>
      </c>
      <c r="Y8" s="34">
        <f>SUMIFS(GQList,GIList,Table_ExternalData_1[[#This Row],[Item_key]],GDList,Table_ExternalData_1[[#Headers],[19]])</f>
        <v>0</v>
      </c>
      <c r="Z8" s="34">
        <f>SUMIFS(GQList,GIList,Table_ExternalData_1[[#This Row],[Item_key]],GDList,Table_ExternalData_1[[#Headers],[20]])</f>
        <v>0</v>
      </c>
      <c r="AA8" s="34">
        <f>SUMIFS(GQList,GIList,Table_ExternalData_1[[#This Row],[Item_key]],GDList,Table_ExternalData_1[[#Headers],[21]])</f>
        <v>0</v>
      </c>
      <c r="AB8" s="34">
        <f>SUMIFS(GQList,GIList,Table_ExternalData_1[[#This Row],[Item_key]],GDList,Table_ExternalData_1[[#Headers],[22]])</f>
        <v>0</v>
      </c>
      <c r="AC8" s="34">
        <f>SUMIFS(GQList,GIList,Table_ExternalData_1[[#This Row],[Item_key]],GDList,Table_ExternalData_1[[#Headers],[23]])</f>
        <v>0</v>
      </c>
      <c r="AD8" s="34">
        <f>SUMIFS(GQList,GIList,Table_ExternalData_1[[#This Row],[Item_key]],GDList,Table_ExternalData_1[[#Headers],[24]])</f>
        <v>0</v>
      </c>
      <c r="AE8" s="34">
        <f>SUMIFS(GQList,GIList,Table_ExternalData_1[[#This Row],[Item_key]],GDList,Table_ExternalData_1[[#Headers],[25]])</f>
        <v>0</v>
      </c>
      <c r="AF8" s="34">
        <f>SUMIFS(GQList,GIList,Table_ExternalData_1[[#This Row],[Item_key]],GDList,Table_ExternalData_1[[#Headers],[26]])</f>
        <v>0</v>
      </c>
      <c r="AG8" s="34">
        <f>SUMIFS(GQList,GIList,Table_ExternalData_1[[#This Row],[Item_key]],GDList,Table_ExternalData_1[[#Headers],[27]])</f>
        <v>0</v>
      </c>
      <c r="AH8" s="34">
        <f>SUMIFS(GQList,GIList,Table_ExternalData_1[[#This Row],[Item_key]],GDList,Table_ExternalData_1[[#Headers],[28]])</f>
        <v>0</v>
      </c>
      <c r="AI8" s="34">
        <f>SUMIFS(GQList,GIList,Table_ExternalData_1[[#This Row],[Item_key]],GDList,Table_ExternalData_1[[#Headers],[29]])</f>
        <v>0</v>
      </c>
      <c r="AJ8" s="34">
        <f>SUMIFS(GQList,GIList,Table_ExternalData_1[[#This Row],[Item_key]],GDList,Table_ExternalData_1[[#Headers],[30]])</f>
        <v>0</v>
      </c>
      <c r="AK8" s="34">
        <f>SUMIFS(GQList,GIList,Table_ExternalData_1[[#This Row],[Item_key]],GDList,Table_ExternalData_1[[#Headers],[31]])</f>
        <v>155</v>
      </c>
      <c r="AL8" s="34">
        <f>SUM(Table_ExternalData_1[[#This Row],[1]:[31]])</f>
        <v>155</v>
      </c>
    </row>
    <row r="9" spans="1:38">
      <c r="A9" s="31" t="s">
        <v>65</v>
      </c>
      <c r="B9" s="32" t="s">
        <v>2350</v>
      </c>
      <c r="C9" s="32" t="s">
        <v>1763</v>
      </c>
      <c r="D9" s="32" t="s">
        <v>2351</v>
      </c>
      <c r="E9" s="32" t="s">
        <v>2352</v>
      </c>
      <c r="F9" s="33" t="s">
        <v>17</v>
      </c>
      <c r="G9" s="34">
        <f>SUMIFS(GQList,GIList,Table_ExternalData_1[[#This Row],[Item_key]],GDList,Table_ExternalData_1[[#Headers],[1]])</f>
        <v>0</v>
      </c>
      <c r="H9" s="34">
        <f>SUMIFS(GQList,GIList,Table_ExternalData_1[[#This Row],[Item_key]],GDList,Table_ExternalData_1[[#Headers],[2]])</f>
        <v>0</v>
      </c>
      <c r="I9" s="34">
        <f>SUMIFS(GQList,GIList,Table_ExternalData_1[[#This Row],[Item_key]],GDList,Table_ExternalData_1[[#Headers],[3]])</f>
        <v>0</v>
      </c>
      <c r="J9" s="34">
        <f>SUMIFS(GQList,GIList,Table_ExternalData_1[[#This Row],[Item_key]],GDList,Table_ExternalData_1[[#Headers],[4]])</f>
        <v>0</v>
      </c>
      <c r="K9" s="34">
        <f>SUMIFS(GQList,GIList,Table_ExternalData_1[[#This Row],[Item_key]],GDList,Table_ExternalData_1[[#Headers],[5]])</f>
        <v>0</v>
      </c>
      <c r="L9" s="34">
        <f>SUMIFS(GQList,GIList,Table_ExternalData_1[[#This Row],[Item_key]],GDList,Table_ExternalData_1[[#Headers],[6]])</f>
        <v>0</v>
      </c>
      <c r="M9" s="34">
        <f>SUMIFS(GQList,GIList,Table_ExternalData_1[[#This Row],[Item_key]],GDList,Table_ExternalData_1[[#Headers],[7]])</f>
        <v>0</v>
      </c>
      <c r="N9" s="34">
        <f>SUMIFS(GQList,GIList,Table_ExternalData_1[[#This Row],[Item_key]],GDList,Table_ExternalData_1[[#Headers],[8]])</f>
        <v>100</v>
      </c>
      <c r="O9" s="34">
        <f>SUMIFS(GQList,GIList,Table_ExternalData_1[[#This Row],[Item_key]],GDList,Table_ExternalData_1[[#Headers],[9]])</f>
        <v>0</v>
      </c>
      <c r="P9" s="34">
        <f>SUMIFS(GQList,GIList,Table_ExternalData_1[[#This Row],[Item_key]],GDList,Table_ExternalData_1[[#Headers],[10]])</f>
        <v>0</v>
      </c>
      <c r="Q9" s="34">
        <f>SUMIFS(GQList,GIList,Table_ExternalData_1[[#This Row],[Item_key]],GDList,Table_ExternalData_1[[#Headers],[11]])</f>
        <v>0</v>
      </c>
      <c r="R9" s="34">
        <f>SUMIFS(GQList,GIList,Table_ExternalData_1[[#This Row],[Item_key]],GDList,Table_ExternalData_1[[#Headers],[12]])</f>
        <v>0</v>
      </c>
      <c r="S9" s="34">
        <f>SUMIFS(GQList,GIList,Table_ExternalData_1[[#This Row],[Item_key]],GDList,Table_ExternalData_1[[#Headers],[13]])</f>
        <v>0</v>
      </c>
      <c r="T9" s="34">
        <f>SUMIFS(GQList,GIList,Table_ExternalData_1[[#This Row],[Item_key]],GDList,Table_ExternalData_1[[#Headers],[14]])</f>
        <v>0</v>
      </c>
      <c r="U9" s="34">
        <f>SUMIFS(GQList,GIList,Table_ExternalData_1[[#This Row],[Item_key]],GDList,Table_ExternalData_1[[#Headers],[15]])</f>
        <v>0</v>
      </c>
      <c r="V9" s="34">
        <f>SUMIFS(GQList,GIList,Table_ExternalData_1[[#This Row],[Item_key]],GDList,Table_ExternalData_1[[#Headers],[16]])</f>
        <v>0</v>
      </c>
      <c r="W9" s="34">
        <f>SUMIFS(GQList,GIList,Table_ExternalData_1[[#This Row],[Item_key]],GDList,Table_ExternalData_1[[#Headers],[17]])</f>
        <v>0</v>
      </c>
      <c r="X9" s="34">
        <f>SUMIFS(GQList,GIList,Table_ExternalData_1[[#This Row],[Item_key]],GDList,Table_ExternalData_1[[#Headers],[18]])</f>
        <v>0</v>
      </c>
      <c r="Y9" s="34">
        <f>SUMIFS(GQList,GIList,Table_ExternalData_1[[#This Row],[Item_key]],GDList,Table_ExternalData_1[[#Headers],[19]])</f>
        <v>0</v>
      </c>
      <c r="Z9" s="34">
        <f>SUMIFS(GQList,GIList,Table_ExternalData_1[[#This Row],[Item_key]],GDList,Table_ExternalData_1[[#Headers],[20]])</f>
        <v>0</v>
      </c>
      <c r="AA9" s="34">
        <f>SUMIFS(GQList,GIList,Table_ExternalData_1[[#This Row],[Item_key]],GDList,Table_ExternalData_1[[#Headers],[21]])</f>
        <v>0</v>
      </c>
      <c r="AB9" s="34">
        <f>SUMIFS(GQList,GIList,Table_ExternalData_1[[#This Row],[Item_key]],GDList,Table_ExternalData_1[[#Headers],[22]])</f>
        <v>0</v>
      </c>
      <c r="AC9" s="34">
        <f>SUMIFS(GQList,GIList,Table_ExternalData_1[[#This Row],[Item_key]],GDList,Table_ExternalData_1[[#Headers],[23]])</f>
        <v>0</v>
      </c>
      <c r="AD9" s="34">
        <f>SUMIFS(GQList,GIList,Table_ExternalData_1[[#This Row],[Item_key]],GDList,Table_ExternalData_1[[#Headers],[24]])</f>
        <v>0</v>
      </c>
      <c r="AE9" s="34">
        <f>SUMIFS(GQList,GIList,Table_ExternalData_1[[#This Row],[Item_key]],GDList,Table_ExternalData_1[[#Headers],[25]])</f>
        <v>0</v>
      </c>
      <c r="AF9" s="34">
        <f>SUMIFS(GQList,GIList,Table_ExternalData_1[[#This Row],[Item_key]],GDList,Table_ExternalData_1[[#Headers],[26]])</f>
        <v>0</v>
      </c>
      <c r="AG9" s="34">
        <f>SUMIFS(GQList,GIList,Table_ExternalData_1[[#This Row],[Item_key]],GDList,Table_ExternalData_1[[#Headers],[27]])</f>
        <v>0</v>
      </c>
      <c r="AH9" s="34">
        <f>SUMIFS(GQList,GIList,Table_ExternalData_1[[#This Row],[Item_key]],GDList,Table_ExternalData_1[[#Headers],[28]])</f>
        <v>0</v>
      </c>
      <c r="AI9" s="34">
        <f>SUMIFS(GQList,GIList,Table_ExternalData_1[[#This Row],[Item_key]],GDList,Table_ExternalData_1[[#Headers],[29]])</f>
        <v>0</v>
      </c>
      <c r="AJ9" s="34">
        <f>SUMIFS(GQList,GIList,Table_ExternalData_1[[#This Row],[Item_key]],GDList,Table_ExternalData_1[[#Headers],[30]])</f>
        <v>0</v>
      </c>
      <c r="AK9" s="34">
        <f>SUMIFS(GQList,GIList,Table_ExternalData_1[[#This Row],[Item_key]],GDList,Table_ExternalData_1[[#Headers],[31]])</f>
        <v>0</v>
      </c>
      <c r="AL9" s="34">
        <f>SUM(Table_ExternalData_1[[#This Row],[1]:[31]])</f>
        <v>100</v>
      </c>
    </row>
    <row r="10" spans="1:38">
      <c r="A10" s="31" t="s">
        <v>65</v>
      </c>
      <c r="B10" s="32" t="s">
        <v>2350</v>
      </c>
      <c r="C10" s="32" t="s">
        <v>702</v>
      </c>
      <c r="D10" s="32" t="s">
        <v>1365</v>
      </c>
      <c r="E10" s="32" t="s">
        <v>1366</v>
      </c>
      <c r="F10" s="33" t="s">
        <v>17</v>
      </c>
      <c r="G10" s="34">
        <f>SUMIFS(GQList,GIList,Table_ExternalData_1[[#This Row],[Item_key]],GDList,Table_ExternalData_1[[#Headers],[1]])</f>
        <v>0</v>
      </c>
      <c r="H10" s="34">
        <f>SUMIFS(GQList,GIList,Table_ExternalData_1[[#This Row],[Item_key]],GDList,Table_ExternalData_1[[#Headers],[2]])</f>
        <v>0</v>
      </c>
      <c r="I10" s="34">
        <f>SUMIFS(GQList,GIList,Table_ExternalData_1[[#This Row],[Item_key]],GDList,Table_ExternalData_1[[#Headers],[3]])</f>
        <v>0</v>
      </c>
      <c r="J10" s="34">
        <f>SUMIFS(GQList,GIList,Table_ExternalData_1[[#This Row],[Item_key]],GDList,Table_ExternalData_1[[#Headers],[4]])</f>
        <v>0</v>
      </c>
      <c r="K10" s="34">
        <f>SUMIFS(GQList,GIList,Table_ExternalData_1[[#This Row],[Item_key]],GDList,Table_ExternalData_1[[#Headers],[5]])</f>
        <v>0</v>
      </c>
      <c r="L10" s="34">
        <f>SUMIFS(GQList,GIList,Table_ExternalData_1[[#This Row],[Item_key]],GDList,Table_ExternalData_1[[#Headers],[6]])</f>
        <v>0</v>
      </c>
      <c r="M10" s="34">
        <f>SUMIFS(GQList,GIList,Table_ExternalData_1[[#This Row],[Item_key]],GDList,Table_ExternalData_1[[#Headers],[7]])</f>
        <v>0</v>
      </c>
      <c r="N10" s="34">
        <f>SUMIFS(GQList,GIList,Table_ExternalData_1[[#This Row],[Item_key]],GDList,Table_ExternalData_1[[#Headers],[8]])</f>
        <v>200</v>
      </c>
      <c r="O10" s="34">
        <f>SUMIFS(GQList,GIList,Table_ExternalData_1[[#This Row],[Item_key]],GDList,Table_ExternalData_1[[#Headers],[9]])</f>
        <v>0</v>
      </c>
      <c r="P10" s="34">
        <f>SUMIFS(GQList,GIList,Table_ExternalData_1[[#This Row],[Item_key]],GDList,Table_ExternalData_1[[#Headers],[10]])</f>
        <v>0</v>
      </c>
      <c r="Q10" s="34">
        <f>SUMIFS(GQList,GIList,Table_ExternalData_1[[#This Row],[Item_key]],GDList,Table_ExternalData_1[[#Headers],[11]])</f>
        <v>0</v>
      </c>
      <c r="R10" s="34">
        <f>SUMIFS(GQList,GIList,Table_ExternalData_1[[#This Row],[Item_key]],GDList,Table_ExternalData_1[[#Headers],[12]])</f>
        <v>0</v>
      </c>
      <c r="S10" s="34">
        <f>SUMIFS(GQList,GIList,Table_ExternalData_1[[#This Row],[Item_key]],GDList,Table_ExternalData_1[[#Headers],[13]])</f>
        <v>0</v>
      </c>
      <c r="T10" s="34">
        <f>SUMIFS(GQList,GIList,Table_ExternalData_1[[#This Row],[Item_key]],GDList,Table_ExternalData_1[[#Headers],[14]])</f>
        <v>0</v>
      </c>
      <c r="U10" s="34">
        <f>SUMIFS(GQList,GIList,Table_ExternalData_1[[#This Row],[Item_key]],GDList,Table_ExternalData_1[[#Headers],[15]])</f>
        <v>0</v>
      </c>
      <c r="V10" s="34">
        <f>SUMIFS(GQList,GIList,Table_ExternalData_1[[#This Row],[Item_key]],GDList,Table_ExternalData_1[[#Headers],[16]])</f>
        <v>0</v>
      </c>
      <c r="W10" s="34">
        <f>SUMIFS(GQList,GIList,Table_ExternalData_1[[#This Row],[Item_key]],GDList,Table_ExternalData_1[[#Headers],[17]])</f>
        <v>0</v>
      </c>
      <c r="X10" s="34">
        <f>SUMIFS(GQList,GIList,Table_ExternalData_1[[#This Row],[Item_key]],GDList,Table_ExternalData_1[[#Headers],[18]])</f>
        <v>0</v>
      </c>
      <c r="Y10" s="34">
        <f>SUMIFS(GQList,GIList,Table_ExternalData_1[[#This Row],[Item_key]],GDList,Table_ExternalData_1[[#Headers],[19]])</f>
        <v>0</v>
      </c>
      <c r="Z10" s="34">
        <f>SUMIFS(GQList,GIList,Table_ExternalData_1[[#This Row],[Item_key]],GDList,Table_ExternalData_1[[#Headers],[20]])</f>
        <v>0</v>
      </c>
      <c r="AA10" s="34">
        <f>SUMIFS(GQList,GIList,Table_ExternalData_1[[#This Row],[Item_key]],GDList,Table_ExternalData_1[[#Headers],[21]])</f>
        <v>0</v>
      </c>
      <c r="AB10" s="34">
        <f>SUMIFS(GQList,GIList,Table_ExternalData_1[[#This Row],[Item_key]],GDList,Table_ExternalData_1[[#Headers],[22]])</f>
        <v>0</v>
      </c>
      <c r="AC10" s="34">
        <f>SUMIFS(GQList,GIList,Table_ExternalData_1[[#This Row],[Item_key]],GDList,Table_ExternalData_1[[#Headers],[23]])</f>
        <v>0</v>
      </c>
      <c r="AD10" s="34">
        <f>SUMIFS(GQList,GIList,Table_ExternalData_1[[#This Row],[Item_key]],GDList,Table_ExternalData_1[[#Headers],[24]])</f>
        <v>0</v>
      </c>
      <c r="AE10" s="34">
        <f>SUMIFS(GQList,GIList,Table_ExternalData_1[[#This Row],[Item_key]],GDList,Table_ExternalData_1[[#Headers],[25]])</f>
        <v>0</v>
      </c>
      <c r="AF10" s="34">
        <f>SUMIFS(GQList,GIList,Table_ExternalData_1[[#This Row],[Item_key]],GDList,Table_ExternalData_1[[#Headers],[26]])</f>
        <v>0</v>
      </c>
      <c r="AG10" s="34">
        <f>SUMIFS(GQList,GIList,Table_ExternalData_1[[#This Row],[Item_key]],GDList,Table_ExternalData_1[[#Headers],[27]])</f>
        <v>0</v>
      </c>
      <c r="AH10" s="34">
        <f>SUMIFS(GQList,GIList,Table_ExternalData_1[[#This Row],[Item_key]],GDList,Table_ExternalData_1[[#Headers],[28]])</f>
        <v>0</v>
      </c>
      <c r="AI10" s="34">
        <f>SUMIFS(GQList,GIList,Table_ExternalData_1[[#This Row],[Item_key]],GDList,Table_ExternalData_1[[#Headers],[29]])</f>
        <v>0</v>
      </c>
      <c r="AJ10" s="34">
        <f>SUMIFS(GQList,GIList,Table_ExternalData_1[[#This Row],[Item_key]],GDList,Table_ExternalData_1[[#Headers],[30]])</f>
        <v>0</v>
      </c>
      <c r="AK10" s="34">
        <f>SUMIFS(GQList,GIList,Table_ExternalData_1[[#This Row],[Item_key]],GDList,Table_ExternalData_1[[#Headers],[31]])</f>
        <v>0</v>
      </c>
      <c r="AL10" s="34">
        <f>SUM(Table_ExternalData_1[[#This Row],[1]:[31]])</f>
        <v>200</v>
      </c>
    </row>
    <row r="11" spans="1:38">
      <c r="A11" s="31" t="s">
        <v>65</v>
      </c>
      <c r="B11" s="32" t="s">
        <v>2350</v>
      </c>
      <c r="C11" s="32" t="s">
        <v>709</v>
      </c>
      <c r="D11" s="32" t="s">
        <v>1367</v>
      </c>
      <c r="E11" s="32" t="s">
        <v>1368</v>
      </c>
      <c r="F11" s="33" t="s">
        <v>17</v>
      </c>
      <c r="G11" s="34">
        <f>SUMIFS(GQList,GIList,Table_ExternalData_1[[#This Row],[Item_key]],GDList,Table_ExternalData_1[[#Headers],[1]])</f>
        <v>0</v>
      </c>
      <c r="H11" s="34">
        <f>SUMIFS(GQList,GIList,Table_ExternalData_1[[#This Row],[Item_key]],GDList,Table_ExternalData_1[[#Headers],[2]])</f>
        <v>0</v>
      </c>
      <c r="I11" s="34">
        <f>SUMIFS(GQList,GIList,Table_ExternalData_1[[#This Row],[Item_key]],GDList,Table_ExternalData_1[[#Headers],[3]])</f>
        <v>0</v>
      </c>
      <c r="J11" s="34">
        <f>SUMIFS(GQList,GIList,Table_ExternalData_1[[#This Row],[Item_key]],GDList,Table_ExternalData_1[[#Headers],[4]])</f>
        <v>0</v>
      </c>
      <c r="K11" s="34">
        <f>SUMIFS(GQList,GIList,Table_ExternalData_1[[#This Row],[Item_key]],GDList,Table_ExternalData_1[[#Headers],[5]])</f>
        <v>0</v>
      </c>
      <c r="L11" s="34">
        <f>SUMIFS(GQList,GIList,Table_ExternalData_1[[#This Row],[Item_key]],GDList,Table_ExternalData_1[[#Headers],[6]])</f>
        <v>0</v>
      </c>
      <c r="M11" s="34">
        <f>SUMIFS(GQList,GIList,Table_ExternalData_1[[#This Row],[Item_key]],GDList,Table_ExternalData_1[[#Headers],[7]])</f>
        <v>0</v>
      </c>
      <c r="N11" s="34">
        <f>SUMIFS(GQList,GIList,Table_ExternalData_1[[#This Row],[Item_key]],GDList,Table_ExternalData_1[[#Headers],[8]])</f>
        <v>200</v>
      </c>
      <c r="O11" s="34">
        <f>SUMIFS(GQList,GIList,Table_ExternalData_1[[#This Row],[Item_key]],GDList,Table_ExternalData_1[[#Headers],[9]])</f>
        <v>0</v>
      </c>
      <c r="P11" s="34">
        <f>SUMIFS(GQList,GIList,Table_ExternalData_1[[#This Row],[Item_key]],GDList,Table_ExternalData_1[[#Headers],[10]])</f>
        <v>0</v>
      </c>
      <c r="Q11" s="34">
        <f>SUMIFS(GQList,GIList,Table_ExternalData_1[[#This Row],[Item_key]],GDList,Table_ExternalData_1[[#Headers],[11]])</f>
        <v>0</v>
      </c>
      <c r="R11" s="34">
        <f>SUMIFS(GQList,GIList,Table_ExternalData_1[[#This Row],[Item_key]],GDList,Table_ExternalData_1[[#Headers],[12]])</f>
        <v>0</v>
      </c>
      <c r="S11" s="34">
        <f>SUMIFS(GQList,GIList,Table_ExternalData_1[[#This Row],[Item_key]],GDList,Table_ExternalData_1[[#Headers],[13]])</f>
        <v>0</v>
      </c>
      <c r="T11" s="34">
        <f>SUMIFS(GQList,GIList,Table_ExternalData_1[[#This Row],[Item_key]],GDList,Table_ExternalData_1[[#Headers],[14]])</f>
        <v>0</v>
      </c>
      <c r="U11" s="34">
        <f>SUMIFS(GQList,GIList,Table_ExternalData_1[[#This Row],[Item_key]],GDList,Table_ExternalData_1[[#Headers],[15]])</f>
        <v>0</v>
      </c>
      <c r="V11" s="34">
        <f>SUMIFS(GQList,GIList,Table_ExternalData_1[[#This Row],[Item_key]],GDList,Table_ExternalData_1[[#Headers],[16]])</f>
        <v>0</v>
      </c>
      <c r="W11" s="34">
        <f>SUMIFS(GQList,GIList,Table_ExternalData_1[[#This Row],[Item_key]],GDList,Table_ExternalData_1[[#Headers],[17]])</f>
        <v>0</v>
      </c>
      <c r="X11" s="34">
        <f>SUMIFS(GQList,GIList,Table_ExternalData_1[[#This Row],[Item_key]],GDList,Table_ExternalData_1[[#Headers],[18]])</f>
        <v>0</v>
      </c>
      <c r="Y11" s="34">
        <f>SUMIFS(GQList,GIList,Table_ExternalData_1[[#This Row],[Item_key]],GDList,Table_ExternalData_1[[#Headers],[19]])</f>
        <v>0</v>
      </c>
      <c r="Z11" s="34">
        <f>SUMIFS(GQList,GIList,Table_ExternalData_1[[#This Row],[Item_key]],GDList,Table_ExternalData_1[[#Headers],[20]])</f>
        <v>0</v>
      </c>
      <c r="AA11" s="34">
        <f>SUMIFS(GQList,GIList,Table_ExternalData_1[[#This Row],[Item_key]],GDList,Table_ExternalData_1[[#Headers],[21]])</f>
        <v>0</v>
      </c>
      <c r="AB11" s="34">
        <f>SUMIFS(GQList,GIList,Table_ExternalData_1[[#This Row],[Item_key]],GDList,Table_ExternalData_1[[#Headers],[22]])</f>
        <v>0</v>
      </c>
      <c r="AC11" s="34">
        <f>SUMIFS(GQList,GIList,Table_ExternalData_1[[#This Row],[Item_key]],GDList,Table_ExternalData_1[[#Headers],[23]])</f>
        <v>0</v>
      </c>
      <c r="AD11" s="34">
        <f>SUMIFS(GQList,GIList,Table_ExternalData_1[[#This Row],[Item_key]],GDList,Table_ExternalData_1[[#Headers],[24]])</f>
        <v>0</v>
      </c>
      <c r="AE11" s="34">
        <f>SUMIFS(GQList,GIList,Table_ExternalData_1[[#This Row],[Item_key]],GDList,Table_ExternalData_1[[#Headers],[25]])</f>
        <v>0</v>
      </c>
      <c r="AF11" s="34">
        <f>SUMIFS(GQList,GIList,Table_ExternalData_1[[#This Row],[Item_key]],GDList,Table_ExternalData_1[[#Headers],[26]])</f>
        <v>0</v>
      </c>
      <c r="AG11" s="34">
        <f>SUMIFS(GQList,GIList,Table_ExternalData_1[[#This Row],[Item_key]],GDList,Table_ExternalData_1[[#Headers],[27]])</f>
        <v>0</v>
      </c>
      <c r="AH11" s="34">
        <f>SUMIFS(GQList,GIList,Table_ExternalData_1[[#This Row],[Item_key]],GDList,Table_ExternalData_1[[#Headers],[28]])</f>
        <v>0</v>
      </c>
      <c r="AI11" s="34">
        <f>SUMIFS(GQList,GIList,Table_ExternalData_1[[#This Row],[Item_key]],GDList,Table_ExternalData_1[[#Headers],[29]])</f>
        <v>0</v>
      </c>
      <c r="AJ11" s="34">
        <f>SUMIFS(GQList,GIList,Table_ExternalData_1[[#This Row],[Item_key]],GDList,Table_ExternalData_1[[#Headers],[30]])</f>
        <v>0</v>
      </c>
      <c r="AK11" s="34">
        <f>SUMIFS(GQList,GIList,Table_ExternalData_1[[#This Row],[Item_key]],GDList,Table_ExternalData_1[[#Headers],[31]])</f>
        <v>0</v>
      </c>
      <c r="AL11" s="34">
        <f>SUM(Table_ExternalData_1[[#This Row],[1]:[31]])</f>
        <v>200</v>
      </c>
    </row>
    <row r="12" spans="1:38">
      <c r="A12" s="50" t="s">
        <v>65</v>
      </c>
      <c r="B12" s="3" t="s">
        <v>2350</v>
      </c>
      <c r="C12" s="3" t="s">
        <v>760</v>
      </c>
      <c r="D12" s="3" t="s">
        <v>1391</v>
      </c>
      <c r="E12" s="3" t="s">
        <v>1392</v>
      </c>
      <c r="F12" s="8" t="s">
        <v>17</v>
      </c>
      <c r="G12" s="6">
        <f>SUMIFS(GQList,GIList,Table_ExternalData_1[[#This Row],[Item_key]],GDList,Table_ExternalData_1[[#Headers],[1]])</f>
        <v>0</v>
      </c>
      <c r="H12" s="6">
        <f>SUMIFS(GQList,GIList,Table_ExternalData_1[[#This Row],[Item_key]],GDList,Table_ExternalData_1[[#Headers],[2]])</f>
        <v>0</v>
      </c>
      <c r="I12" s="6">
        <f>SUMIFS(GQList,GIList,Table_ExternalData_1[[#This Row],[Item_key]],GDList,Table_ExternalData_1[[#Headers],[3]])</f>
        <v>0</v>
      </c>
      <c r="J12" s="6">
        <f>SUMIFS(GQList,GIList,Table_ExternalData_1[[#This Row],[Item_key]],GDList,Table_ExternalData_1[[#Headers],[4]])</f>
        <v>0</v>
      </c>
      <c r="K12" s="6">
        <f>SUMIFS(GQList,GIList,Table_ExternalData_1[[#This Row],[Item_key]],GDList,Table_ExternalData_1[[#Headers],[5]])</f>
        <v>0</v>
      </c>
      <c r="L12" s="6">
        <f>SUMIFS(GQList,GIList,Table_ExternalData_1[[#This Row],[Item_key]],GDList,Table_ExternalData_1[[#Headers],[6]])</f>
        <v>0</v>
      </c>
      <c r="M12" s="6">
        <f>SUMIFS(GQList,GIList,Table_ExternalData_1[[#This Row],[Item_key]],GDList,Table_ExternalData_1[[#Headers],[7]])</f>
        <v>0</v>
      </c>
      <c r="N12" s="6">
        <f>SUMIFS(GQList,GIList,Table_ExternalData_1[[#This Row],[Item_key]],GDList,Table_ExternalData_1[[#Headers],[8]])</f>
        <v>100</v>
      </c>
      <c r="O12" s="6">
        <f>SUMIFS(GQList,GIList,Table_ExternalData_1[[#This Row],[Item_key]],GDList,Table_ExternalData_1[[#Headers],[9]])</f>
        <v>0</v>
      </c>
      <c r="P12" s="6">
        <f>SUMIFS(GQList,GIList,Table_ExternalData_1[[#This Row],[Item_key]],GDList,Table_ExternalData_1[[#Headers],[10]])</f>
        <v>0</v>
      </c>
      <c r="Q12" s="6">
        <f>SUMIFS(GQList,GIList,Table_ExternalData_1[[#This Row],[Item_key]],GDList,Table_ExternalData_1[[#Headers],[11]])</f>
        <v>0</v>
      </c>
      <c r="R12" s="6">
        <f>SUMIFS(GQList,GIList,Table_ExternalData_1[[#This Row],[Item_key]],GDList,Table_ExternalData_1[[#Headers],[12]])</f>
        <v>0</v>
      </c>
      <c r="S12" s="6">
        <f>SUMIFS(GQList,GIList,Table_ExternalData_1[[#This Row],[Item_key]],GDList,Table_ExternalData_1[[#Headers],[13]])</f>
        <v>0</v>
      </c>
      <c r="T12" s="6">
        <f>SUMIFS(GQList,GIList,Table_ExternalData_1[[#This Row],[Item_key]],GDList,Table_ExternalData_1[[#Headers],[14]])</f>
        <v>0</v>
      </c>
      <c r="U12" s="6">
        <f>SUMIFS(GQList,GIList,Table_ExternalData_1[[#This Row],[Item_key]],GDList,Table_ExternalData_1[[#Headers],[15]])</f>
        <v>0</v>
      </c>
      <c r="V12" s="6">
        <f>SUMIFS(GQList,GIList,Table_ExternalData_1[[#This Row],[Item_key]],GDList,Table_ExternalData_1[[#Headers],[16]])</f>
        <v>0</v>
      </c>
      <c r="W12" s="6">
        <f>SUMIFS(GQList,GIList,Table_ExternalData_1[[#This Row],[Item_key]],GDList,Table_ExternalData_1[[#Headers],[17]])</f>
        <v>0</v>
      </c>
      <c r="X12" s="6">
        <f>SUMIFS(GQList,GIList,Table_ExternalData_1[[#This Row],[Item_key]],GDList,Table_ExternalData_1[[#Headers],[18]])</f>
        <v>0</v>
      </c>
      <c r="Y12" s="6">
        <f>SUMIFS(GQList,GIList,Table_ExternalData_1[[#This Row],[Item_key]],GDList,Table_ExternalData_1[[#Headers],[19]])</f>
        <v>0</v>
      </c>
      <c r="Z12" s="6">
        <f>SUMIFS(GQList,GIList,Table_ExternalData_1[[#This Row],[Item_key]],GDList,Table_ExternalData_1[[#Headers],[20]])</f>
        <v>0</v>
      </c>
      <c r="AA12" s="6">
        <f>SUMIFS(GQList,GIList,Table_ExternalData_1[[#This Row],[Item_key]],GDList,Table_ExternalData_1[[#Headers],[21]])</f>
        <v>0</v>
      </c>
      <c r="AB12" s="6">
        <f>SUMIFS(GQList,GIList,Table_ExternalData_1[[#This Row],[Item_key]],GDList,Table_ExternalData_1[[#Headers],[22]])</f>
        <v>0</v>
      </c>
      <c r="AC12" s="6">
        <f>SUMIFS(GQList,GIList,Table_ExternalData_1[[#This Row],[Item_key]],GDList,Table_ExternalData_1[[#Headers],[23]])</f>
        <v>0</v>
      </c>
      <c r="AD12" s="6">
        <f>SUMIFS(GQList,GIList,Table_ExternalData_1[[#This Row],[Item_key]],GDList,Table_ExternalData_1[[#Headers],[24]])</f>
        <v>0</v>
      </c>
      <c r="AE12" s="6">
        <f>SUMIFS(GQList,GIList,Table_ExternalData_1[[#This Row],[Item_key]],GDList,Table_ExternalData_1[[#Headers],[25]])</f>
        <v>0</v>
      </c>
      <c r="AF12" s="6">
        <f>SUMIFS(GQList,GIList,Table_ExternalData_1[[#This Row],[Item_key]],GDList,Table_ExternalData_1[[#Headers],[26]])</f>
        <v>0</v>
      </c>
      <c r="AG12" s="6">
        <f>SUMIFS(GQList,GIList,Table_ExternalData_1[[#This Row],[Item_key]],GDList,Table_ExternalData_1[[#Headers],[27]])</f>
        <v>0</v>
      </c>
      <c r="AH12" s="6">
        <f>SUMIFS(GQList,GIList,Table_ExternalData_1[[#This Row],[Item_key]],GDList,Table_ExternalData_1[[#Headers],[28]])</f>
        <v>0</v>
      </c>
      <c r="AI12" s="6">
        <f>SUMIFS(GQList,GIList,Table_ExternalData_1[[#This Row],[Item_key]],GDList,Table_ExternalData_1[[#Headers],[29]])</f>
        <v>0</v>
      </c>
      <c r="AJ12" s="6">
        <f>SUMIFS(GQList,GIList,Table_ExternalData_1[[#This Row],[Item_key]],GDList,Table_ExternalData_1[[#Headers],[30]])</f>
        <v>0</v>
      </c>
      <c r="AK12" s="6">
        <f>SUMIFS(GQList,GIList,Table_ExternalData_1[[#This Row],[Item_key]],GDList,Table_ExternalData_1[[#Headers],[31]])</f>
        <v>0</v>
      </c>
      <c r="AL12" s="6">
        <f>SUM(Table_ExternalData_1[[#This Row],[1]:[31]])</f>
        <v>100</v>
      </c>
    </row>
    <row r="13" spans="1:38">
      <c r="A13" s="50" t="s">
        <v>65</v>
      </c>
      <c r="B13" s="3" t="s">
        <v>1606</v>
      </c>
      <c r="C13" s="3" t="s">
        <v>456</v>
      </c>
      <c r="D13" s="3" t="s">
        <v>1280</v>
      </c>
      <c r="E13" s="3" t="s">
        <v>1279</v>
      </c>
      <c r="F13" s="8" t="s">
        <v>17</v>
      </c>
      <c r="G13" s="6">
        <f>SUMIFS(GQList,GIList,Table_ExternalData_1[[#This Row],[Item_key]],GDList,Table_ExternalData_1[[#Headers],[1]])</f>
        <v>0</v>
      </c>
      <c r="H13" s="6">
        <f>SUMIFS(GQList,GIList,Table_ExternalData_1[[#This Row],[Item_key]],GDList,Table_ExternalData_1[[#Headers],[2]])</f>
        <v>0</v>
      </c>
      <c r="I13" s="6">
        <f>SUMIFS(GQList,GIList,Table_ExternalData_1[[#This Row],[Item_key]],GDList,Table_ExternalData_1[[#Headers],[3]])</f>
        <v>0</v>
      </c>
      <c r="J13" s="6">
        <f>SUMIFS(GQList,GIList,Table_ExternalData_1[[#This Row],[Item_key]],GDList,Table_ExternalData_1[[#Headers],[4]])</f>
        <v>0</v>
      </c>
      <c r="K13" s="6">
        <f>SUMIFS(GQList,GIList,Table_ExternalData_1[[#This Row],[Item_key]],GDList,Table_ExternalData_1[[#Headers],[5]])</f>
        <v>0</v>
      </c>
      <c r="L13" s="6">
        <f>SUMIFS(GQList,GIList,Table_ExternalData_1[[#This Row],[Item_key]],GDList,Table_ExternalData_1[[#Headers],[6]])</f>
        <v>0</v>
      </c>
      <c r="M13" s="6">
        <f>SUMIFS(GQList,GIList,Table_ExternalData_1[[#This Row],[Item_key]],GDList,Table_ExternalData_1[[#Headers],[7]])</f>
        <v>0</v>
      </c>
      <c r="N13" s="6">
        <f>SUMIFS(GQList,GIList,Table_ExternalData_1[[#This Row],[Item_key]],GDList,Table_ExternalData_1[[#Headers],[8]])</f>
        <v>0</v>
      </c>
      <c r="O13" s="6">
        <f>SUMIFS(GQList,GIList,Table_ExternalData_1[[#This Row],[Item_key]],GDList,Table_ExternalData_1[[#Headers],[9]])</f>
        <v>14</v>
      </c>
      <c r="P13" s="6">
        <f>SUMIFS(GQList,GIList,Table_ExternalData_1[[#This Row],[Item_key]],GDList,Table_ExternalData_1[[#Headers],[10]])</f>
        <v>0</v>
      </c>
      <c r="Q13" s="6">
        <f>SUMIFS(GQList,GIList,Table_ExternalData_1[[#This Row],[Item_key]],GDList,Table_ExternalData_1[[#Headers],[11]])</f>
        <v>0</v>
      </c>
      <c r="R13" s="6">
        <f>SUMIFS(GQList,GIList,Table_ExternalData_1[[#This Row],[Item_key]],GDList,Table_ExternalData_1[[#Headers],[12]])</f>
        <v>0</v>
      </c>
      <c r="S13" s="6">
        <f>SUMIFS(GQList,GIList,Table_ExternalData_1[[#This Row],[Item_key]],GDList,Table_ExternalData_1[[#Headers],[13]])</f>
        <v>0</v>
      </c>
      <c r="T13" s="6">
        <f>SUMIFS(GQList,GIList,Table_ExternalData_1[[#This Row],[Item_key]],GDList,Table_ExternalData_1[[#Headers],[14]])</f>
        <v>0</v>
      </c>
      <c r="U13" s="6">
        <f>SUMIFS(GQList,GIList,Table_ExternalData_1[[#This Row],[Item_key]],GDList,Table_ExternalData_1[[#Headers],[15]])</f>
        <v>0</v>
      </c>
      <c r="V13" s="6">
        <f>SUMIFS(GQList,GIList,Table_ExternalData_1[[#This Row],[Item_key]],GDList,Table_ExternalData_1[[#Headers],[16]])</f>
        <v>0</v>
      </c>
      <c r="W13" s="6">
        <f>SUMIFS(GQList,GIList,Table_ExternalData_1[[#This Row],[Item_key]],GDList,Table_ExternalData_1[[#Headers],[17]])</f>
        <v>0</v>
      </c>
      <c r="X13" s="6">
        <f>SUMIFS(GQList,GIList,Table_ExternalData_1[[#This Row],[Item_key]],GDList,Table_ExternalData_1[[#Headers],[18]])</f>
        <v>0</v>
      </c>
      <c r="Y13" s="6">
        <f>SUMIFS(GQList,GIList,Table_ExternalData_1[[#This Row],[Item_key]],GDList,Table_ExternalData_1[[#Headers],[19]])</f>
        <v>0</v>
      </c>
      <c r="Z13" s="6">
        <f>SUMIFS(GQList,GIList,Table_ExternalData_1[[#This Row],[Item_key]],GDList,Table_ExternalData_1[[#Headers],[20]])</f>
        <v>0</v>
      </c>
      <c r="AA13" s="6">
        <f>SUMIFS(GQList,GIList,Table_ExternalData_1[[#This Row],[Item_key]],GDList,Table_ExternalData_1[[#Headers],[21]])</f>
        <v>0</v>
      </c>
      <c r="AB13" s="6">
        <f>SUMIFS(GQList,GIList,Table_ExternalData_1[[#This Row],[Item_key]],GDList,Table_ExternalData_1[[#Headers],[22]])</f>
        <v>0</v>
      </c>
      <c r="AC13" s="6">
        <f>SUMIFS(GQList,GIList,Table_ExternalData_1[[#This Row],[Item_key]],GDList,Table_ExternalData_1[[#Headers],[23]])</f>
        <v>0</v>
      </c>
      <c r="AD13" s="6">
        <f>SUMIFS(GQList,GIList,Table_ExternalData_1[[#This Row],[Item_key]],GDList,Table_ExternalData_1[[#Headers],[24]])</f>
        <v>0</v>
      </c>
      <c r="AE13" s="6">
        <f>SUMIFS(GQList,GIList,Table_ExternalData_1[[#This Row],[Item_key]],GDList,Table_ExternalData_1[[#Headers],[25]])</f>
        <v>0</v>
      </c>
      <c r="AF13" s="6">
        <f>SUMIFS(GQList,GIList,Table_ExternalData_1[[#This Row],[Item_key]],GDList,Table_ExternalData_1[[#Headers],[26]])</f>
        <v>0</v>
      </c>
      <c r="AG13" s="6">
        <f>SUMIFS(GQList,GIList,Table_ExternalData_1[[#This Row],[Item_key]],GDList,Table_ExternalData_1[[#Headers],[27]])</f>
        <v>0</v>
      </c>
      <c r="AH13" s="6">
        <f>SUMIFS(GQList,GIList,Table_ExternalData_1[[#This Row],[Item_key]],GDList,Table_ExternalData_1[[#Headers],[28]])</f>
        <v>0</v>
      </c>
      <c r="AI13" s="6">
        <f>SUMIFS(GQList,GIList,Table_ExternalData_1[[#This Row],[Item_key]],GDList,Table_ExternalData_1[[#Headers],[29]])</f>
        <v>0</v>
      </c>
      <c r="AJ13" s="6">
        <f>SUMIFS(GQList,GIList,Table_ExternalData_1[[#This Row],[Item_key]],GDList,Table_ExternalData_1[[#Headers],[30]])</f>
        <v>0</v>
      </c>
      <c r="AK13" s="6">
        <f>SUMIFS(GQList,GIList,Table_ExternalData_1[[#This Row],[Item_key]],GDList,Table_ExternalData_1[[#Headers],[31]])</f>
        <v>0</v>
      </c>
      <c r="AL13" s="6">
        <f>SUM(Table_ExternalData_1[[#This Row],[1]:[31]])</f>
        <v>14</v>
      </c>
    </row>
    <row r="14" spans="1:38">
      <c r="A14" s="50" t="s">
        <v>65</v>
      </c>
      <c r="B14" s="3" t="s">
        <v>1606</v>
      </c>
      <c r="C14" s="3" t="s">
        <v>759</v>
      </c>
      <c r="D14" s="3" t="s">
        <v>1390</v>
      </c>
      <c r="E14" s="3" t="s">
        <v>1279</v>
      </c>
      <c r="F14" s="8" t="s">
        <v>17</v>
      </c>
      <c r="G14" s="6">
        <f>SUMIFS(GQList,GIList,Table_ExternalData_1[[#This Row],[Item_key]],GDList,Table_ExternalData_1[[#Headers],[1]])</f>
        <v>0</v>
      </c>
      <c r="H14" s="6">
        <f>SUMIFS(GQList,GIList,Table_ExternalData_1[[#This Row],[Item_key]],GDList,Table_ExternalData_1[[#Headers],[2]])</f>
        <v>0</v>
      </c>
      <c r="I14" s="6">
        <f>SUMIFS(GQList,GIList,Table_ExternalData_1[[#This Row],[Item_key]],GDList,Table_ExternalData_1[[#Headers],[3]])</f>
        <v>0</v>
      </c>
      <c r="J14" s="6">
        <f>SUMIFS(GQList,GIList,Table_ExternalData_1[[#This Row],[Item_key]],GDList,Table_ExternalData_1[[#Headers],[4]])</f>
        <v>0</v>
      </c>
      <c r="K14" s="6">
        <f>SUMIFS(GQList,GIList,Table_ExternalData_1[[#This Row],[Item_key]],GDList,Table_ExternalData_1[[#Headers],[5]])</f>
        <v>0</v>
      </c>
      <c r="L14" s="6">
        <f>SUMIFS(GQList,GIList,Table_ExternalData_1[[#This Row],[Item_key]],GDList,Table_ExternalData_1[[#Headers],[6]])</f>
        <v>0</v>
      </c>
      <c r="M14" s="6">
        <f>SUMIFS(GQList,GIList,Table_ExternalData_1[[#This Row],[Item_key]],GDList,Table_ExternalData_1[[#Headers],[7]])</f>
        <v>0</v>
      </c>
      <c r="N14" s="6">
        <f>SUMIFS(GQList,GIList,Table_ExternalData_1[[#This Row],[Item_key]],GDList,Table_ExternalData_1[[#Headers],[8]])</f>
        <v>0</v>
      </c>
      <c r="O14" s="6">
        <f>SUMIFS(GQList,GIList,Table_ExternalData_1[[#This Row],[Item_key]],GDList,Table_ExternalData_1[[#Headers],[9]])</f>
        <v>0</v>
      </c>
      <c r="P14" s="6">
        <f>SUMIFS(GQList,GIList,Table_ExternalData_1[[#This Row],[Item_key]],GDList,Table_ExternalData_1[[#Headers],[10]])</f>
        <v>0</v>
      </c>
      <c r="Q14" s="6">
        <f>SUMIFS(GQList,GIList,Table_ExternalData_1[[#This Row],[Item_key]],GDList,Table_ExternalData_1[[#Headers],[11]])</f>
        <v>0</v>
      </c>
      <c r="R14" s="6">
        <f>SUMIFS(GQList,GIList,Table_ExternalData_1[[#This Row],[Item_key]],GDList,Table_ExternalData_1[[#Headers],[12]])</f>
        <v>0</v>
      </c>
      <c r="S14" s="6">
        <f>SUMIFS(GQList,GIList,Table_ExternalData_1[[#This Row],[Item_key]],GDList,Table_ExternalData_1[[#Headers],[13]])</f>
        <v>0</v>
      </c>
      <c r="T14" s="6">
        <f>SUMIFS(GQList,GIList,Table_ExternalData_1[[#This Row],[Item_key]],GDList,Table_ExternalData_1[[#Headers],[14]])</f>
        <v>0</v>
      </c>
      <c r="U14" s="6">
        <f>SUMIFS(GQList,GIList,Table_ExternalData_1[[#This Row],[Item_key]],GDList,Table_ExternalData_1[[#Headers],[15]])</f>
        <v>0</v>
      </c>
      <c r="V14" s="6">
        <f>SUMIFS(GQList,GIList,Table_ExternalData_1[[#This Row],[Item_key]],GDList,Table_ExternalData_1[[#Headers],[16]])</f>
        <v>12</v>
      </c>
      <c r="W14" s="6">
        <f>SUMIFS(GQList,GIList,Table_ExternalData_1[[#This Row],[Item_key]],GDList,Table_ExternalData_1[[#Headers],[17]])</f>
        <v>0</v>
      </c>
      <c r="X14" s="6">
        <f>SUMIFS(GQList,GIList,Table_ExternalData_1[[#This Row],[Item_key]],GDList,Table_ExternalData_1[[#Headers],[18]])</f>
        <v>0</v>
      </c>
      <c r="Y14" s="6">
        <f>SUMIFS(GQList,GIList,Table_ExternalData_1[[#This Row],[Item_key]],GDList,Table_ExternalData_1[[#Headers],[19]])</f>
        <v>0</v>
      </c>
      <c r="Z14" s="6">
        <f>SUMIFS(GQList,GIList,Table_ExternalData_1[[#This Row],[Item_key]],GDList,Table_ExternalData_1[[#Headers],[20]])</f>
        <v>0</v>
      </c>
      <c r="AA14" s="6">
        <f>SUMIFS(GQList,GIList,Table_ExternalData_1[[#This Row],[Item_key]],GDList,Table_ExternalData_1[[#Headers],[21]])</f>
        <v>0</v>
      </c>
      <c r="AB14" s="6">
        <f>SUMIFS(GQList,GIList,Table_ExternalData_1[[#This Row],[Item_key]],GDList,Table_ExternalData_1[[#Headers],[22]])</f>
        <v>0</v>
      </c>
      <c r="AC14" s="6">
        <f>SUMIFS(GQList,GIList,Table_ExternalData_1[[#This Row],[Item_key]],GDList,Table_ExternalData_1[[#Headers],[23]])</f>
        <v>0</v>
      </c>
      <c r="AD14" s="6">
        <f>SUMIFS(GQList,GIList,Table_ExternalData_1[[#This Row],[Item_key]],GDList,Table_ExternalData_1[[#Headers],[24]])</f>
        <v>0</v>
      </c>
      <c r="AE14" s="6">
        <f>SUMIFS(GQList,GIList,Table_ExternalData_1[[#This Row],[Item_key]],GDList,Table_ExternalData_1[[#Headers],[25]])</f>
        <v>0</v>
      </c>
      <c r="AF14" s="6">
        <f>SUMIFS(GQList,GIList,Table_ExternalData_1[[#This Row],[Item_key]],GDList,Table_ExternalData_1[[#Headers],[26]])</f>
        <v>0</v>
      </c>
      <c r="AG14" s="6">
        <f>SUMIFS(GQList,GIList,Table_ExternalData_1[[#This Row],[Item_key]],GDList,Table_ExternalData_1[[#Headers],[27]])</f>
        <v>0</v>
      </c>
      <c r="AH14" s="6">
        <f>SUMIFS(GQList,GIList,Table_ExternalData_1[[#This Row],[Item_key]],GDList,Table_ExternalData_1[[#Headers],[28]])</f>
        <v>84</v>
      </c>
      <c r="AI14" s="6">
        <f>SUMIFS(GQList,GIList,Table_ExternalData_1[[#This Row],[Item_key]],GDList,Table_ExternalData_1[[#Headers],[29]])</f>
        <v>0</v>
      </c>
      <c r="AJ14" s="6">
        <f>SUMIFS(GQList,GIList,Table_ExternalData_1[[#This Row],[Item_key]],GDList,Table_ExternalData_1[[#Headers],[30]])</f>
        <v>0</v>
      </c>
      <c r="AK14" s="6">
        <f>SUMIFS(GQList,GIList,Table_ExternalData_1[[#This Row],[Item_key]],GDList,Table_ExternalData_1[[#Headers],[31]])</f>
        <v>0</v>
      </c>
      <c r="AL14" s="6">
        <f>SUM(Table_ExternalData_1[[#This Row],[1]:[31]])</f>
        <v>96</v>
      </c>
    </row>
    <row r="15" spans="1:38">
      <c r="A15" s="50" t="s">
        <v>65</v>
      </c>
      <c r="B15" s="3" t="s">
        <v>1607</v>
      </c>
      <c r="C15" s="3" t="s">
        <v>371</v>
      </c>
      <c r="D15" s="3" t="s">
        <v>1253</v>
      </c>
      <c r="E15" s="3" t="s">
        <v>1254</v>
      </c>
      <c r="F15" s="8" t="s">
        <v>17</v>
      </c>
      <c r="G15" s="6">
        <f>SUMIFS(GQList,GIList,Table_ExternalData_1[[#This Row],[Item_key]],GDList,Table_ExternalData_1[[#Headers],[1]])</f>
        <v>0</v>
      </c>
      <c r="H15" s="6">
        <f>SUMIFS(GQList,GIList,Table_ExternalData_1[[#This Row],[Item_key]],GDList,Table_ExternalData_1[[#Headers],[2]])</f>
        <v>0</v>
      </c>
      <c r="I15" s="6">
        <f>SUMIFS(GQList,GIList,Table_ExternalData_1[[#This Row],[Item_key]],GDList,Table_ExternalData_1[[#Headers],[3]])</f>
        <v>0</v>
      </c>
      <c r="J15" s="6">
        <f>SUMIFS(GQList,GIList,Table_ExternalData_1[[#This Row],[Item_key]],GDList,Table_ExternalData_1[[#Headers],[4]])</f>
        <v>0</v>
      </c>
      <c r="K15" s="6">
        <f>SUMIFS(GQList,GIList,Table_ExternalData_1[[#This Row],[Item_key]],GDList,Table_ExternalData_1[[#Headers],[5]])</f>
        <v>0</v>
      </c>
      <c r="L15" s="6">
        <f>SUMIFS(GQList,GIList,Table_ExternalData_1[[#This Row],[Item_key]],GDList,Table_ExternalData_1[[#Headers],[6]])</f>
        <v>0</v>
      </c>
      <c r="M15" s="6">
        <f>SUMIFS(GQList,GIList,Table_ExternalData_1[[#This Row],[Item_key]],GDList,Table_ExternalData_1[[#Headers],[7]])</f>
        <v>0</v>
      </c>
      <c r="N15" s="6">
        <f>SUMIFS(GQList,GIList,Table_ExternalData_1[[#This Row],[Item_key]],GDList,Table_ExternalData_1[[#Headers],[8]])</f>
        <v>0</v>
      </c>
      <c r="O15" s="6">
        <f>SUMIFS(GQList,GIList,Table_ExternalData_1[[#This Row],[Item_key]],GDList,Table_ExternalData_1[[#Headers],[9]])</f>
        <v>0</v>
      </c>
      <c r="P15" s="6">
        <f>SUMIFS(GQList,GIList,Table_ExternalData_1[[#This Row],[Item_key]],GDList,Table_ExternalData_1[[#Headers],[10]])</f>
        <v>200</v>
      </c>
      <c r="Q15" s="6">
        <f>SUMIFS(GQList,GIList,Table_ExternalData_1[[#This Row],[Item_key]],GDList,Table_ExternalData_1[[#Headers],[11]])</f>
        <v>0</v>
      </c>
      <c r="R15" s="6">
        <f>SUMIFS(GQList,GIList,Table_ExternalData_1[[#This Row],[Item_key]],GDList,Table_ExternalData_1[[#Headers],[12]])</f>
        <v>0</v>
      </c>
      <c r="S15" s="6">
        <f>SUMIFS(GQList,GIList,Table_ExternalData_1[[#This Row],[Item_key]],GDList,Table_ExternalData_1[[#Headers],[13]])</f>
        <v>0</v>
      </c>
      <c r="T15" s="6">
        <f>SUMIFS(GQList,GIList,Table_ExternalData_1[[#This Row],[Item_key]],GDList,Table_ExternalData_1[[#Headers],[14]])</f>
        <v>0</v>
      </c>
      <c r="U15" s="6">
        <f>SUMIFS(GQList,GIList,Table_ExternalData_1[[#This Row],[Item_key]],GDList,Table_ExternalData_1[[#Headers],[15]])</f>
        <v>0</v>
      </c>
      <c r="V15" s="6">
        <f>SUMIFS(GQList,GIList,Table_ExternalData_1[[#This Row],[Item_key]],GDList,Table_ExternalData_1[[#Headers],[16]])</f>
        <v>0</v>
      </c>
      <c r="W15" s="6">
        <f>SUMIFS(GQList,GIList,Table_ExternalData_1[[#This Row],[Item_key]],GDList,Table_ExternalData_1[[#Headers],[17]])</f>
        <v>0</v>
      </c>
      <c r="X15" s="6">
        <f>SUMIFS(GQList,GIList,Table_ExternalData_1[[#This Row],[Item_key]],GDList,Table_ExternalData_1[[#Headers],[18]])</f>
        <v>0</v>
      </c>
      <c r="Y15" s="6">
        <f>SUMIFS(GQList,GIList,Table_ExternalData_1[[#This Row],[Item_key]],GDList,Table_ExternalData_1[[#Headers],[19]])</f>
        <v>0</v>
      </c>
      <c r="Z15" s="6">
        <f>SUMIFS(GQList,GIList,Table_ExternalData_1[[#This Row],[Item_key]],GDList,Table_ExternalData_1[[#Headers],[20]])</f>
        <v>0</v>
      </c>
      <c r="AA15" s="6">
        <f>SUMIFS(GQList,GIList,Table_ExternalData_1[[#This Row],[Item_key]],GDList,Table_ExternalData_1[[#Headers],[21]])</f>
        <v>0</v>
      </c>
      <c r="AB15" s="6">
        <f>SUMIFS(GQList,GIList,Table_ExternalData_1[[#This Row],[Item_key]],GDList,Table_ExternalData_1[[#Headers],[22]])</f>
        <v>0</v>
      </c>
      <c r="AC15" s="6">
        <f>SUMIFS(GQList,GIList,Table_ExternalData_1[[#This Row],[Item_key]],GDList,Table_ExternalData_1[[#Headers],[23]])</f>
        <v>0</v>
      </c>
      <c r="AD15" s="6">
        <f>SUMIFS(GQList,GIList,Table_ExternalData_1[[#This Row],[Item_key]],GDList,Table_ExternalData_1[[#Headers],[24]])</f>
        <v>0</v>
      </c>
      <c r="AE15" s="6">
        <f>SUMIFS(GQList,GIList,Table_ExternalData_1[[#This Row],[Item_key]],GDList,Table_ExternalData_1[[#Headers],[25]])</f>
        <v>0</v>
      </c>
      <c r="AF15" s="6">
        <f>SUMIFS(GQList,GIList,Table_ExternalData_1[[#This Row],[Item_key]],GDList,Table_ExternalData_1[[#Headers],[26]])</f>
        <v>0</v>
      </c>
      <c r="AG15" s="6">
        <f>SUMIFS(GQList,GIList,Table_ExternalData_1[[#This Row],[Item_key]],GDList,Table_ExternalData_1[[#Headers],[27]])</f>
        <v>0</v>
      </c>
      <c r="AH15" s="6">
        <f>SUMIFS(GQList,GIList,Table_ExternalData_1[[#This Row],[Item_key]],GDList,Table_ExternalData_1[[#Headers],[28]])</f>
        <v>0</v>
      </c>
      <c r="AI15" s="6">
        <f>SUMIFS(GQList,GIList,Table_ExternalData_1[[#This Row],[Item_key]],GDList,Table_ExternalData_1[[#Headers],[29]])</f>
        <v>0</v>
      </c>
      <c r="AJ15" s="6">
        <f>SUMIFS(GQList,GIList,Table_ExternalData_1[[#This Row],[Item_key]],GDList,Table_ExternalData_1[[#Headers],[30]])</f>
        <v>0</v>
      </c>
      <c r="AK15" s="6">
        <f>SUMIFS(GQList,GIList,Table_ExternalData_1[[#This Row],[Item_key]],GDList,Table_ExternalData_1[[#Headers],[31]])</f>
        <v>0</v>
      </c>
      <c r="AL15" s="6">
        <f>SUM(Table_ExternalData_1[[#This Row],[1]:[31]])</f>
        <v>200</v>
      </c>
    </row>
    <row r="16" spans="1:38">
      <c r="A16" s="50" t="s">
        <v>65</v>
      </c>
      <c r="B16" s="3" t="s">
        <v>1607</v>
      </c>
      <c r="C16" s="3" t="s">
        <v>425</v>
      </c>
      <c r="D16" s="3" t="s">
        <v>1271</v>
      </c>
      <c r="E16" s="3" t="s">
        <v>1272</v>
      </c>
      <c r="F16" s="8" t="s">
        <v>17</v>
      </c>
      <c r="G16" s="6">
        <f>SUMIFS(GQList,GIList,Table_ExternalData_1[[#This Row],[Item_key]],GDList,Table_ExternalData_1[[#Headers],[1]])</f>
        <v>0</v>
      </c>
      <c r="H16" s="6">
        <f>SUMIFS(GQList,GIList,Table_ExternalData_1[[#This Row],[Item_key]],GDList,Table_ExternalData_1[[#Headers],[2]])</f>
        <v>0</v>
      </c>
      <c r="I16" s="6">
        <f>SUMIFS(GQList,GIList,Table_ExternalData_1[[#This Row],[Item_key]],GDList,Table_ExternalData_1[[#Headers],[3]])</f>
        <v>0</v>
      </c>
      <c r="J16" s="6">
        <f>SUMIFS(GQList,GIList,Table_ExternalData_1[[#This Row],[Item_key]],GDList,Table_ExternalData_1[[#Headers],[4]])</f>
        <v>0</v>
      </c>
      <c r="K16" s="6">
        <f>SUMIFS(GQList,GIList,Table_ExternalData_1[[#This Row],[Item_key]],GDList,Table_ExternalData_1[[#Headers],[5]])</f>
        <v>0</v>
      </c>
      <c r="L16" s="6">
        <f>SUMIFS(GQList,GIList,Table_ExternalData_1[[#This Row],[Item_key]],GDList,Table_ExternalData_1[[#Headers],[6]])</f>
        <v>0</v>
      </c>
      <c r="M16" s="6">
        <f>SUMIFS(GQList,GIList,Table_ExternalData_1[[#This Row],[Item_key]],GDList,Table_ExternalData_1[[#Headers],[7]])</f>
        <v>0</v>
      </c>
      <c r="N16" s="6">
        <f>SUMIFS(GQList,GIList,Table_ExternalData_1[[#This Row],[Item_key]],GDList,Table_ExternalData_1[[#Headers],[8]])</f>
        <v>0</v>
      </c>
      <c r="O16" s="6">
        <f>SUMIFS(GQList,GIList,Table_ExternalData_1[[#This Row],[Item_key]],GDList,Table_ExternalData_1[[#Headers],[9]])</f>
        <v>0</v>
      </c>
      <c r="P16" s="6">
        <f>SUMIFS(GQList,GIList,Table_ExternalData_1[[#This Row],[Item_key]],GDList,Table_ExternalData_1[[#Headers],[10]])</f>
        <v>500</v>
      </c>
      <c r="Q16" s="6">
        <f>SUMIFS(GQList,GIList,Table_ExternalData_1[[#This Row],[Item_key]],GDList,Table_ExternalData_1[[#Headers],[11]])</f>
        <v>0</v>
      </c>
      <c r="R16" s="6">
        <f>SUMIFS(GQList,GIList,Table_ExternalData_1[[#This Row],[Item_key]],GDList,Table_ExternalData_1[[#Headers],[12]])</f>
        <v>0</v>
      </c>
      <c r="S16" s="6">
        <f>SUMIFS(GQList,GIList,Table_ExternalData_1[[#This Row],[Item_key]],GDList,Table_ExternalData_1[[#Headers],[13]])</f>
        <v>0</v>
      </c>
      <c r="T16" s="6">
        <f>SUMIFS(GQList,GIList,Table_ExternalData_1[[#This Row],[Item_key]],GDList,Table_ExternalData_1[[#Headers],[14]])</f>
        <v>0</v>
      </c>
      <c r="U16" s="6">
        <f>SUMIFS(GQList,GIList,Table_ExternalData_1[[#This Row],[Item_key]],GDList,Table_ExternalData_1[[#Headers],[15]])</f>
        <v>0</v>
      </c>
      <c r="V16" s="6">
        <f>SUMIFS(GQList,GIList,Table_ExternalData_1[[#This Row],[Item_key]],GDList,Table_ExternalData_1[[#Headers],[16]])</f>
        <v>0</v>
      </c>
      <c r="W16" s="6">
        <f>SUMIFS(GQList,GIList,Table_ExternalData_1[[#This Row],[Item_key]],GDList,Table_ExternalData_1[[#Headers],[17]])</f>
        <v>0</v>
      </c>
      <c r="X16" s="6">
        <f>SUMIFS(GQList,GIList,Table_ExternalData_1[[#This Row],[Item_key]],GDList,Table_ExternalData_1[[#Headers],[18]])</f>
        <v>0</v>
      </c>
      <c r="Y16" s="6">
        <f>SUMIFS(GQList,GIList,Table_ExternalData_1[[#This Row],[Item_key]],GDList,Table_ExternalData_1[[#Headers],[19]])</f>
        <v>0</v>
      </c>
      <c r="Z16" s="6">
        <f>SUMIFS(GQList,GIList,Table_ExternalData_1[[#This Row],[Item_key]],GDList,Table_ExternalData_1[[#Headers],[20]])</f>
        <v>0</v>
      </c>
      <c r="AA16" s="6">
        <f>SUMIFS(GQList,GIList,Table_ExternalData_1[[#This Row],[Item_key]],GDList,Table_ExternalData_1[[#Headers],[21]])</f>
        <v>0</v>
      </c>
      <c r="AB16" s="6">
        <f>SUMIFS(GQList,GIList,Table_ExternalData_1[[#This Row],[Item_key]],GDList,Table_ExternalData_1[[#Headers],[22]])</f>
        <v>0</v>
      </c>
      <c r="AC16" s="6">
        <f>SUMIFS(GQList,GIList,Table_ExternalData_1[[#This Row],[Item_key]],GDList,Table_ExternalData_1[[#Headers],[23]])</f>
        <v>0</v>
      </c>
      <c r="AD16" s="6">
        <f>SUMIFS(GQList,GIList,Table_ExternalData_1[[#This Row],[Item_key]],GDList,Table_ExternalData_1[[#Headers],[24]])</f>
        <v>0</v>
      </c>
      <c r="AE16" s="6">
        <f>SUMIFS(GQList,GIList,Table_ExternalData_1[[#This Row],[Item_key]],GDList,Table_ExternalData_1[[#Headers],[25]])</f>
        <v>0</v>
      </c>
      <c r="AF16" s="6">
        <f>SUMIFS(GQList,GIList,Table_ExternalData_1[[#This Row],[Item_key]],GDList,Table_ExternalData_1[[#Headers],[26]])</f>
        <v>0</v>
      </c>
      <c r="AG16" s="6">
        <f>SUMIFS(GQList,GIList,Table_ExternalData_1[[#This Row],[Item_key]],GDList,Table_ExternalData_1[[#Headers],[27]])</f>
        <v>0</v>
      </c>
      <c r="AH16" s="6">
        <f>SUMIFS(GQList,GIList,Table_ExternalData_1[[#This Row],[Item_key]],GDList,Table_ExternalData_1[[#Headers],[28]])</f>
        <v>0</v>
      </c>
      <c r="AI16" s="6">
        <f>SUMIFS(GQList,GIList,Table_ExternalData_1[[#This Row],[Item_key]],GDList,Table_ExternalData_1[[#Headers],[29]])</f>
        <v>0</v>
      </c>
      <c r="AJ16" s="6">
        <f>SUMIFS(GQList,GIList,Table_ExternalData_1[[#This Row],[Item_key]],GDList,Table_ExternalData_1[[#Headers],[30]])</f>
        <v>0</v>
      </c>
      <c r="AK16" s="6">
        <f>SUMIFS(GQList,GIList,Table_ExternalData_1[[#This Row],[Item_key]],GDList,Table_ExternalData_1[[#Headers],[31]])</f>
        <v>0</v>
      </c>
      <c r="AL16" s="6">
        <f>SUM(Table_ExternalData_1[[#This Row],[1]:[31]])</f>
        <v>500</v>
      </c>
    </row>
    <row r="17" spans="1:38">
      <c r="A17" s="50" t="s">
        <v>65</v>
      </c>
      <c r="B17" s="3" t="s">
        <v>1607</v>
      </c>
      <c r="C17" s="3" t="s">
        <v>2009</v>
      </c>
      <c r="D17" s="3" t="s">
        <v>2353</v>
      </c>
      <c r="E17" s="3" t="s">
        <v>2354</v>
      </c>
      <c r="F17" s="8" t="s">
        <v>17</v>
      </c>
      <c r="G17" s="6">
        <f>SUMIFS(GQList,GIList,Table_ExternalData_1[[#This Row],[Item_key]],GDList,Table_ExternalData_1[[#Headers],[1]])</f>
        <v>0</v>
      </c>
      <c r="H17" s="6">
        <f>SUMIFS(GQList,GIList,Table_ExternalData_1[[#This Row],[Item_key]],GDList,Table_ExternalData_1[[#Headers],[2]])</f>
        <v>0</v>
      </c>
      <c r="I17" s="6">
        <f>SUMIFS(GQList,GIList,Table_ExternalData_1[[#This Row],[Item_key]],GDList,Table_ExternalData_1[[#Headers],[3]])</f>
        <v>0</v>
      </c>
      <c r="J17" s="6">
        <f>SUMIFS(GQList,GIList,Table_ExternalData_1[[#This Row],[Item_key]],GDList,Table_ExternalData_1[[#Headers],[4]])</f>
        <v>0</v>
      </c>
      <c r="K17" s="6">
        <f>SUMIFS(GQList,GIList,Table_ExternalData_1[[#This Row],[Item_key]],GDList,Table_ExternalData_1[[#Headers],[5]])</f>
        <v>0</v>
      </c>
      <c r="L17" s="6">
        <f>SUMIFS(GQList,GIList,Table_ExternalData_1[[#This Row],[Item_key]],GDList,Table_ExternalData_1[[#Headers],[6]])</f>
        <v>0</v>
      </c>
      <c r="M17" s="6">
        <f>SUMIFS(GQList,GIList,Table_ExternalData_1[[#This Row],[Item_key]],GDList,Table_ExternalData_1[[#Headers],[7]])</f>
        <v>0</v>
      </c>
      <c r="N17" s="6">
        <f>SUMIFS(GQList,GIList,Table_ExternalData_1[[#This Row],[Item_key]],GDList,Table_ExternalData_1[[#Headers],[8]])</f>
        <v>0</v>
      </c>
      <c r="O17" s="6">
        <f>SUMIFS(GQList,GIList,Table_ExternalData_1[[#This Row],[Item_key]],GDList,Table_ExternalData_1[[#Headers],[9]])</f>
        <v>0</v>
      </c>
      <c r="P17" s="6">
        <f>SUMIFS(GQList,GIList,Table_ExternalData_1[[#This Row],[Item_key]],GDList,Table_ExternalData_1[[#Headers],[10]])</f>
        <v>1000</v>
      </c>
      <c r="Q17" s="6">
        <f>SUMIFS(GQList,GIList,Table_ExternalData_1[[#This Row],[Item_key]],GDList,Table_ExternalData_1[[#Headers],[11]])</f>
        <v>0</v>
      </c>
      <c r="R17" s="6">
        <f>SUMIFS(GQList,GIList,Table_ExternalData_1[[#This Row],[Item_key]],GDList,Table_ExternalData_1[[#Headers],[12]])</f>
        <v>0</v>
      </c>
      <c r="S17" s="6">
        <f>SUMIFS(GQList,GIList,Table_ExternalData_1[[#This Row],[Item_key]],GDList,Table_ExternalData_1[[#Headers],[13]])</f>
        <v>0</v>
      </c>
      <c r="T17" s="6">
        <f>SUMIFS(GQList,GIList,Table_ExternalData_1[[#This Row],[Item_key]],GDList,Table_ExternalData_1[[#Headers],[14]])</f>
        <v>0</v>
      </c>
      <c r="U17" s="6">
        <f>SUMIFS(GQList,GIList,Table_ExternalData_1[[#This Row],[Item_key]],GDList,Table_ExternalData_1[[#Headers],[15]])</f>
        <v>0</v>
      </c>
      <c r="V17" s="6">
        <f>SUMIFS(GQList,GIList,Table_ExternalData_1[[#This Row],[Item_key]],GDList,Table_ExternalData_1[[#Headers],[16]])</f>
        <v>0</v>
      </c>
      <c r="W17" s="6">
        <f>SUMIFS(GQList,GIList,Table_ExternalData_1[[#This Row],[Item_key]],GDList,Table_ExternalData_1[[#Headers],[17]])</f>
        <v>0</v>
      </c>
      <c r="X17" s="6">
        <f>SUMIFS(GQList,GIList,Table_ExternalData_1[[#This Row],[Item_key]],GDList,Table_ExternalData_1[[#Headers],[18]])</f>
        <v>0</v>
      </c>
      <c r="Y17" s="6">
        <f>SUMIFS(GQList,GIList,Table_ExternalData_1[[#This Row],[Item_key]],GDList,Table_ExternalData_1[[#Headers],[19]])</f>
        <v>0</v>
      </c>
      <c r="Z17" s="6">
        <f>SUMIFS(GQList,GIList,Table_ExternalData_1[[#This Row],[Item_key]],GDList,Table_ExternalData_1[[#Headers],[20]])</f>
        <v>0</v>
      </c>
      <c r="AA17" s="6">
        <f>SUMIFS(GQList,GIList,Table_ExternalData_1[[#This Row],[Item_key]],GDList,Table_ExternalData_1[[#Headers],[21]])</f>
        <v>0</v>
      </c>
      <c r="AB17" s="6">
        <f>SUMIFS(GQList,GIList,Table_ExternalData_1[[#This Row],[Item_key]],GDList,Table_ExternalData_1[[#Headers],[22]])</f>
        <v>0</v>
      </c>
      <c r="AC17" s="6">
        <f>SUMIFS(GQList,GIList,Table_ExternalData_1[[#This Row],[Item_key]],GDList,Table_ExternalData_1[[#Headers],[23]])</f>
        <v>0</v>
      </c>
      <c r="AD17" s="6">
        <f>SUMIFS(GQList,GIList,Table_ExternalData_1[[#This Row],[Item_key]],GDList,Table_ExternalData_1[[#Headers],[24]])</f>
        <v>0</v>
      </c>
      <c r="AE17" s="6">
        <f>SUMIFS(GQList,GIList,Table_ExternalData_1[[#This Row],[Item_key]],GDList,Table_ExternalData_1[[#Headers],[25]])</f>
        <v>0</v>
      </c>
      <c r="AF17" s="6">
        <f>SUMIFS(GQList,GIList,Table_ExternalData_1[[#This Row],[Item_key]],GDList,Table_ExternalData_1[[#Headers],[26]])</f>
        <v>0</v>
      </c>
      <c r="AG17" s="6">
        <f>SUMIFS(GQList,GIList,Table_ExternalData_1[[#This Row],[Item_key]],GDList,Table_ExternalData_1[[#Headers],[27]])</f>
        <v>0</v>
      </c>
      <c r="AH17" s="6">
        <f>SUMIFS(GQList,GIList,Table_ExternalData_1[[#This Row],[Item_key]],GDList,Table_ExternalData_1[[#Headers],[28]])</f>
        <v>0</v>
      </c>
      <c r="AI17" s="6">
        <f>SUMIFS(GQList,GIList,Table_ExternalData_1[[#This Row],[Item_key]],GDList,Table_ExternalData_1[[#Headers],[29]])</f>
        <v>0</v>
      </c>
      <c r="AJ17" s="6">
        <f>SUMIFS(GQList,GIList,Table_ExternalData_1[[#This Row],[Item_key]],GDList,Table_ExternalData_1[[#Headers],[30]])</f>
        <v>0</v>
      </c>
      <c r="AK17" s="6">
        <f>SUMIFS(GQList,GIList,Table_ExternalData_1[[#This Row],[Item_key]],GDList,Table_ExternalData_1[[#Headers],[31]])</f>
        <v>0</v>
      </c>
      <c r="AL17" s="6">
        <f>SUM(Table_ExternalData_1[[#This Row],[1]:[31]])</f>
        <v>1000</v>
      </c>
    </row>
    <row r="18" spans="1:38">
      <c r="A18" s="50" t="s">
        <v>65</v>
      </c>
      <c r="B18" s="3" t="s">
        <v>2355</v>
      </c>
      <c r="C18" s="3" t="s">
        <v>193</v>
      </c>
      <c r="D18" s="3" t="s">
        <v>2434</v>
      </c>
      <c r="E18" s="3" t="s">
        <v>2435</v>
      </c>
      <c r="F18" s="8" t="s">
        <v>17</v>
      </c>
      <c r="G18" s="6">
        <f>SUMIFS(GQList,GIList,Table_ExternalData_1[[#This Row],[Item_key]],GDList,Table_ExternalData_1[[#Headers],[1]])</f>
        <v>0</v>
      </c>
      <c r="H18" s="6">
        <f>SUMIFS(GQList,GIList,Table_ExternalData_1[[#This Row],[Item_key]],GDList,Table_ExternalData_1[[#Headers],[2]])</f>
        <v>0</v>
      </c>
      <c r="I18" s="6">
        <f>SUMIFS(GQList,GIList,Table_ExternalData_1[[#This Row],[Item_key]],GDList,Table_ExternalData_1[[#Headers],[3]])</f>
        <v>0</v>
      </c>
      <c r="J18" s="6">
        <f>SUMIFS(GQList,GIList,Table_ExternalData_1[[#This Row],[Item_key]],GDList,Table_ExternalData_1[[#Headers],[4]])</f>
        <v>0</v>
      </c>
      <c r="K18" s="6">
        <f>SUMIFS(GQList,GIList,Table_ExternalData_1[[#This Row],[Item_key]],GDList,Table_ExternalData_1[[#Headers],[5]])</f>
        <v>0</v>
      </c>
      <c r="L18" s="6">
        <f>SUMIFS(GQList,GIList,Table_ExternalData_1[[#This Row],[Item_key]],GDList,Table_ExternalData_1[[#Headers],[6]])</f>
        <v>0</v>
      </c>
      <c r="M18" s="6">
        <f>SUMIFS(GQList,GIList,Table_ExternalData_1[[#This Row],[Item_key]],GDList,Table_ExternalData_1[[#Headers],[7]])</f>
        <v>0</v>
      </c>
      <c r="N18" s="6">
        <f>SUMIFS(GQList,GIList,Table_ExternalData_1[[#This Row],[Item_key]],GDList,Table_ExternalData_1[[#Headers],[8]])</f>
        <v>0</v>
      </c>
      <c r="O18" s="6">
        <f>SUMIFS(GQList,GIList,Table_ExternalData_1[[#This Row],[Item_key]],GDList,Table_ExternalData_1[[#Headers],[9]])</f>
        <v>0</v>
      </c>
      <c r="P18" s="6">
        <f>SUMIFS(GQList,GIList,Table_ExternalData_1[[#This Row],[Item_key]],GDList,Table_ExternalData_1[[#Headers],[10]])</f>
        <v>0</v>
      </c>
      <c r="Q18" s="6">
        <f>SUMIFS(GQList,GIList,Table_ExternalData_1[[#This Row],[Item_key]],GDList,Table_ExternalData_1[[#Headers],[11]])</f>
        <v>0</v>
      </c>
      <c r="R18" s="6">
        <f>SUMIFS(GQList,GIList,Table_ExternalData_1[[#This Row],[Item_key]],GDList,Table_ExternalData_1[[#Headers],[12]])</f>
        <v>0</v>
      </c>
      <c r="S18" s="6">
        <f>SUMIFS(GQList,GIList,Table_ExternalData_1[[#This Row],[Item_key]],GDList,Table_ExternalData_1[[#Headers],[13]])</f>
        <v>0</v>
      </c>
      <c r="T18" s="6">
        <f>SUMIFS(GQList,GIList,Table_ExternalData_1[[#This Row],[Item_key]],GDList,Table_ExternalData_1[[#Headers],[14]])</f>
        <v>0</v>
      </c>
      <c r="U18" s="6">
        <f>SUMIFS(GQList,GIList,Table_ExternalData_1[[#This Row],[Item_key]],GDList,Table_ExternalData_1[[#Headers],[15]])</f>
        <v>0</v>
      </c>
      <c r="V18" s="6">
        <f>SUMIFS(GQList,GIList,Table_ExternalData_1[[#This Row],[Item_key]],GDList,Table_ExternalData_1[[#Headers],[16]])</f>
        <v>0</v>
      </c>
      <c r="W18" s="6">
        <f>SUMIFS(GQList,GIList,Table_ExternalData_1[[#This Row],[Item_key]],GDList,Table_ExternalData_1[[#Headers],[17]])</f>
        <v>0</v>
      </c>
      <c r="X18" s="6">
        <f>SUMIFS(GQList,GIList,Table_ExternalData_1[[#This Row],[Item_key]],GDList,Table_ExternalData_1[[#Headers],[18]])</f>
        <v>0</v>
      </c>
      <c r="Y18" s="6">
        <f>SUMIFS(GQList,GIList,Table_ExternalData_1[[#This Row],[Item_key]],GDList,Table_ExternalData_1[[#Headers],[19]])</f>
        <v>0</v>
      </c>
      <c r="Z18" s="6">
        <f>SUMIFS(GQList,GIList,Table_ExternalData_1[[#This Row],[Item_key]],GDList,Table_ExternalData_1[[#Headers],[20]])</f>
        <v>0</v>
      </c>
      <c r="AA18" s="6">
        <f>SUMIFS(GQList,GIList,Table_ExternalData_1[[#This Row],[Item_key]],GDList,Table_ExternalData_1[[#Headers],[21]])</f>
        <v>0</v>
      </c>
      <c r="AB18" s="6">
        <f>SUMIFS(GQList,GIList,Table_ExternalData_1[[#This Row],[Item_key]],GDList,Table_ExternalData_1[[#Headers],[22]])</f>
        <v>0</v>
      </c>
      <c r="AC18" s="6">
        <f>SUMIFS(GQList,GIList,Table_ExternalData_1[[#This Row],[Item_key]],GDList,Table_ExternalData_1[[#Headers],[23]])</f>
        <v>0</v>
      </c>
      <c r="AD18" s="6">
        <f>SUMIFS(GQList,GIList,Table_ExternalData_1[[#This Row],[Item_key]],GDList,Table_ExternalData_1[[#Headers],[24]])</f>
        <v>200</v>
      </c>
      <c r="AE18" s="6">
        <f>SUMIFS(GQList,GIList,Table_ExternalData_1[[#This Row],[Item_key]],GDList,Table_ExternalData_1[[#Headers],[25]])</f>
        <v>0</v>
      </c>
      <c r="AF18" s="6">
        <f>SUMIFS(GQList,GIList,Table_ExternalData_1[[#This Row],[Item_key]],GDList,Table_ExternalData_1[[#Headers],[26]])</f>
        <v>0</v>
      </c>
      <c r="AG18" s="6">
        <f>SUMIFS(GQList,GIList,Table_ExternalData_1[[#This Row],[Item_key]],GDList,Table_ExternalData_1[[#Headers],[27]])</f>
        <v>0</v>
      </c>
      <c r="AH18" s="6">
        <f>SUMIFS(GQList,GIList,Table_ExternalData_1[[#This Row],[Item_key]],GDList,Table_ExternalData_1[[#Headers],[28]])</f>
        <v>0</v>
      </c>
      <c r="AI18" s="6">
        <f>SUMIFS(GQList,GIList,Table_ExternalData_1[[#This Row],[Item_key]],GDList,Table_ExternalData_1[[#Headers],[29]])</f>
        <v>0</v>
      </c>
      <c r="AJ18" s="6">
        <f>SUMIFS(GQList,GIList,Table_ExternalData_1[[#This Row],[Item_key]],GDList,Table_ExternalData_1[[#Headers],[30]])</f>
        <v>0</v>
      </c>
      <c r="AK18" s="6">
        <f>SUMIFS(GQList,GIList,Table_ExternalData_1[[#This Row],[Item_key]],GDList,Table_ExternalData_1[[#Headers],[31]])</f>
        <v>0</v>
      </c>
      <c r="AL18" s="6">
        <f>SUM(Table_ExternalData_1[[#This Row],[1]:[31]])</f>
        <v>200</v>
      </c>
    </row>
    <row r="19" spans="1:38">
      <c r="A19" s="50" t="s">
        <v>65</v>
      </c>
      <c r="B19" s="3" t="s">
        <v>2355</v>
      </c>
      <c r="C19" s="3" t="s">
        <v>1642</v>
      </c>
      <c r="D19" s="3" t="s">
        <v>2436</v>
      </c>
      <c r="E19" s="3" t="s">
        <v>2437</v>
      </c>
      <c r="F19" s="8" t="s">
        <v>17</v>
      </c>
      <c r="G19" s="6">
        <f>SUMIFS(GQList,GIList,Table_ExternalData_1[[#This Row],[Item_key]],GDList,Table_ExternalData_1[[#Headers],[1]])</f>
        <v>0</v>
      </c>
      <c r="H19" s="6">
        <f>SUMIFS(GQList,GIList,Table_ExternalData_1[[#This Row],[Item_key]],GDList,Table_ExternalData_1[[#Headers],[2]])</f>
        <v>0</v>
      </c>
      <c r="I19" s="6">
        <f>SUMIFS(GQList,GIList,Table_ExternalData_1[[#This Row],[Item_key]],GDList,Table_ExternalData_1[[#Headers],[3]])</f>
        <v>0</v>
      </c>
      <c r="J19" s="6">
        <f>SUMIFS(GQList,GIList,Table_ExternalData_1[[#This Row],[Item_key]],GDList,Table_ExternalData_1[[#Headers],[4]])</f>
        <v>0</v>
      </c>
      <c r="K19" s="6">
        <f>SUMIFS(GQList,GIList,Table_ExternalData_1[[#This Row],[Item_key]],GDList,Table_ExternalData_1[[#Headers],[5]])</f>
        <v>0</v>
      </c>
      <c r="L19" s="6">
        <f>SUMIFS(GQList,GIList,Table_ExternalData_1[[#This Row],[Item_key]],GDList,Table_ExternalData_1[[#Headers],[6]])</f>
        <v>0</v>
      </c>
      <c r="M19" s="6">
        <f>SUMIFS(GQList,GIList,Table_ExternalData_1[[#This Row],[Item_key]],GDList,Table_ExternalData_1[[#Headers],[7]])</f>
        <v>0</v>
      </c>
      <c r="N19" s="6">
        <f>SUMIFS(GQList,GIList,Table_ExternalData_1[[#This Row],[Item_key]],GDList,Table_ExternalData_1[[#Headers],[8]])</f>
        <v>0</v>
      </c>
      <c r="O19" s="6">
        <f>SUMIFS(GQList,GIList,Table_ExternalData_1[[#This Row],[Item_key]],GDList,Table_ExternalData_1[[#Headers],[9]])</f>
        <v>0</v>
      </c>
      <c r="P19" s="6">
        <f>SUMIFS(GQList,GIList,Table_ExternalData_1[[#This Row],[Item_key]],GDList,Table_ExternalData_1[[#Headers],[10]])</f>
        <v>0</v>
      </c>
      <c r="Q19" s="6">
        <f>SUMIFS(GQList,GIList,Table_ExternalData_1[[#This Row],[Item_key]],GDList,Table_ExternalData_1[[#Headers],[11]])</f>
        <v>0</v>
      </c>
      <c r="R19" s="6">
        <f>SUMIFS(GQList,GIList,Table_ExternalData_1[[#This Row],[Item_key]],GDList,Table_ExternalData_1[[#Headers],[12]])</f>
        <v>0</v>
      </c>
      <c r="S19" s="6">
        <f>SUMIFS(GQList,GIList,Table_ExternalData_1[[#This Row],[Item_key]],GDList,Table_ExternalData_1[[#Headers],[13]])</f>
        <v>0</v>
      </c>
      <c r="T19" s="6">
        <f>SUMIFS(GQList,GIList,Table_ExternalData_1[[#This Row],[Item_key]],GDList,Table_ExternalData_1[[#Headers],[14]])</f>
        <v>0</v>
      </c>
      <c r="U19" s="6">
        <f>SUMIFS(GQList,GIList,Table_ExternalData_1[[#This Row],[Item_key]],GDList,Table_ExternalData_1[[#Headers],[15]])</f>
        <v>0</v>
      </c>
      <c r="V19" s="6">
        <f>SUMIFS(GQList,GIList,Table_ExternalData_1[[#This Row],[Item_key]],GDList,Table_ExternalData_1[[#Headers],[16]])</f>
        <v>0</v>
      </c>
      <c r="W19" s="6">
        <f>SUMIFS(GQList,GIList,Table_ExternalData_1[[#This Row],[Item_key]],GDList,Table_ExternalData_1[[#Headers],[17]])</f>
        <v>0</v>
      </c>
      <c r="X19" s="6">
        <f>SUMIFS(GQList,GIList,Table_ExternalData_1[[#This Row],[Item_key]],GDList,Table_ExternalData_1[[#Headers],[18]])</f>
        <v>0</v>
      </c>
      <c r="Y19" s="6">
        <f>SUMIFS(GQList,GIList,Table_ExternalData_1[[#This Row],[Item_key]],GDList,Table_ExternalData_1[[#Headers],[19]])</f>
        <v>0</v>
      </c>
      <c r="Z19" s="6">
        <f>SUMIFS(GQList,GIList,Table_ExternalData_1[[#This Row],[Item_key]],GDList,Table_ExternalData_1[[#Headers],[20]])</f>
        <v>0</v>
      </c>
      <c r="AA19" s="6">
        <f>SUMIFS(GQList,GIList,Table_ExternalData_1[[#This Row],[Item_key]],GDList,Table_ExternalData_1[[#Headers],[21]])</f>
        <v>0</v>
      </c>
      <c r="AB19" s="6">
        <f>SUMIFS(GQList,GIList,Table_ExternalData_1[[#This Row],[Item_key]],GDList,Table_ExternalData_1[[#Headers],[22]])</f>
        <v>0</v>
      </c>
      <c r="AC19" s="6">
        <f>SUMIFS(GQList,GIList,Table_ExternalData_1[[#This Row],[Item_key]],GDList,Table_ExternalData_1[[#Headers],[23]])</f>
        <v>0</v>
      </c>
      <c r="AD19" s="6">
        <f>SUMIFS(GQList,GIList,Table_ExternalData_1[[#This Row],[Item_key]],GDList,Table_ExternalData_1[[#Headers],[24]])</f>
        <v>300</v>
      </c>
      <c r="AE19" s="6">
        <f>SUMIFS(GQList,GIList,Table_ExternalData_1[[#This Row],[Item_key]],GDList,Table_ExternalData_1[[#Headers],[25]])</f>
        <v>0</v>
      </c>
      <c r="AF19" s="6">
        <f>SUMIFS(GQList,GIList,Table_ExternalData_1[[#This Row],[Item_key]],GDList,Table_ExternalData_1[[#Headers],[26]])</f>
        <v>0</v>
      </c>
      <c r="AG19" s="6">
        <f>SUMIFS(GQList,GIList,Table_ExternalData_1[[#This Row],[Item_key]],GDList,Table_ExternalData_1[[#Headers],[27]])</f>
        <v>0</v>
      </c>
      <c r="AH19" s="6">
        <f>SUMIFS(GQList,GIList,Table_ExternalData_1[[#This Row],[Item_key]],GDList,Table_ExternalData_1[[#Headers],[28]])</f>
        <v>0</v>
      </c>
      <c r="AI19" s="6">
        <f>SUMIFS(GQList,GIList,Table_ExternalData_1[[#This Row],[Item_key]],GDList,Table_ExternalData_1[[#Headers],[29]])</f>
        <v>0</v>
      </c>
      <c r="AJ19" s="6">
        <f>SUMIFS(GQList,GIList,Table_ExternalData_1[[#This Row],[Item_key]],GDList,Table_ExternalData_1[[#Headers],[30]])</f>
        <v>0</v>
      </c>
      <c r="AK19" s="6">
        <f>SUMIFS(GQList,GIList,Table_ExternalData_1[[#This Row],[Item_key]],GDList,Table_ExternalData_1[[#Headers],[31]])</f>
        <v>0</v>
      </c>
      <c r="AL19" s="6">
        <f>SUM(Table_ExternalData_1[[#This Row],[1]:[31]])</f>
        <v>300</v>
      </c>
    </row>
    <row r="20" spans="1:38">
      <c r="A20" s="50" t="s">
        <v>65</v>
      </c>
      <c r="B20" s="3" t="s">
        <v>2355</v>
      </c>
      <c r="C20" s="3" t="s">
        <v>360</v>
      </c>
      <c r="D20" s="3" t="s">
        <v>2490</v>
      </c>
      <c r="E20" s="3" t="s">
        <v>2491</v>
      </c>
      <c r="F20" s="8" t="s">
        <v>17</v>
      </c>
      <c r="G20" s="6">
        <f>SUMIFS(GQList,GIList,Table_ExternalData_1[[#This Row],[Item_key]],GDList,Table_ExternalData_1[[#Headers],[1]])</f>
        <v>0</v>
      </c>
      <c r="H20" s="6">
        <f>SUMIFS(GQList,GIList,Table_ExternalData_1[[#This Row],[Item_key]],GDList,Table_ExternalData_1[[#Headers],[2]])</f>
        <v>0</v>
      </c>
      <c r="I20" s="6">
        <f>SUMIFS(GQList,GIList,Table_ExternalData_1[[#This Row],[Item_key]],GDList,Table_ExternalData_1[[#Headers],[3]])</f>
        <v>0</v>
      </c>
      <c r="J20" s="6">
        <f>SUMIFS(GQList,GIList,Table_ExternalData_1[[#This Row],[Item_key]],GDList,Table_ExternalData_1[[#Headers],[4]])</f>
        <v>0</v>
      </c>
      <c r="K20" s="6">
        <f>SUMIFS(GQList,GIList,Table_ExternalData_1[[#This Row],[Item_key]],GDList,Table_ExternalData_1[[#Headers],[5]])</f>
        <v>0</v>
      </c>
      <c r="L20" s="6">
        <f>SUMIFS(GQList,GIList,Table_ExternalData_1[[#This Row],[Item_key]],GDList,Table_ExternalData_1[[#Headers],[6]])</f>
        <v>0</v>
      </c>
      <c r="M20" s="6">
        <f>SUMIFS(GQList,GIList,Table_ExternalData_1[[#This Row],[Item_key]],GDList,Table_ExternalData_1[[#Headers],[7]])</f>
        <v>0</v>
      </c>
      <c r="N20" s="6">
        <f>SUMIFS(GQList,GIList,Table_ExternalData_1[[#This Row],[Item_key]],GDList,Table_ExternalData_1[[#Headers],[8]])</f>
        <v>0</v>
      </c>
      <c r="O20" s="6">
        <f>SUMIFS(GQList,GIList,Table_ExternalData_1[[#This Row],[Item_key]],GDList,Table_ExternalData_1[[#Headers],[9]])</f>
        <v>0</v>
      </c>
      <c r="P20" s="6">
        <f>SUMIFS(GQList,GIList,Table_ExternalData_1[[#This Row],[Item_key]],GDList,Table_ExternalData_1[[#Headers],[10]])</f>
        <v>0</v>
      </c>
      <c r="Q20" s="6">
        <f>SUMIFS(GQList,GIList,Table_ExternalData_1[[#This Row],[Item_key]],GDList,Table_ExternalData_1[[#Headers],[11]])</f>
        <v>0</v>
      </c>
      <c r="R20" s="6">
        <f>SUMIFS(GQList,GIList,Table_ExternalData_1[[#This Row],[Item_key]],GDList,Table_ExternalData_1[[#Headers],[12]])</f>
        <v>0</v>
      </c>
      <c r="S20" s="6">
        <f>SUMIFS(GQList,GIList,Table_ExternalData_1[[#This Row],[Item_key]],GDList,Table_ExternalData_1[[#Headers],[13]])</f>
        <v>0</v>
      </c>
      <c r="T20" s="6">
        <f>SUMIFS(GQList,GIList,Table_ExternalData_1[[#This Row],[Item_key]],GDList,Table_ExternalData_1[[#Headers],[14]])</f>
        <v>0</v>
      </c>
      <c r="U20" s="6">
        <f>SUMIFS(GQList,GIList,Table_ExternalData_1[[#This Row],[Item_key]],GDList,Table_ExternalData_1[[#Headers],[15]])</f>
        <v>0</v>
      </c>
      <c r="V20" s="6">
        <f>SUMIFS(GQList,GIList,Table_ExternalData_1[[#This Row],[Item_key]],GDList,Table_ExternalData_1[[#Headers],[16]])</f>
        <v>0</v>
      </c>
      <c r="W20" s="6">
        <f>SUMIFS(GQList,GIList,Table_ExternalData_1[[#This Row],[Item_key]],GDList,Table_ExternalData_1[[#Headers],[17]])</f>
        <v>0</v>
      </c>
      <c r="X20" s="6">
        <f>SUMIFS(GQList,GIList,Table_ExternalData_1[[#This Row],[Item_key]],GDList,Table_ExternalData_1[[#Headers],[18]])</f>
        <v>0</v>
      </c>
      <c r="Y20" s="6">
        <f>SUMIFS(GQList,GIList,Table_ExternalData_1[[#This Row],[Item_key]],GDList,Table_ExternalData_1[[#Headers],[19]])</f>
        <v>0</v>
      </c>
      <c r="Z20" s="6">
        <f>SUMIFS(GQList,GIList,Table_ExternalData_1[[#This Row],[Item_key]],GDList,Table_ExternalData_1[[#Headers],[20]])</f>
        <v>0</v>
      </c>
      <c r="AA20" s="6">
        <f>SUMIFS(GQList,GIList,Table_ExternalData_1[[#This Row],[Item_key]],GDList,Table_ExternalData_1[[#Headers],[21]])</f>
        <v>0</v>
      </c>
      <c r="AB20" s="6">
        <f>SUMIFS(GQList,GIList,Table_ExternalData_1[[#This Row],[Item_key]],GDList,Table_ExternalData_1[[#Headers],[22]])</f>
        <v>0</v>
      </c>
      <c r="AC20" s="6">
        <f>SUMIFS(GQList,GIList,Table_ExternalData_1[[#This Row],[Item_key]],GDList,Table_ExternalData_1[[#Headers],[23]])</f>
        <v>0</v>
      </c>
      <c r="AD20" s="6">
        <f>SUMIFS(GQList,GIList,Table_ExternalData_1[[#This Row],[Item_key]],GDList,Table_ExternalData_1[[#Headers],[24]])</f>
        <v>100</v>
      </c>
      <c r="AE20" s="6">
        <f>SUMIFS(GQList,GIList,Table_ExternalData_1[[#This Row],[Item_key]],GDList,Table_ExternalData_1[[#Headers],[25]])</f>
        <v>0</v>
      </c>
      <c r="AF20" s="6">
        <f>SUMIFS(GQList,GIList,Table_ExternalData_1[[#This Row],[Item_key]],GDList,Table_ExternalData_1[[#Headers],[26]])</f>
        <v>0</v>
      </c>
      <c r="AG20" s="6">
        <f>SUMIFS(GQList,GIList,Table_ExternalData_1[[#This Row],[Item_key]],GDList,Table_ExternalData_1[[#Headers],[27]])</f>
        <v>0</v>
      </c>
      <c r="AH20" s="6">
        <f>SUMIFS(GQList,GIList,Table_ExternalData_1[[#This Row],[Item_key]],GDList,Table_ExternalData_1[[#Headers],[28]])</f>
        <v>0</v>
      </c>
      <c r="AI20" s="6">
        <f>SUMIFS(GQList,GIList,Table_ExternalData_1[[#This Row],[Item_key]],GDList,Table_ExternalData_1[[#Headers],[29]])</f>
        <v>0</v>
      </c>
      <c r="AJ20" s="6">
        <f>SUMIFS(GQList,GIList,Table_ExternalData_1[[#This Row],[Item_key]],GDList,Table_ExternalData_1[[#Headers],[30]])</f>
        <v>0</v>
      </c>
      <c r="AK20" s="6">
        <f>SUMIFS(GQList,GIList,Table_ExternalData_1[[#This Row],[Item_key]],GDList,Table_ExternalData_1[[#Headers],[31]])</f>
        <v>0</v>
      </c>
      <c r="AL20" s="6">
        <f>SUM(Table_ExternalData_1[[#This Row],[1]:[31]])</f>
        <v>100</v>
      </c>
    </row>
    <row r="21" spans="1:38">
      <c r="A21" s="50" t="s">
        <v>65</v>
      </c>
      <c r="B21" s="3" t="s">
        <v>2355</v>
      </c>
      <c r="C21" s="3" t="s">
        <v>1692</v>
      </c>
      <c r="D21" s="3" t="s">
        <v>2492</v>
      </c>
      <c r="E21" s="3" t="s">
        <v>2493</v>
      </c>
      <c r="F21" s="8" t="s">
        <v>17</v>
      </c>
      <c r="G21" s="6">
        <f>SUMIFS(GQList,GIList,Table_ExternalData_1[[#This Row],[Item_key]],GDList,Table_ExternalData_1[[#Headers],[1]])</f>
        <v>0</v>
      </c>
      <c r="H21" s="6">
        <f>SUMIFS(GQList,GIList,Table_ExternalData_1[[#This Row],[Item_key]],GDList,Table_ExternalData_1[[#Headers],[2]])</f>
        <v>0</v>
      </c>
      <c r="I21" s="6">
        <f>SUMIFS(GQList,GIList,Table_ExternalData_1[[#This Row],[Item_key]],GDList,Table_ExternalData_1[[#Headers],[3]])</f>
        <v>0</v>
      </c>
      <c r="J21" s="6">
        <f>SUMIFS(GQList,GIList,Table_ExternalData_1[[#This Row],[Item_key]],GDList,Table_ExternalData_1[[#Headers],[4]])</f>
        <v>0</v>
      </c>
      <c r="K21" s="6">
        <f>SUMIFS(GQList,GIList,Table_ExternalData_1[[#This Row],[Item_key]],GDList,Table_ExternalData_1[[#Headers],[5]])</f>
        <v>0</v>
      </c>
      <c r="L21" s="6">
        <f>SUMIFS(GQList,GIList,Table_ExternalData_1[[#This Row],[Item_key]],GDList,Table_ExternalData_1[[#Headers],[6]])</f>
        <v>0</v>
      </c>
      <c r="M21" s="6">
        <f>SUMIFS(GQList,GIList,Table_ExternalData_1[[#This Row],[Item_key]],GDList,Table_ExternalData_1[[#Headers],[7]])</f>
        <v>0</v>
      </c>
      <c r="N21" s="6">
        <f>SUMIFS(GQList,GIList,Table_ExternalData_1[[#This Row],[Item_key]],GDList,Table_ExternalData_1[[#Headers],[8]])</f>
        <v>0</v>
      </c>
      <c r="O21" s="6">
        <f>SUMIFS(GQList,GIList,Table_ExternalData_1[[#This Row],[Item_key]],GDList,Table_ExternalData_1[[#Headers],[9]])</f>
        <v>0</v>
      </c>
      <c r="P21" s="6">
        <f>SUMIFS(GQList,GIList,Table_ExternalData_1[[#This Row],[Item_key]],GDList,Table_ExternalData_1[[#Headers],[10]])</f>
        <v>0</v>
      </c>
      <c r="Q21" s="6">
        <f>SUMIFS(GQList,GIList,Table_ExternalData_1[[#This Row],[Item_key]],GDList,Table_ExternalData_1[[#Headers],[11]])</f>
        <v>0</v>
      </c>
      <c r="R21" s="6">
        <f>SUMIFS(GQList,GIList,Table_ExternalData_1[[#This Row],[Item_key]],GDList,Table_ExternalData_1[[#Headers],[12]])</f>
        <v>0</v>
      </c>
      <c r="S21" s="6">
        <f>SUMIFS(GQList,GIList,Table_ExternalData_1[[#This Row],[Item_key]],GDList,Table_ExternalData_1[[#Headers],[13]])</f>
        <v>0</v>
      </c>
      <c r="T21" s="6">
        <f>SUMIFS(GQList,GIList,Table_ExternalData_1[[#This Row],[Item_key]],GDList,Table_ExternalData_1[[#Headers],[14]])</f>
        <v>0</v>
      </c>
      <c r="U21" s="6">
        <f>SUMIFS(GQList,GIList,Table_ExternalData_1[[#This Row],[Item_key]],GDList,Table_ExternalData_1[[#Headers],[15]])</f>
        <v>0</v>
      </c>
      <c r="V21" s="6">
        <f>SUMIFS(GQList,GIList,Table_ExternalData_1[[#This Row],[Item_key]],GDList,Table_ExternalData_1[[#Headers],[16]])</f>
        <v>0</v>
      </c>
      <c r="W21" s="6">
        <f>SUMIFS(GQList,GIList,Table_ExternalData_1[[#This Row],[Item_key]],GDList,Table_ExternalData_1[[#Headers],[17]])</f>
        <v>0</v>
      </c>
      <c r="X21" s="6">
        <f>SUMIFS(GQList,GIList,Table_ExternalData_1[[#This Row],[Item_key]],GDList,Table_ExternalData_1[[#Headers],[18]])</f>
        <v>0</v>
      </c>
      <c r="Y21" s="6">
        <f>SUMIFS(GQList,GIList,Table_ExternalData_1[[#This Row],[Item_key]],GDList,Table_ExternalData_1[[#Headers],[19]])</f>
        <v>0</v>
      </c>
      <c r="Z21" s="6">
        <f>SUMIFS(GQList,GIList,Table_ExternalData_1[[#This Row],[Item_key]],GDList,Table_ExternalData_1[[#Headers],[20]])</f>
        <v>0</v>
      </c>
      <c r="AA21" s="6">
        <f>SUMIFS(GQList,GIList,Table_ExternalData_1[[#This Row],[Item_key]],GDList,Table_ExternalData_1[[#Headers],[21]])</f>
        <v>0</v>
      </c>
      <c r="AB21" s="6">
        <f>SUMIFS(GQList,GIList,Table_ExternalData_1[[#This Row],[Item_key]],GDList,Table_ExternalData_1[[#Headers],[22]])</f>
        <v>0</v>
      </c>
      <c r="AC21" s="6">
        <f>SUMIFS(GQList,GIList,Table_ExternalData_1[[#This Row],[Item_key]],GDList,Table_ExternalData_1[[#Headers],[23]])</f>
        <v>0</v>
      </c>
      <c r="AD21" s="6">
        <f>SUMIFS(GQList,GIList,Table_ExternalData_1[[#This Row],[Item_key]],GDList,Table_ExternalData_1[[#Headers],[24]])</f>
        <v>100</v>
      </c>
      <c r="AE21" s="6">
        <f>SUMIFS(GQList,GIList,Table_ExternalData_1[[#This Row],[Item_key]],GDList,Table_ExternalData_1[[#Headers],[25]])</f>
        <v>0</v>
      </c>
      <c r="AF21" s="6">
        <f>SUMIFS(GQList,GIList,Table_ExternalData_1[[#This Row],[Item_key]],GDList,Table_ExternalData_1[[#Headers],[26]])</f>
        <v>0</v>
      </c>
      <c r="AG21" s="6">
        <f>SUMIFS(GQList,GIList,Table_ExternalData_1[[#This Row],[Item_key]],GDList,Table_ExternalData_1[[#Headers],[27]])</f>
        <v>0</v>
      </c>
      <c r="AH21" s="6">
        <f>SUMIFS(GQList,GIList,Table_ExternalData_1[[#This Row],[Item_key]],GDList,Table_ExternalData_1[[#Headers],[28]])</f>
        <v>0</v>
      </c>
      <c r="AI21" s="6">
        <f>SUMIFS(GQList,GIList,Table_ExternalData_1[[#This Row],[Item_key]],GDList,Table_ExternalData_1[[#Headers],[29]])</f>
        <v>0</v>
      </c>
      <c r="AJ21" s="6">
        <f>SUMIFS(GQList,GIList,Table_ExternalData_1[[#This Row],[Item_key]],GDList,Table_ExternalData_1[[#Headers],[30]])</f>
        <v>0</v>
      </c>
      <c r="AK21" s="6">
        <f>SUMIFS(GQList,GIList,Table_ExternalData_1[[#This Row],[Item_key]],GDList,Table_ExternalData_1[[#Headers],[31]])</f>
        <v>0</v>
      </c>
      <c r="AL21" s="6">
        <f>SUM(Table_ExternalData_1[[#This Row],[1]:[31]])</f>
        <v>100</v>
      </c>
    </row>
    <row r="22" spans="1:38">
      <c r="A22" s="50" t="s">
        <v>65</v>
      </c>
      <c r="B22" s="3" t="s">
        <v>2355</v>
      </c>
      <c r="C22" s="3" t="s">
        <v>1713</v>
      </c>
      <c r="D22" s="3" t="s">
        <v>2512</v>
      </c>
      <c r="E22" s="3" t="s">
        <v>2513</v>
      </c>
      <c r="F22" s="8" t="s">
        <v>17</v>
      </c>
      <c r="G22" s="6">
        <f>SUMIFS(GQList,GIList,Table_ExternalData_1[[#This Row],[Item_key]],GDList,Table_ExternalData_1[[#Headers],[1]])</f>
        <v>0</v>
      </c>
      <c r="H22" s="6">
        <f>SUMIFS(GQList,GIList,Table_ExternalData_1[[#This Row],[Item_key]],GDList,Table_ExternalData_1[[#Headers],[2]])</f>
        <v>0</v>
      </c>
      <c r="I22" s="6">
        <f>SUMIFS(GQList,GIList,Table_ExternalData_1[[#This Row],[Item_key]],GDList,Table_ExternalData_1[[#Headers],[3]])</f>
        <v>0</v>
      </c>
      <c r="J22" s="6">
        <f>SUMIFS(GQList,GIList,Table_ExternalData_1[[#This Row],[Item_key]],GDList,Table_ExternalData_1[[#Headers],[4]])</f>
        <v>0</v>
      </c>
      <c r="K22" s="6">
        <f>SUMIFS(GQList,GIList,Table_ExternalData_1[[#This Row],[Item_key]],GDList,Table_ExternalData_1[[#Headers],[5]])</f>
        <v>0</v>
      </c>
      <c r="L22" s="6">
        <f>SUMIFS(GQList,GIList,Table_ExternalData_1[[#This Row],[Item_key]],GDList,Table_ExternalData_1[[#Headers],[6]])</f>
        <v>0</v>
      </c>
      <c r="M22" s="6">
        <f>SUMIFS(GQList,GIList,Table_ExternalData_1[[#This Row],[Item_key]],GDList,Table_ExternalData_1[[#Headers],[7]])</f>
        <v>0</v>
      </c>
      <c r="N22" s="6">
        <f>SUMIFS(GQList,GIList,Table_ExternalData_1[[#This Row],[Item_key]],GDList,Table_ExternalData_1[[#Headers],[8]])</f>
        <v>0</v>
      </c>
      <c r="O22" s="6">
        <f>SUMIFS(GQList,GIList,Table_ExternalData_1[[#This Row],[Item_key]],GDList,Table_ExternalData_1[[#Headers],[9]])</f>
        <v>0</v>
      </c>
      <c r="P22" s="6">
        <f>SUMIFS(GQList,GIList,Table_ExternalData_1[[#This Row],[Item_key]],GDList,Table_ExternalData_1[[#Headers],[10]])</f>
        <v>0</v>
      </c>
      <c r="Q22" s="6">
        <f>SUMIFS(GQList,GIList,Table_ExternalData_1[[#This Row],[Item_key]],GDList,Table_ExternalData_1[[#Headers],[11]])</f>
        <v>0</v>
      </c>
      <c r="R22" s="6">
        <f>SUMIFS(GQList,GIList,Table_ExternalData_1[[#This Row],[Item_key]],GDList,Table_ExternalData_1[[#Headers],[12]])</f>
        <v>0</v>
      </c>
      <c r="S22" s="6">
        <f>SUMIFS(GQList,GIList,Table_ExternalData_1[[#This Row],[Item_key]],GDList,Table_ExternalData_1[[#Headers],[13]])</f>
        <v>0</v>
      </c>
      <c r="T22" s="6">
        <f>SUMIFS(GQList,GIList,Table_ExternalData_1[[#This Row],[Item_key]],GDList,Table_ExternalData_1[[#Headers],[14]])</f>
        <v>0</v>
      </c>
      <c r="U22" s="6">
        <f>SUMIFS(GQList,GIList,Table_ExternalData_1[[#This Row],[Item_key]],GDList,Table_ExternalData_1[[#Headers],[15]])</f>
        <v>0</v>
      </c>
      <c r="V22" s="6">
        <f>SUMIFS(GQList,GIList,Table_ExternalData_1[[#This Row],[Item_key]],GDList,Table_ExternalData_1[[#Headers],[16]])</f>
        <v>0</v>
      </c>
      <c r="W22" s="6">
        <f>SUMIFS(GQList,GIList,Table_ExternalData_1[[#This Row],[Item_key]],GDList,Table_ExternalData_1[[#Headers],[17]])</f>
        <v>0</v>
      </c>
      <c r="X22" s="6">
        <f>SUMIFS(GQList,GIList,Table_ExternalData_1[[#This Row],[Item_key]],GDList,Table_ExternalData_1[[#Headers],[18]])</f>
        <v>0</v>
      </c>
      <c r="Y22" s="6">
        <f>SUMIFS(GQList,GIList,Table_ExternalData_1[[#This Row],[Item_key]],GDList,Table_ExternalData_1[[#Headers],[19]])</f>
        <v>0</v>
      </c>
      <c r="Z22" s="6">
        <f>SUMIFS(GQList,GIList,Table_ExternalData_1[[#This Row],[Item_key]],GDList,Table_ExternalData_1[[#Headers],[20]])</f>
        <v>0</v>
      </c>
      <c r="AA22" s="6">
        <f>SUMIFS(GQList,GIList,Table_ExternalData_1[[#This Row],[Item_key]],GDList,Table_ExternalData_1[[#Headers],[21]])</f>
        <v>0</v>
      </c>
      <c r="AB22" s="6">
        <f>SUMIFS(GQList,GIList,Table_ExternalData_1[[#This Row],[Item_key]],GDList,Table_ExternalData_1[[#Headers],[22]])</f>
        <v>0</v>
      </c>
      <c r="AC22" s="6">
        <f>SUMIFS(GQList,GIList,Table_ExternalData_1[[#This Row],[Item_key]],GDList,Table_ExternalData_1[[#Headers],[23]])</f>
        <v>0</v>
      </c>
      <c r="AD22" s="6">
        <f>SUMIFS(GQList,GIList,Table_ExternalData_1[[#This Row],[Item_key]],GDList,Table_ExternalData_1[[#Headers],[24]])</f>
        <v>60</v>
      </c>
      <c r="AE22" s="6">
        <f>SUMIFS(GQList,GIList,Table_ExternalData_1[[#This Row],[Item_key]],GDList,Table_ExternalData_1[[#Headers],[25]])</f>
        <v>0</v>
      </c>
      <c r="AF22" s="6">
        <f>SUMIFS(GQList,GIList,Table_ExternalData_1[[#This Row],[Item_key]],GDList,Table_ExternalData_1[[#Headers],[26]])</f>
        <v>0</v>
      </c>
      <c r="AG22" s="6">
        <f>SUMIFS(GQList,GIList,Table_ExternalData_1[[#This Row],[Item_key]],GDList,Table_ExternalData_1[[#Headers],[27]])</f>
        <v>0</v>
      </c>
      <c r="AH22" s="6">
        <f>SUMIFS(GQList,GIList,Table_ExternalData_1[[#This Row],[Item_key]],GDList,Table_ExternalData_1[[#Headers],[28]])</f>
        <v>0</v>
      </c>
      <c r="AI22" s="6">
        <f>SUMIFS(GQList,GIList,Table_ExternalData_1[[#This Row],[Item_key]],GDList,Table_ExternalData_1[[#Headers],[29]])</f>
        <v>0</v>
      </c>
      <c r="AJ22" s="6">
        <f>SUMIFS(GQList,GIList,Table_ExternalData_1[[#This Row],[Item_key]],GDList,Table_ExternalData_1[[#Headers],[30]])</f>
        <v>0</v>
      </c>
      <c r="AK22" s="6">
        <f>SUMIFS(GQList,GIList,Table_ExternalData_1[[#This Row],[Item_key]],GDList,Table_ExternalData_1[[#Headers],[31]])</f>
        <v>0</v>
      </c>
      <c r="AL22" s="6">
        <f>SUM(Table_ExternalData_1[[#This Row],[1]:[31]])</f>
        <v>60</v>
      </c>
    </row>
    <row r="23" spans="1:38">
      <c r="A23" s="50" t="s">
        <v>65</v>
      </c>
      <c r="B23" s="3" t="s">
        <v>2355</v>
      </c>
      <c r="C23" s="3" t="s">
        <v>437</v>
      </c>
      <c r="D23" s="3" t="s">
        <v>2537</v>
      </c>
      <c r="E23" s="3" t="s">
        <v>2538</v>
      </c>
      <c r="F23" s="8" t="s">
        <v>17</v>
      </c>
      <c r="G23" s="6">
        <f>SUMIFS(GQList,GIList,Table_ExternalData_1[[#This Row],[Item_key]],GDList,Table_ExternalData_1[[#Headers],[1]])</f>
        <v>0</v>
      </c>
      <c r="H23" s="6">
        <f>SUMIFS(GQList,GIList,Table_ExternalData_1[[#This Row],[Item_key]],GDList,Table_ExternalData_1[[#Headers],[2]])</f>
        <v>0</v>
      </c>
      <c r="I23" s="6">
        <f>SUMIFS(GQList,GIList,Table_ExternalData_1[[#This Row],[Item_key]],GDList,Table_ExternalData_1[[#Headers],[3]])</f>
        <v>0</v>
      </c>
      <c r="J23" s="6">
        <f>SUMIFS(GQList,GIList,Table_ExternalData_1[[#This Row],[Item_key]],GDList,Table_ExternalData_1[[#Headers],[4]])</f>
        <v>0</v>
      </c>
      <c r="K23" s="6">
        <f>SUMIFS(GQList,GIList,Table_ExternalData_1[[#This Row],[Item_key]],GDList,Table_ExternalData_1[[#Headers],[5]])</f>
        <v>0</v>
      </c>
      <c r="L23" s="6">
        <f>SUMIFS(GQList,GIList,Table_ExternalData_1[[#This Row],[Item_key]],GDList,Table_ExternalData_1[[#Headers],[6]])</f>
        <v>0</v>
      </c>
      <c r="M23" s="6">
        <f>SUMIFS(GQList,GIList,Table_ExternalData_1[[#This Row],[Item_key]],GDList,Table_ExternalData_1[[#Headers],[7]])</f>
        <v>0</v>
      </c>
      <c r="N23" s="6">
        <f>SUMIFS(GQList,GIList,Table_ExternalData_1[[#This Row],[Item_key]],GDList,Table_ExternalData_1[[#Headers],[8]])</f>
        <v>0</v>
      </c>
      <c r="O23" s="6">
        <f>SUMIFS(GQList,GIList,Table_ExternalData_1[[#This Row],[Item_key]],GDList,Table_ExternalData_1[[#Headers],[9]])</f>
        <v>0</v>
      </c>
      <c r="P23" s="6">
        <f>SUMIFS(GQList,GIList,Table_ExternalData_1[[#This Row],[Item_key]],GDList,Table_ExternalData_1[[#Headers],[10]])</f>
        <v>0</v>
      </c>
      <c r="Q23" s="6">
        <f>SUMIFS(GQList,GIList,Table_ExternalData_1[[#This Row],[Item_key]],GDList,Table_ExternalData_1[[#Headers],[11]])</f>
        <v>0</v>
      </c>
      <c r="R23" s="6">
        <f>SUMIFS(GQList,GIList,Table_ExternalData_1[[#This Row],[Item_key]],GDList,Table_ExternalData_1[[#Headers],[12]])</f>
        <v>0</v>
      </c>
      <c r="S23" s="6">
        <f>SUMIFS(GQList,GIList,Table_ExternalData_1[[#This Row],[Item_key]],GDList,Table_ExternalData_1[[#Headers],[13]])</f>
        <v>0</v>
      </c>
      <c r="T23" s="6">
        <f>SUMIFS(GQList,GIList,Table_ExternalData_1[[#This Row],[Item_key]],GDList,Table_ExternalData_1[[#Headers],[14]])</f>
        <v>0</v>
      </c>
      <c r="U23" s="6">
        <f>SUMIFS(GQList,GIList,Table_ExternalData_1[[#This Row],[Item_key]],GDList,Table_ExternalData_1[[#Headers],[15]])</f>
        <v>0</v>
      </c>
      <c r="V23" s="6">
        <f>SUMIFS(GQList,GIList,Table_ExternalData_1[[#This Row],[Item_key]],GDList,Table_ExternalData_1[[#Headers],[16]])</f>
        <v>0</v>
      </c>
      <c r="W23" s="6">
        <f>SUMIFS(GQList,GIList,Table_ExternalData_1[[#This Row],[Item_key]],GDList,Table_ExternalData_1[[#Headers],[17]])</f>
        <v>0</v>
      </c>
      <c r="X23" s="6">
        <f>SUMIFS(GQList,GIList,Table_ExternalData_1[[#This Row],[Item_key]],GDList,Table_ExternalData_1[[#Headers],[18]])</f>
        <v>0</v>
      </c>
      <c r="Y23" s="6">
        <f>SUMIFS(GQList,GIList,Table_ExternalData_1[[#This Row],[Item_key]],GDList,Table_ExternalData_1[[#Headers],[19]])</f>
        <v>0</v>
      </c>
      <c r="Z23" s="6">
        <f>SUMIFS(GQList,GIList,Table_ExternalData_1[[#This Row],[Item_key]],GDList,Table_ExternalData_1[[#Headers],[20]])</f>
        <v>0</v>
      </c>
      <c r="AA23" s="6">
        <f>SUMIFS(GQList,GIList,Table_ExternalData_1[[#This Row],[Item_key]],GDList,Table_ExternalData_1[[#Headers],[21]])</f>
        <v>0</v>
      </c>
      <c r="AB23" s="6">
        <f>SUMIFS(GQList,GIList,Table_ExternalData_1[[#This Row],[Item_key]],GDList,Table_ExternalData_1[[#Headers],[22]])</f>
        <v>0</v>
      </c>
      <c r="AC23" s="6">
        <f>SUMIFS(GQList,GIList,Table_ExternalData_1[[#This Row],[Item_key]],GDList,Table_ExternalData_1[[#Headers],[23]])</f>
        <v>0</v>
      </c>
      <c r="AD23" s="6">
        <f>SUMIFS(GQList,GIList,Table_ExternalData_1[[#This Row],[Item_key]],GDList,Table_ExternalData_1[[#Headers],[24]])</f>
        <v>500</v>
      </c>
      <c r="AE23" s="6">
        <f>SUMIFS(GQList,GIList,Table_ExternalData_1[[#This Row],[Item_key]],GDList,Table_ExternalData_1[[#Headers],[25]])</f>
        <v>0</v>
      </c>
      <c r="AF23" s="6">
        <f>SUMIFS(GQList,GIList,Table_ExternalData_1[[#This Row],[Item_key]],GDList,Table_ExternalData_1[[#Headers],[26]])</f>
        <v>0</v>
      </c>
      <c r="AG23" s="6">
        <f>SUMIFS(GQList,GIList,Table_ExternalData_1[[#This Row],[Item_key]],GDList,Table_ExternalData_1[[#Headers],[27]])</f>
        <v>0</v>
      </c>
      <c r="AH23" s="6">
        <f>SUMIFS(GQList,GIList,Table_ExternalData_1[[#This Row],[Item_key]],GDList,Table_ExternalData_1[[#Headers],[28]])</f>
        <v>0</v>
      </c>
      <c r="AI23" s="6">
        <f>SUMIFS(GQList,GIList,Table_ExternalData_1[[#This Row],[Item_key]],GDList,Table_ExternalData_1[[#Headers],[29]])</f>
        <v>0</v>
      </c>
      <c r="AJ23" s="6">
        <f>SUMIFS(GQList,GIList,Table_ExternalData_1[[#This Row],[Item_key]],GDList,Table_ExternalData_1[[#Headers],[30]])</f>
        <v>0</v>
      </c>
      <c r="AK23" s="6">
        <f>SUMIFS(GQList,GIList,Table_ExternalData_1[[#This Row],[Item_key]],GDList,Table_ExternalData_1[[#Headers],[31]])</f>
        <v>0</v>
      </c>
      <c r="AL23" s="6">
        <f>SUM(Table_ExternalData_1[[#This Row],[1]:[31]])</f>
        <v>500</v>
      </c>
    </row>
    <row r="24" spans="1:38">
      <c r="A24" s="50" t="s">
        <v>65</v>
      </c>
      <c r="B24" s="3" t="s">
        <v>1609</v>
      </c>
      <c r="C24" s="3" t="s">
        <v>324</v>
      </c>
      <c r="D24" s="3" t="s">
        <v>1240</v>
      </c>
      <c r="E24" s="3" t="s">
        <v>1241</v>
      </c>
      <c r="F24" s="8" t="s">
        <v>17</v>
      </c>
      <c r="G24" s="6">
        <f>SUMIFS(GQList,GIList,Table_ExternalData_1[[#This Row],[Item_key]],GDList,Table_ExternalData_1[[#Headers],[1]])</f>
        <v>0</v>
      </c>
      <c r="H24" s="6">
        <f>SUMIFS(GQList,GIList,Table_ExternalData_1[[#This Row],[Item_key]],GDList,Table_ExternalData_1[[#Headers],[2]])</f>
        <v>0</v>
      </c>
      <c r="I24" s="6">
        <f>SUMIFS(GQList,GIList,Table_ExternalData_1[[#This Row],[Item_key]],GDList,Table_ExternalData_1[[#Headers],[3]])</f>
        <v>0</v>
      </c>
      <c r="J24" s="6">
        <f>SUMIFS(GQList,GIList,Table_ExternalData_1[[#This Row],[Item_key]],GDList,Table_ExternalData_1[[#Headers],[4]])</f>
        <v>0</v>
      </c>
      <c r="K24" s="6">
        <f>SUMIFS(GQList,GIList,Table_ExternalData_1[[#This Row],[Item_key]],GDList,Table_ExternalData_1[[#Headers],[5]])</f>
        <v>0</v>
      </c>
      <c r="L24" s="6">
        <f>SUMIFS(GQList,GIList,Table_ExternalData_1[[#This Row],[Item_key]],GDList,Table_ExternalData_1[[#Headers],[6]])</f>
        <v>0</v>
      </c>
      <c r="M24" s="6">
        <f>SUMIFS(GQList,GIList,Table_ExternalData_1[[#This Row],[Item_key]],GDList,Table_ExternalData_1[[#Headers],[7]])</f>
        <v>0</v>
      </c>
      <c r="N24" s="6">
        <f>SUMIFS(GQList,GIList,Table_ExternalData_1[[#This Row],[Item_key]],GDList,Table_ExternalData_1[[#Headers],[8]])</f>
        <v>0</v>
      </c>
      <c r="O24" s="6">
        <f>SUMIFS(GQList,GIList,Table_ExternalData_1[[#This Row],[Item_key]],GDList,Table_ExternalData_1[[#Headers],[9]])</f>
        <v>0</v>
      </c>
      <c r="P24" s="6">
        <f>SUMIFS(GQList,GIList,Table_ExternalData_1[[#This Row],[Item_key]],GDList,Table_ExternalData_1[[#Headers],[10]])</f>
        <v>0</v>
      </c>
      <c r="Q24" s="6">
        <f>SUMIFS(GQList,GIList,Table_ExternalData_1[[#This Row],[Item_key]],GDList,Table_ExternalData_1[[#Headers],[11]])</f>
        <v>0</v>
      </c>
      <c r="R24" s="6">
        <f>SUMIFS(GQList,GIList,Table_ExternalData_1[[#This Row],[Item_key]],GDList,Table_ExternalData_1[[#Headers],[12]])</f>
        <v>0</v>
      </c>
      <c r="S24" s="6">
        <f>SUMIFS(GQList,GIList,Table_ExternalData_1[[#This Row],[Item_key]],GDList,Table_ExternalData_1[[#Headers],[13]])</f>
        <v>0</v>
      </c>
      <c r="T24" s="6">
        <f>SUMIFS(GQList,GIList,Table_ExternalData_1[[#This Row],[Item_key]],GDList,Table_ExternalData_1[[#Headers],[14]])</f>
        <v>0</v>
      </c>
      <c r="U24" s="6">
        <f>SUMIFS(GQList,GIList,Table_ExternalData_1[[#This Row],[Item_key]],GDList,Table_ExternalData_1[[#Headers],[15]])</f>
        <v>0</v>
      </c>
      <c r="V24" s="6">
        <f>SUMIFS(GQList,GIList,Table_ExternalData_1[[#This Row],[Item_key]],GDList,Table_ExternalData_1[[#Headers],[16]])</f>
        <v>0</v>
      </c>
      <c r="W24" s="6">
        <f>SUMIFS(GQList,GIList,Table_ExternalData_1[[#This Row],[Item_key]],GDList,Table_ExternalData_1[[#Headers],[17]])</f>
        <v>0</v>
      </c>
      <c r="X24" s="6">
        <f>SUMIFS(GQList,GIList,Table_ExternalData_1[[#This Row],[Item_key]],GDList,Table_ExternalData_1[[#Headers],[18]])</f>
        <v>0</v>
      </c>
      <c r="Y24" s="6">
        <f>SUMIFS(GQList,GIList,Table_ExternalData_1[[#This Row],[Item_key]],GDList,Table_ExternalData_1[[#Headers],[19]])</f>
        <v>0</v>
      </c>
      <c r="Z24" s="6">
        <f>SUMIFS(GQList,GIList,Table_ExternalData_1[[#This Row],[Item_key]],GDList,Table_ExternalData_1[[#Headers],[20]])</f>
        <v>0</v>
      </c>
      <c r="AA24" s="6">
        <f>SUMIFS(GQList,GIList,Table_ExternalData_1[[#This Row],[Item_key]],GDList,Table_ExternalData_1[[#Headers],[21]])</f>
        <v>0</v>
      </c>
      <c r="AB24" s="6">
        <f>SUMIFS(GQList,GIList,Table_ExternalData_1[[#This Row],[Item_key]],GDList,Table_ExternalData_1[[#Headers],[22]])</f>
        <v>0</v>
      </c>
      <c r="AC24" s="6">
        <f>SUMIFS(GQList,GIList,Table_ExternalData_1[[#This Row],[Item_key]],GDList,Table_ExternalData_1[[#Headers],[23]])</f>
        <v>0</v>
      </c>
      <c r="AD24" s="6">
        <f>SUMIFS(GQList,GIList,Table_ExternalData_1[[#This Row],[Item_key]],GDList,Table_ExternalData_1[[#Headers],[24]])</f>
        <v>0</v>
      </c>
      <c r="AE24" s="6">
        <f>SUMIFS(GQList,GIList,Table_ExternalData_1[[#This Row],[Item_key]],GDList,Table_ExternalData_1[[#Headers],[25]])</f>
        <v>0</v>
      </c>
      <c r="AF24" s="6">
        <f>SUMIFS(GQList,GIList,Table_ExternalData_1[[#This Row],[Item_key]],GDList,Table_ExternalData_1[[#Headers],[26]])</f>
        <v>0</v>
      </c>
      <c r="AG24" s="6">
        <f>SUMIFS(GQList,GIList,Table_ExternalData_1[[#This Row],[Item_key]],GDList,Table_ExternalData_1[[#Headers],[27]])</f>
        <v>0</v>
      </c>
      <c r="AH24" s="6">
        <f>SUMIFS(GQList,GIList,Table_ExternalData_1[[#This Row],[Item_key]],GDList,Table_ExternalData_1[[#Headers],[28]])</f>
        <v>0</v>
      </c>
      <c r="AI24" s="6">
        <f>SUMIFS(GQList,GIList,Table_ExternalData_1[[#This Row],[Item_key]],GDList,Table_ExternalData_1[[#Headers],[29]])</f>
        <v>5</v>
      </c>
      <c r="AJ24" s="6">
        <f>SUMIFS(GQList,GIList,Table_ExternalData_1[[#This Row],[Item_key]],GDList,Table_ExternalData_1[[#Headers],[30]])</f>
        <v>0</v>
      </c>
      <c r="AK24" s="6">
        <f>SUMIFS(GQList,GIList,Table_ExternalData_1[[#This Row],[Item_key]],GDList,Table_ExternalData_1[[#Headers],[31]])</f>
        <v>0</v>
      </c>
      <c r="AL24" s="6">
        <f>SUM(Table_ExternalData_1[[#This Row],[1]:[31]])</f>
        <v>5</v>
      </c>
    </row>
    <row r="25" spans="1:38">
      <c r="A25" s="50" t="s">
        <v>65</v>
      </c>
      <c r="B25" s="3" t="s">
        <v>1609</v>
      </c>
      <c r="C25" s="3" t="s">
        <v>1028</v>
      </c>
      <c r="D25" s="3" t="s">
        <v>2362</v>
      </c>
      <c r="E25" s="3" t="s">
        <v>2363</v>
      </c>
      <c r="F25" s="8" t="s">
        <v>17</v>
      </c>
      <c r="G25" s="6">
        <f>SUMIFS(GQList,GIList,Table_ExternalData_1[[#This Row],[Item_key]],GDList,Table_ExternalData_1[[#Headers],[1]])</f>
        <v>0</v>
      </c>
      <c r="H25" s="6">
        <f>SUMIFS(GQList,GIList,Table_ExternalData_1[[#This Row],[Item_key]],GDList,Table_ExternalData_1[[#Headers],[2]])</f>
        <v>0</v>
      </c>
      <c r="I25" s="6">
        <f>SUMIFS(GQList,GIList,Table_ExternalData_1[[#This Row],[Item_key]],GDList,Table_ExternalData_1[[#Headers],[3]])</f>
        <v>0</v>
      </c>
      <c r="J25" s="6">
        <f>SUMIFS(GQList,GIList,Table_ExternalData_1[[#This Row],[Item_key]],GDList,Table_ExternalData_1[[#Headers],[4]])</f>
        <v>0</v>
      </c>
      <c r="K25" s="6">
        <f>SUMIFS(GQList,GIList,Table_ExternalData_1[[#This Row],[Item_key]],GDList,Table_ExternalData_1[[#Headers],[5]])</f>
        <v>0</v>
      </c>
      <c r="L25" s="6">
        <f>SUMIFS(GQList,GIList,Table_ExternalData_1[[#This Row],[Item_key]],GDList,Table_ExternalData_1[[#Headers],[6]])</f>
        <v>0</v>
      </c>
      <c r="M25" s="6">
        <f>SUMIFS(GQList,GIList,Table_ExternalData_1[[#This Row],[Item_key]],GDList,Table_ExternalData_1[[#Headers],[7]])</f>
        <v>0</v>
      </c>
      <c r="N25" s="6">
        <f>SUMIFS(GQList,GIList,Table_ExternalData_1[[#This Row],[Item_key]],GDList,Table_ExternalData_1[[#Headers],[8]])</f>
        <v>0</v>
      </c>
      <c r="O25" s="6">
        <f>SUMIFS(GQList,GIList,Table_ExternalData_1[[#This Row],[Item_key]],GDList,Table_ExternalData_1[[#Headers],[9]])</f>
        <v>0</v>
      </c>
      <c r="P25" s="6">
        <f>SUMIFS(GQList,GIList,Table_ExternalData_1[[#This Row],[Item_key]],GDList,Table_ExternalData_1[[#Headers],[10]])</f>
        <v>0</v>
      </c>
      <c r="Q25" s="6">
        <f>SUMIFS(GQList,GIList,Table_ExternalData_1[[#This Row],[Item_key]],GDList,Table_ExternalData_1[[#Headers],[11]])</f>
        <v>0</v>
      </c>
      <c r="R25" s="6">
        <f>SUMIFS(GQList,GIList,Table_ExternalData_1[[#This Row],[Item_key]],GDList,Table_ExternalData_1[[#Headers],[12]])</f>
        <v>0</v>
      </c>
      <c r="S25" s="6">
        <f>SUMIFS(GQList,GIList,Table_ExternalData_1[[#This Row],[Item_key]],GDList,Table_ExternalData_1[[#Headers],[13]])</f>
        <v>0</v>
      </c>
      <c r="T25" s="6">
        <f>SUMIFS(GQList,GIList,Table_ExternalData_1[[#This Row],[Item_key]],GDList,Table_ExternalData_1[[#Headers],[14]])</f>
        <v>0</v>
      </c>
      <c r="U25" s="6">
        <f>SUMIFS(GQList,GIList,Table_ExternalData_1[[#This Row],[Item_key]],GDList,Table_ExternalData_1[[#Headers],[15]])</f>
        <v>0</v>
      </c>
      <c r="V25" s="6">
        <f>SUMIFS(GQList,GIList,Table_ExternalData_1[[#This Row],[Item_key]],GDList,Table_ExternalData_1[[#Headers],[16]])</f>
        <v>0</v>
      </c>
      <c r="W25" s="6">
        <f>SUMIFS(GQList,GIList,Table_ExternalData_1[[#This Row],[Item_key]],GDList,Table_ExternalData_1[[#Headers],[17]])</f>
        <v>0</v>
      </c>
      <c r="X25" s="6">
        <f>SUMIFS(GQList,GIList,Table_ExternalData_1[[#This Row],[Item_key]],GDList,Table_ExternalData_1[[#Headers],[18]])</f>
        <v>0</v>
      </c>
      <c r="Y25" s="6">
        <f>SUMIFS(GQList,GIList,Table_ExternalData_1[[#This Row],[Item_key]],GDList,Table_ExternalData_1[[#Headers],[19]])</f>
        <v>0</v>
      </c>
      <c r="Z25" s="6">
        <f>SUMIFS(GQList,GIList,Table_ExternalData_1[[#This Row],[Item_key]],GDList,Table_ExternalData_1[[#Headers],[20]])</f>
        <v>0</v>
      </c>
      <c r="AA25" s="6">
        <f>SUMIFS(GQList,GIList,Table_ExternalData_1[[#This Row],[Item_key]],GDList,Table_ExternalData_1[[#Headers],[21]])</f>
        <v>0</v>
      </c>
      <c r="AB25" s="6">
        <f>SUMIFS(GQList,GIList,Table_ExternalData_1[[#This Row],[Item_key]],GDList,Table_ExternalData_1[[#Headers],[22]])</f>
        <v>0</v>
      </c>
      <c r="AC25" s="6">
        <f>SUMIFS(GQList,GIList,Table_ExternalData_1[[#This Row],[Item_key]],GDList,Table_ExternalData_1[[#Headers],[23]])</f>
        <v>0</v>
      </c>
      <c r="AD25" s="6">
        <f>SUMIFS(GQList,GIList,Table_ExternalData_1[[#This Row],[Item_key]],GDList,Table_ExternalData_1[[#Headers],[24]])</f>
        <v>0</v>
      </c>
      <c r="AE25" s="6">
        <f>SUMIFS(GQList,GIList,Table_ExternalData_1[[#This Row],[Item_key]],GDList,Table_ExternalData_1[[#Headers],[25]])</f>
        <v>0</v>
      </c>
      <c r="AF25" s="6">
        <f>SUMIFS(GQList,GIList,Table_ExternalData_1[[#This Row],[Item_key]],GDList,Table_ExternalData_1[[#Headers],[26]])</f>
        <v>0</v>
      </c>
      <c r="AG25" s="6">
        <f>SUMIFS(GQList,GIList,Table_ExternalData_1[[#This Row],[Item_key]],GDList,Table_ExternalData_1[[#Headers],[27]])</f>
        <v>0</v>
      </c>
      <c r="AH25" s="6">
        <f>SUMIFS(GQList,GIList,Table_ExternalData_1[[#This Row],[Item_key]],GDList,Table_ExternalData_1[[#Headers],[28]])</f>
        <v>0</v>
      </c>
      <c r="AI25" s="6">
        <f>SUMIFS(GQList,GIList,Table_ExternalData_1[[#This Row],[Item_key]],GDList,Table_ExternalData_1[[#Headers],[29]])</f>
        <v>10</v>
      </c>
      <c r="AJ25" s="6">
        <f>SUMIFS(GQList,GIList,Table_ExternalData_1[[#This Row],[Item_key]],GDList,Table_ExternalData_1[[#Headers],[30]])</f>
        <v>0</v>
      </c>
      <c r="AK25" s="6">
        <f>SUMIFS(GQList,GIList,Table_ExternalData_1[[#This Row],[Item_key]],GDList,Table_ExternalData_1[[#Headers],[31]])</f>
        <v>0</v>
      </c>
      <c r="AL25" s="6">
        <f>SUM(Table_ExternalData_1[[#This Row],[1]:[31]])</f>
        <v>10</v>
      </c>
    </row>
    <row r="26" spans="1:38">
      <c r="A26" s="50" t="s">
        <v>65</v>
      </c>
      <c r="B26" s="3" t="s">
        <v>1609</v>
      </c>
      <c r="C26" s="3" t="s">
        <v>1029</v>
      </c>
      <c r="D26" s="3" t="s">
        <v>2364</v>
      </c>
      <c r="E26" s="3" t="s">
        <v>2365</v>
      </c>
      <c r="F26" s="8" t="s">
        <v>17</v>
      </c>
      <c r="G26" s="6">
        <f>SUMIFS(GQList,GIList,Table_ExternalData_1[[#This Row],[Item_key]],GDList,Table_ExternalData_1[[#Headers],[1]])</f>
        <v>0</v>
      </c>
      <c r="H26" s="6">
        <f>SUMIFS(GQList,GIList,Table_ExternalData_1[[#This Row],[Item_key]],GDList,Table_ExternalData_1[[#Headers],[2]])</f>
        <v>0</v>
      </c>
      <c r="I26" s="6">
        <f>SUMIFS(GQList,GIList,Table_ExternalData_1[[#This Row],[Item_key]],GDList,Table_ExternalData_1[[#Headers],[3]])</f>
        <v>0</v>
      </c>
      <c r="J26" s="6">
        <f>SUMIFS(GQList,GIList,Table_ExternalData_1[[#This Row],[Item_key]],GDList,Table_ExternalData_1[[#Headers],[4]])</f>
        <v>0</v>
      </c>
      <c r="K26" s="6">
        <f>SUMIFS(GQList,GIList,Table_ExternalData_1[[#This Row],[Item_key]],GDList,Table_ExternalData_1[[#Headers],[5]])</f>
        <v>0</v>
      </c>
      <c r="L26" s="6">
        <f>SUMIFS(GQList,GIList,Table_ExternalData_1[[#This Row],[Item_key]],GDList,Table_ExternalData_1[[#Headers],[6]])</f>
        <v>0</v>
      </c>
      <c r="M26" s="6">
        <f>SUMIFS(GQList,GIList,Table_ExternalData_1[[#This Row],[Item_key]],GDList,Table_ExternalData_1[[#Headers],[7]])</f>
        <v>0</v>
      </c>
      <c r="N26" s="6">
        <f>SUMIFS(GQList,GIList,Table_ExternalData_1[[#This Row],[Item_key]],GDList,Table_ExternalData_1[[#Headers],[8]])</f>
        <v>1</v>
      </c>
      <c r="O26" s="6">
        <f>SUMIFS(GQList,GIList,Table_ExternalData_1[[#This Row],[Item_key]],GDList,Table_ExternalData_1[[#Headers],[9]])</f>
        <v>0</v>
      </c>
      <c r="P26" s="6">
        <f>SUMIFS(GQList,GIList,Table_ExternalData_1[[#This Row],[Item_key]],GDList,Table_ExternalData_1[[#Headers],[10]])</f>
        <v>0</v>
      </c>
      <c r="Q26" s="6">
        <f>SUMIFS(GQList,GIList,Table_ExternalData_1[[#This Row],[Item_key]],GDList,Table_ExternalData_1[[#Headers],[11]])</f>
        <v>0</v>
      </c>
      <c r="R26" s="6">
        <f>SUMIFS(GQList,GIList,Table_ExternalData_1[[#This Row],[Item_key]],GDList,Table_ExternalData_1[[#Headers],[12]])</f>
        <v>0</v>
      </c>
      <c r="S26" s="6">
        <f>SUMIFS(GQList,GIList,Table_ExternalData_1[[#This Row],[Item_key]],GDList,Table_ExternalData_1[[#Headers],[13]])</f>
        <v>0</v>
      </c>
      <c r="T26" s="6">
        <f>SUMIFS(GQList,GIList,Table_ExternalData_1[[#This Row],[Item_key]],GDList,Table_ExternalData_1[[#Headers],[14]])</f>
        <v>0</v>
      </c>
      <c r="U26" s="6">
        <f>SUMIFS(GQList,GIList,Table_ExternalData_1[[#This Row],[Item_key]],GDList,Table_ExternalData_1[[#Headers],[15]])</f>
        <v>0</v>
      </c>
      <c r="V26" s="6">
        <f>SUMIFS(GQList,GIList,Table_ExternalData_1[[#This Row],[Item_key]],GDList,Table_ExternalData_1[[#Headers],[16]])</f>
        <v>0</v>
      </c>
      <c r="W26" s="6">
        <f>SUMIFS(GQList,GIList,Table_ExternalData_1[[#This Row],[Item_key]],GDList,Table_ExternalData_1[[#Headers],[17]])</f>
        <v>0</v>
      </c>
      <c r="X26" s="6">
        <f>SUMIFS(GQList,GIList,Table_ExternalData_1[[#This Row],[Item_key]],GDList,Table_ExternalData_1[[#Headers],[18]])</f>
        <v>0</v>
      </c>
      <c r="Y26" s="6">
        <f>SUMIFS(GQList,GIList,Table_ExternalData_1[[#This Row],[Item_key]],GDList,Table_ExternalData_1[[#Headers],[19]])</f>
        <v>0</v>
      </c>
      <c r="Z26" s="6">
        <f>SUMIFS(GQList,GIList,Table_ExternalData_1[[#This Row],[Item_key]],GDList,Table_ExternalData_1[[#Headers],[20]])</f>
        <v>0</v>
      </c>
      <c r="AA26" s="6">
        <f>SUMIFS(GQList,GIList,Table_ExternalData_1[[#This Row],[Item_key]],GDList,Table_ExternalData_1[[#Headers],[21]])</f>
        <v>0</v>
      </c>
      <c r="AB26" s="6">
        <f>SUMIFS(GQList,GIList,Table_ExternalData_1[[#This Row],[Item_key]],GDList,Table_ExternalData_1[[#Headers],[22]])</f>
        <v>0</v>
      </c>
      <c r="AC26" s="6">
        <f>SUMIFS(GQList,GIList,Table_ExternalData_1[[#This Row],[Item_key]],GDList,Table_ExternalData_1[[#Headers],[23]])</f>
        <v>0</v>
      </c>
      <c r="AD26" s="6">
        <f>SUMIFS(GQList,GIList,Table_ExternalData_1[[#This Row],[Item_key]],GDList,Table_ExternalData_1[[#Headers],[24]])</f>
        <v>0</v>
      </c>
      <c r="AE26" s="6">
        <f>SUMIFS(GQList,GIList,Table_ExternalData_1[[#This Row],[Item_key]],GDList,Table_ExternalData_1[[#Headers],[25]])</f>
        <v>0</v>
      </c>
      <c r="AF26" s="6">
        <f>SUMIFS(GQList,GIList,Table_ExternalData_1[[#This Row],[Item_key]],GDList,Table_ExternalData_1[[#Headers],[26]])</f>
        <v>0</v>
      </c>
      <c r="AG26" s="6">
        <f>SUMIFS(GQList,GIList,Table_ExternalData_1[[#This Row],[Item_key]],GDList,Table_ExternalData_1[[#Headers],[27]])</f>
        <v>0</v>
      </c>
      <c r="AH26" s="6">
        <f>SUMIFS(GQList,GIList,Table_ExternalData_1[[#This Row],[Item_key]],GDList,Table_ExternalData_1[[#Headers],[28]])</f>
        <v>0</v>
      </c>
      <c r="AI26" s="6">
        <f>SUMIFS(GQList,GIList,Table_ExternalData_1[[#This Row],[Item_key]],GDList,Table_ExternalData_1[[#Headers],[29]])</f>
        <v>0</v>
      </c>
      <c r="AJ26" s="6">
        <f>SUMIFS(GQList,GIList,Table_ExternalData_1[[#This Row],[Item_key]],GDList,Table_ExternalData_1[[#Headers],[30]])</f>
        <v>0</v>
      </c>
      <c r="AK26" s="6">
        <f>SUMIFS(GQList,GIList,Table_ExternalData_1[[#This Row],[Item_key]],GDList,Table_ExternalData_1[[#Headers],[31]])</f>
        <v>0</v>
      </c>
      <c r="AL26" s="6">
        <f>SUM(Table_ExternalData_1[[#This Row],[1]:[31]])</f>
        <v>1</v>
      </c>
    </row>
    <row r="27" spans="1:38">
      <c r="A27" s="50" t="s">
        <v>65</v>
      </c>
      <c r="B27" s="3" t="s">
        <v>1610</v>
      </c>
      <c r="C27" s="3" t="s">
        <v>520</v>
      </c>
      <c r="D27" s="3" t="s">
        <v>2561</v>
      </c>
      <c r="E27" s="3" t="s">
        <v>2562</v>
      </c>
      <c r="F27" s="8" t="s">
        <v>17</v>
      </c>
      <c r="G27" s="6">
        <f>SUMIFS(GQList,GIList,Table_ExternalData_1[[#This Row],[Item_key]],GDList,Table_ExternalData_1[[#Headers],[1]])</f>
        <v>0</v>
      </c>
      <c r="H27" s="6">
        <f>SUMIFS(GQList,GIList,Table_ExternalData_1[[#This Row],[Item_key]],GDList,Table_ExternalData_1[[#Headers],[2]])</f>
        <v>0</v>
      </c>
      <c r="I27" s="6">
        <f>SUMIFS(GQList,GIList,Table_ExternalData_1[[#This Row],[Item_key]],GDList,Table_ExternalData_1[[#Headers],[3]])</f>
        <v>0</v>
      </c>
      <c r="J27" s="6">
        <f>SUMIFS(GQList,GIList,Table_ExternalData_1[[#This Row],[Item_key]],GDList,Table_ExternalData_1[[#Headers],[4]])</f>
        <v>0</v>
      </c>
      <c r="K27" s="6">
        <f>SUMIFS(GQList,GIList,Table_ExternalData_1[[#This Row],[Item_key]],GDList,Table_ExternalData_1[[#Headers],[5]])</f>
        <v>0</v>
      </c>
      <c r="L27" s="6">
        <f>SUMIFS(GQList,GIList,Table_ExternalData_1[[#This Row],[Item_key]],GDList,Table_ExternalData_1[[#Headers],[6]])</f>
        <v>0</v>
      </c>
      <c r="M27" s="6">
        <f>SUMIFS(GQList,GIList,Table_ExternalData_1[[#This Row],[Item_key]],GDList,Table_ExternalData_1[[#Headers],[7]])</f>
        <v>0</v>
      </c>
      <c r="N27" s="6">
        <f>SUMIFS(GQList,GIList,Table_ExternalData_1[[#This Row],[Item_key]],GDList,Table_ExternalData_1[[#Headers],[8]])</f>
        <v>0</v>
      </c>
      <c r="O27" s="6">
        <f>SUMIFS(GQList,GIList,Table_ExternalData_1[[#This Row],[Item_key]],GDList,Table_ExternalData_1[[#Headers],[9]])</f>
        <v>0</v>
      </c>
      <c r="P27" s="6">
        <f>SUMIFS(GQList,GIList,Table_ExternalData_1[[#This Row],[Item_key]],GDList,Table_ExternalData_1[[#Headers],[10]])</f>
        <v>0</v>
      </c>
      <c r="Q27" s="6">
        <f>SUMIFS(GQList,GIList,Table_ExternalData_1[[#This Row],[Item_key]],GDList,Table_ExternalData_1[[#Headers],[11]])</f>
        <v>0</v>
      </c>
      <c r="R27" s="6">
        <f>SUMIFS(GQList,GIList,Table_ExternalData_1[[#This Row],[Item_key]],GDList,Table_ExternalData_1[[#Headers],[12]])</f>
        <v>0</v>
      </c>
      <c r="S27" s="6">
        <f>SUMIFS(GQList,GIList,Table_ExternalData_1[[#This Row],[Item_key]],GDList,Table_ExternalData_1[[#Headers],[13]])</f>
        <v>0</v>
      </c>
      <c r="T27" s="6">
        <f>SUMIFS(GQList,GIList,Table_ExternalData_1[[#This Row],[Item_key]],GDList,Table_ExternalData_1[[#Headers],[14]])</f>
        <v>0</v>
      </c>
      <c r="U27" s="6">
        <f>SUMIFS(GQList,GIList,Table_ExternalData_1[[#This Row],[Item_key]],GDList,Table_ExternalData_1[[#Headers],[15]])</f>
        <v>0</v>
      </c>
      <c r="V27" s="6">
        <f>SUMIFS(GQList,GIList,Table_ExternalData_1[[#This Row],[Item_key]],GDList,Table_ExternalData_1[[#Headers],[16]])</f>
        <v>0</v>
      </c>
      <c r="W27" s="6">
        <f>SUMIFS(GQList,GIList,Table_ExternalData_1[[#This Row],[Item_key]],GDList,Table_ExternalData_1[[#Headers],[17]])</f>
        <v>0</v>
      </c>
      <c r="X27" s="6">
        <f>SUMIFS(GQList,GIList,Table_ExternalData_1[[#This Row],[Item_key]],GDList,Table_ExternalData_1[[#Headers],[18]])</f>
        <v>0</v>
      </c>
      <c r="Y27" s="6">
        <f>SUMIFS(GQList,GIList,Table_ExternalData_1[[#This Row],[Item_key]],GDList,Table_ExternalData_1[[#Headers],[19]])</f>
        <v>0</v>
      </c>
      <c r="Z27" s="6">
        <f>SUMIFS(GQList,GIList,Table_ExternalData_1[[#This Row],[Item_key]],GDList,Table_ExternalData_1[[#Headers],[20]])</f>
        <v>0</v>
      </c>
      <c r="AA27" s="6">
        <f>SUMIFS(GQList,GIList,Table_ExternalData_1[[#This Row],[Item_key]],GDList,Table_ExternalData_1[[#Headers],[21]])</f>
        <v>0</v>
      </c>
      <c r="AB27" s="6">
        <f>SUMIFS(GQList,GIList,Table_ExternalData_1[[#This Row],[Item_key]],GDList,Table_ExternalData_1[[#Headers],[22]])</f>
        <v>0</v>
      </c>
      <c r="AC27" s="6">
        <f>SUMIFS(GQList,GIList,Table_ExternalData_1[[#This Row],[Item_key]],GDList,Table_ExternalData_1[[#Headers],[23]])</f>
        <v>0</v>
      </c>
      <c r="AD27" s="6">
        <f>SUMIFS(GQList,GIList,Table_ExternalData_1[[#This Row],[Item_key]],GDList,Table_ExternalData_1[[#Headers],[24]])</f>
        <v>0</v>
      </c>
      <c r="AE27" s="6">
        <f>SUMIFS(GQList,GIList,Table_ExternalData_1[[#This Row],[Item_key]],GDList,Table_ExternalData_1[[#Headers],[25]])</f>
        <v>0</v>
      </c>
      <c r="AF27" s="6">
        <f>SUMIFS(GQList,GIList,Table_ExternalData_1[[#This Row],[Item_key]],GDList,Table_ExternalData_1[[#Headers],[26]])</f>
        <v>0</v>
      </c>
      <c r="AG27" s="6">
        <f>SUMIFS(GQList,GIList,Table_ExternalData_1[[#This Row],[Item_key]],GDList,Table_ExternalData_1[[#Headers],[27]])</f>
        <v>0</v>
      </c>
      <c r="AH27" s="6">
        <f>SUMIFS(GQList,GIList,Table_ExternalData_1[[#This Row],[Item_key]],GDList,Table_ExternalData_1[[#Headers],[28]])</f>
        <v>0</v>
      </c>
      <c r="AI27" s="6">
        <f>SUMIFS(GQList,GIList,Table_ExternalData_1[[#This Row],[Item_key]],GDList,Table_ExternalData_1[[#Headers],[29]])</f>
        <v>100</v>
      </c>
      <c r="AJ27" s="6">
        <f>SUMIFS(GQList,GIList,Table_ExternalData_1[[#This Row],[Item_key]],GDList,Table_ExternalData_1[[#Headers],[30]])</f>
        <v>0</v>
      </c>
      <c r="AK27" s="6">
        <f>SUMIFS(GQList,GIList,Table_ExternalData_1[[#This Row],[Item_key]],GDList,Table_ExternalData_1[[#Headers],[31]])</f>
        <v>0</v>
      </c>
      <c r="AL27" s="6">
        <f>SUM(Table_ExternalData_1[[#This Row],[1]:[31]])</f>
        <v>100</v>
      </c>
    </row>
    <row r="28" spans="1:38">
      <c r="A28" s="50" t="s">
        <v>65</v>
      </c>
      <c r="B28" s="3" t="s">
        <v>1610</v>
      </c>
      <c r="C28" s="3" t="s">
        <v>838</v>
      </c>
      <c r="D28" s="3" t="s">
        <v>2737</v>
      </c>
      <c r="E28" s="3" t="s">
        <v>2738</v>
      </c>
      <c r="F28" s="8" t="s">
        <v>17</v>
      </c>
      <c r="G28" s="6">
        <f>SUMIFS(GQList,GIList,Table_ExternalData_1[[#This Row],[Item_key]],GDList,Table_ExternalData_1[[#Headers],[1]])</f>
        <v>0</v>
      </c>
      <c r="H28" s="6">
        <f>SUMIFS(GQList,GIList,Table_ExternalData_1[[#This Row],[Item_key]],GDList,Table_ExternalData_1[[#Headers],[2]])</f>
        <v>0</v>
      </c>
      <c r="I28" s="6">
        <f>SUMIFS(GQList,GIList,Table_ExternalData_1[[#This Row],[Item_key]],GDList,Table_ExternalData_1[[#Headers],[3]])</f>
        <v>0</v>
      </c>
      <c r="J28" s="6">
        <f>SUMIFS(GQList,GIList,Table_ExternalData_1[[#This Row],[Item_key]],GDList,Table_ExternalData_1[[#Headers],[4]])</f>
        <v>0</v>
      </c>
      <c r="K28" s="6">
        <f>SUMIFS(GQList,GIList,Table_ExternalData_1[[#This Row],[Item_key]],GDList,Table_ExternalData_1[[#Headers],[5]])</f>
        <v>0</v>
      </c>
      <c r="L28" s="6">
        <f>SUMIFS(GQList,GIList,Table_ExternalData_1[[#This Row],[Item_key]],GDList,Table_ExternalData_1[[#Headers],[6]])</f>
        <v>0</v>
      </c>
      <c r="M28" s="6">
        <f>SUMIFS(GQList,GIList,Table_ExternalData_1[[#This Row],[Item_key]],GDList,Table_ExternalData_1[[#Headers],[7]])</f>
        <v>0</v>
      </c>
      <c r="N28" s="6">
        <f>SUMIFS(GQList,GIList,Table_ExternalData_1[[#This Row],[Item_key]],GDList,Table_ExternalData_1[[#Headers],[8]])</f>
        <v>0</v>
      </c>
      <c r="O28" s="6">
        <f>SUMIFS(GQList,GIList,Table_ExternalData_1[[#This Row],[Item_key]],GDList,Table_ExternalData_1[[#Headers],[9]])</f>
        <v>0</v>
      </c>
      <c r="P28" s="6">
        <f>SUMIFS(GQList,GIList,Table_ExternalData_1[[#This Row],[Item_key]],GDList,Table_ExternalData_1[[#Headers],[10]])</f>
        <v>0</v>
      </c>
      <c r="Q28" s="6">
        <f>SUMIFS(GQList,GIList,Table_ExternalData_1[[#This Row],[Item_key]],GDList,Table_ExternalData_1[[#Headers],[11]])</f>
        <v>0</v>
      </c>
      <c r="R28" s="6">
        <f>SUMIFS(GQList,GIList,Table_ExternalData_1[[#This Row],[Item_key]],GDList,Table_ExternalData_1[[#Headers],[12]])</f>
        <v>0</v>
      </c>
      <c r="S28" s="6">
        <f>SUMIFS(GQList,GIList,Table_ExternalData_1[[#This Row],[Item_key]],GDList,Table_ExternalData_1[[#Headers],[13]])</f>
        <v>0</v>
      </c>
      <c r="T28" s="6">
        <f>SUMIFS(GQList,GIList,Table_ExternalData_1[[#This Row],[Item_key]],GDList,Table_ExternalData_1[[#Headers],[14]])</f>
        <v>0</v>
      </c>
      <c r="U28" s="6">
        <f>SUMIFS(GQList,GIList,Table_ExternalData_1[[#This Row],[Item_key]],GDList,Table_ExternalData_1[[#Headers],[15]])</f>
        <v>0</v>
      </c>
      <c r="V28" s="6">
        <f>SUMIFS(GQList,GIList,Table_ExternalData_1[[#This Row],[Item_key]],GDList,Table_ExternalData_1[[#Headers],[16]])</f>
        <v>0</v>
      </c>
      <c r="W28" s="6">
        <f>SUMIFS(GQList,GIList,Table_ExternalData_1[[#This Row],[Item_key]],GDList,Table_ExternalData_1[[#Headers],[17]])</f>
        <v>0</v>
      </c>
      <c r="X28" s="6">
        <f>SUMIFS(GQList,GIList,Table_ExternalData_1[[#This Row],[Item_key]],GDList,Table_ExternalData_1[[#Headers],[18]])</f>
        <v>0</v>
      </c>
      <c r="Y28" s="6">
        <f>SUMIFS(GQList,GIList,Table_ExternalData_1[[#This Row],[Item_key]],GDList,Table_ExternalData_1[[#Headers],[19]])</f>
        <v>0</v>
      </c>
      <c r="Z28" s="6">
        <f>SUMIFS(GQList,GIList,Table_ExternalData_1[[#This Row],[Item_key]],GDList,Table_ExternalData_1[[#Headers],[20]])</f>
        <v>0</v>
      </c>
      <c r="AA28" s="6">
        <f>SUMIFS(GQList,GIList,Table_ExternalData_1[[#This Row],[Item_key]],GDList,Table_ExternalData_1[[#Headers],[21]])</f>
        <v>0</v>
      </c>
      <c r="AB28" s="6">
        <f>SUMIFS(GQList,GIList,Table_ExternalData_1[[#This Row],[Item_key]],GDList,Table_ExternalData_1[[#Headers],[22]])</f>
        <v>0</v>
      </c>
      <c r="AC28" s="6">
        <f>SUMIFS(GQList,GIList,Table_ExternalData_1[[#This Row],[Item_key]],GDList,Table_ExternalData_1[[#Headers],[23]])</f>
        <v>0</v>
      </c>
      <c r="AD28" s="6">
        <f>SUMIFS(GQList,GIList,Table_ExternalData_1[[#This Row],[Item_key]],GDList,Table_ExternalData_1[[#Headers],[24]])</f>
        <v>0</v>
      </c>
      <c r="AE28" s="6">
        <f>SUMIFS(GQList,GIList,Table_ExternalData_1[[#This Row],[Item_key]],GDList,Table_ExternalData_1[[#Headers],[25]])</f>
        <v>0</v>
      </c>
      <c r="AF28" s="6">
        <f>SUMIFS(GQList,GIList,Table_ExternalData_1[[#This Row],[Item_key]],GDList,Table_ExternalData_1[[#Headers],[26]])</f>
        <v>0</v>
      </c>
      <c r="AG28" s="6">
        <f>SUMIFS(GQList,GIList,Table_ExternalData_1[[#This Row],[Item_key]],GDList,Table_ExternalData_1[[#Headers],[27]])</f>
        <v>0</v>
      </c>
      <c r="AH28" s="6">
        <f>SUMIFS(GQList,GIList,Table_ExternalData_1[[#This Row],[Item_key]],GDList,Table_ExternalData_1[[#Headers],[28]])</f>
        <v>0</v>
      </c>
      <c r="AI28" s="6">
        <f>SUMIFS(GQList,GIList,Table_ExternalData_1[[#This Row],[Item_key]],GDList,Table_ExternalData_1[[#Headers],[29]])</f>
        <v>50</v>
      </c>
      <c r="AJ28" s="6">
        <f>SUMIFS(GQList,GIList,Table_ExternalData_1[[#This Row],[Item_key]],GDList,Table_ExternalData_1[[#Headers],[30]])</f>
        <v>0</v>
      </c>
      <c r="AK28" s="6">
        <f>SUMIFS(GQList,GIList,Table_ExternalData_1[[#This Row],[Item_key]],GDList,Table_ExternalData_1[[#Headers],[31]])</f>
        <v>0</v>
      </c>
      <c r="AL28" s="6">
        <f>SUM(Table_ExternalData_1[[#This Row],[1]:[31]])</f>
        <v>50</v>
      </c>
    </row>
    <row r="29" spans="1:38">
      <c r="A29" s="50" t="s">
        <v>65</v>
      </c>
      <c r="B29" s="3" t="s">
        <v>1610</v>
      </c>
      <c r="C29" s="3" t="s">
        <v>1134</v>
      </c>
      <c r="D29" s="3" t="s">
        <v>2844</v>
      </c>
      <c r="E29" s="3" t="s">
        <v>2664</v>
      </c>
      <c r="F29" s="8" t="s">
        <v>17</v>
      </c>
      <c r="G29" s="6">
        <f>SUMIFS(GQList,GIList,Table_ExternalData_1[[#This Row],[Item_key]],GDList,Table_ExternalData_1[[#Headers],[1]])</f>
        <v>0</v>
      </c>
      <c r="H29" s="6">
        <f>SUMIFS(GQList,GIList,Table_ExternalData_1[[#This Row],[Item_key]],GDList,Table_ExternalData_1[[#Headers],[2]])</f>
        <v>0</v>
      </c>
      <c r="I29" s="6">
        <f>SUMIFS(GQList,GIList,Table_ExternalData_1[[#This Row],[Item_key]],GDList,Table_ExternalData_1[[#Headers],[3]])</f>
        <v>0</v>
      </c>
      <c r="J29" s="6">
        <f>SUMIFS(GQList,GIList,Table_ExternalData_1[[#This Row],[Item_key]],GDList,Table_ExternalData_1[[#Headers],[4]])</f>
        <v>0</v>
      </c>
      <c r="K29" s="6">
        <f>SUMIFS(GQList,GIList,Table_ExternalData_1[[#This Row],[Item_key]],GDList,Table_ExternalData_1[[#Headers],[5]])</f>
        <v>0</v>
      </c>
      <c r="L29" s="6">
        <f>SUMIFS(GQList,GIList,Table_ExternalData_1[[#This Row],[Item_key]],GDList,Table_ExternalData_1[[#Headers],[6]])</f>
        <v>0</v>
      </c>
      <c r="M29" s="6">
        <f>SUMIFS(GQList,GIList,Table_ExternalData_1[[#This Row],[Item_key]],GDList,Table_ExternalData_1[[#Headers],[7]])</f>
        <v>0</v>
      </c>
      <c r="N29" s="6">
        <f>SUMIFS(GQList,GIList,Table_ExternalData_1[[#This Row],[Item_key]],GDList,Table_ExternalData_1[[#Headers],[8]])</f>
        <v>0</v>
      </c>
      <c r="O29" s="6">
        <f>SUMIFS(GQList,GIList,Table_ExternalData_1[[#This Row],[Item_key]],GDList,Table_ExternalData_1[[#Headers],[9]])</f>
        <v>0</v>
      </c>
      <c r="P29" s="6">
        <f>SUMIFS(GQList,GIList,Table_ExternalData_1[[#This Row],[Item_key]],GDList,Table_ExternalData_1[[#Headers],[10]])</f>
        <v>0</v>
      </c>
      <c r="Q29" s="6">
        <f>SUMIFS(GQList,GIList,Table_ExternalData_1[[#This Row],[Item_key]],GDList,Table_ExternalData_1[[#Headers],[11]])</f>
        <v>0</v>
      </c>
      <c r="R29" s="6">
        <f>SUMIFS(GQList,GIList,Table_ExternalData_1[[#This Row],[Item_key]],GDList,Table_ExternalData_1[[#Headers],[12]])</f>
        <v>0</v>
      </c>
      <c r="S29" s="6">
        <f>SUMIFS(GQList,GIList,Table_ExternalData_1[[#This Row],[Item_key]],GDList,Table_ExternalData_1[[#Headers],[13]])</f>
        <v>0</v>
      </c>
      <c r="T29" s="6">
        <f>SUMIFS(GQList,GIList,Table_ExternalData_1[[#This Row],[Item_key]],GDList,Table_ExternalData_1[[#Headers],[14]])</f>
        <v>0</v>
      </c>
      <c r="U29" s="6">
        <f>SUMIFS(GQList,GIList,Table_ExternalData_1[[#This Row],[Item_key]],GDList,Table_ExternalData_1[[#Headers],[15]])</f>
        <v>0</v>
      </c>
      <c r="V29" s="6">
        <f>SUMIFS(GQList,GIList,Table_ExternalData_1[[#This Row],[Item_key]],GDList,Table_ExternalData_1[[#Headers],[16]])</f>
        <v>200</v>
      </c>
      <c r="W29" s="6">
        <f>SUMIFS(GQList,GIList,Table_ExternalData_1[[#This Row],[Item_key]],GDList,Table_ExternalData_1[[#Headers],[17]])</f>
        <v>0</v>
      </c>
      <c r="X29" s="6">
        <f>SUMIFS(GQList,GIList,Table_ExternalData_1[[#This Row],[Item_key]],GDList,Table_ExternalData_1[[#Headers],[18]])</f>
        <v>0</v>
      </c>
      <c r="Y29" s="6">
        <f>SUMIFS(GQList,GIList,Table_ExternalData_1[[#This Row],[Item_key]],GDList,Table_ExternalData_1[[#Headers],[19]])</f>
        <v>0</v>
      </c>
      <c r="Z29" s="6">
        <f>SUMIFS(GQList,GIList,Table_ExternalData_1[[#This Row],[Item_key]],GDList,Table_ExternalData_1[[#Headers],[20]])</f>
        <v>0</v>
      </c>
      <c r="AA29" s="6">
        <f>SUMIFS(GQList,GIList,Table_ExternalData_1[[#This Row],[Item_key]],GDList,Table_ExternalData_1[[#Headers],[21]])</f>
        <v>0</v>
      </c>
      <c r="AB29" s="6">
        <f>SUMIFS(GQList,GIList,Table_ExternalData_1[[#This Row],[Item_key]],GDList,Table_ExternalData_1[[#Headers],[22]])</f>
        <v>0</v>
      </c>
      <c r="AC29" s="6">
        <f>SUMIFS(GQList,GIList,Table_ExternalData_1[[#This Row],[Item_key]],GDList,Table_ExternalData_1[[#Headers],[23]])</f>
        <v>0</v>
      </c>
      <c r="AD29" s="6">
        <f>SUMIFS(GQList,GIList,Table_ExternalData_1[[#This Row],[Item_key]],GDList,Table_ExternalData_1[[#Headers],[24]])</f>
        <v>0</v>
      </c>
      <c r="AE29" s="6">
        <f>SUMIFS(GQList,GIList,Table_ExternalData_1[[#This Row],[Item_key]],GDList,Table_ExternalData_1[[#Headers],[25]])</f>
        <v>0</v>
      </c>
      <c r="AF29" s="6">
        <f>SUMIFS(GQList,GIList,Table_ExternalData_1[[#This Row],[Item_key]],GDList,Table_ExternalData_1[[#Headers],[26]])</f>
        <v>0</v>
      </c>
      <c r="AG29" s="6">
        <f>SUMIFS(GQList,GIList,Table_ExternalData_1[[#This Row],[Item_key]],GDList,Table_ExternalData_1[[#Headers],[27]])</f>
        <v>0</v>
      </c>
      <c r="AH29" s="6">
        <f>SUMIFS(GQList,GIList,Table_ExternalData_1[[#This Row],[Item_key]],GDList,Table_ExternalData_1[[#Headers],[28]])</f>
        <v>0</v>
      </c>
      <c r="AI29" s="6">
        <f>SUMIFS(GQList,GIList,Table_ExternalData_1[[#This Row],[Item_key]],GDList,Table_ExternalData_1[[#Headers],[29]])</f>
        <v>0</v>
      </c>
      <c r="AJ29" s="6">
        <f>SUMIFS(GQList,GIList,Table_ExternalData_1[[#This Row],[Item_key]],GDList,Table_ExternalData_1[[#Headers],[30]])</f>
        <v>0</v>
      </c>
      <c r="AK29" s="6">
        <f>SUMIFS(GQList,GIList,Table_ExternalData_1[[#This Row],[Item_key]],GDList,Table_ExternalData_1[[#Headers],[31]])</f>
        <v>0</v>
      </c>
      <c r="AL29" s="6">
        <f>SUM(Table_ExternalData_1[[#This Row],[1]:[31]])</f>
        <v>200</v>
      </c>
    </row>
    <row r="30" spans="1:38">
      <c r="A30" s="50" t="s">
        <v>65</v>
      </c>
      <c r="B30" s="3" t="s">
        <v>1611</v>
      </c>
      <c r="C30" s="3" t="s">
        <v>333</v>
      </c>
      <c r="D30" s="3" t="s">
        <v>2471</v>
      </c>
      <c r="E30" s="3" t="s">
        <v>2472</v>
      </c>
      <c r="F30" s="8" t="s">
        <v>17</v>
      </c>
      <c r="G30" s="6">
        <f>SUMIFS(GQList,GIList,Table_ExternalData_1[[#This Row],[Item_key]],GDList,Table_ExternalData_1[[#Headers],[1]])</f>
        <v>0</v>
      </c>
      <c r="H30" s="6">
        <f>SUMIFS(GQList,GIList,Table_ExternalData_1[[#This Row],[Item_key]],GDList,Table_ExternalData_1[[#Headers],[2]])</f>
        <v>0</v>
      </c>
      <c r="I30" s="6">
        <f>SUMIFS(GQList,GIList,Table_ExternalData_1[[#This Row],[Item_key]],GDList,Table_ExternalData_1[[#Headers],[3]])</f>
        <v>0</v>
      </c>
      <c r="J30" s="6">
        <f>SUMIFS(GQList,GIList,Table_ExternalData_1[[#This Row],[Item_key]],GDList,Table_ExternalData_1[[#Headers],[4]])</f>
        <v>0</v>
      </c>
      <c r="K30" s="6">
        <f>SUMIFS(GQList,GIList,Table_ExternalData_1[[#This Row],[Item_key]],GDList,Table_ExternalData_1[[#Headers],[5]])</f>
        <v>0</v>
      </c>
      <c r="L30" s="6">
        <f>SUMIFS(GQList,GIList,Table_ExternalData_1[[#This Row],[Item_key]],GDList,Table_ExternalData_1[[#Headers],[6]])</f>
        <v>0</v>
      </c>
      <c r="M30" s="6">
        <f>SUMIFS(GQList,GIList,Table_ExternalData_1[[#This Row],[Item_key]],GDList,Table_ExternalData_1[[#Headers],[7]])</f>
        <v>0</v>
      </c>
      <c r="N30" s="6">
        <f>SUMIFS(GQList,GIList,Table_ExternalData_1[[#This Row],[Item_key]],GDList,Table_ExternalData_1[[#Headers],[8]])</f>
        <v>0</v>
      </c>
      <c r="O30" s="6">
        <f>SUMIFS(GQList,GIList,Table_ExternalData_1[[#This Row],[Item_key]],GDList,Table_ExternalData_1[[#Headers],[9]])</f>
        <v>0</v>
      </c>
      <c r="P30" s="6">
        <f>SUMIFS(GQList,GIList,Table_ExternalData_1[[#This Row],[Item_key]],GDList,Table_ExternalData_1[[#Headers],[10]])</f>
        <v>0</v>
      </c>
      <c r="Q30" s="6">
        <f>SUMIFS(GQList,GIList,Table_ExternalData_1[[#This Row],[Item_key]],GDList,Table_ExternalData_1[[#Headers],[11]])</f>
        <v>0</v>
      </c>
      <c r="R30" s="6">
        <f>SUMIFS(GQList,GIList,Table_ExternalData_1[[#This Row],[Item_key]],GDList,Table_ExternalData_1[[#Headers],[12]])</f>
        <v>0</v>
      </c>
      <c r="S30" s="6">
        <f>SUMIFS(GQList,GIList,Table_ExternalData_1[[#This Row],[Item_key]],GDList,Table_ExternalData_1[[#Headers],[13]])</f>
        <v>0</v>
      </c>
      <c r="T30" s="6">
        <f>SUMIFS(GQList,GIList,Table_ExternalData_1[[#This Row],[Item_key]],GDList,Table_ExternalData_1[[#Headers],[14]])</f>
        <v>0</v>
      </c>
      <c r="U30" s="6">
        <f>SUMIFS(GQList,GIList,Table_ExternalData_1[[#This Row],[Item_key]],GDList,Table_ExternalData_1[[#Headers],[15]])</f>
        <v>0</v>
      </c>
      <c r="V30" s="6">
        <f>SUMIFS(GQList,GIList,Table_ExternalData_1[[#This Row],[Item_key]],GDList,Table_ExternalData_1[[#Headers],[16]])</f>
        <v>26</v>
      </c>
      <c r="W30" s="6">
        <f>SUMIFS(GQList,GIList,Table_ExternalData_1[[#This Row],[Item_key]],GDList,Table_ExternalData_1[[#Headers],[17]])</f>
        <v>0</v>
      </c>
      <c r="X30" s="6">
        <f>SUMIFS(GQList,GIList,Table_ExternalData_1[[#This Row],[Item_key]],GDList,Table_ExternalData_1[[#Headers],[18]])</f>
        <v>0</v>
      </c>
      <c r="Y30" s="6">
        <f>SUMIFS(GQList,GIList,Table_ExternalData_1[[#This Row],[Item_key]],GDList,Table_ExternalData_1[[#Headers],[19]])</f>
        <v>0</v>
      </c>
      <c r="Z30" s="6">
        <f>SUMIFS(GQList,GIList,Table_ExternalData_1[[#This Row],[Item_key]],GDList,Table_ExternalData_1[[#Headers],[20]])</f>
        <v>0</v>
      </c>
      <c r="AA30" s="6">
        <f>SUMIFS(GQList,GIList,Table_ExternalData_1[[#This Row],[Item_key]],GDList,Table_ExternalData_1[[#Headers],[21]])</f>
        <v>0</v>
      </c>
      <c r="AB30" s="6">
        <f>SUMIFS(GQList,GIList,Table_ExternalData_1[[#This Row],[Item_key]],GDList,Table_ExternalData_1[[#Headers],[22]])</f>
        <v>0</v>
      </c>
      <c r="AC30" s="6">
        <f>SUMIFS(GQList,GIList,Table_ExternalData_1[[#This Row],[Item_key]],GDList,Table_ExternalData_1[[#Headers],[23]])</f>
        <v>0</v>
      </c>
      <c r="AD30" s="6">
        <f>SUMIFS(GQList,GIList,Table_ExternalData_1[[#This Row],[Item_key]],GDList,Table_ExternalData_1[[#Headers],[24]])</f>
        <v>0</v>
      </c>
      <c r="AE30" s="6">
        <f>SUMIFS(GQList,GIList,Table_ExternalData_1[[#This Row],[Item_key]],GDList,Table_ExternalData_1[[#Headers],[25]])</f>
        <v>0</v>
      </c>
      <c r="AF30" s="6">
        <f>SUMIFS(GQList,GIList,Table_ExternalData_1[[#This Row],[Item_key]],GDList,Table_ExternalData_1[[#Headers],[26]])</f>
        <v>0</v>
      </c>
      <c r="AG30" s="6">
        <f>SUMIFS(GQList,GIList,Table_ExternalData_1[[#This Row],[Item_key]],GDList,Table_ExternalData_1[[#Headers],[27]])</f>
        <v>0</v>
      </c>
      <c r="AH30" s="6">
        <f>SUMIFS(GQList,GIList,Table_ExternalData_1[[#This Row],[Item_key]],GDList,Table_ExternalData_1[[#Headers],[28]])</f>
        <v>0</v>
      </c>
      <c r="AI30" s="6">
        <f>SUMIFS(GQList,GIList,Table_ExternalData_1[[#This Row],[Item_key]],GDList,Table_ExternalData_1[[#Headers],[29]])</f>
        <v>0</v>
      </c>
      <c r="AJ30" s="6">
        <f>SUMIFS(GQList,GIList,Table_ExternalData_1[[#This Row],[Item_key]],GDList,Table_ExternalData_1[[#Headers],[30]])</f>
        <v>0</v>
      </c>
      <c r="AK30" s="6">
        <f>SUMIFS(GQList,GIList,Table_ExternalData_1[[#This Row],[Item_key]],GDList,Table_ExternalData_1[[#Headers],[31]])</f>
        <v>0</v>
      </c>
      <c r="AL30" s="6">
        <f>SUM(Table_ExternalData_1[[#This Row],[1]:[31]])</f>
        <v>26</v>
      </c>
    </row>
    <row r="31" spans="1:38">
      <c r="A31" s="50" t="s">
        <v>65</v>
      </c>
      <c r="B31" s="3" t="s">
        <v>1611</v>
      </c>
      <c r="C31" s="3" t="s">
        <v>845</v>
      </c>
      <c r="D31" s="3" t="s">
        <v>2743</v>
      </c>
      <c r="E31" s="3" t="s">
        <v>2744</v>
      </c>
      <c r="F31" s="8" t="s">
        <v>17</v>
      </c>
      <c r="G31" s="6">
        <f>SUMIFS(GQList,GIList,Table_ExternalData_1[[#This Row],[Item_key]],GDList,Table_ExternalData_1[[#Headers],[1]])</f>
        <v>0</v>
      </c>
      <c r="H31" s="6">
        <f>SUMIFS(GQList,GIList,Table_ExternalData_1[[#This Row],[Item_key]],GDList,Table_ExternalData_1[[#Headers],[2]])</f>
        <v>0</v>
      </c>
      <c r="I31" s="6">
        <f>SUMIFS(GQList,GIList,Table_ExternalData_1[[#This Row],[Item_key]],GDList,Table_ExternalData_1[[#Headers],[3]])</f>
        <v>0</v>
      </c>
      <c r="J31" s="6">
        <f>SUMIFS(GQList,GIList,Table_ExternalData_1[[#This Row],[Item_key]],GDList,Table_ExternalData_1[[#Headers],[4]])</f>
        <v>0</v>
      </c>
      <c r="K31" s="6">
        <f>SUMIFS(GQList,GIList,Table_ExternalData_1[[#This Row],[Item_key]],GDList,Table_ExternalData_1[[#Headers],[5]])</f>
        <v>0</v>
      </c>
      <c r="L31" s="6">
        <f>SUMIFS(GQList,GIList,Table_ExternalData_1[[#This Row],[Item_key]],GDList,Table_ExternalData_1[[#Headers],[6]])</f>
        <v>0</v>
      </c>
      <c r="M31" s="6">
        <f>SUMIFS(GQList,GIList,Table_ExternalData_1[[#This Row],[Item_key]],GDList,Table_ExternalData_1[[#Headers],[7]])</f>
        <v>0</v>
      </c>
      <c r="N31" s="6">
        <f>SUMIFS(GQList,GIList,Table_ExternalData_1[[#This Row],[Item_key]],GDList,Table_ExternalData_1[[#Headers],[8]])</f>
        <v>0</v>
      </c>
      <c r="O31" s="6">
        <f>SUMIFS(GQList,GIList,Table_ExternalData_1[[#This Row],[Item_key]],GDList,Table_ExternalData_1[[#Headers],[9]])</f>
        <v>0</v>
      </c>
      <c r="P31" s="6">
        <f>SUMIFS(GQList,GIList,Table_ExternalData_1[[#This Row],[Item_key]],GDList,Table_ExternalData_1[[#Headers],[10]])</f>
        <v>0</v>
      </c>
      <c r="Q31" s="6">
        <f>SUMIFS(GQList,GIList,Table_ExternalData_1[[#This Row],[Item_key]],GDList,Table_ExternalData_1[[#Headers],[11]])</f>
        <v>0</v>
      </c>
      <c r="R31" s="6">
        <f>SUMIFS(GQList,GIList,Table_ExternalData_1[[#This Row],[Item_key]],GDList,Table_ExternalData_1[[#Headers],[12]])</f>
        <v>0</v>
      </c>
      <c r="S31" s="6">
        <f>SUMIFS(GQList,GIList,Table_ExternalData_1[[#This Row],[Item_key]],GDList,Table_ExternalData_1[[#Headers],[13]])</f>
        <v>0</v>
      </c>
      <c r="T31" s="6">
        <f>SUMIFS(GQList,GIList,Table_ExternalData_1[[#This Row],[Item_key]],GDList,Table_ExternalData_1[[#Headers],[14]])</f>
        <v>0</v>
      </c>
      <c r="U31" s="6">
        <f>SUMIFS(GQList,GIList,Table_ExternalData_1[[#This Row],[Item_key]],GDList,Table_ExternalData_1[[#Headers],[15]])</f>
        <v>0</v>
      </c>
      <c r="V31" s="6">
        <f>SUMIFS(GQList,GIList,Table_ExternalData_1[[#This Row],[Item_key]],GDList,Table_ExternalData_1[[#Headers],[16]])</f>
        <v>38</v>
      </c>
      <c r="W31" s="6">
        <f>SUMIFS(GQList,GIList,Table_ExternalData_1[[#This Row],[Item_key]],GDList,Table_ExternalData_1[[#Headers],[17]])</f>
        <v>0</v>
      </c>
      <c r="X31" s="6">
        <f>SUMIFS(GQList,GIList,Table_ExternalData_1[[#This Row],[Item_key]],GDList,Table_ExternalData_1[[#Headers],[18]])</f>
        <v>0</v>
      </c>
      <c r="Y31" s="6">
        <f>SUMIFS(GQList,GIList,Table_ExternalData_1[[#This Row],[Item_key]],GDList,Table_ExternalData_1[[#Headers],[19]])</f>
        <v>0</v>
      </c>
      <c r="Z31" s="6">
        <f>SUMIFS(GQList,GIList,Table_ExternalData_1[[#This Row],[Item_key]],GDList,Table_ExternalData_1[[#Headers],[20]])</f>
        <v>0</v>
      </c>
      <c r="AA31" s="6">
        <f>SUMIFS(GQList,GIList,Table_ExternalData_1[[#This Row],[Item_key]],GDList,Table_ExternalData_1[[#Headers],[21]])</f>
        <v>0</v>
      </c>
      <c r="AB31" s="6">
        <f>SUMIFS(GQList,GIList,Table_ExternalData_1[[#This Row],[Item_key]],GDList,Table_ExternalData_1[[#Headers],[22]])</f>
        <v>0</v>
      </c>
      <c r="AC31" s="6">
        <f>SUMIFS(GQList,GIList,Table_ExternalData_1[[#This Row],[Item_key]],GDList,Table_ExternalData_1[[#Headers],[23]])</f>
        <v>0</v>
      </c>
      <c r="AD31" s="6">
        <f>SUMIFS(GQList,GIList,Table_ExternalData_1[[#This Row],[Item_key]],GDList,Table_ExternalData_1[[#Headers],[24]])</f>
        <v>0</v>
      </c>
      <c r="AE31" s="6">
        <f>SUMIFS(GQList,GIList,Table_ExternalData_1[[#This Row],[Item_key]],GDList,Table_ExternalData_1[[#Headers],[25]])</f>
        <v>0</v>
      </c>
      <c r="AF31" s="6">
        <f>SUMIFS(GQList,GIList,Table_ExternalData_1[[#This Row],[Item_key]],GDList,Table_ExternalData_1[[#Headers],[26]])</f>
        <v>0</v>
      </c>
      <c r="AG31" s="6">
        <f>SUMIFS(GQList,GIList,Table_ExternalData_1[[#This Row],[Item_key]],GDList,Table_ExternalData_1[[#Headers],[27]])</f>
        <v>0</v>
      </c>
      <c r="AH31" s="6">
        <f>SUMIFS(GQList,GIList,Table_ExternalData_1[[#This Row],[Item_key]],GDList,Table_ExternalData_1[[#Headers],[28]])</f>
        <v>0</v>
      </c>
      <c r="AI31" s="6">
        <f>SUMIFS(GQList,GIList,Table_ExternalData_1[[#This Row],[Item_key]],GDList,Table_ExternalData_1[[#Headers],[29]])</f>
        <v>0</v>
      </c>
      <c r="AJ31" s="6">
        <f>SUMIFS(GQList,GIList,Table_ExternalData_1[[#This Row],[Item_key]],GDList,Table_ExternalData_1[[#Headers],[30]])</f>
        <v>0</v>
      </c>
      <c r="AK31" s="6">
        <f>SUMIFS(GQList,GIList,Table_ExternalData_1[[#This Row],[Item_key]],GDList,Table_ExternalData_1[[#Headers],[31]])</f>
        <v>0</v>
      </c>
      <c r="AL31" s="6">
        <f>SUM(Table_ExternalData_1[[#This Row],[1]:[31]])</f>
        <v>38</v>
      </c>
    </row>
    <row r="32" spans="1:38">
      <c r="A32" s="50" t="s">
        <v>65</v>
      </c>
      <c r="B32" s="3" t="s">
        <v>175</v>
      </c>
      <c r="C32" s="3" t="s">
        <v>432</v>
      </c>
      <c r="D32" s="3" t="s">
        <v>2529</v>
      </c>
      <c r="E32" s="3" t="s">
        <v>2530</v>
      </c>
      <c r="F32" s="8" t="s">
        <v>17</v>
      </c>
      <c r="G32" s="6">
        <f>SUMIFS(GQList,GIList,Table_ExternalData_1[[#This Row],[Item_key]],GDList,Table_ExternalData_1[[#Headers],[1]])</f>
        <v>0</v>
      </c>
      <c r="H32" s="6">
        <f>SUMIFS(GQList,GIList,Table_ExternalData_1[[#This Row],[Item_key]],GDList,Table_ExternalData_1[[#Headers],[2]])</f>
        <v>0</v>
      </c>
      <c r="I32" s="6">
        <f>SUMIFS(GQList,GIList,Table_ExternalData_1[[#This Row],[Item_key]],GDList,Table_ExternalData_1[[#Headers],[3]])</f>
        <v>0</v>
      </c>
      <c r="J32" s="6">
        <f>SUMIFS(GQList,GIList,Table_ExternalData_1[[#This Row],[Item_key]],GDList,Table_ExternalData_1[[#Headers],[4]])</f>
        <v>50</v>
      </c>
      <c r="K32" s="6">
        <f>SUMIFS(GQList,GIList,Table_ExternalData_1[[#This Row],[Item_key]],GDList,Table_ExternalData_1[[#Headers],[5]])</f>
        <v>0</v>
      </c>
      <c r="L32" s="6">
        <f>SUMIFS(GQList,GIList,Table_ExternalData_1[[#This Row],[Item_key]],GDList,Table_ExternalData_1[[#Headers],[6]])</f>
        <v>0</v>
      </c>
      <c r="M32" s="6">
        <f>SUMIFS(GQList,GIList,Table_ExternalData_1[[#This Row],[Item_key]],GDList,Table_ExternalData_1[[#Headers],[7]])</f>
        <v>0</v>
      </c>
      <c r="N32" s="6">
        <f>SUMIFS(GQList,GIList,Table_ExternalData_1[[#This Row],[Item_key]],GDList,Table_ExternalData_1[[#Headers],[8]])</f>
        <v>0</v>
      </c>
      <c r="O32" s="6">
        <f>SUMIFS(GQList,GIList,Table_ExternalData_1[[#This Row],[Item_key]],GDList,Table_ExternalData_1[[#Headers],[9]])</f>
        <v>0</v>
      </c>
      <c r="P32" s="6">
        <f>SUMIFS(GQList,GIList,Table_ExternalData_1[[#This Row],[Item_key]],GDList,Table_ExternalData_1[[#Headers],[10]])</f>
        <v>0</v>
      </c>
      <c r="Q32" s="6">
        <f>SUMIFS(GQList,GIList,Table_ExternalData_1[[#This Row],[Item_key]],GDList,Table_ExternalData_1[[#Headers],[11]])</f>
        <v>0</v>
      </c>
      <c r="R32" s="6">
        <f>SUMIFS(GQList,GIList,Table_ExternalData_1[[#This Row],[Item_key]],GDList,Table_ExternalData_1[[#Headers],[12]])</f>
        <v>0</v>
      </c>
      <c r="S32" s="6">
        <f>SUMIFS(GQList,GIList,Table_ExternalData_1[[#This Row],[Item_key]],GDList,Table_ExternalData_1[[#Headers],[13]])</f>
        <v>0</v>
      </c>
      <c r="T32" s="6">
        <f>SUMIFS(GQList,GIList,Table_ExternalData_1[[#This Row],[Item_key]],GDList,Table_ExternalData_1[[#Headers],[14]])</f>
        <v>0</v>
      </c>
      <c r="U32" s="6">
        <f>SUMIFS(GQList,GIList,Table_ExternalData_1[[#This Row],[Item_key]],GDList,Table_ExternalData_1[[#Headers],[15]])</f>
        <v>0</v>
      </c>
      <c r="V32" s="6">
        <f>SUMIFS(GQList,GIList,Table_ExternalData_1[[#This Row],[Item_key]],GDList,Table_ExternalData_1[[#Headers],[16]])</f>
        <v>0</v>
      </c>
      <c r="W32" s="6">
        <f>SUMIFS(GQList,GIList,Table_ExternalData_1[[#This Row],[Item_key]],GDList,Table_ExternalData_1[[#Headers],[17]])</f>
        <v>0</v>
      </c>
      <c r="X32" s="6">
        <f>SUMIFS(GQList,GIList,Table_ExternalData_1[[#This Row],[Item_key]],GDList,Table_ExternalData_1[[#Headers],[18]])</f>
        <v>0</v>
      </c>
      <c r="Y32" s="6">
        <f>SUMIFS(GQList,GIList,Table_ExternalData_1[[#This Row],[Item_key]],GDList,Table_ExternalData_1[[#Headers],[19]])</f>
        <v>0</v>
      </c>
      <c r="Z32" s="6">
        <f>SUMIFS(GQList,GIList,Table_ExternalData_1[[#This Row],[Item_key]],GDList,Table_ExternalData_1[[#Headers],[20]])</f>
        <v>0</v>
      </c>
      <c r="AA32" s="6">
        <f>SUMIFS(GQList,GIList,Table_ExternalData_1[[#This Row],[Item_key]],GDList,Table_ExternalData_1[[#Headers],[21]])</f>
        <v>0</v>
      </c>
      <c r="AB32" s="6">
        <f>SUMIFS(GQList,GIList,Table_ExternalData_1[[#This Row],[Item_key]],GDList,Table_ExternalData_1[[#Headers],[22]])</f>
        <v>0</v>
      </c>
      <c r="AC32" s="6">
        <f>SUMIFS(GQList,GIList,Table_ExternalData_1[[#This Row],[Item_key]],GDList,Table_ExternalData_1[[#Headers],[23]])</f>
        <v>0</v>
      </c>
      <c r="AD32" s="6">
        <f>SUMIFS(GQList,GIList,Table_ExternalData_1[[#This Row],[Item_key]],GDList,Table_ExternalData_1[[#Headers],[24]])</f>
        <v>0</v>
      </c>
      <c r="AE32" s="6">
        <f>SUMIFS(GQList,GIList,Table_ExternalData_1[[#This Row],[Item_key]],GDList,Table_ExternalData_1[[#Headers],[25]])</f>
        <v>0</v>
      </c>
      <c r="AF32" s="6">
        <f>SUMIFS(GQList,GIList,Table_ExternalData_1[[#This Row],[Item_key]],GDList,Table_ExternalData_1[[#Headers],[26]])</f>
        <v>0</v>
      </c>
      <c r="AG32" s="6">
        <f>SUMIFS(GQList,GIList,Table_ExternalData_1[[#This Row],[Item_key]],GDList,Table_ExternalData_1[[#Headers],[27]])</f>
        <v>0</v>
      </c>
      <c r="AH32" s="6">
        <f>SUMIFS(GQList,GIList,Table_ExternalData_1[[#This Row],[Item_key]],GDList,Table_ExternalData_1[[#Headers],[28]])</f>
        <v>0</v>
      </c>
      <c r="AI32" s="6">
        <f>SUMIFS(GQList,GIList,Table_ExternalData_1[[#This Row],[Item_key]],GDList,Table_ExternalData_1[[#Headers],[29]])</f>
        <v>0</v>
      </c>
      <c r="AJ32" s="6">
        <f>SUMIFS(GQList,GIList,Table_ExternalData_1[[#This Row],[Item_key]],GDList,Table_ExternalData_1[[#Headers],[30]])</f>
        <v>0</v>
      </c>
      <c r="AK32" s="6">
        <f>SUMIFS(GQList,GIList,Table_ExternalData_1[[#This Row],[Item_key]],GDList,Table_ExternalData_1[[#Headers],[31]])</f>
        <v>0</v>
      </c>
      <c r="AL32" s="6">
        <f>SUM(Table_ExternalData_1[[#This Row],[1]:[31]])</f>
        <v>50</v>
      </c>
    </row>
    <row r="33" spans="1:38">
      <c r="A33" s="50" t="s">
        <v>65</v>
      </c>
      <c r="B33" s="3" t="s">
        <v>2366</v>
      </c>
      <c r="C33" s="3" t="s">
        <v>1633</v>
      </c>
      <c r="D33" s="3" t="s">
        <v>2424</v>
      </c>
      <c r="E33" s="3" t="s">
        <v>2425</v>
      </c>
      <c r="F33" s="8" t="s">
        <v>17</v>
      </c>
      <c r="G33" s="6">
        <f>SUMIFS(GQList,GIList,Table_ExternalData_1[[#This Row],[Item_key]],GDList,Table_ExternalData_1[[#Headers],[1]])</f>
        <v>0</v>
      </c>
      <c r="H33" s="6">
        <f>SUMIFS(GQList,GIList,Table_ExternalData_1[[#This Row],[Item_key]],GDList,Table_ExternalData_1[[#Headers],[2]])</f>
        <v>0</v>
      </c>
      <c r="I33" s="6">
        <f>SUMIFS(GQList,GIList,Table_ExternalData_1[[#This Row],[Item_key]],GDList,Table_ExternalData_1[[#Headers],[3]])</f>
        <v>0</v>
      </c>
      <c r="J33" s="6">
        <f>SUMIFS(GQList,GIList,Table_ExternalData_1[[#This Row],[Item_key]],GDList,Table_ExternalData_1[[#Headers],[4]])</f>
        <v>0</v>
      </c>
      <c r="K33" s="6">
        <f>SUMIFS(GQList,GIList,Table_ExternalData_1[[#This Row],[Item_key]],GDList,Table_ExternalData_1[[#Headers],[5]])</f>
        <v>0</v>
      </c>
      <c r="L33" s="6">
        <f>SUMIFS(GQList,GIList,Table_ExternalData_1[[#This Row],[Item_key]],GDList,Table_ExternalData_1[[#Headers],[6]])</f>
        <v>0</v>
      </c>
      <c r="M33" s="6">
        <f>SUMIFS(GQList,GIList,Table_ExternalData_1[[#This Row],[Item_key]],GDList,Table_ExternalData_1[[#Headers],[7]])</f>
        <v>0</v>
      </c>
      <c r="N33" s="6">
        <f>SUMIFS(GQList,GIList,Table_ExternalData_1[[#This Row],[Item_key]],GDList,Table_ExternalData_1[[#Headers],[8]])</f>
        <v>0</v>
      </c>
      <c r="O33" s="6">
        <f>SUMIFS(GQList,GIList,Table_ExternalData_1[[#This Row],[Item_key]],GDList,Table_ExternalData_1[[#Headers],[9]])</f>
        <v>0</v>
      </c>
      <c r="P33" s="6">
        <f>SUMIFS(GQList,GIList,Table_ExternalData_1[[#This Row],[Item_key]],GDList,Table_ExternalData_1[[#Headers],[10]])</f>
        <v>0</v>
      </c>
      <c r="Q33" s="6">
        <f>SUMIFS(GQList,GIList,Table_ExternalData_1[[#This Row],[Item_key]],GDList,Table_ExternalData_1[[#Headers],[11]])</f>
        <v>50</v>
      </c>
      <c r="R33" s="6">
        <f>SUMIFS(GQList,GIList,Table_ExternalData_1[[#This Row],[Item_key]],GDList,Table_ExternalData_1[[#Headers],[12]])</f>
        <v>0</v>
      </c>
      <c r="S33" s="6">
        <f>SUMIFS(GQList,GIList,Table_ExternalData_1[[#This Row],[Item_key]],GDList,Table_ExternalData_1[[#Headers],[13]])</f>
        <v>0</v>
      </c>
      <c r="T33" s="6">
        <f>SUMIFS(GQList,GIList,Table_ExternalData_1[[#This Row],[Item_key]],GDList,Table_ExternalData_1[[#Headers],[14]])</f>
        <v>0</v>
      </c>
      <c r="U33" s="6">
        <f>SUMIFS(GQList,GIList,Table_ExternalData_1[[#This Row],[Item_key]],GDList,Table_ExternalData_1[[#Headers],[15]])</f>
        <v>0</v>
      </c>
      <c r="V33" s="6">
        <f>SUMIFS(GQList,GIList,Table_ExternalData_1[[#This Row],[Item_key]],GDList,Table_ExternalData_1[[#Headers],[16]])</f>
        <v>0</v>
      </c>
      <c r="W33" s="6">
        <f>SUMIFS(GQList,GIList,Table_ExternalData_1[[#This Row],[Item_key]],GDList,Table_ExternalData_1[[#Headers],[17]])</f>
        <v>0</v>
      </c>
      <c r="X33" s="6">
        <f>SUMIFS(GQList,GIList,Table_ExternalData_1[[#This Row],[Item_key]],GDList,Table_ExternalData_1[[#Headers],[18]])</f>
        <v>0</v>
      </c>
      <c r="Y33" s="6">
        <f>SUMIFS(GQList,GIList,Table_ExternalData_1[[#This Row],[Item_key]],GDList,Table_ExternalData_1[[#Headers],[19]])</f>
        <v>0</v>
      </c>
      <c r="Z33" s="6">
        <f>SUMIFS(GQList,GIList,Table_ExternalData_1[[#This Row],[Item_key]],GDList,Table_ExternalData_1[[#Headers],[20]])</f>
        <v>0</v>
      </c>
      <c r="AA33" s="6">
        <f>SUMIFS(GQList,GIList,Table_ExternalData_1[[#This Row],[Item_key]],GDList,Table_ExternalData_1[[#Headers],[21]])</f>
        <v>0</v>
      </c>
      <c r="AB33" s="6">
        <f>SUMIFS(GQList,GIList,Table_ExternalData_1[[#This Row],[Item_key]],GDList,Table_ExternalData_1[[#Headers],[22]])</f>
        <v>0</v>
      </c>
      <c r="AC33" s="6">
        <f>SUMIFS(GQList,GIList,Table_ExternalData_1[[#This Row],[Item_key]],GDList,Table_ExternalData_1[[#Headers],[23]])</f>
        <v>0</v>
      </c>
      <c r="AD33" s="6">
        <f>SUMIFS(GQList,GIList,Table_ExternalData_1[[#This Row],[Item_key]],GDList,Table_ExternalData_1[[#Headers],[24]])</f>
        <v>0</v>
      </c>
      <c r="AE33" s="6">
        <f>SUMIFS(GQList,GIList,Table_ExternalData_1[[#This Row],[Item_key]],GDList,Table_ExternalData_1[[#Headers],[25]])</f>
        <v>0</v>
      </c>
      <c r="AF33" s="6">
        <f>SUMIFS(GQList,GIList,Table_ExternalData_1[[#This Row],[Item_key]],GDList,Table_ExternalData_1[[#Headers],[26]])</f>
        <v>0</v>
      </c>
      <c r="AG33" s="6">
        <f>SUMIFS(GQList,GIList,Table_ExternalData_1[[#This Row],[Item_key]],GDList,Table_ExternalData_1[[#Headers],[27]])</f>
        <v>0</v>
      </c>
      <c r="AH33" s="6">
        <f>SUMIFS(GQList,GIList,Table_ExternalData_1[[#This Row],[Item_key]],GDList,Table_ExternalData_1[[#Headers],[28]])</f>
        <v>0</v>
      </c>
      <c r="AI33" s="6">
        <f>SUMIFS(GQList,GIList,Table_ExternalData_1[[#This Row],[Item_key]],GDList,Table_ExternalData_1[[#Headers],[29]])</f>
        <v>0</v>
      </c>
      <c r="AJ33" s="6">
        <f>SUMIFS(GQList,GIList,Table_ExternalData_1[[#This Row],[Item_key]],GDList,Table_ExternalData_1[[#Headers],[30]])</f>
        <v>0</v>
      </c>
      <c r="AK33" s="6">
        <f>SUMIFS(GQList,GIList,Table_ExternalData_1[[#This Row],[Item_key]],GDList,Table_ExternalData_1[[#Headers],[31]])</f>
        <v>0</v>
      </c>
      <c r="AL33" s="6">
        <f>SUM(Table_ExternalData_1[[#This Row],[1]:[31]])</f>
        <v>50</v>
      </c>
    </row>
    <row r="34" spans="1:38" ht="204">
      <c r="A34" s="50" t="s">
        <v>65</v>
      </c>
      <c r="B34" s="3" t="s">
        <v>2366</v>
      </c>
      <c r="C34" s="3" t="s">
        <v>1653</v>
      </c>
      <c r="D34" s="3" t="s">
        <v>2445</v>
      </c>
      <c r="E34" s="3" t="s">
        <v>2446</v>
      </c>
      <c r="F34" s="8" t="s">
        <v>17</v>
      </c>
      <c r="G34" s="6">
        <f>SUMIFS(GQList,GIList,Table_ExternalData_1[[#This Row],[Item_key]],GDList,Table_ExternalData_1[[#Headers],[1]])</f>
        <v>0</v>
      </c>
      <c r="H34" s="6">
        <f>SUMIFS(GQList,GIList,Table_ExternalData_1[[#This Row],[Item_key]],GDList,Table_ExternalData_1[[#Headers],[2]])</f>
        <v>0</v>
      </c>
      <c r="I34" s="6">
        <f>SUMIFS(GQList,GIList,Table_ExternalData_1[[#This Row],[Item_key]],GDList,Table_ExternalData_1[[#Headers],[3]])</f>
        <v>0</v>
      </c>
      <c r="J34" s="6">
        <f>SUMIFS(GQList,GIList,Table_ExternalData_1[[#This Row],[Item_key]],GDList,Table_ExternalData_1[[#Headers],[4]])</f>
        <v>0</v>
      </c>
      <c r="K34" s="6">
        <f>SUMIFS(GQList,GIList,Table_ExternalData_1[[#This Row],[Item_key]],GDList,Table_ExternalData_1[[#Headers],[5]])</f>
        <v>0</v>
      </c>
      <c r="L34" s="6">
        <f>SUMIFS(GQList,GIList,Table_ExternalData_1[[#This Row],[Item_key]],GDList,Table_ExternalData_1[[#Headers],[6]])</f>
        <v>0</v>
      </c>
      <c r="M34" s="6">
        <f>SUMIFS(GQList,GIList,Table_ExternalData_1[[#This Row],[Item_key]],GDList,Table_ExternalData_1[[#Headers],[7]])</f>
        <v>0</v>
      </c>
      <c r="N34" s="6">
        <f>SUMIFS(GQList,GIList,Table_ExternalData_1[[#This Row],[Item_key]],GDList,Table_ExternalData_1[[#Headers],[8]])</f>
        <v>0</v>
      </c>
      <c r="O34" s="6">
        <f>SUMIFS(GQList,GIList,Table_ExternalData_1[[#This Row],[Item_key]],GDList,Table_ExternalData_1[[#Headers],[9]])</f>
        <v>0</v>
      </c>
      <c r="P34" s="6">
        <f>SUMIFS(GQList,GIList,Table_ExternalData_1[[#This Row],[Item_key]],GDList,Table_ExternalData_1[[#Headers],[10]])</f>
        <v>97</v>
      </c>
      <c r="Q34" s="6">
        <f>SUMIFS(GQList,GIList,Table_ExternalData_1[[#This Row],[Item_key]],GDList,Table_ExternalData_1[[#Headers],[11]])</f>
        <v>0</v>
      </c>
      <c r="R34" s="6">
        <f>SUMIFS(GQList,GIList,Table_ExternalData_1[[#This Row],[Item_key]],GDList,Table_ExternalData_1[[#Headers],[12]])</f>
        <v>0</v>
      </c>
      <c r="S34" s="6">
        <f>SUMIFS(GQList,GIList,Table_ExternalData_1[[#This Row],[Item_key]],GDList,Table_ExternalData_1[[#Headers],[13]])</f>
        <v>0</v>
      </c>
      <c r="T34" s="6">
        <f>SUMIFS(GQList,GIList,Table_ExternalData_1[[#This Row],[Item_key]],GDList,Table_ExternalData_1[[#Headers],[14]])</f>
        <v>0</v>
      </c>
      <c r="U34" s="6">
        <f>SUMIFS(GQList,GIList,Table_ExternalData_1[[#This Row],[Item_key]],GDList,Table_ExternalData_1[[#Headers],[15]])</f>
        <v>0</v>
      </c>
      <c r="V34" s="6">
        <f>SUMIFS(GQList,GIList,Table_ExternalData_1[[#This Row],[Item_key]],GDList,Table_ExternalData_1[[#Headers],[16]])</f>
        <v>0</v>
      </c>
      <c r="W34" s="6">
        <f>SUMIFS(GQList,GIList,Table_ExternalData_1[[#This Row],[Item_key]],GDList,Table_ExternalData_1[[#Headers],[17]])</f>
        <v>0</v>
      </c>
      <c r="X34" s="6">
        <f>SUMIFS(GQList,GIList,Table_ExternalData_1[[#This Row],[Item_key]],GDList,Table_ExternalData_1[[#Headers],[18]])</f>
        <v>0</v>
      </c>
      <c r="Y34" s="6">
        <f>SUMIFS(GQList,GIList,Table_ExternalData_1[[#This Row],[Item_key]],GDList,Table_ExternalData_1[[#Headers],[19]])</f>
        <v>0</v>
      </c>
      <c r="Z34" s="6">
        <f>SUMIFS(GQList,GIList,Table_ExternalData_1[[#This Row],[Item_key]],GDList,Table_ExternalData_1[[#Headers],[20]])</f>
        <v>0</v>
      </c>
      <c r="AA34" s="6">
        <f>SUMIFS(GQList,GIList,Table_ExternalData_1[[#This Row],[Item_key]],GDList,Table_ExternalData_1[[#Headers],[21]])</f>
        <v>0</v>
      </c>
      <c r="AB34" s="6">
        <f>SUMIFS(GQList,GIList,Table_ExternalData_1[[#This Row],[Item_key]],GDList,Table_ExternalData_1[[#Headers],[22]])</f>
        <v>0</v>
      </c>
      <c r="AC34" s="6">
        <f>SUMIFS(GQList,GIList,Table_ExternalData_1[[#This Row],[Item_key]],GDList,Table_ExternalData_1[[#Headers],[23]])</f>
        <v>0</v>
      </c>
      <c r="AD34" s="6">
        <f>SUMIFS(GQList,GIList,Table_ExternalData_1[[#This Row],[Item_key]],GDList,Table_ExternalData_1[[#Headers],[24]])</f>
        <v>0</v>
      </c>
      <c r="AE34" s="6">
        <f>SUMIFS(GQList,GIList,Table_ExternalData_1[[#This Row],[Item_key]],GDList,Table_ExternalData_1[[#Headers],[25]])</f>
        <v>0</v>
      </c>
      <c r="AF34" s="6">
        <f>SUMIFS(GQList,GIList,Table_ExternalData_1[[#This Row],[Item_key]],GDList,Table_ExternalData_1[[#Headers],[26]])</f>
        <v>0</v>
      </c>
      <c r="AG34" s="6">
        <f>SUMIFS(GQList,GIList,Table_ExternalData_1[[#This Row],[Item_key]],GDList,Table_ExternalData_1[[#Headers],[27]])</f>
        <v>0</v>
      </c>
      <c r="AH34" s="6">
        <f>SUMIFS(GQList,GIList,Table_ExternalData_1[[#This Row],[Item_key]],GDList,Table_ExternalData_1[[#Headers],[28]])</f>
        <v>0</v>
      </c>
      <c r="AI34" s="6">
        <f>SUMIFS(GQList,GIList,Table_ExternalData_1[[#This Row],[Item_key]],GDList,Table_ExternalData_1[[#Headers],[29]])</f>
        <v>0</v>
      </c>
      <c r="AJ34" s="6">
        <f>SUMIFS(GQList,GIList,Table_ExternalData_1[[#This Row],[Item_key]],GDList,Table_ExternalData_1[[#Headers],[30]])</f>
        <v>0</v>
      </c>
      <c r="AK34" s="6">
        <f>SUMIFS(GQList,GIList,Table_ExternalData_1[[#This Row],[Item_key]],GDList,Table_ExternalData_1[[#Headers],[31]])</f>
        <v>0</v>
      </c>
      <c r="AL34" s="6">
        <f>SUM(Table_ExternalData_1[[#This Row],[1]:[31]])</f>
        <v>97</v>
      </c>
    </row>
    <row r="35" spans="1:38">
      <c r="A35" s="50" t="s">
        <v>65</v>
      </c>
      <c r="B35" s="3" t="s">
        <v>2366</v>
      </c>
      <c r="C35" s="3" t="s">
        <v>242</v>
      </c>
      <c r="D35" s="3" t="s">
        <v>1212</v>
      </c>
      <c r="E35" s="3" t="s">
        <v>1213</v>
      </c>
      <c r="F35" s="8" t="s">
        <v>17</v>
      </c>
      <c r="G35" s="6">
        <f>SUMIFS(GQList,GIList,Table_ExternalData_1[[#This Row],[Item_key]],GDList,Table_ExternalData_1[[#Headers],[1]])</f>
        <v>0</v>
      </c>
      <c r="H35" s="6">
        <f>SUMIFS(GQList,GIList,Table_ExternalData_1[[#This Row],[Item_key]],GDList,Table_ExternalData_1[[#Headers],[2]])</f>
        <v>0</v>
      </c>
      <c r="I35" s="6">
        <f>SUMIFS(GQList,GIList,Table_ExternalData_1[[#This Row],[Item_key]],GDList,Table_ExternalData_1[[#Headers],[3]])</f>
        <v>0</v>
      </c>
      <c r="J35" s="6">
        <f>SUMIFS(GQList,GIList,Table_ExternalData_1[[#This Row],[Item_key]],GDList,Table_ExternalData_1[[#Headers],[4]])</f>
        <v>0</v>
      </c>
      <c r="K35" s="6">
        <f>SUMIFS(GQList,GIList,Table_ExternalData_1[[#This Row],[Item_key]],GDList,Table_ExternalData_1[[#Headers],[5]])</f>
        <v>0</v>
      </c>
      <c r="L35" s="6">
        <f>SUMIFS(GQList,GIList,Table_ExternalData_1[[#This Row],[Item_key]],GDList,Table_ExternalData_1[[#Headers],[6]])</f>
        <v>0</v>
      </c>
      <c r="M35" s="6">
        <f>SUMIFS(GQList,GIList,Table_ExternalData_1[[#This Row],[Item_key]],GDList,Table_ExternalData_1[[#Headers],[7]])</f>
        <v>0</v>
      </c>
      <c r="N35" s="6">
        <f>SUMIFS(GQList,GIList,Table_ExternalData_1[[#This Row],[Item_key]],GDList,Table_ExternalData_1[[#Headers],[8]])</f>
        <v>0</v>
      </c>
      <c r="O35" s="6">
        <f>SUMIFS(GQList,GIList,Table_ExternalData_1[[#This Row],[Item_key]],GDList,Table_ExternalData_1[[#Headers],[9]])</f>
        <v>0</v>
      </c>
      <c r="P35" s="6">
        <f>SUMIFS(GQList,GIList,Table_ExternalData_1[[#This Row],[Item_key]],GDList,Table_ExternalData_1[[#Headers],[10]])</f>
        <v>99</v>
      </c>
      <c r="Q35" s="6">
        <f>SUMIFS(GQList,GIList,Table_ExternalData_1[[#This Row],[Item_key]],GDList,Table_ExternalData_1[[#Headers],[11]])</f>
        <v>0</v>
      </c>
      <c r="R35" s="6">
        <f>SUMIFS(GQList,GIList,Table_ExternalData_1[[#This Row],[Item_key]],GDList,Table_ExternalData_1[[#Headers],[12]])</f>
        <v>0</v>
      </c>
      <c r="S35" s="6">
        <f>SUMIFS(GQList,GIList,Table_ExternalData_1[[#This Row],[Item_key]],GDList,Table_ExternalData_1[[#Headers],[13]])</f>
        <v>0</v>
      </c>
      <c r="T35" s="6">
        <f>SUMIFS(GQList,GIList,Table_ExternalData_1[[#This Row],[Item_key]],GDList,Table_ExternalData_1[[#Headers],[14]])</f>
        <v>0</v>
      </c>
      <c r="U35" s="6">
        <f>SUMIFS(GQList,GIList,Table_ExternalData_1[[#This Row],[Item_key]],GDList,Table_ExternalData_1[[#Headers],[15]])</f>
        <v>0</v>
      </c>
      <c r="V35" s="6">
        <f>SUMIFS(GQList,GIList,Table_ExternalData_1[[#This Row],[Item_key]],GDList,Table_ExternalData_1[[#Headers],[16]])</f>
        <v>0</v>
      </c>
      <c r="W35" s="6">
        <f>SUMIFS(GQList,GIList,Table_ExternalData_1[[#This Row],[Item_key]],GDList,Table_ExternalData_1[[#Headers],[17]])</f>
        <v>0</v>
      </c>
      <c r="X35" s="6">
        <f>SUMIFS(GQList,GIList,Table_ExternalData_1[[#This Row],[Item_key]],GDList,Table_ExternalData_1[[#Headers],[18]])</f>
        <v>0</v>
      </c>
      <c r="Y35" s="6">
        <f>SUMIFS(GQList,GIList,Table_ExternalData_1[[#This Row],[Item_key]],GDList,Table_ExternalData_1[[#Headers],[19]])</f>
        <v>0</v>
      </c>
      <c r="Z35" s="6">
        <f>SUMIFS(GQList,GIList,Table_ExternalData_1[[#This Row],[Item_key]],GDList,Table_ExternalData_1[[#Headers],[20]])</f>
        <v>0</v>
      </c>
      <c r="AA35" s="6">
        <f>SUMIFS(GQList,GIList,Table_ExternalData_1[[#This Row],[Item_key]],GDList,Table_ExternalData_1[[#Headers],[21]])</f>
        <v>0</v>
      </c>
      <c r="AB35" s="6">
        <f>SUMIFS(GQList,GIList,Table_ExternalData_1[[#This Row],[Item_key]],GDList,Table_ExternalData_1[[#Headers],[22]])</f>
        <v>0</v>
      </c>
      <c r="AC35" s="6">
        <f>SUMIFS(GQList,GIList,Table_ExternalData_1[[#This Row],[Item_key]],GDList,Table_ExternalData_1[[#Headers],[23]])</f>
        <v>0</v>
      </c>
      <c r="AD35" s="6">
        <f>SUMIFS(GQList,GIList,Table_ExternalData_1[[#This Row],[Item_key]],GDList,Table_ExternalData_1[[#Headers],[24]])</f>
        <v>0</v>
      </c>
      <c r="AE35" s="6">
        <f>SUMIFS(GQList,GIList,Table_ExternalData_1[[#This Row],[Item_key]],GDList,Table_ExternalData_1[[#Headers],[25]])</f>
        <v>0</v>
      </c>
      <c r="AF35" s="6">
        <f>SUMIFS(GQList,GIList,Table_ExternalData_1[[#This Row],[Item_key]],GDList,Table_ExternalData_1[[#Headers],[26]])</f>
        <v>0</v>
      </c>
      <c r="AG35" s="6">
        <f>SUMIFS(GQList,GIList,Table_ExternalData_1[[#This Row],[Item_key]],GDList,Table_ExternalData_1[[#Headers],[27]])</f>
        <v>0</v>
      </c>
      <c r="AH35" s="6">
        <f>SUMIFS(GQList,GIList,Table_ExternalData_1[[#This Row],[Item_key]],GDList,Table_ExternalData_1[[#Headers],[28]])</f>
        <v>0</v>
      </c>
      <c r="AI35" s="6">
        <f>SUMIFS(GQList,GIList,Table_ExternalData_1[[#This Row],[Item_key]],GDList,Table_ExternalData_1[[#Headers],[29]])</f>
        <v>0</v>
      </c>
      <c r="AJ35" s="6">
        <f>SUMIFS(GQList,GIList,Table_ExternalData_1[[#This Row],[Item_key]],GDList,Table_ExternalData_1[[#Headers],[30]])</f>
        <v>0</v>
      </c>
      <c r="AK35" s="6">
        <f>SUMIFS(GQList,GIList,Table_ExternalData_1[[#This Row],[Item_key]],GDList,Table_ExternalData_1[[#Headers],[31]])</f>
        <v>0</v>
      </c>
      <c r="AL35" s="6">
        <f>SUM(Table_ExternalData_1[[#This Row],[1]:[31]])</f>
        <v>99</v>
      </c>
    </row>
    <row r="36" spans="1:38">
      <c r="A36" s="50" t="s">
        <v>65</v>
      </c>
      <c r="B36" s="3" t="s">
        <v>2366</v>
      </c>
      <c r="C36" s="3" t="s">
        <v>1719</v>
      </c>
      <c r="D36" s="3" t="s">
        <v>2526</v>
      </c>
      <c r="E36" s="3" t="s">
        <v>2527</v>
      </c>
      <c r="F36" s="8" t="s">
        <v>17</v>
      </c>
      <c r="G36" s="6">
        <f>SUMIFS(GQList,GIList,Table_ExternalData_1[[#This Row],[Item_key]],GDList,Table_ExternalData_1[[#Headers],[1]])</f>
        <v>0</v>
      </c>
      <c r="H36" s="6">
        <f>SUMIFS(GQList,GIList,Table_ExternalData_1[[#This Row],[Item_key]],GDList,Table_ExternalData_1[[#Headers],[2]])</f>
        <v>0</v>
      </c>
      <c r="I36" s="6">
        <f>SUMIFS(GQList,GIList,Table_ExternalData_1[[#This Row],[Item_key]],GDList,Table_ExternalData_1[[#Headers],[3]])</f>
        <v>0</v>
      </c>
      <c r="J36" s="6">
        <f>SUMIFS(GQList,GIList,Table_ExternalData_1[[#This Row],[Item_key]],GDList,Table_ExternalData_1[[#Headers],[4]])</f>
        <v>0</v>
      </c>
      <c r="K36" s="6">
        <f>SUMIFS(GQList,GIList,Table_ExternalData_1[[#This Row],[Item_key]],GDList,Table_ExternalData_1[[#Headers],[5]])</f>
        <v>0</v>
      </c>
      <c r="L36" s="6">
        <f>SUMIFS(GQList,GIList,Table_ExternalData_1[[#This Row],[Item_key]],GDList,Table_ExternalData_1[[#Headers],[6]])</f>
        <v>0</v>
      </c>
      <c r="M36" s="6">
        <f>SUMIFS(GQList,GIList,Table_ExternalData_1[[#This Row],[Item_key]],GDList,Table_ExternalData_1[[#Headers],[7]])</f>
        <v>0</v>
      </c>
      <c r="N36" s="6">
        <f>SUMIFS(GQList,GIList,Table_ExternalData_1[[#This Row],[Item_key]],GDList,Table_ExternalData_1[[#Headers],[8]])</f>
        <v>0</v>
      </c>
      <c r="O36" s="6">
        <f>SUMIFS(GQList,GIList,Table_ExternalData_1[[#This Row],[Item_key]],GDList,Table_ExternalData_1[[#Headers],[9]])</f>
        <v>0</v>
      </c>
      <c r="P36" s="6">
        <f>SUMIFS(GQList,GIList,Table_ExternalData_1[[#This Row],[Item_key]],GDList,Table_ExternalData_1[[#Headers],[10]])</f>
        <v>0</v>
      </c>
      <c r="Q36" s="6">
        <f>SUMIFS(GQList,GIList,Table_ExternalData_1[[#This Row],[Item_key]],GDList,Table_ExternalData_1[[#Headers],[11]])</f>
        <v>50</v>
      </c>
      <c r="R36" s="6">
        <f>SUMIFS(GQList,GIList,Table_ExternalData_1[[#This Row],[Item_key]],GDList,Table_ExternalData_1[[#Headers],[12]])</f>
        <v>0</v>
      </c>
      <c r="S36" s="6">
        <f>SUMIFS(GQList,GIList,Table_ExternalData_1[[#This Row],[Item_key]],GDList,Table_ExternalData_1[[#Headers],[13]])</f>
        <v>0</v>
      </c>
      <c r="T36" s="6">
        <f>SUMIFS(GQList,GIList,Table_ExternalData_1[[#This Row],[Item_key]],GDList,Table_ExternalData_1[[#Headers],[14]])</f>
        <v>0</v>
      </c>
      <c r="U36" s="6">
        <f>SUMIFS(GQList,GIList,Table_ExternalData_1[[#This Row],[Item_key]],GDList,Table_ExternalData_1[[#Headers],[15]])</f>
        <v>0</v>
      </c>
      <c r="V36" s="6">
        <f>SUMIFS(GQList,GIList,Table_ExternalData_1[[#This Row],[Item_key]],GDList,Table_ExternalData_1[[#Headers],[16]])</f>
        <v>0</v>
      </c>
      <c r="W36" s="6">
        <f>SUMIFS(GQList,GIList,Table_ExternalData_1[[#This Row],[Item_key]],GDList,Table_ExternalData_1[[#Headers],[17]])</f>
        <v>0</v>
      </c>
      <c r="X36" s="6">
        <f>SUMIFS(GQList,GIList,Table_ExternalData_1[[#This Row],[Item_key]],GDList,Table_ExternalData_1[[#Headers],[18]])</f>
        <v>0</v>
      </c>
      <c r="Y36" s="6">
        <f>SUMIFS(GQList,GIList,Table_ExternalData_1[[#This Row],[Item_key]],GDList,Table_ExternalData_1[[#Headers],[19]])</f>
        <v>0</v>
      </c>
      <c r="Z36" s="6">
        <f>SUMIFS(GQList,GIList,Table_ExternalData_1[[#This Row],[Item_key]],GDList,Table_ExternalData_1[[#Headers],[20]])</f>
        <v>0</v>
      </c>
      <c r="AA36" s="6">
        <f>SUMIFS(GQList,GIList,Table_ExternalData_1[[#This Row],[Item_key]],GDList,Table_ExternalData_1[[#Headers],[21]])</f>
        <v>0</v>
      </c>
      <c r="AB36" s="6">
        <f>SUMIFS(GQList,GIList,Table_ExternalData_1[[#This Row],[Item_key]],GDList,Table_ExternalData_1[[#Headers],[22]])</f>
        <v>0</v>
      </c>
      <c r="AC36" s="6">
        <f>SUMIFS(GQList,GIList,Table_ExternalData_1[[#This Row],[Item_key]],GDList,Table_ExternalData_1[[#Headers],[23]])</f>
        <v>0</v>
      </c>
      <c r="AD36" s="6">
        <f>SUMIFS(GQList,GIList,Table_ExternalData_1[[#This Row],[Item_key]],GDList,Table_ExternalData_1[[#Headers],[24]])</f>
        <v>0</v>
      </c>
      <c r="AE36" s="6">
        <f>SUMIFS(GQList,GIList,Table_ExternalData_1[[#This Row],[Item_key]],GDList,Table_ExternalData_1[[#Headers],[25]])</f>
        <v>0</v>
      </c>
      <c r="AF36" s="6">
        <f>SUMIFS(GQList,GIList,Table_ExternalData_1[[#This Row],[Item_key]],GDList,Table_ExternalData_1[[#Headers],[26]])</f>
        <v>0</v>
      </c>
      <c r="AG36" s="6">
        <f>SUMIFS(GQList,GIList,Table_ExternalData_1[[#This Row],[Item_key]],GDList,Table_ExternalData_1[[#Headers],[27]])</f>
        <v>0</v>
      </c>
      <c r="AH36" s="6">
        <f>SUMIFS(GQList,GIList,Table_ExternalData_1[[#This Row],[Item_key]],GDList,Table_ExternalData_1[[#Headers],[28]])</f>
        <v>0</v>
      </c>
      <c r="AI36" s="6">
        <f>SUMIFS(GQList,GIList,Table_ExternalData_1[[#This Row],[Item_key]],GDList,Table_ExternalData_1[[#Headers],[29]])</f>
        <v>0</v>
      </c>
      <c r="AJ36" s="6">
        <f>SUMIFS(GQList,GIList,Table_ExternalData_1[[#This Row],[Item_key]],GDList,Table_ExternalData_1[[#Headers],[30]])</f>
        <v>0</v>
      </c>
      <c r="AK36" s="6">
        <f>SUMIFS(GQList,GIList,Table_ExternalData_1[[#This Row],[Item_key]],GDList,Table_ExternalData_1[[#Headers],[31]])</f>
        <v>0</v>
      </c>
      <c r="AL36" s="6">
        <f>SUM(Table_ExternalData_1[[#This Row],[1]:[31]])</f>
        <v>50</v>
      </c>
    </row>
    <row r="37" spans="1:38">
      <c r="A37" s="50" t="s">
        <v>65</v>
      </c>
      <c r="B37" s="3" t="s">
        <v>2366</v>
      </c>
      <c r="C37" s="3" t="s">
        <v>657</v>
      </c>
      <c r="D37" s="3" t="s">
        <v>1353</v>
      </c>
      <c r="E37" s="3" t="s">
        <v>1354</v>
      </c>
      <c r="F37" s="8" t="s">
        <v>17</v>
      </c>
      <c r="G37" s="6">
        <f>SUMIFS(GQList,GIList,Table_ExternalData_1[[#This Row],[Item_key]],GDList,Table_ExternalData_1[[#Headers],[1]])</f>
        <v>0</v>
      </c>
      <c r="H37" s="6">
        <f>SUMIFS(GQList,GIList,Table_ExternalData_1[[#This Row],[Item_key]],GDList,Table_ExternalData_1[[#Headers],[2]])</f>
        <v>0</v>
      </c>
      <c r="I37" s="6">
        <f>SUMIFS(GQList,GIList,Table_ExternalData_1[[#This Row],[Item_key]],GDList,Table_ExternalData_1[[#Headers],[3]])</f>
        <v>0</v>
      </c>
      <c r="J37" s="6">
        <f>SUMIFS(GQList,GIList,Table_ExternalData_1[[#This Row],[Item_key]],GDList,Table_ExternalData_1[[#Headers],[4]])</f>
        <v>0</v>
      </c>
      <c r="K37" s="6">
        <f>SUMIFS(GQList,GIList,Table_ExternalData_1[[#This Row],[Item_key]],GDList,Table_ExternalData_1[[#Headers],[5]])</f>
        <v>0</v>
      </c>
      <c r="L37" s="6">
        <f>SUMIFS(GQList,GIList,Table_ExternalData_1[[#This Row],[Item_key]],GDList,Table_ExternalData_1[[#Headers],[6]])</f>
        <v>0</v>
      </c>
      <c r="M37" s="6">
        <f>SUMIFS(GQList,GIList,Table_ExternalData_1[[#This Row],[Item_key]],GDList,Table_ExternalData_1[[#Headers],[7]])</f>
        <v>0</v>
      </c>
      <c r="N37" s="6">
        <f>SUMIFS(GQList,GIList,Table_ExternalData_1[[#This Row],[Item_key]],GDList,Table_ExternalData_1[[#Headers],[8]])</f>
        <v>0</v>
      </c>
      <c r="O37" s="6">
        <f>SUMIFS(GQList,GIList,Table_ExternalData_1[[#This Row],[Item_key]],GDList,Table_ExternalData_1[[#Headers],[9]])</f>
        <v>0</v>
      </c>
      <c r="P37" s="6">
        <f>SUMIFS(GQList,GIList,Table_ExternalData_1[[#This Row],[Item_key]],GDList,Table_ExternalData_1[[#Headers],[10]])</f>
        <v>200</v>
      </c>
      <c r="Q37" s="6">
        <f>SUMIFS(GQList,GIList,Table_ExternalData_1[[#This Row],[Item_key]],GDList,Table_ExternalData_1[[#Headers],[11]])</f>
        <v>0</v>
      </c>
      <c r="R37" s="6">
        <f>SUMIFS(GQList,GIList,Table_ExternalData_1[[#This Row],[Item_key]],GDList,Table_ExternalData_1[[#Headers],[12]])</f>
        <v>0</v>
      </c>
      <c r="S37" s="6">
        <f>SUMIFS(GQList,GIList,Table_ExternalData_1[[#This Row],[Item_key]],GDList,Table_ExternalData_1[[#Headers],[13]])</f>
        <v>0</v>
      </c>
      <c r="T37" s="6">
        <f>SUMIFS(GQList,GIList,Table_ExternalData_1[[#This Row],[Item_key]],GDList,Table_ExternalData_1[[#Headers],[14]])</f>
        <v>0</v>
      </c>
      <c r="U37" s="6">
        <f>SUMIFS(GQList,GIList,Table_ExternalData_1[[#This Row],[Item_key]],GDList,Table_ExternalData_1[[#Headers],[15]])</f>
        <v>0</v>
      </c>
      <c r="V37" s="6">
        <f>SUMIFS(GQList,GIList,Table_ExternalData_1[[#This Row],[Item_key]],GDList,Table_ExternalData_1[[#Headers],[16]])</f>
        <v>0</v>
      </c>
      <c r="W37" s="6">
        <f>SUMIFS(GQList,GIList,Table_ExternalData_1[[#This Row],[Item_key]],GDList,Table_ExternalData_1[[#Headers],[17]])</f>
        <v>0</v>
      </c>
      <c r="X37" s="6">
        <f>SUMIFS(GQList,GIList,Table_ExternalData_1[[#This Row],[Item_key]],GDList,Table_ExternalData_1[[#Headers],[18]])</f>
        <v>0</v>
      </c>
      <c r="Y37" s="6">
        <f>SUMIFS(GQList,GIList,Table_ExternalData_1[[#This Row],[Item_key]],GDList,Table_ExternalData_1[[#Headers],[19]])</f>
        <v>0</v>
      </c>
      <c r="Z37" s="6">
        <f>SUMIFS(GQList,GIList,Table_ExternalData_1[[#This Row],[Item_key]],GDList,Table_ExternalData_1[[#Headers],[20]])</f>
        <v>0</v>
      </c>
      <c r="AA37" s="6">
        <f>SUMIFS(GQList,GIList,Table_ExternalData_1[[#This Row],[Item_key]],GDList,Table_ExternalData_1[[#Headers],[21]])</f>
        <v>0</v>
      </c>
      <c r="AB37" s="6">
        <f>SUMIFS(GQList,GIList,Table_ExternalData_1[[#This Row],[Item_key]],GDList,Table_ExternalData_1[[#Headers],[22]])</f>
        <v>0</v>
      </c>
      <c r="AC37" s="6">
        <f>SUMIFS(GQList,GIList,Table_ExternalData_1[[#This Row],[Item_key]],GDList,Table_ExternalData_1[[#Headers],[23]])</f>
        <v>0</v>
      </c>
      <c r="AD37" s="6">
        <f>SUMIFS(GQList,GIList,Table_ExternalData_1[[#This Row],[Item_key]],GDList,Table_ExternalData_1[[#Headers],[24]])</f>
        <v>0</v>
      </c>
      <c r="AE37" s="6">
        <f>SUMIFS(GQList,GIList,Table_ExternalData_1[[#This Row],[Item_key]],GDList,Table_ExternalData_1[[#Headers],[25]])</f>
        <v>0</v>
      </c>
      <c r="AF37" s="6">
        <f>SUMIFS(GQList,GIList,Table_ExternalData_1[[#This Row],[Item_key]],GDList,Table_ExternalData_1[[#Headers],[26]])</f>
        <v>0</v>
      </c>
      <c r="AG37" s="6">
        <f>SUMIFS(GQList,GIList,Table_ExternalData_1[[#This Row],[Item_key]],GDList,Table_ExternalData_1[[#Headers],[27]])</f>
        <v>0</v>
      </c>
      <c r="AH37" s="6">
        <f>SUMIFS(GQList,GIList,Table_ExternalData_1[[#This Row],[Item_key]],GDList,Table_ExternalData_1[[#Headers],[28]])</f>
        <v>0</v>
      </c>
      <c r="AI37" s="6">
        <f>SUMIFS(GQList,GIList,Table_ExternalData_1[[#This Row],[Item_key]],GDList,Table_ExternalData_1[[#Headers],[29]])</f>
        <v>0</v>
      </c>
      <c r="AJ37" s="6">
        <f>SUMIFS(GQList,GIList,Table_ExternalData_1[[#This Row],[Item_key]],GDList,Table_ExternalData_1[[#Headers],[30]])</f>
        <v>0</v>
      </c>
      <c r="AK37" s="6">
        <f>SUMIFS(GQList,GIList,Table_ExternalData_1[[#This Row],[Item_key]],GDList,Table_ExternalData_1[[#Headers],[31]])</f>
        <v>0</v>
      </c>
      <c r="AL37" s="6">
        <f>SUM(Table_ExternalData_1[[#This Row],[1]:[31]])</f>
        <v>200</v>
      </c>
    </row>
    <row r="38" spans="1:38">
      <c r="A38" s="50" t="s">
        <v>65</v>
      </c>
      <c r="B38" s="3" t="s">
        <v>2366</v>
      </c>
      <c r="C38" s="3" t="s">
        <v>718</v>
      </c>
      <c r="D38" s="3" t="s">
        <v>1369</v>
      </c>
      <c r="E38" s="3" t="s">
        <v>1370</v>
      </c>
      <c r="F38" s="8" t="s">
        <v>17</v>
      </c>
      <c r="G38" s="6">
        <f>SUMIFS(GQList,GIList,Table_ExternalData_1[[#This Row],[Item_key]],GDList,Table_ExternalData_1[[#Headers],[1]])</f>
        <v>0</v>
      </c>
      <c r="H38" s="6">
        <f>SUMIFS(GQList,GIList,Table_ExternalData_1[[#This Row],[Item_key]],GDList,Table_ExternalData_1[[#Headers],[2]])</f>
        <v>0</v>
      </c>
      <c r="I38" s="6">
        <f>SUMIFS(GQList,GIList,Table_ExternalData_1[[#This Row],[Item_key]],GDList,Table_ExternalData_1[[#Headers],[3]])</f>
        <v>100</v>
      </c>
      <c r="J38" s="6">
        <f>SUMIFS(GQList,GIList,Table_ExternalData_1[[#This Row],[Item_key]],GDList,Table_ExternalData_1[[#Headers],[4]])</f>
        <v>0</v>
      </c>
      <c r="K38" s="6">
        <f>SUMIFS(GQList,GIList,Table_ExternalData_1[[#This Row],[Item_key]],GDList,Table_ExternalData_1[[#Headers],[5]])</f>
        <v>0</v>
      </c>
      <c r="L38" s="6">
        <f>SUMIFS(GQList,GIList,Table_ExternalData_1[[#This Row],[Item_key]],GDList,Table_ExternalData_1[[#Headers],[6]])</f>
        <v>0</v>
      </c>
      <c r="M38" s="6">
        <f>SUMIFS(GQList,GIList,Table_ExternalData_1[[#This Row],[Item_key]],GDList,Table_ExternalData_1[[#Headers],[7]])</f>
        <v>0</v>
      </c>
      <c r="N38" s="6">
        <f>SUMIFS(GQList,GIList,Table_ExternalData_1[[#This Row],[Item_key]],GDList,Table_ExternalData_1[[#Headers],[8]])</f>
        <v>0</v>
      </c>
      <c r="O38" s="6">
        <f>SUMIFS(GQList,GIList,Table_ExternalData_1[[#This Row],[Item_key]],GDList,Table_ExternalData_1[[#Headers],[9]])</f>
        <v>0</v>
      </c>
      <c r="P38" s="6">
        <f>SUMIFS(GQList,GIList,Table_ExternalData_1[[#This Row],[Item_key]],GDList,Table_ExternalData_1[[#Headers],[10]])</f>
        <v>92</v>
      </c>
      <c r="Q38" s="6">
        <f>SUMIFS(GQList,GIList,Table_ExternalData_1[[#This Row],[Item_key]],GDList,Table_ExternalData_1[[#Headers],[11]])</f>
        <v>58</v>
      </c>
      <c r="R38" s="6">
        <f>SUMIFS(GQList,GIList,Table_ExternalData_1[[#This Row],[Item_key]],GDList,Table_ExternalData_1[[#Headers],[12]])</f>
        <v>0</v>
      </c>
      <c r="S38" s="6">
        <f>SUMIFS(GQList,GIList,Table_ExternalData_1[[#This Row],[Item_key]],GDList,Table_ExternalData_1[[#Headers],[13]])</f>
        <v>0</v>
      </c>
      <c r="T38" s="6">
        <f>SUMIFS(GQList,GIList,Table_ExternalData_1[[#This Row],[Item_key]],GDList,Table_ExternalData_1[[#Headers],[14]])</f>
        <v>0</v>
      </c>
      <c r="U38" s="6">
        <f>SUMIFS(GQList,GIList,Table_ExternalData_1[[#This Row],[Item_key]],GDList,Table_ExternalData_1[[#Headers],[15]])</f>
        <v>0</v>
      </c>
      <c r="V38" s="6">
        <f>SUMIFS(GQList,GIList,Table_ExternalData_1[[#This Row],[Item_key]],GDList,Table_ExternalData_1[[#Headers],[16]])</f>
        <v>0</v>
      </c>
      <c r="W38" s="6">
        <f>SUMIFS(GQList,GIList,Table_ExternalData_1[[#This Row],[Item_key]],GDList,Table_ExternalData_1[[#Headers],[17]])</f>
        <v>0</v>
      </c>
      <c r="X38" s="6">
        <f>SUMIFS(GQList,GIList,Table_ExternalData_1[[#This Row],[Item_key]],GDList,Table_ExternalData_1[[#Headers],[18]])</f>
        <v>0</v>
      </c>
      <c r="Y38" s="6">
        <f>SUMIFS(GQList,GIList,Table_ExternalData_1[[#This Row],[Item_key]],GDList,Table_ExternalData_1[[#Headers],[19]])</f>
        <v>0</v>
      </c>
      <c r="Z38" s="6">
        <f>SUMIFS(GQList,GIList,Table_ExternalData_1[[#This Row],[Item_key]],GDList,Table_ExternalData_1[[#Headers],[20]])</f>
        <v>0</v>
      </c>
      <c r="AA38" s="6">
        <f>SUMIFS(GQList,GIList,Table_ExternalData_1[[#This Row],[Item_key]],GDList,Table_ExternalData_1[[#Headers],[21]])</f>
        <v>0</v>
      </c>
      <c r="AB38" s="6">
        <f>SUMIFS(GQList,GIList,Table_ExternalData_1[[#This Row],[Item_key]],GDList,Table_ExternalData_1[[#Headers],[22]])</f>
        <v>0</v>
      </c>
      <c r="AC38" s="6">
        <f>SUMIFS(GQList,GIList,Table_ExternalData_1[[#This Row],[Item_key]],GDList,Table_ExternalData_1[[#Headers],[23]])</f>
        <v>0</v>
      </c>
      <c r="AD38" s="6">
        <f>SUMIFS(GQList,GIList,Table_ExternalData_1[[#This Row],[Item_key]],GDList,Table_ExternalData_1[[#Headers],[24]])</f>
        <v>0</v>
      </c>
      <c r="AE38" s="6">
        <f>SUMIFS(GQList,GIList,Table_ExternalData_1[[#This Row],[Item_key]],GDList,Table_ExternalData_1[[#Headers],[25]])</f>
        <v>0</v>
      </c>
      <c r="AF38" s="6">
        <f>SUMIFS(GQList,GIList,Table_ExternalData_1[[#This Row],[Item_key]],GDList,Table_ExternalData_1[[#Headers],[26]])</f>
        <v>0</v>
      </c>
      <c r="AG38" s="6">
        <f>SUMIFS(GQList,GIList,Table_ExternalData_1[[#This Row],[Item_key]],GDList,Table_ExternalData_1[[#Headers],[27]])</f>
        <v>0</v>
      </c>
      <c r="AH38" s="6">
        <f>SUMIFS(GQList,GIList,Table_ExternalData_1[[#This Row],[Item_key]],GDList,Table_ExternalData_1[[#Headers],[28]])</f>
        <v>0</v>
      </c>
      <c r="AI38" s="6">
        <f>SUMIFS(GQList,GIList,Table_ExternalData_1[[#This Row],[Item_key]],GDList,Table_ExternalData_1[[#Headers],[29]])</f>
        <v>0</v>
      </c>
      <c r="AJ38" s="6">
        <f>SUMIFS(GQList,GIList,Table_ExternalData_1[[#This Row],[Item_key]],GDList,Table_ExternalData_1[[#Headers],[30]])</f>
        <v>0</v>
      </c>
      <c r="AK38" s="6">
        <f>SUMIFS(GQList,GIList,Table_ExternalData_1[[#This Row],[Item_key]],GDList,Table_ExternalData_1[[#Headers],[31]])</f>
        <v>0</v>
      </c>
      <c r="AL38" s="6">
        <f>SUM(Table_ExternalData_1[[#This Row],[1]:[31]])</f>
        <v>250</v>
      </c>
    </row>
    <row r="39" spans="1:38">
      <c r="A39" s="50" t="s">
        <v>65</v>
      </c>
      <c r="B39" s="3" t="s">
        <v>2366</v>
      </c>
      <c r="C39" s="3" t="s">
        <v>729</v>
      </c>
      <c r="D39" s="3" t="s">
        <v>2661</v>
      </c>
      <c r="E39" s="3" t="s">
        <v>1596</v>
      </c>
      <c r="F39" s="8" t="s">
        <v>17</v>
      </c>
      <c r="G39" s="6">
        <f>SUMIFS(GQList,GIList,Table_ExternalData_1[[#This Row],[Item_key]],GDList,Table_ExternalData_1[[#Headers],[1]])</f>
        <v>0</v>
      </c>
      <c r="H39" s="6">
        <f>SUMIFS(GQList,GIList,Table_ExternalData_1[[#This Row],[Item_key]],GDList,Table_ExternalData_1[[#Headers],[2]])</f>
        <v>0</v>
      </c>
      <c r="I39" s="6">
        <f>SUMIFS(GQList,GIList,Table_ExternalData_1[[#This Row],[Item_key]],GDList,Table_ExternalData_1[[#Headers],[3]])</f>
        <v>0</v>
      </c>
      <c r="J39" s="6">
        <f>SUMIFS(GQList,GIList,Table_ExternalData_1[[#This Row],[Item_key]],GDList,Table_ExternalData_1[[#Headers],[4]])</f>
        <v>0</v>
      </c>
      <c r="K39" s="6">
        <f>SUMIFS(GQList,GIList,Table_ExternalData_1[[#This Row],[Item_key]],GDList,Table_ExternalData_1[[#Headers],[5]])</f>
        <v>0</v>
      </c>
      <c r="L39" s="6">
        <f>SUMIFS(GQList,GIList,Table_ExternalData_1[[#This Row],[Item_key]],GDList,Table_ExternalData_1[[#Headers],[6]])</f>
        <v>0</v>
      </c>
      <c r="M39" s="6">
        <f>SUMIFS(GQList,GIList,Table_ExternalData_1[[#This Row],[Item_key]],GDList,Table_ExternalData_1[[#Headers],[7]])</f>
        <v>0</v>
      </c>
      <c r="N39" s="6">
        <f>SUMIFS(GQList,GIList,Table_ExternalData_1[[#This Row],[Item_key]],GDList,Table_ExternalData_1[[#Headers],[8]])</f>
        <v>0</v>
      </c>
      <c r="O39" s="6">
        <f>SUMIFS(GQList,GIList,Table_ExternalData_1[[#This Row],[Item_key]],GDList,Table_ExternalData_1[[#Headers],[9]])</f>
        <v>0</v>
      </c>
      <c r="P39" s="6">
        <f>SUMIFS(GQList,GIList,Table_ExternalData_1[[#This Row],[Item_key]],GDList,Table_ExternalData_1[[#Headers],[10]])</f>
        <v>183</v>
      </c>
      <c r="Q39" s="6">
        <f>SUMIFS(GQList,GIList,Table_ExternalData_1[[#This Row],[Item_key]],GDList,Table_ExternalData_1[[#Headers],[11]])</f>
        <v>14</v>
      </c>
      <c r="R39" s="6">
        <f>SUMIFS(GQList,GIList,Table_ExternalData_1[[#This Row],[Item_key]],GDList,Table_ExternalData_1[[#Headers],[12]])</f>
        <v>0</v>
      </c>
      <c r="S39" s="6">
        <f>SUMIFS(GQList,GIList,Table_ExternalData_1[[#This Row],[Item_key]],GDList,Table_ExternalData_1[[#Headers],[13]])</f>
        <v>0</v>
      </c>
      <c r="T39" s="6">
        <f>SUMIFS(GQList,GIList,Table_ExternalData_1[[#This Row],[Item_key]],GDList,Table_ExternalData_1[[#Headers],[14]])</f>
        <v>0</v>
      </c>
      <c r="U39" s="6">
        <f>SUMIFS(GQList,GIList,Table_ExternalData_1[[#This Row],[Item_key]],GDList,Table_ExternalData_1[[#Headers],[15]])</f>
        <v>0</v>
      </c>
      <c r="V39" s="6">
        <f>SUMIFS(GQList,GIList,Table_ExternalData_1[[#This Row],[Item_key]],GDList,Table_ExternalData_1[[#Headers],[16]])</f>
        <v>170</v>
      </c>
      <c r="W39" s="6">
        <f>SUMIFS(GQList,GIList,Table_ExternalData_1[[#This Row],[Item_key]],GDList,Table_ExternalData_1[[#Headers],[17]])</f>
        <v>0</v>
      </c>
      <c r="X39" s="6">
        <f>SUMIFS(GQList,GIList,Table_ExternalData_1[[#This Row],[Item_key]],GDList,Table_ExternalData_1[[#Headers],[18]])</f>
        <v>0</v>
      </c>
      <c r="Y39" s="6">
        <f>SUMIFS(GQList,GIList,Table_ExternalData_1[[#This Row],[Item_key]],GDList,Table_ExternalData_1[[#Headers],[19]])</f>
        <v>0</v>
      </c>
      <c r="Z39" s="6">
        <f>SUMIFS(GQList,GIList,Table_ExternalData_1[[#This Row],[Item_key]],GDList,Table_ExternalData_1[[#Headers],[20]])</f>
        <v>0</v>
      </c>
      <c r="AA39" s="6">
        <f>SUMIFS(GQList,GIList,Table_ExternalData_1[[#This Row],[Item_key]],GDList,Table_ExternalData_1[[#Headers],[21]])</f>
        <v>0</v>
      </c>
      <c r="AB39" s="6">
        <f>SUMIFS(GQList,GIList,Table_ExternalData_1[[#This Row],[Item_key]],GDList,Table_ExternalData_1[[#Headers],[22]])</f>
        <v>0</v>
      </c>
      <c r="AC39" s="6">
        <f>SUMIFS(GQList,GIList,Table_ExternalData_1[[#This Row],[Item_key]],GDList,Table_ExternalData_1[[#Headers],[23]])</f>
        <v>0</v>
      </c>
      <c r="AD39" s="6">
        <f>SUMIFS(GQList,GIList,Table_ExternalData_1[[#This Row],[Item_key]],GDList,Table_ExternalData_1[[#Headers],[24]])</f>
        <v>0</v>
      </c>
      <c r="AE39" s="6">
        <f>SUMIFS(GQList,GIList,Table_ExternalData_1[[#This Row],[Item_key]],GDList,Table_ExternalData_1[[#Headers],[25]])</f>
        <v>0</v>
      </c>
      <c r="AF39" s="6">
        <f>SUMIFS(GQList,GIList,Table_ExternalData_1[[#This Row],[Item_key]],GDList,Table_ExternalData_1[[#Headers],[26]])</f>
        <v>0</v>
      </c>
      <c r="AG39" s="6">
        <f>SUMIFS(GQList,GIList,Table_ExternalData_1[[#This Row],[Item_key]],GDList,Table_ExternalData_1[[#Headers],[27]])</f>
        <v>0</v>
      </c>
      <c r="AH39" s="6">
        <f>SUMIFS(GQList,GIList,Table_ExternalData_1[[#This Row],[Item_key]],GDList,Table_ExternalData_1[[#Headers],[28]])</f>
        <v>0</v>
      </c>
      <c r="AI39" s="6">
        <f>SUMIFS(GQList,GIList,Table_ExternalData_1[[#This Row],[Item_key]],GDList,Table_ExternalData_1[[#Headers],[29]])</f>
        <v>0</v>
      </c>
      <c r="AJ39" s="6">
        <f>SUMIFS(GQList,GIList,Table_ExternalData_1[[#This Row],[Item_key]],GDList,Table_ExternalData_1[[#Headers],[30]])</f>
        <v>0</v>
      </c>
      <c r="AK39" s="6">
        <f>SUMIFS(GQList,GIList,Table_ExternalData_1[[#This Row],[Item_key]],GDList,Table_ExternalData_1[[#Headers],[31]])</f>
        <v>0</v>
      </c>
      <c r="AL39" s="6">
        <f>SUM(Table_ExternalData_1[[#This Row],[1]:[31]])</f>
        <v>367</v>
      </c>
    </row>
    <row r="40" spans="1:38">
      <c r="A40" s="50" t="s">
        <v>65</v>
      </c>
      <c r="B40" s="3" t="s">
        <v>2366</v>
      </c>
      <c r="C40" s="3" t="s">
        <v>1821</v>
      </c>
      <c r="D40" s="3" t="s">
        <v>2663</v>
      </c>
      <c r="E40" s="3" t="s">
        <v>2664</v>
      </c>
      <c r="F40" s="8" t="s">
        <v>17</v>
      </c>
      <c r="G40" s="6">
        <f>SUMIFS(GQList,GIList,Table_ExternalData_1[[#This Row],[Item_key]],GDList,Table_ExternalData_1[[#Headers],[1]])</f>
        <v>0</v>
      </c>
      <c r="H40" s="6">
        <f>SUMIFS(GQList,GIList,Table_ExternalData_1[[#This Row],[Item_key]],GDList,Table_ExternalData_1[[#Headers],[2]])</f>
        <v>0</v>
      </c>
      <c r="I40" s="6">
        <f>SUMIFS(GQList,GIList,Table_ExternalData_1[[#This Row],[Item_key]],GDList,Table_ExternalData_1[[#Headers],[3]])</f>
        <v>0</v>
      </c>
      <c r="J40" s="6">
        <f>SUMIFS(GQList,GIList,Table_ExternalData_1[[#This Row],[Item_key]],GDList,Table_ExternalData_1[[#Headers],[4]])</f>
        <v>0</v>
      </c>
      <c r="K40" s="6">
        <f>SUMIFS(GQList,GIList,Table_ExternalData_1[[#This Row],[Item_key]],GDList,Table_ExternalData_1[[#Headers],[5]])</f>
        <v>0</v>
      </c>
      <c r="L40" s="6">
        <f>SUMIFS(GQList,GIList,Table_ExternalData_1[[#This Row],[Item_key]],GDList,Table_ExternalData_1[[#Headers],[6]])</f>
        <v>0</v>
      </c>
      <c r="M40" s="6">
        <f>SUMIFS(GQList,GIList,Table_ExternalData_1[[#This Row],[Item_key]],GDList,Table_ExternalData_1[[#Headers],[7]])</f>
        <v>0</v>
      </c>
      <c r="N40" s="6">
        <f>SUMIFS(GQList,GIList,Table_ExternalData_1[[#This Row],[Item_key]],GDList,Table_ExternalData_1[[#Headers],[8]])</f>
        <v>0</v>
      </c>
      <c r="O40" s="6">
        <f>SUMIFS(GQList,GIList,Table_ExternalData_1[[#This Row],[Item_key]],GDList,Table_ExternalData_1[[#Headers],[9]])</f>
        <v>0</v>
      </c>
      <c r="P40" s="6">
        <f>SUMIFS(GQList,GIList,Table_ExternalData_1[[#This Row],[Item_key]],GDList,Table_ExternalData_1[[#Headers],[10]])</f>
        <v>20</v>
      </c>
      <c r="Q40" s="6">
        <f>SUMIFS(GQList,GIList,Table_ExternalData_1[[#This Row],[Item_key]],GDList,Table_ExternalData_1[[#Headers],[11]])</f>
        <v>0</v>
      </c>
      <c r="R40" s="6">
        <f>SUMIFS(GQList,GIList,Table_ExternalData_1[[#This Row],[Item_key]],GDList,Table_ExternalData_1[[#Headers],[12]])</f>
        <v>0</v>
      </c>
      <c r="S40" s="6">
        <f>SUMIFS(GQList,GIList,Table_ExternalData_1[[#This Row],[Item_key]],GDList,Table_ExternalData_1[[#Headers],[13]])</f>
        <v>0</v>
      </c>
      <c r="T40" s="6">
        <f>SUMIFS(GQList,GIList,Table_ExternalData_1[[#This Row],[Item_key]],GDList,Table_ExternalData_1[[#Headers],[14]])</f>
        <v>0</v>
      </c>
      <c r="U40" s="6">
        <f>SUMIFS(GQList,GIList,Table_ExternalData_1[[#This Row],[Item_key]],GDList,Table_ExternalData_1[[#Headers],[15]])</f>
        <v>0</v>
      </c>
      <c r="V40" s="6">
        <f>SUMIFS(GQList,GIList,Table_ExternalData_1[[#This Row],[Item_key]],GDList,Table_ExternalData_1[[#Headers],[16]])</f>
        <v>0</v>
      </c>
      <c r="W40" s="6">
        <f>SUMIFS(GQList,GIList,Table_ExternalData_1[[#This Row],[Item_key]],GDList,Table_ExternalData_1[[#Headers],[17]])</f>
        <v>0</v>
      </c>
      <c r="X40" s="6">
        <f>SUMIFS(GQList,GIList,Table_ExternalData_1[[#This Row],[Item_key]],GDList,Table_ExternalData_1[[#Headers],[18]])</f>
        <v>0</v>
      </c>
      <c r="Y40" s="6">
        <f>SUMIFS(GQList,GIList,Table_ExternalData_1[[#This Row],[Item_key]],GDList,Table_ExternalData_1[[#Headers],[19]])</f>
        <v>0</v>
      </c>
      <c r="Z40" s="6">
        <f>SUMIFS(GQList,GIList,Table_ExternalData_1[[#This Row],[Item_key]],GDList,Table_ExternalData_1[[#Headers],[20]])</f>
        <v>0</v>
      </c>
      <c r="AA40" s="6">
        <f>SUMIFS(GQList,GIList,Table_ExternalData_1[[#This Row],[Item_key]],GDList,Table_ExternalData_1[[#Headers],[21]])</f>
        <v>0</v>
      </c>
      <c r="AB40" s="6">
        <f>SUMIFS(GQList,GIList,Table_ExternalData_1[[#This Row],[Item_key]],GDList,Table_ExternalData_1[[#Headers],[22]])</f>
        <v>0</v>
      </c>
      <c r="AC40" s="6">
        <f>SUMIFS(GQList,GIList,Table_ExternalData_1[[#This Row],[Item_key]],GDList,Table_ExternalData_1[[#Headers],[23]])</f>
        <v>0</v>
      </c>
      <c r="AD40" s="6">
        <f>SUMIFS(GQList,GIList,Table_ExternalData_1[[#This Row],[Item_key]],GDList,Table_ExternalData_1[[#Headers],[24]])</f>
        <v>0</v>
      </c>
      <c r="AE40" s="6">
        <f>SUMIFS(GQList,GIList,Table_ExternalData_1[[#This Row],[Item_key]],GDList,Table_ExternalData_1[[#Headers],[25]])</f>
        <v>0</v>
      </c>
      <c r="AF40" s="6">
        <f>SUMIFS(GQList,GIList,Table_ExternalData_1[[#This Row],[Item_key]],GDList,Table_ExternalData_1[[#Headers],[26]])</f>
        <v>0</v>
      </c>
      <c r="AG40" s="6">
        <f>SUMIFS(GQList,GIList,Table_ExternalData_1[[#This Row],[Item_key]],GDList,Table_ExternalData_1[[#Headers],[27]])</f>
        <v>0</v>
      </c>
      <c r="AH40" s="6">
        <f>SUMIFS(GQList,GIList,Table_ExternalData_1[[#This Row],[Item_key]],GDList,Table_ExternalData_1[[#Headers],[28]])</f>
        <v>0</v>
      </c>
      <c r="AI40" s="6">
        <f>SUMIFS(GQList,GIList,Table_ExternalData_1[[#This Row],[Item_key]],GDList,Table_ExternalData_1[[#Headers],[29]])</f>
        <v>0</v>
      </c>
      <c r="AJ40" s="6">
        <f>SUMIFS(GQList,GIList,Table_ExternalData_1[[#This Row],[Item_key]],GDList,Table_ExternalData_1[[#Headers],[30]])</f>
        <v>0</v>
      </c>
      <c r="AK40" s="6">
        <f>SUMIFS(GQList,GIList,Table_ExternalData_1[[#This Row],[Item_key]],GDList,Table_ExternalData_1[[#Headers],[31]])</f>
        <v>0</v>
      </c>
      <c r="AL40" s="6">
        <f>SUM(Table_ExternalData_1[[#This Row],[1]:[31]])</f>
        <v>20</v>
      </c>
    </row>
    <row r="41" spans="1:38">
      <c r="A41" s="50" t="s">
        <v>65</v>
      </c>
      <c r="B41" s="3" t="s">
        <v>2366</v>
      </c>
      <c r="C41" s="3" t="s">
        <v>745</v>
      </c>
      <c r="D41" s="3" t="s">
        <v>1382</v>
      </c>
      <c r="E41" s="3" t="s">
        <v>1383</v>
      </c>
      <c r="F41" s="8" t="s">
        <v>17</v>
      </c>
      <c r="G41" s="6">
        <f>SUMIFS(GQList,GIList,Table_ExternalData_1[[#This Row],[Item_key]],GDList,Table_ExternalData_1[[#Headers],[1]])</f>
        <v>0</v>
      </c>
      <c r="H41" s="6">
        <f>SUMIFS(GQList,GIList,Table_ExternalData_1[[#This Row],[Item_key]],GDList,Table_ExternalData_1[[#Headers],[2]])</f>
        <v>0</v>
      </c>
      <c r="I41" s="6">
        <f>SUMIFS(GQList,GIList,Table_ExternalData_1[[#This Row],[Item_key]],GDList,Table_ExternalData_1[[#Headers],[3]])</f>
        <v>0</v>
      </c>
      <c r="J41" s="6">
        <f>SUMIFS(GQList,GIList,Table_ExternalData_1[[#This Row],[Item_key]],GDList,Table_ExternalData_1[[#Headers],[4]])</f>
        <v>0</v>
      </c>
      <c r="K41" s="6">
        <f>SUMIFS(GQList,GIList,Table_ExternalData_1[[#This Row],[Item_key]],GDList,Table_ExternalData_1[[#Headers],[5]])</f>
        <v>0</v>
      </c>
      <c r="L41" s="6">
        <f>SUMIFS(GQList,GIList,Table_ExternalData_1[[#This Row],[Item_key]],GDList,Table_ExternalData_1[[#Headers],[6]])</f>
        <v>0</v>
      </c>
      <c r="M41" s="6">
        <f>SUMIFS(GQList,GIList,Table_ExternalData_1[[#This Row],[Item_key]],GDList,Table_ExternalData_1[[#Headers],[7]])</f>
        <v>0</v>
      </c>
      <c r="N41" s="6">
        <f>SUMIFS(GQList,GIList,Table_ExternalData_1[[#This Row],[Item_key]],GDList,Table_ExternalData_1[[#Headers],[8]])</f>
        <v>0</v>
      </c>
      <c r="O41" s="6">
        <f>SUMIFS(GQList,GIList,Table_ExternalData_1[[#This Row],[Item_key]],GDList,Table_ExternalData_1[[#Headers],[9]])</f>
        <v>0</v>
      </c>
      <c r="P41" s="6">
        <f>SUMIFS(GQList,GIList,Table_ExternalData_1[[#This Row],[Item_key]],GDList,Table_ExternalData_1[[#Headers],[10]])</f>
        <v>150</v>
      </c>
      <c r="Q41" s="6">
        <f>SUMIFS(GQList,GIList,Table_ExternalData_1[[#This Row],[Item_key]],GDList,Table_ExternalData_1[[#Headers],[11]])</f>
        <v>10</v>
      </c>
      <c r="R41" s="6">
        <f>SUMIFS(GQList,GIList,Table_ExternalData_1[[#This Row],[Item_key]],GDList,Table_ExternalData_1[[#Headers],[12]])</f>
        <v>0</v>
      </c>
      <c r="S41" s="6">
        <f>SUMIFS(GQList,GIList,Table_ExternalData_1[[#This Row],[Item_key]],GDList,Table_ExternalData_1[[#Headers],[13]])</f>
        <v>0</v>
      </c>
      <c r="T41" s="6">
        <f>SUMIFS(GQList,GIList,Table_ExternalData_1[[#This Row],[Item_key]],GDList,Table_ExternalData_1[[#Headers],[14]])</f>
        <v>0</v>
      </c>
      <c r="U41" s="6">
        <f>SUMIFS(GQList,GIList,Table_ExternalData_1[[#This Row],[Item_key]],GDList,Table_ExternalData_1[[#Headers],[15]])</f>
        <v>0</v>
      </c>
      <c r="V41" s="6">
        <f>SUMIFS(GQList,GIList,Table_ExternalData_1[[#This Row],[Item_key]],GDList,Table_ExternalData_1[[#Headers],[16]])</f>
        <v>0</v>
      </c>
      <c r="W41" s="6">
        <f>SUMIFS(GQList,GIList,Table_ExternalData_1[[#This Row],[Item_key]],GDList,Table_ExternalData_1[[#Headers],[17]])</f>
        <v>0</v>
      </c>
      <c r="X41" s="6">
        <f>SUMIFS(GQList,GIList,Table_ExternalData_1[[#This Row],[Item_key]],GDList,Table_ExternalData_1[[#Headers],[18]])</f>
        <v>0</v>
      </c>
      <c r="Y41" s="6">
        <f>SUMIFS(GQList,GIList,Table_ExternalData_1[[#This Row],[Item_key]],GDList,Table_ExternalData_1[[#Headers],[19]])</f>
        <v>0</v>
      </c>
      <c r="Z41" s="6">
        <f>SUMIFS(GQList,GIList,Table_ExternalData_1[[#This Row],[Item_key]],GDList,Table_ExternalData_1[[#Headers],[20]])</f>
        <v>0</v>
      </c>
      <c r="AA41" s="6">
        <f>SUMIFS(GQList,GIList,Table_ExternalData_1[[#This Row],[Item_key]],GDList,Table_ExternalData_1[[#Headers],[21]])</f>
        <v>0</v>
      </c>
      <c r="AB41" s="6">
        <f>SUMIFS(GQList,GIList,Table_ExternalData_1[[#This Row],[Item_key]],GDList,Table_ExternalData_1[[#Headers],[22]])</f>
        <v>0</v>
      </c>
      <c r="AC41" s="6">
        <f>SUMIFS(GQList,GIList,Table_ExternalData_1[[#This Row],[Item_key]],GDList,Table_ExternalData_1[[#Headers],[23]])</f>
        <v>0</v>
      </c>
      <c r="AD41" s="6">
        <f>SUMIFS(GQList,GIList,Table_ExternalData_1[[#This Row],[Item_key]],GDList,Table_ExternalData_1[[#Headers],[24]])</f>
        <v>0</v>
      </c>
      <c r="AE41" s="6">
        <f>SUMIFS(GQList,GIList,Table_ExternalData_1[[#This Row],[Item_key]],GDList,Table_ExternalData_1[[#Headers],[25]])</f>
        <v>0</v>
      </c>
      <c r="AF41" s="6">
        <f>SUMIFS(GQList,GIList,Table_ExternalData_1[[#This Row],[Item_key]],GDList,Table_ExternalData_1[[#Headers],[26]])</f>
        <v>0</v>
      </c>
      <c r="AG41" s="6">
        <f>SUMIFS(GQList,GIList,Table_ExternalData_1[[#This Row],[Item_key]],GDList,Table_ExternalData_1[[#Headers],[27]])</f>
        <v>0</v>
      </c>
      <c r="AH41" s="6">
        <f>SUMIFS(GQList,GIList,Table_ExternalData_1[[#This Row],[Item_key]],GDList,Table_ExternalData_1[[#Headers],[28]])</f>
        <v>0</v>
      </c>
      <c r="AI41" s="6">
        <f>SUMIFS(GQList,GIList,Table_ExternalData_1[[#This Row],[Item_key]],GDList,Table_ExternalData_1[[#Headers],[29]])</f>
        <v>0</v>
      </c>
      <c r="AJ41" s="6">
        <f>SUMIFS(GQList,GIList,Table_ExternalData_1[[#This Row],[Item_key]],GDList,Table_ExternalData_1[[#Headers],[30]])</f>
        <v>0</v>
      </c>
      <c r="AK41" s="6">
        <f>SUMIFS(GQList,GIList,Table_ExternalData_1[[#This Row],[Item_key]],GDList,Table_ExternalData_1[[#Headers],[31]])</f>
        <v>0</v>
      </c>
      <c r="AL41" s="6">
        <f>SUM(Table_ExternalData_1[[#This Row],[1]:[31]])</f>
        <v>160</v>
      </c>
    </row>
    <row r="42" spans="1:38">
      <c r="A42" s="50" t="s">
        <v>65</v>
      </c>
      <c r="B42" s="3" t="s">
        <v>2366</v>
      </c>
      <c r="C42" s="3" t="s">
        <v>797</v>
      </c>
      <c r="D42" s="3" t="s">
        <v>1407</v>
      </c>
      <c r="E42" s="3" t="s">
        <v>1408</v>
      </c>
      <c r="F42" s="8" t="s">
        <v>17</v>
      </c>
      <c r="G42" s="6">
        <f>SUMIFS(GQList,GIList,Table_ExternalData_1[[#This Row],[Item_key]],GDList,Table_ExternalData_1[[#Headers],[1]])</f>
        <v>0</v>
      </c>
      <c r="H42" s="6">
        <f>SUMIFS(GQList,GIList,Table_ExternalData_1[[#This Row],[Item_key]],GDList,Table_ExternalData_1[[#Headers],[2]])</f>
        <v>0</v>
      </c>
      <c r="I42" s="6">
        <f>SUMIFS(GQList,GIList,Table_ExternalData_1[[#This Row],[Item_key]],GDList,Table_ExternalData_1[[#Headers],[3]])</f>
        <v>0</v>
      </c>
      <c r="J42" s="6">
        <f>SUMIFS(GQList,GIList,Table_ExternalData_1[[#This Row],[Item_key]],GDList,Table_ExternalData_1[[#Headers],[4]])</f>
        <v>0</v>
      </c>
      <c r="K42" s="6">
        <f>SUMIFS(GQList,GIList,Table_ExternalData_1[[#This Row],[Item_key]],GDList,Table_ExternalData_1[[#Headers],[5]])</f>
        <v>0</v>
      </c>
      <c r="L42" s="6">
        <f>SUMIFS(GQList,GIList,Table_ExternalData_1[[#This Row],[Item_key]],GDList,Table_ExternalData_1[[#Headers],[6]])</f>
        <v>0</v>
      </c>
      <c r="M42" s="6">
        <f>SUMIFS(GQList,GIList,Table_ExternalData_1[[#This Row],[Item_key]],GDList,Table_ExternalData_1[[#Headers],[7]])</f>
        <v>0</v>
      </c>
      <c r="N42" s="6">
        <f>SUMIFS(GQList,GIList,Table_ExternalData_1[[#This Row],[Item_key]],GDList,Table_ExternalData_1[[#Headers],[8]])</f>
        <v>0</v>
      </c>
      <c r="O42" s="6">
        <f>SUMIFS(GQList,GIList,Table_ExternalData_1[[#This Row],[Item_key]],GDList,Table_ExternalData_1[[#Headers],[9]])</f>
        <v>0</v>
      </c>
      <c r="P42" s="6">
        <f>SUMIFS(GQList,GIList,Table_ExternalData_1[[#This Row],[Item_key]],GDList,Table_ExternalData_1[[#Headers],[10]])</f>
        <v>115</v>
      </c>
      <c r="Q42" s="6">
        <f>SUMIFS(GQList,GIList,Table_ExternalData_1[[#This Row],[Item_key]],GDList,Table_ExternalData_1[[#Headers],[11]])</f>
        <v>0</v>
      </c>
      <c r="R42" s="6">
        <f>SUMIFS(GQList,GIList,Table_ExternalData_1[[#This Row],[Item_key]],GDList,Table_ExternalData_1[[#Headers],[12]])</f>
        <v>0</v>
      </c>
      <c r="S42" s="6">
        <f>SUMIFS(GQList,GIList,Table_ExternalData_1[[#This Row],[Item_key]],GDList,Table_ExternalData_1[[#Headers],[13]])</f>
        <v>0</v>
      </c>
      <c r="T42" s="6">
        <f>SUMIFS(GQList,GIList,Table_ExternalData_1[[#This Row],[Item_key]],GDList,Table_ExternalData_1[[#Headers],[14]])</f>
        <v>0</v>
      </c>
      <c r="U42" s="6">
        <f>SUMIFS(GQList,GIList,Table_ExternalData_1[[#This Row],[Item_key]],GDList,Table_ExternalData_1[[#Headers],[15]])</f>
        <v>0</v>
      </c>
      <c r="V42" s="6">
        <f>SUMIFS(GQList,GIList,Table_ExternalData_1[[#This Row],[Item_key]],GDList,Table_ExternalData_1[[#Headers],[16]])</f>
        <v>0</v>
      </c>
      <c r="W42" s="6">
        <f>SUMIFS(GQList,GIList,Table_ExternalData_1[[#This Row],[Item_key]],GDList,Table_ExternalData_1[[#Headers],[17]])</f>
        <v>0</v>
      </c>
      <c r="X42" s="6">
        <f>SUMIFS(GQList,GIList,Table_ExternalData_1[[#This Row],[Item_key]],GDList,Table_ExternalData_1[[#Headers],[18]])</f>
        <v>0</v>
      </c>
      <c r="Y42" s="6">
        <f>SUMIFS(GQList,GIList,Table_ExternalData_1[[#This Row],[Item_key]],GDList,Table_ExternalData_1[[#Headers],[19]])</f>
        <v>0</v>
      </c>
      <c r="Z42" s="6">
        <f>SUMIFS(GQList,GIList,Table_ExternalData_1[[#This Row],[Item_key]],GDList,Table_ExternalData_1[[#Headers],[20]])</f>
        <v>0</v>
      </c>
      <c r="AA42" s="6">
        <f>SUMIFS(GQList,GIList,Table_ExternalData_1[[#This Row],[Item_key]],GDList,Table_ExternalData_1[[#Headers],[21]])</f>
        <v>0</v>
      </c>
      <c r="AB42" s="6">
        <f>SUMIFS(GQList,GIList,Table_ExternalData_1[[#This Row],[Item_key]],GDList,Table_ExternalData_1[[#Headers],[22]])</f>
        <v>0</v>
      </c>
      <c r="AC42" s="6">
        <f>SUMIFS(GQList,GIList,Table_ExternalData_1[[#This Row],[Item_key]],GDList,Table_ExternalData_1[[#Headers],[23]])</f>
        <v>0</v>
      </c>
      <c r="AD42" s="6">
        <f>SUMIFS(GQList,GIList,Table_ExternalData_1[[#This Row],[Item_key]],GDList,Table_ExternalData_1[[#Headers],[24]])</f>
        <v>0</v>
      </c>
      <c r="AE42" s="6">
        <f>SUMIFS(GQList,GIList,Table_ExternalData_1[[#This Row],[Item_key]],GDList,Table_ExternalData_1[[#Headers],[25]])</f>
        <v>0</v>
      </c>
      <c r="AF42" s="6">
        <f>SUMIFS(GQList,GIList,Table_ExternalData_1[[#This Row],[Item_key]],GDList,Table_ExternalData_1[[#Headers],[26]])</f>
        <v>0</v>
      </c>
      <c r="AG42" s="6">
        <f>SUMIFS(GQList,GIList,Table_ExternalData_1[[#This Row],[Item_key]],GDList,Table_ExternalData_1[[#Headers],[27]])</f>
        <v>0</v>
      </c>
      <c r="AH42" s="6">
        <f>SUMIFS(GQList,GIList,Table_ExternalData_1[[#This Row],[Item_key]],GDList,Table_ExternalData_1[[#Headers],[28]])</f>
        <v>0</v>
      </c>
      <c r="AI42" s="6">
        <f>SUMIFS(GQList,GIList,Table_ExternalData_1[[#This Row],[Item_key]],GDList,Table_ExternalData_1[[#Headers],[29]])</f>
        <v>0</v>
      </c>
      <c r="AJ42" s="6">
        <f>SUMIFS(GQList,GIList,Table_ExternalData_1[[#This Row],[Item_key]],GDList,Table_ExternalData_1[[#Headers],[30]])</f>
        <v>0</v>
      </c>
      <c r="AK42" s="6">
        <f>SUMIFS(GQList,GIList,Table_ExternalData_1[[#This Row],[Item_key]],GDList,Table_ExternalData_1[[#Headers],[31]])</f>
        <v>0</v>
      </c>
      <c r="AL42" s="6">
        <f>SUM(Table_ExternalData_1[[#This Row],[1]:[31]])</f>
        <v>115</v>
      </c>
    </row>
    <row r="43" spans="1:38">
      <c r="A43" s="50" t="s">
        <v>65</v>
      </c>
      <c r="B43" s="3" t="s">
        <v>2366</v>
      </c>
      <c r="C43" s="3" t="s">
        <v>813</v>
      </c>
      <c r="D43" s="3" t="s">
        <v>1409</v>
      </c>
      <c r="E43" s="3" t="s">
        <v>1383</v>
      </c>
      <c r="F43" s="8" t="s">
        <v>17</v>
      </c>
      <c r="G43" s="6">
        <f>SUMIFS(GQList,GIList,Table_ExternalData_1[[#This Row],[Item_key]],GDList,Table_ExternalData_1[[#Headers],[1]])</f>
        <v>0</v>
      </c>
      <c r="H43" s="6">
        <f>SUMIFS(GQList,GIList,Table_ExternalData_1[[#This Row],[Item_key]],GDList,Table_ExternalData_1[[#Headers],[2]])</f>
        <v>0</v>
      </c>
      <c r="I43" s="6">
        <f>SUMIFS(GQList,GIList,Table_ExternalData_1[[#This Row],[Item_key]],GDList,Table_ExternalData_1[[#Headers],[3]])</f>
        <v>0</v>
      </c>
      <c r="J43" s="6">
        <f>SUMIFS(GQList,GIList,Table_ExternalData_1[[#This Row],[Item_key]],GDList,Table_ExternalData_1[[#Headers],[4]])</f>
        <v>0</v>
      </c>
      <c r="K43" s="6">
        <f>SUMIFS(GQList,GIList,Table_ExternalData_1[[#This Row],[Item_key]],GDList,Table_ExternalData_1[[#Headers],[5]])</f>
        <v>0</v>
      </c>
      <c r="L43" s="6">
        <f>SUMIFS(GQList,GIList,Table_ExternalData_1[[#This Row],[Item_key]],GDList,Table_ExternalData_1[[#Headers],[6]])</f>
        <v>0</v>
      </c>
      <c r="M43" s="6">
        <f>SUMIFS(GQList,GIList,Table_ExternalData_1[[#This Row],[Item_key]],GDList,Table_ExternalData_1[[#Headers],[7]])</f>
        <v>0</v>
      </c>
      <c r="N43" s="6">
        <f>SUMIFS(GQList,GIList,Table_ExternalData_1[[#This Row],[Item_key]],GDList,Table_ExternalData_1[[#Headers],[8]])</f>
        <v>0</v>
      </c>
      <c r="O43" s="6">
        <f>SUMIFS(GQList,GIList,Table_ExternalData_1[[#This Row],[Item_key]],GDList,Table_ExternalData_1[[#Headers],[9]])</f>
        <v>0</v>
      </c>
      <c r="P43" s="6">
        <f>SUMIFS(GQList,GIList,Table_ExternalData_1[[#This Row],[Item_key]],GDList,Table_ExternalData_1[[#Headers],[10]])</f>
        <v>0</v>
      </c>
      <c r="Q43" s="6">
        <f>SUMIFS(GQList,GIList,Table_ExternalData_1[[#This Row],[Item_key]],GDList,Table_ExternalData_1[[#Headers],[11]])</f>
        <v>6</v>
      </c>
      <c r="R43" s="6">
        <f>SUMIFS(GQList,GIList,Table_ExternalData_1[[#This Row],[Item_key]],GDList,Table_ExternalData_1[[#Headers],[12]])</f>
        <v>0</v>
      </c>
      <c r="S43" s="6">
        <f>SUMIFS(GQList,GIList,Table_ExternalData_1[[#This Row],[Item_key]],GDList,Table_ExternalData_1[[#Headers],[13]])</f>
        <v>0</v>
      </c>
      <c r="T43" s="6">
        <f>SUMIFS(GQList,GIList,Table_ExternalData_1[[#This Row],[Item_key]],GDList,Table_ExternalData_1[[#Headers],[14]])</f>
        <v>0</v>
      </c>
      <c r="U43" s="6">
        <f>SUMIFS(GQList,GIList,Table_ExternalData_1[[#This Row],[Item_key]],GDList,Table_ExternalData_1[[#Headers],[15]])</f>
        <v>0</v>
      </c>
      <c r="V43" s="6">
        <f>SUMIFS(GQList,GIList,Table_ExternalData_1[[#This Row],[Item_key]],GDList,Table_ExternalData_1[[#Headers],[16]])</f>
        <v>0</v>
      </c>
      <c r="W43" s="6">
        <f>SUMIFS(GQList,GIList,Table_ExternalData_1[[#This Row],[Item_key]],GDList,Table_ExternalData_1[[#Headers],[17]])</f>
        <v>0</v>
      </c>
      <c r="X43" s="6">
        <f>SUMIFS(GQList,GIList,Table_ExternalData_1[[#This Row],[Item_key]],GDList,Table_ExternalData_1[[#Headers],[18]])</f>
        <v>0</v>
      </c>
      <c r="Y43" s="6">
        <f>SUMIFS(GQList,GIList,Table_ExternalData_1[[#This Row],[Item_key]],GDList,Table_ExternalData_1[[#Headers],[19]])</f>
        <v>0</v>
      </c>
      <c r="Z43" s="6">
        <f>SUMIFS(GQList,GIList,Table_ExternalData_1[[#This Row],[Item_key]],GDList,Table_ExternalData_1[[#Headers],[20]])</f>
        <v>0</v>
      </c>
      <c r="AA43" s="6">
        <f>SUMIFS(GQList,GIList,Table_ExternalData_1[[#This Row],[Item_key]],GDList,Table_ExternalData_1[[#Headers],[21]])</f>
        <v>0</v>
      </c>
      <c r="AB43" s="6">
        <f>SUMIFS(GQList,GIList,Table_ExternalData_1[[#This Row],[Item_key]],GDList,Table_ExternalData_1[[#Headers],[22]])</f>
        <v>0</v>
      </c>
      <c r="AC43" s="6">
        <f>SUMIFS(GQList,GIList,Table_ExternalData_1[[#This Row],[Item_key]],GDList,Table_ExternalData_1[[#Headers],[23]])</f>
        <v>0</v>
      </c>
      <c r="AD43" s="6">
        <f>SUMIFS(GQList,GIList,Table_ExternalData_1[[#This Row],[Item_key]],GDList,Table_ExternalData_1[[#Headers],[24]])</f>
        <v>0</v>
      </c>
      <c r="AE43" s="6">
        <f>SUMIFS(GQList,GIList,Table_ExternalData_1[[#This Row],[Item_key]],GDList,Table_ExternalData_1[[#Headers],[25]])</f>
        <v>0</v>
      </c>
      <c r="AF43" s="6">
        <f>SUMIFS(GQList,GIList,Table_ExternalData_1[[#This Row],[Item_key]],GDList,Table_ExternalData_1[[#Headers],[26]])</f>
        <v>0</v>
      </c>
      <c r="AG43" s="6">
        <f>SUMIFS(GQList,GIList,Table_ExternalData_1[[#This Row],[Item_key]],GDList,Table_ExternalData_1[[#Headers],[27]])</f>
        <v>0</v>
      </c>
      <c r="AH43" s="6">
        <f>SUMIFS(GQList,GIList,Table_ExternalData_1[[#This Row],[Item_key]],GDList,Table_ExternalData_1[[#Headers],[28]])</f>
        <v>0</v>
      </c>
      <c r="AI43" s="6">
        <f>SUMIFS(GQList,GIList,Table_ExternalData_1[[#This Row],[Item_key]],GDList,Table_ExternalData_1[[#Headers],[29]])</f>
        <v>0</v>
      </c>
      <c r="AJ43" s="6">
        <f>SUMIFS(GQList,GIList,Table_ExternalData_1[[#This Row],[Item_key]],GDList,Table_ExternalData_1[[#Headers],[30]])</f>
        <v>0</v>
      </c>
      <c r="AK43" s="6">
        <f>SUMIFS(GQList,GIList,Table_ExternalData_1[[#This Row],[Item_key]],GDList,Table_ExternalData_1[[#Headers],[31]])</f>
        <v>0</v>
      </c>
      <c r="AL43" s="6">
        <f>SUM(Table_ExternalData_1[[#This Row],[1]:[31]])</f>
        <v>6</v>
      </c>
    </row>
    <row r="44" spans="1:38">
      <c r="A44" s="50" t="s">
        <v>65</v>
      </c>
      <c r="B44" s="3" t="s">
        <v>2366</v>
      </c>
      <c r="C44" s="3" t="s">
        <v>2056</v>
      </c>
      <c r="D44" s="3" t="s">
        <v>2733</v>
      </c>
      <c r="E44" s="3" t="s">
        <v>2734</v>
      </c>
      <c r="F44" s="8" t="s">
        <v>17</v>
      </c>
      <c r="G44" s="6">
        <f>SUMIFS(GQList,GIList,Table_ExternalData_1[[#This Row],[Item_key]],GDList,Table_ExternalData_1[[#Headers],[1]])</f>
        <v>0</v>
      </c>
      <c r="H44" s="6">
        <f>SUMIFS(GQList,GIList,Table_ExternalData_1[[#This Row],[Item_key]],GDList,Table_ExternalData_1[[#Headers],[2]])</f>
        <v>0</v>
      </c>
      <c r="I44" s="6">
        <f>SUMIFS(GQList,GIList,Table_ExternalData_1[[#This Row],[Item_key]],GDList,Table_ExternalData_1[[#Headers],[3]])</f>
        <v>0</v>
      </c>
      <c r="J44" s="6">
        <f>SUMIFS(GQList,GIList,Table_ExternalData_1[[#This Row],[Item_key]],GDList,Table_ExternalData_1[[#Headers],[4]])</f>
        <v>0</v>
      </c>
      <c r="K44" s="6">
        <f>SUMIFS(GQList,GIList,Table_ExternalData_1[[#This Row],[Item_key]],GDList,Table_ExternalData_1[[#Headers],[5]])</f>
        <v>0</v>
      </c>
      <c r="L44" s="6">
        <f>SUMIFS(GQList,GIList,Table_ExternalData_1[[#This Row],[Item_key]],GDList,Table_ExternalData_1[[#Headers],[6]])</f>
        <v>0</v>
      </c>
      <c r="M44" s="6">
        <f>SUMIFS(GQList,GIList,Table_ExternalData_1[[#This Row],[Item_key]],GDList,Table_ExternalData_1[[#Headers],[7]])</f>
        <v>0</v>
      </c>
      <c r="N44" s="6">
        <f>SUMIFS(GQList,GIList,Table_ExternalData_1[[#This Row],[Item_key]],GDList,Table_ExternalData_1[[#Headers],[8]])</f>
        <v>0</v>
      </c>
      <c r="O44" s="6">
        <f>SUMIFS(GQList,GIList,Table_ExternalData_1[[#This Row],[Item_key]],GDList,Table_ExternalData_1[[#Headers],[9]])</f>
        <v>0</v>
      </c>
      <c r="P44" s="6">
        <f>SUMIFS(GQList,GIList,Table_ExternalData_1[[#This Row],[Item_key]],GDList,Table_ExternalData_1[[#Headers],[10]])</f>
        <v>100</v>
      </c>
      <c r="Q44" s="6">
        <f>SUMIFS(GQList,GIList,Table_ExternalData_1[[#This Row],[Item_key]],GDList,Table_ExternalData_1[[#Headers],[11]])</f>
        <v>0</v>
      </c>
      <c r="R44" s="6">
        <f>SUMIFS(GQList,GIList,Table_ExternalData_1[[#This Row],[Item_key]],GDList,Table_ExternalData_1[[#Headers],[12]])</f>
        <v>0</v>
      </c>
      <c r="S44" s="6">
        <f>SUMIFS(GQList,GIList,Table_ExternalData_1[[#This Row],[Item_key]],GDList,Table_ExternalData_1[[#Headers],[13]])</f>
        <v>0</v>
      </c>
      <c r="T44" s="6">
        <f>SUMIFS(GQList,GIList,Table_ExternalData_1[[#This Row],[Item_key]],GDList,Table_ExternalData_1[[#Headers],[14]])</f>
        <v>0</v>
      </c>
      <c r="U44" s="6">
        <f>SUMIFS(GQList,GIList,Table_ExternalData_1[[#This Row],[Item_key]],GDList,Table_ExternalData_1[[#Headers],[15]])</f>
        <v>0</v>
      </c>
      <c r="V44" s="6">
        <f>SUMIFS(GQList,GIList,Table_ExternalData_1[[#This Row],[Item_key]],GDList,Table_ExternalData_1[[#Headers],[16]])</f>
        <v>0</v>
      </c>
      <c r="W44" s="6">
        <f>SUMIFS(GQList,GIList,Table_ExternalData_1[[#This Row],[Item_key]],GDList,Table_ExternalData_1[[#Headers],[17]])</f>
        <v>0</v>
      </c>
      <c r="X44" s="6">
        <f>SUMIFS(GQList,GIList,Table_ExternalData_1[[#This Row],[Item_key]],GDList,Table_ExternalData_1[[#Headers],[18]])</f>
        <v>0</v>
      </c>
      <c r="Y44" s="6">
        <f>SUMIFS(GQList,GIList,Table_ExternalData_1[[#This Row],[Item_key]],GDList,Table_ExternalData_1[[#Headers],[19]])</f>
        <v>0</v>
      </c>
      <c r="Z44" s="6">
        <f>SUMIFS(GQList,GIList,Table_ExternalData_1[[#This Row],[Item_key]],GDList,Table_ExternalData_1[[#Headers],[20]])</f>
        <v>0</v>
      </c>
      <c r="AA44" s="6">
        <f>SUMIFS(GQList,GIList,Table_ExternalData_1[[#This Row],[Item_key]],GDList,Table_ExternalData_1[[#Headers],[21]])</f>
        <v>0</v>
      </c>
      <c r="AB44" s="6">
        <f>SUMIFS(GQList,GIList,Table_ExternalData_1[[#This Row],[Item_key]],GDList,Table_ExternalData_1[[#Headers],[22]])</f>
        <v>0</v>
      </c>
      <c r="AC44" s="6">
        <f>SUMIFS(GQList,GIList,Table_ExternalData_1[[#This Row],[Item_key]],GDList,Table_ExternalData_1[[#Headers],[23]])</f>
        <v>0</v>
      </c>
      <c r="AD44" s="6">
        <f>SUMIFS(GQList,GIList,Table_ExternalData_1[[#This Row],[Item_key]],GDList,Table_ExternalData_1[[#Headers],[24]])</f>
        <v>0</v>
      </c>
      <c r="AE44" s="6">
        <f>SUMIFS(GQList,GIList,Table_ExternalData_1[[#This Row],[Item_key]],GDList,Table_ExternalData_1[[#Headers],[25]])</f>
        <v>0</v>
      </c>
      <c r="AF44" s="6">
        <f>SUMIFS(GQList,GIList,Table_ExternalData_1[[#This Row],[Item_key]],GDList,Table_ExternalData_1[[#Headers],[26]])</f>
        <v>0</v>
      </c>
      <c r="AG44" s="6">
        <f>SUMIFS(GQList,GIList,Table_ExternalData_1[[#This Row],[Item_key]],GDList,Table_ExternalData_1[[#Headers],[27]])</f>
        <v>0</v>
      </c>
      <c r="AH44" s="6">
        <f>SUMIFS(GQList,GIList,Table_ExternalData_1[[#This Row],[Item_key]],GDList,Table_ExternalData_1[[#Headers],[28]])</f>
        <v>0</v>
      </c>
      <c r="AI44" s="6">
        <f>SUMIFS(GQList,GIList,Table_ExternalData_1[[#This Row],[Item_key]],GDList,Table_ExternalData_1[[#Headers],[29]])</f>
        <v>0</v>
      </c>
      <c r="AJ44" s="6">
        <f>SUMIFS(GQList,GIList,Table_ExternalData_1[[#This Row],[Item_key]],GDList,Table_ExternalData_1[[#Headers],[30]])</f>
        <v>0</v>
      </c>
      <c r="AK44" s="6">
        <f>SUMIFS(GQList,GIList,Table_ExternalData_1[[#This Row],[Item_key]],GDList,Table_ExternalData_1[[#Headers],[31]])</f>
        <v>0</v>
      </c>
      <c r="AL44" s="6">
        <f>SUM(Table_ExternalData_1[[#This Row],[1]:[31]])</f>
        <v>100</v>
      </c>
    </row>
    <row r="45" spans="1:38">
      <c r="A45" s="50" t="s">
        <v>65</v>
      </c>
      <c r="B45" s="3" t="s">
        <v>2366</v>
      </c>
      <c r="C45" s="3" t="s">
        <v>1135</v>
      </c>
      <c r="D45" s="3" t="s">
        <v>2873</v>
      </c>
      <c r="E45" s="3" t="s">
        <v>2874</v>
      </c>
      <c r="F45" s="8" t="s">
        <v>17</v>
      </c>
      <c r="G45" s="6">
        <f>SUMIFS(GQList,GIList,Table_ExternalData_1[[#This Row],[Item_key]],GDList,Table_ExternalData_1[[#Headers],[1]])</f>
        <v>0</v>
      </c>
      <c r="H45" s="6">
        <f>SUMIFS(GQList,GIList,Table_ExternalData_1[[#This Row],[Item_key]],GDList,Table_ExternalData_1[[#Headers],[2]])</f>
        <v>0</v>
      </c>
      <c r="I45" s="6">
        <f>SUMIFS(GQList,GIList,Table_ExternalData_1[[#This Row],[Item_key]],GDList,Table_ExternalData_1[[#Headers],[3]])</f>
        <v>0</v>
      </c>
      <c r="J45" s="6">
        <f>SUMIFS(GQList,GIList,Table_ExternalData_1[[#This Row],[Item_key]],GDList,Table_ExternalData_1[[#Headers],[4]])</f>
        <v>0</v>
      </c>
      <c r="K45" s="6">
        <f>SUMIFS(GQList,GIList,Table_ExternalData_1[[#This Row],[Item_key]],GDList,Table_ExternalData_1[[#Headers],[5]])</f>
        <v>0</v>
      </c>
      <c r="L45" s="6">
        <f>SUMIFS(GQList,GIList,Table_ExternalData_1[[#This Row],[Item_key]],GDList,Table_ExternalData_1[[#Headers],[6]])</f>
        <v>0</v>
      </c>
      <c r="M45" s="6">
        <f>SUMIFS(GQList,GIList,Table_ExternalData_1[[#This Row],[Item_key]],GDList,Table_ExternalData_1[[#Headers],[7]])</f>
        <v>0</v>
      </c>
      <c r="N45" s="6">
        <f>SUMIFS(GQList,GIList,Table_ExternalData_1[[#This Row],[Item_key]],GDList,Table_ExternalData_1[[#Headers],[8]])</f>
        <v>0</v>
      </c>
      <c r="O45" s="6">
        <f>SUMIFS(GQList,GIList,Table_ExternalData_1[[#This Row],[Item_key]],GDList,Table_ExternalData_1[[#Headers],[9]])</f>
        <v>0</v>
      </c>
      <c r="P45" s="6">
        <f>SUMIFS(GQList,GIList,Table_ExternalData_1[[#This Row],[Item_key]],GDList,Table_ExternalData_1[[#Headers],[10]])</f>
        <v>0</v>
      </c>
      <c r="Q45" s="6">
        <f>SUMIFS(GQList,GIList,Table_ExternalData_1[[#This Row],[Item_key]],GDList,Table_ExternalData_1[[#Headers],[11]])</f>
        <v>10</v>
      </c>
      <c r="R45" s="6">
        <f>SUMIFS(GQList,GIList,Table_ExternalData_1[[#This Row],[Item_key]],GDList,Table_ExternalData_1[[#Headers],[12]])</f>
        <v>0</v>
      </c>
      <c r="S45" s="6">
        <f>SUMIFS(GQList,GIList,Table_ExternalData_1[[#This Row],[Item_key]],GDList,Table_ExternalData_1[[#Headers],[13]])</f>
        <v>0</v>
      </c>
      <c r="T45" s="6">
        <f>SUMIFS(GQList,GIList,Table_ExternalData_1[[#This Row],[Item_key]],GDList,Table_ExternalData_1[[#Headers],[14]])</f>
        <v>0</v>
      </c>
      <c r="U45" s="6">
        <f>SUMIFS(GQList,GIList,Table_ExternalData_1[[#This Row],[Item_key]],GDList,Table_ExternalData_1[[#Headers],[15]])</f>
        <v>0</v>
      </c>
      <c r="V45" s="6">
        <f>SUMIFS(GQList,GIList,Table_ExternalData_1[[#This Row],[Item_key]],GDList,Table_ExternalData_1[[#Headers],[16]])</f>
        <v>0</v>
      </c>
      <c r="W45" s="6">
        <f>SUMIFS(GQList,GIList,Table_ExternalData_1[[#This Row],[Item_key]],GDList,Table_ExternalData_1[[#Headers],[17]])</f>
        <v>0</v>
      </c>
      <c r="X45" s="6">
        <f>SUMIFS(GQList,GIList,Table_ExternalData_1[[#This Row],[Item_key]],GDList,Table_ExternalData_1[[#Headers],[18]])</f>
        <v>0</v>
      </c>
      <c r="Y45" s="6">
        <f>SUMIFS(GQList,GIList,Table_ExternalData_1[[#This Row],[Item_key]],GDList,Table_ExternalData_1[[#Headers],[19]])</f>
        <v>0</v>
      </c>
      <c r="Z45" s="6">
        <f>SUMIFS(GQList,GIList,Table_ExternalData_1[[#This Row],[Item_key]],GDList,Table_ExternalData_1[[#Headers],[20]])</f>
        <v>0</v>
      </c>
      <c r="AA45" s="6">
        <f>SUMIFS(GQList,GIList,Table_ExternalData_1[[#This Row],[Item_key]],GDList,Table_ExternalData_1[[#Headers],[21]])</f>
        <v>0</v>
      </c>
      <c r="AB45" s="6">
        <f>SUMIFS(GQList,GIList,Table_ExternalData_1[[#This Row],[Item_key]],GDList,Table_ExternalData_1[[#Headers],[22]])</f>
        <v>0</v>
      </c>
      <c r="AC45" s="6">
        <f>SUMIFS(GQList,GIList,Table_ExternalData_1[[#This Row],[Item_key]],GDList,Table_ExternalData_1[[#Headers],[23]])</f>
        <v>0</v>
      </c>
      <c r="AD45" s="6">
        <f>SUMIFS(GQList,GIList,Table_ExternalData_1[[#This Row],[Item_key]],GDList,Table_ExternalData_1[[#Headers],[24]])</f>
        <v>0</v>
      </c>
      <c r="AE45" s="6">
        <f>SUMIFS(GQList,GIList,Table_ExternalData_1[[#This Row],[Item_key]],GDList,Table_ExternalData_1[[#Headers],[25]])</f>
        <v>0</v>
      </c>
      <c r="AF45" s="6">
        <f>SUMIFS(GQList,GIList,Table_ExternalData_1[[#This Row],[Item_key]],GDList,Table_ExternalData_1[[#Headers],[26]])</f>
        <v>0</v>
      </c>
      <c r="AG45" s="6">
        <f>SUMIFS(GQList,GIList,Table_ExternalData_1[[#This Row],[Item_key]],GDList,Table_ExternalData_1[[#Headers],[27]])</f>
        <v>0</v>
      </c>
      <c r="AH45" s="6">
        <f>SUMIFS(GQList,GIList,Table_ExternalData_1[[#This Row],[Item_key]],GDList,Table_ExternalData_1[[#Headers],[28]])</f>
        <v>0</v>
      </c>
      <c r="AI45" s="6">
        <f>SUMIFS(GQList,GIList,Table_ExternalData_1[[#This Row],[Item_key]],GDList,Table_ExternalData_1[[#Headers],[29]])</f>
        <v>0</v>
      </c>
      <c r="AJ45" s="6">
        <f>SUMIFS(GQList,GIList,Table_ExternalData_1[[#This Row],[Item_key]],GDList,Table_ExternalData_1[[#Headers],[30]])</f>
        <v>0</v>
      </c>
      <c r="AK45" s="6">
        <f>SUMIFS(GQList,GIList,Table_ExternalData_1[[#This Row],[Item_key]],GDList,Table_ExternalData_1[[#Headers],[31]])</f>
        <v>0</v>
      </c>
      <c r="AL45" s="6">
        <f>SUM(Table_ExternalData_1[[#This Row],[1]:[31]])</f>
        <v>10</v>
      </c>
    </row>
    <row r="46" spans="1:38">
      <c r="A46" s="50" t="s">
        <v>65</v>
      </c>
      <c r="B46" s="3" t="s">
        <v>2366</v>
      </c>
      <c r="C46" s="3" t="s">
        <v>1136</v>
      </c>
      <c r="D46" s="3" t="s">
        <v>1598</v>
      </c>
      <c r="E46" s="3" t="s">
        <v>1599</v>
      </c>
      <c r="F46" s="8" t="s">
        <v>17</v>
      </c>
      <c r="G46" s="6">
        <f>SUMIFS(GQList,GIList,Table_ExternalData_1[[#This Row],[Item_key]],GDList,Table_ExternalData_1[[#Headers],[1]])</f>
        <v>0</v>
      </c>
      <c r="H46" s="6">
        <f>SUMIFS(GQList,GIList,Table_ExternalData_1[[#This Row],[Item_key]],GDList,Table_ExternalData_1[[#Headers],[2]])</f>
        <v>0</v>
      </c>
      <c r="I46" s="6">
        <f>SUMIFS(GQList,GIList,Table_ExternalData_1[[#This Row],[Item_key]],GDList,Table_ExternalData_1[[#Headers],[3]])</f>
        <v>0</v>
      </c>
      <c r="J46" s="6">
        <f>SUMIFS(GQList,GIList,Table_ExternalData_1[[#This Row],[Item_key]],GDList,Table_ExternalData_1[[#Headers],[4]])</f>
        <v>0</v>
      </c>
      <c r="K46" s="6">
        <f>SUMIFS(GQList,GIList,Table_ExternalData_1[[#This Row],[Item_key]],GDList,Table_ExternalData_1[[#Headers],[5]])</f>
        <v>0</v>
      </c>
      <c r="L46" s="6">
        <f>SUMIFS(GQList,GIList,Table_ExternalData_1[[#This Row],[Item_key]],GDList,Table_ExternalData_1[[#Headers],[6]])</f>
        <v>0</v>
      </c>
      <c r="M46" s="6">
        <f>SUMIFS(GQList,GIList,Table_ExternalData_1[[#This Row],[Item_key]],GDList,Table_ExternalData_1[[#Headers],[7]])</f>
        <v>0</v>
      </c>
      <c r="N46" s="6">
        <f>SUMIFS(GQList,GIList,Table_ExternalData_1[[#This Row],[Item_key]],GDList,Table_ExternalData_1[[#Headers],[8]])</f>
        <v>0</v>
      </c>
      <c r="O46" s="6">
        <f>SUMIFS(GQList,GIList,Table_ExternalData_1[[#This Row],[Item_key]],GDList,Table_ExternalData_1[[#Headers],[9]])</f>
        <v>0</v>
      </c>
      <c r="P46" s="6">
        <f>SUMIFS(GQList,GIList,Table_ExternalData_1[[#This Row],[Item_key]],GDList,Table_ExternalData_1[[#Headers],[10]])</f>
        <v>10</v>
      </c>
      <c r="Q46" s="6">
        <f>SUMIFS(GQList,GIList,Table_ExternalData_1[[#This Row],[Item_key]],GDList,Table_ExternalData_1[[#Headers],[11]])</f>
        <v>10</v>
      </c>
      <c r="R46" s="6">
        <f>SUMIFS(GQList,GIList,Table_ExternalData_1[[#This Row],[Item_key]],GDList,Table_ExternalData_1[[#Headers],[12]])</f>
        <v>0</v>
      </c>
      <c r="S46" s="6">
        <f>SUMIFS(GQList,GIList,Table_ExternalData_1[[#This Row],[Item_key]],GDList,Table_ExternalData_1[[#Headers],[13]])</f>
        <v>0</v>
      </c>
      <c r="T46" s="6">
        <f>SUMIFS(GQList,GIList,Table_ExternalData_1[[#This Row],[Item_key]],GDList,Table_ExternalData_1[[#Headers],[14]])</f>
        <v>0</v>
      </c>
      <c r="U46" s="6">
        <f>SUMIFS(GQList,GIList,Table_ExternalData_1[[#This Row],[Item_key]],GDList,Table_ExternalData_1[[#Headers],[15]])</f>
        <v>0</v>
      </c>
      <c r="V46" s="6">
        <f>SUMIFS(GQList,GIList,Table_ExternalData_1[[#This Row],[Item_key]],GDList,Table_ExternalData_1[[#Headers],[16]])</f>
        <v>0</v>
      </c>
      <c r="W46" s="6">
        <f>SUMIFS(GQList,GIList,Table_ExternalData_1[[#This Row],[Item_key]],GDList,Table_ExternalData_1[[#Headers],[17]])</f>
        <v>0</v>
      </c>
      <c r="X46" s="6">
        <f>SUMIFS(GQList,GIList,Table_ExternalData_1[[#This Row],[Item_key]],GDList,Table_ExternalData_1[[#Headers],[18]])</f>
        <v>0</v>
      </c>
      <c r="Y46" s="6">
        <f>SUMIFS(GQList,GIList,Table_ExternalData_1[[#This Row],[Item_key]],GDList,Table_ExternalData_1[[#Headers],[19]])</f>
        <v>0</v>
      </c>
      <c r="Z46" s="6">
        <f>SUMIFS(GQList,GIList,Table_ExternalData_1[[#This Row],[Item_key]],GDList,Table_ExternalData_1[[#Headers],[20]])</f>
        <v>0</v>
      </c>
      <c r="AA46" s="6">
        <f>SUMIFS(GQList,GIList,Table_ExternalData_1[[#This Row],[Item_key]],GDList,Table_ExternalData_1[[#Headers],[21]])</f>
        <v>0</v>
      </c>
      <c r="AB46" s="6">
        <f>SUMIFS(GQList,GIList,Table_ExternalData_1[[#This Row],[Item_key]],GDList,Table_ExternalData_1[[#Headers],[22]])</f>
        <v>0</v>
      </c>
      <c r="AC46" s="6">
        <f>SUMIFS(GQList,GIList,Table_ExternalData_1[[#This Row],[Item_key]],GDList,Table_ExternalData_1[[#Headers],[23]])</f>
        <v>0</v>
      </c>
      <c r="AD46" s="6">
        <f>SUMIFS(GQList,GIList,Table_ExternalData_1[[#This Row],[Item_key]],GDList,Table_ExternalData_1[[#Headers],[24]])</f>
        <v>0</v>
      </c>
      <c r="AE46" s="6">
        <f>SUMIFS(GQList,GIList,Table_ExternalData_1[[#This Row],[Item_key]],GDList,Table_ExternalData_1[[#Headers],[25]])</f>
        <v>0</v>
      </c>
      <c r="AF46" s="6">
        <f>SUMIFS(GQList,GIList,Table_ExternalData_1[[#This Row],[Item_key]],GDList,Table_ExternalData_1[[#Headers],[26]])</f>
        <v>0</v>
      </c>
      <c r="AG46" s="6">
        <f>SUMIFS(GQList,GIList,Table_ExternalData_1[[#This Row],[Item_key]],GDList,Table_ExternalData_1[[#Headers],[27]])</f>
        <v>0</v>
      </c>
      <c r="AH46" s="6">
        <f>SUMIFS(GQList,GIList,Table_ExternalData_1[[#This Row],[Item_key]],GDList,Table_ExternalData_1[[#Headers],[28]])</f>
        <v>0</v>
      </c>
      <c r="AI46" s="6">
        <f>SUMIFS(GQList,GIList,Table_ExternalData_1[[#This Row],[Item_key]],GDList,Table_ExternalData_1[[#Headers],[29]])</f>
        <v>0</v>
      </c>
      <c r="AJ46" s="6">
        <f>SUMIFS(GQList,GIList,Table_ExternalData_1[[#This Row],[Item_key]],GDList,Table_ExternalData_1[[#Headers],[30]])</f>
        <v>0</v>
      </c>
      <c r="AK46" s="6">
        <f>SUMIFS(GQList,GIList,Table_ExternalData_1[[#This Row],[Item_key]],GDList,Table_ExternalData_1[[#Headers],[31]])</f>
        <v>0</v>
      </c>
      <c r="AL46" s="6">
        <f>SUM(Table_ExternalData_1[[#This Row],[1]:[31]])</f>
        <v>20</v>
      </c>
    </row>
    <row r="47" spans="1:38">
      <c r="A47" s="50" t="s">
        <v>65</v>
      </c>
      <c r="B47" s="3" t="s">
        <v>2366</v>
      </c>
      <c r="C47" s="3" t="s">
        <v>1137</v>
      </c>
      <c r="D47" s="3" t="s">
        <v>1600</v>
      </c>
      <c r="E47" s="3" t="s">
        <v>1601</v>
      </c>
      <c r="F47" s="8" t="s">
        <v>17</v>
      </c>
      <c r="G47" s="6">
        <f>SUMIFS(GQList,GIList,Table_ExternalData_1[[#This Row],[Item_key]],GDList,Table_ExternalData_1[[#Headers],[1]])</f>
        <v>0</v>
      </c>
      <c r="H47" s="6">
        <f>SUMIFS(GQList,GIList,Table_ExternalData_1[[#This Row],[Item_key]],GDList,Table_ExternalData_1[[#Headers],[2]])</f>
        <v>0</v>
      </c>
      <c r="I47" s="6">
        <f>SUMIFS(GQList,GIList,Table_ExternalData_1[[#This Row],[Item_key]],GDList,Table_ExternalData_1[[#Headers],[3]])</f>
        <v>0</v>
      </c>
      <c r="J47" s="6">
        <f>SUMIFS(GQList,GIList,Table_ExternalData_1[[#This Row],[Item_key]],GDList,Table_ExternalData_1[[#Headers],[4]])</f>
        <v>0</v>
      </c>
      <c r="K47" s="6">
        <f>SUMIFS(GQList,GIList,Table_ExternalData_1[[#This Row],[Item_key]],GDList,Table_ExternalData_1[[#Headers],[5]])</f>
        <v>0</v>
      </c>
      <c r="L47" s="6">
        <f>SUMIFS(GQList,GIList,Table_ExternalData_1[[#This Row],[Item_key]],GDList,Table_ExternalData_1[[#Headers],[6]])</f>
        <v>0</v>
      </c>
      <c r="M47" s="6">
        <f>SUMIFS(GQList,GIList,Table_ExternalData_1[[#This Row],[Item_key]],GDList,Table_ExternalData_1[[#Headers],[7]])</f>
        <v>0</v>
      </c>
      <c r="N47" s="6">
        <f>SUMIFS(GQList,GIList,Table_ExternalData_1[[#This Row],[Item_key]],GDList,Table_ExternalData_1[[#Headers],[8]])</f>
        <v>0</v>
      </c>
      <c r="O47" s="6">
        <f>SUMIFS(GQList,GIList,Table_ExternalData_1[[#This Row],[Item_key]],GDList,Table_ExternalData_1[[#Headers],[9]])</f>
        <v>0</v>
      </c>
      <c r="P47" s="6">
        <f>SUMIFS(GQList,GIList,Table_ExternalData_1[[#This Row],[Item_key]],GDList,Table_ExternalData_1[[#Headers],[10]])</f>
        <v>10</v>
      </c>
      <c r="Q47" s="6">
        <f>SUMIFS(GQList,GIList,Table_ExternalData_1[[#This Row],[Item_key]],GDList,Table_ExternalData_1[[#Headers],[11]])</f>
        <v>10</v>
      </c>
      <c r="R47" s="6">
        <f>SUMIFS(GQList,GIList,Table_ExternalData_1[[#This Row],[Item_key]],GDList,Table_ExternalData_1[[#Headers],[12]])</f>
        <v>0</v>
      </c>
      <c r="S47" s="6">
        <f>SUMIFS(GQList,GIList,Table_ExternalData_1[[#This Row],[Item_key]],GDList,Table_ExternalData_1[[#Headers],[13]])</f>
        <v>0</v>
      </c>
      <c r="T47" s="6">
        <f>SUMIFS(GQList,GIList,Table_ExternalData_1[[#This Row],[Item_key]],GDList,Table_ExternalData_1[[#Headers],[14]])</f>
        <v>0</v>
      </c>
      <c r="U47" s="6">
        <f>SUMIFS(GQList,GIList,Table_ExternalData_1[[#This Row],[Item_key]],GDList,Table_ExternalData_1[[#Headers],[15]])</f>
        <v>0</v>
      </c>
      <c r="V47" s="6">
        <f>SUMIFS(GQList,GIList,Table_ExternalData_1[[#This Row],[Item_key]],GDList,Table_ExternalData_1[[#Headers],[16]])</f>
        <v>0</v>
      </c>
      <c r="W47" s="6">
        <f>SUMIFS(GQList,GIList,Table_ExternalData_1[[#This Row],[Item_key]],GDList,Table_ExternalData_1[[#Headers],[17]])</f>
        <v>0</v>
      </c>
      <c r="X47" s="6">
        <f>SUMIFS(GQList,GIList,Table_ExternalData_1[[#This Row],[Item_key]],GDList,Table_ExternalData_1[[#Headers],[18]])</f>
        <v>0</v>
      </c>
      <c r="Y47" s="6">
        <f>SUMIFS(GQList,GIList,Table_ExternalData_1[[#This Row],[Item_key]],GDList,Table_ExternalData_1[[#Headers],[19]])</f>
        <v>0</v>
      </c>
      <c r="Z47" s="6">
        <f>SUMIFS(GQList,GIList,Table_ExternalData_1[[#This Row],[Item_key]],GDList,Table_ExternalData_1[[#Headers],[20]])</f>
        <v>0</v>
      </c>
      <c r="AA47" s="6">
        <f>SUMIFS(GQList,GIList,Table_ExternalData_1[[#This Row],[Item_key]],GDList,Table_ExternalData_1[[#Headers],[21]])</f>
        <v>0</v>
      </c>
      <c r="AB47" s="6">
        <f>SUMIFS(GQList,GIList,Table_ExternalData_1[[#This Row],[Item_key]],GDList,Table_ExternalData_1[[#Headers],[22]])</f>
        <v>0</v>
      </c>
      <c r="AC47" s="6">
        <f>SUMIFS(GQList,GIList,Table_ExternalData_1[[#This Row],[Item_key]],GDList,Table_ExternalData_1[[#Headers],[23]])</f>
        <v>0</v>
      </c>
      <c r="AD47" s="6">
        <f>SUMIFS(GQList,GIList,Table_ExternalData_1[[#This Row],[Item_key]],GDList,Table_ExternalData_1[[#Headers],[24]])</f>
        <v>0</v>
      </c>
      <c r="AE47" s="6">
        <f>SUMIFS(GQList,GIList,Table_ExternalData_1[[#This Row],[Item_key]],GDList,Table_ExternalData_1[[#Headers],[25]])</f>
        <v>0</v>
      </c>
      <c r="AF47" s="6">
        <f>SUMIFS(GQList,GIList,Table_ExternalData_1[[#This Row],[Item_key]],GDList,Table_ExternalData_1[[#Headers],[26]])</f>
        <v>0</v>
      </c>
      <c r="AG47" s="6">
        <f>SUMIFS(GQList,GIList,Table_ExternalData_1[[#This Row],[Item_key]],GDList,Table_ExternalData_1[[#Headers],[27]])</f>
        <v>0</v>
      </c>
      <c r="AH47" s="6">
        <f>SUMIFS(GQList,GIList,Table_ExternalData_1[[#This Row],[Item_key]],GDList,Table_ExternalData_1[[#Headers],[28]])</f>
        <v>0</v>
      </c>
      <c r="AI47" s="6">
        <f>SUMIFS(GQList,GIList,Table_ExternalData_1[[#This Row],[Item_key]],GDList,Table_ExternalData_1[[#Headers],[29]])</f>
        <v>0</v>
      </c>
      <c r="AJ47" s="6">
        <f>SUMIFS(GQList,GIList,Table_ExternalData_1[[#This Row],[Item_key]],GDList,Table_ExternalData_1[[#Headers],[30]])</f>
        <v>0</v>
      </c>
      <c r="AK47" s="6">
        <f>SUMIFS(GQList,GIList,Table_ExternalData_1[[#This Row],[Item_key]],GDList,Table_ExternalData_1[[#Headers],[31]])</f>
        <v>0</v>
      </c>
      <c r="AL47" s="6">
        <f>SUM(Table_ExternalData_1[[#This Row],[1]:[31]])</f>
        <v>20</v>
      </c>
    </row>
    <row r="48" spans="1:38">
      <c r="A48" s="50" t="s">
        <v>65</v>
      </c>
      <c r="B48" s="3" t="s">
        <v>2366</v>
      </c>
      <c r="C48" s="3" t="s">
        <v>1138</v>
      </c>
      <c r="D48" s="3" t="s">
        <v>1567</v>
      </c>
      <c r="E48" s="3" t="s">
        <v>1568</v>
      </c>
      <c r="F48" s="8" t="s">
        <v>17</v>
      </c>
      <c r="G48" s="6">
        <f>SUMIFS(GQList,GIList,Table_ExternalData_1[[#This Row],[Item_key]],GDList,Table_ExternalData_1[[#Headers],[1]])</f>
        <v>0</v>
      </c>
      <c r="H48" s="6">
        <f>SUMIFS(GQList,GIList,Table_ExternalData_1[[#This Row],[Item_key]],GDList,Table_ExternalData_1[[#Headers],[2]])</f>
        <v>0</v>
      </c>
      <c r="I48" s="6">
        <f>SUMIFS(GQList,GIList,Table_ExternalData_1[[#This Row],[Item_key]],GDList,Table_ExternalData_1[[#Headers],[3]])</f>
        <v>0</v>
      </c>
      <c r="J48" s="6">
        <f>SUMIFS(GQList,GIList,Table_ExternalData_1[[#This Row],[Item_key]],GDList,Table_ExternalData_1[[#Headers],[4]])</f>
        <v>0</v>
      </c>
      <c r="K48" s="6">
        <f>SUMIFS(GQList,GIList,Table_ExternalData_1[[#This Row],[Item_key]],GDList,Table_ExternalData_1[[#Headers],[5]])</f>
        <v>0</v>
      </c>
      <c r="L48" s="6">
        <f>SUMIFS(GQList,GIList,Table_ExternalData_1[[#This Row],[Item_key]],GDList,Table_ExternalData_1[[#Headers],[6]])</f>
        <v>0</v>
      </c>
      <c r="M48" s="6">
        <f>SUMIFS(GQList,GIList,Table_ExternalData_1[[#This Row],[Item_key]],GDList,Table_ExternalData_1[[#Headers],[7]])</f>
        <v>0</v>
      </c>
      <c r="N48" s="6">
        <f>SUMIFS(GQList,GIList,Table_ExternalData_1[[#This Row],[Item_key]],GDList,Table_ExternalData_1[[#Headers],[8]])</f>
        <v>0</v>
      </c>
      <c r="O48" s="6">
        <f>SUMIFS(GQList,GIList,Table_ExternalData_1[[#This Row],[Item_key]],GDList,Table_ExternalData_1[[#Headers],[9]])</f>
        <v>0</v>
      </c>
      <c r="P48" s="6">
        <f>SUMIFS(GQList,GIList,Table_ExternalData_1[[#This Row],[Item_key]],GDList,Table_ExternalData_1[[#Headers],[10]])</f>
        <v>0</v>
      </c>
      <c r="Q48" s="6">
        <f>SUMIFS(GQList,GIList,Table_ExternalData_1[[#This Row],[Item_key]],GDList,Table_ExternalData_1[[#Headers],[11]])</f>
        <v>10</v>
      </c>
      <c r="R48" s="6">
        <f>SUMIFS(GQList,GIList,Table_ExternalData_1[[#This Row],[Item_key]],GDList,Table_ExternalData_1[[#Headers],[12]])</f>
        <v>0</v>
      </c>
      <c r="S48" s="6">
        <f>SUMIFS(GQList,GIList,Table_ExternalData_1[[#This Row],[Item_key]],GDList,Table_ExternalData_1[[#Headers],[13]])</f>
        <v>0</v>
      </c>
      <c r="T48" s="6">
        <f>SUMIFS(GQList,GIList,Table_ExternalData_1[[#This Row],[Item_key]],GDList,Table_ExternalData_1[[#Headers],[14]])</f>
        <v>0</v>
      </c>
      <c r="U48" s="6">
        <f>SUMIFS(GQList,GIList,Table_ExternalData_1[[#This Row],[Item_key]],GDList,Table_ExternalData_1[[#Headers],[15]])</f>
        <v>0</v>
      </c>
      <c r="V48" s="6">
        <f>SUMIFS(GQList,GIList,Table_ExternalData_1[[#This Row],[Item_key]],GDList,Table_ExternalData_1[[#Headers],[16]])</f>
        <v>0</v>
      </c>
      <c r="W48" s="6">
        <f>SUMIFS(GQList,GIList,Table_ExternalData_1[[#This Row],[Item_key]],GDList,Table_ExternalData_1[[#Headers],[17]])</f>
        <v>0</v>
      </c>
      <c r="X48" s="6">
        <f>SUMIFS(GQList,GIList,Table_ExternalData_1[[#This Row],[Item_key]],GDList,Table_ExternalData_1[[#Headers],[18]])</f>
        <v>0</v>
      </c>
      <c r="Y48" s="6">
        <f>SUMIFS(GQList,GIList,Table_ExternalData_1[[#This Row],[Item_key]],GDList,Table_ExternalData_1[[#Headers],[19]])</f>
        <v>0</v>
      </c>
      <c r="Z48" s="6">
        <f>SUMIFS(GQList,GIList,Table_ExternalData_1[[#This Row],[Item_key]],GDList,Table_ExternalData_1[[#Headers],[20]])</f>
        <v>0</v>
      </c>
      <c r="AA48" s="6">
        <f>SUMIFS(GQList,GIList,Table_ExternalData_1[[#This Row],[Item_key]],GDList,Table_ExternalData_1[[#Headers],[21]])</f>
        <v>0</v>
      </c>
      <c r="AB48" s="6">
        <f>SUMIFS(GQList,GIList,Table_ExternalData_1[[#This Row],[Item_key]],GDList,Table_ExternalData_1[[#Headers],[22]])</f>
        <v>0</v>
      </c>
      <c r="AC48" s="6">
        <f>SUMIFS(GQList,GIList,Table_ExternalData_1[[#This Row],[Item_key]],GDList,Table_ExternalData_1[[#Headers],[23]])</f>
        <v>0</v>
      </c>
      <c r="AD48" s="6">
        <f>SUMIFS(GQList,GIList,Table_ExternalData_1[[#This Row],[Item_key]],GDList,Table_ExternalData_1[[#Headers],[24]])</f>
        <v>0</v>
      </c>
      <c r="AE48" s="6">
        <f>SUMIFS(GQList,GIList,Table_ExternalData_1[[#This Row],[Item_key]],GDList,Table_ExternalData_1[[#Headers],[25]])</f>
        <v>0</v>
      </c>
      <c r="AF48" s="6">
        <f>SUMIFS(GQList,GIList,Table_ExternalData_1[[#This Row],[Item_key]],GDList,Table_ExternalData_1[[#Headers],[26]])</f>
        <v>0</v>
      </c>
      <c r="AG48" s="6">
        <f>SUMIFS(GQList,GIList,Table_ExternalData_1[[#This Row],[Item_key]],GDList,Table_ExternalData_1[[#Headers],[27]])</f>
        <v>0</v>
      </c>
      <c r="AH48" s="6">
        <f>SUMIFS(GQList,GIList,Table_ExternalData_1[[#This Row],[Item_key]],GDList,Table_ExternalData_1[[#Headers],[28]])</f>
        <v>0</v>
      </c>
      <c r="AI48" s="6">
        <f>SUMIFS(GQList,GIList,Table_ExternalData_1[[#This Row],[Item_key]],GDList,Table_ExternalData_1[[#Headers],[29]])</f>
        <v>0</v>
      </c>
      <c r="AJ48" s="6">
        <f>SUMIFS(GQList,GIList,Table_ExternalData_1[[#This Row],[Item_key]],GDList,Table_ExternalData_1[[#Headers],[30]])</f>
        <v>0</v>
      </c>
      <c r="AK48" s="6">
        <f>SUMIFS(GQList,GIList,Table_ExternalData_1[[#This Row],[Item_key]],GDList,Table_ExternalData_1[[#Headers],[31]])</f>
        <v>0</v>
      </c>
      <c r="AL48" s="6">
        <f>SUM(Table_ExternalData_1[[#This Row],[1]:[31]])</f>
        <v>10</v>
      </c>
    </row>
    <row r="49" spans="1:38">
      <c r="A49" s="50" t="s">
        <v>65</v>
      </c>
      <c r="B49" s="3" t="s">
        <v>2366</v>
      </c>
      <c r="C49" s="3" t="s">
        <v>1139</v>
      </c>
      <c r="D49" s="3" t="s">
        <v>1569</v>
      </c>
      <c r="E49" s="3" t="s">
        <v>1570</v>
      </c>
      <c r="F49" s="8" t="s">
        <v>17</v>
      </c>
      <c r="G49" s="6">
        <f>SUMIFS(GQList,GIList,Table_ExternalData_1[[#This Row],[Item_key]],GDList,Table_ExternalData_1[[#Headers],[1]])</f>
        <v>0</v>
      </c>
      <c r="H49" s="6">
        <f>SUMIFS(GQList,GIList,Table_ExternalData_1[[#This Row],[Item_key]],GDList,Table_ExternalData_1[[#Headers],[2]])</f>
        <v>0</v>
      </c>
      <c r="I49" s="6">
        <f>SUMIFS(GQList,GIList,Table_ExternalData_1[[#This Row],[Item_key]],GDList,Table_ExternalData_1[[#Headers],[3]])</f>
        <v>0</v>
      </c>
      <c r="J49" s="6">
        <f>SUMIFS(GQList,GIList,Table_ExternalData_1[[#This Row],[Item_key]],GDList,Table_ExternalData_1[[#Headers],[4]])</f>
        <v>0</v>
      </c>
      <c r="K49" s="6">
        <f>SUMIFS(GQList,GIList,Table_ExternalData_1[[#This Row],[Item_key]],GDList,Table_ExternalData_1[[#Headers],[5]])</f>
        <v>0</v>
      </c>
      <c r="L49" s="6">
        <f>SUMIFS(GQList,GIList,Table_ExternalData_1[[#This Row],[Item_key]],GDList,Table_ExternalData_1[[#Headers],[6]])</f>
        <v>0</v>
      </c>
      <c r="M49" s="6">
        <f>SUMIFS(GQList,GIList,Table_ExternalData_1[[#This Row],[Item_key]],GDList,Table_ExternalData_1[[#Headers],[7]])</f>
        <v>0</v>
      </c>
      <c r="N49" s="6">
        <f>SUMIFS(GQList,GIList,Table_ExternalData_1[[#This Row],[Item_key]],GDList,Table_ExternalData_1[[#Headers],[8]])</f>
        <v>0</v>
      </c>
      <c r="O49" s="6">
        <f>SUMIFS(GQList,GIList,Table_ExternalData_1[[#This Row],[Item_key]],GDList,Table_ExternalData_1[[#Headers],[9]])</f>
        <v>0</v>
      </c>
      <c r="P49" s="6">
        <f>SUMIFS(GQList,GIList,Table_ExternalData_1[[#This Row],[Item_key]],GDList,Table_ExternalData_1[[#Headers],[10]])</f>
        <v>0</v>
      </c>
      <c r="Q49" s="6">
        <f>SUMIFS(GQList,GIList,Table_ExternalData_1[[#This Row],[Item_key]],GDList,Table_ExternalData_1[[#Headers],[11]])</f>
        <v>10</v>
      </c>
      <c r="R49" s="6">
        <f>SUMIFS(GQList,GIList,Table_ExternalData_1[[#This Row],[Item_key]],GDList,Table_ExternalData_1[[#Headers],[12]])</f>
        <v>0</v>
      </c>
      <c r="S49" s="6">
        <f>SUMIFS(GQList,GIList,Table_ExternalData_1[[#This Row],[Item_key]],GDList,Table_ExternalData_1[[#Headers],[13]])</f>
        <v>0</v>
      </c>
      <c r="T49" s="6">
        <f>SUMIFS(GQList,GIList,Table_ExternalData_1[[#This Row],[Item_key]],GDList,Table_ExternalData_1[[#Headers],[14]])</f>
        <v>0</v>
      </c>
      <c r="U49" s="6">
        <f>SUMIFS(GQList,GIList,Table_ExternalData_1[[#This Row],[Item_key]],GDList,Table_ExternalData_1[[#Headers],[15]])</f>
        <v>0</v>
      </c>
      <c r="V49" s="6">
        <f>SUMIFS(GQList,GIList,Table_ExternalData_1[[#This Row],[Item_key]],GDList,Table_ExternalData_1[[#Headers],[16]])</f>
        <v>0</v>
      </c>
      <c r="W49" s="6">
        <f>SUMIFS(GQList,GIList,Table_ExternalData_1[[#This Row],[Item_key]],GDList,Table_ExternalData_1[[#Headers],[17]])</f>
        <v>0</v>
      </c>
      <c r="X49" s="6">
        <f>SUMIFS(GQList,GIList,Table_ExternalData_1[[#This Row],[Item_key]],GDList,Table_ExternalData_1[[#Headers],[18]])</f>
        <v>0</v>
      </c>
      <c r="Y49" s="6">
        <f>SUMIFS(GQList,GIList,Table_ExternalData_1[[#This Row],[Item_key]],GDList,Table_ExternalData_1[[#Headers],[19]])</f>
        <v>0</v>
      </c>
      <c r="Z49" s="6">
        <f>SUMIFS(GQList,GIList,Table_ExternalData_1[[#This Row],[Item_key]],GDList,Table_ExternalData_1[[#Headers],[20]])</f>
        <v>0</v>
      </c>
      <c r="AA49" s="6">
        <f>SUMIFS(GQList,GIList,Table_ExternalData_1[[#This Row],[Item_key]],GDList,Table_ExternalData_1[[#Headers],[21]])</f>
        <v>0</v>
      </c>
      <c r="AB49" s="6">
        <f>SUMIFS(GQList,GIList,Table_ExternalData_1[[#This Row],[Item_key]],GDList,Table_ExternalData_1[[#Headers],[22]])</f>
        <v>0</v>
      </c>
      <c r="AC49" s="6">
        <f>SUMIFS(GQList,GIList,Table_ExternalData_1[[#This Row],[Item_key]],GDList,Table_ExternalData_1[[#Headers],[23]])</f>
        <v>0</v>
      </c>
      <c r="AD49" s="6">
        <f>SUMIFS(GQList,GIList,Table_ExternalData_1[[#This Row],[Item_key]],GDList,Table_ExternalData_1[[#Headers],[24]])</f>
        <v>0</v>
      </c>
      <c r="AE49" s="6">
        <f>SUMIFS(GQList,GIList,Table_ExternalData_1[[#This Row],[Item_key]],GDList,Table_ExternalData_1[[#Headers],[25]])</f>
        <v>0</v>
      </c>
      <c r="AF49" s="6">
        <f>SUMIFS(GQList,GIList,Table_ExternalData_1[[#This Row],[Item_key]],GDList,Table_ExternalData_1[[#Headers],[26]])</f>
        <v>0</v>
      </c>
      <c r="AG49" s="6">
        <f>SUMIFS(GQList,GIList,Table_ExternalData_1[[#This Row],[Item_key]],GDList,Table_ExternalData_1[[#Headers],[27]])</f>
        <v>0</v>
      </c>
      <c r="AH49" s="6">
        <f>SUMIFS(GQList,GIList,Table_ExternalData_1[[#This Row],[Item_key]],GDList,Table_ExternalData_1[[#Headers],[28]])</f>
        <v>0</v>
      </c>
      <c r="AI49" s="6">
        <f>SUMIFS(GQList,GIList,Table_ExternalData_1[[#This Row],[Item_key]],GDList,Table_ExternalData_1[[#Headers],[29]])</f>
        <v>0</v>
      </c>
      <c r="AJ49" s="6">
        <f>SUMIFS(GQList,GIList,Table_ExternalData_1[[#This Row],[Item_key]],GDList,Table_ExternalData_1[[#Headers],[30]])</f>
        <v>0</v>
      </c>
      <c r="AK49" s="6">
        <f>SUMIFS(GQList,GIList,Table_ExternalData_1[[#This Row],[Item_key]],GDList,Table_ExternalData_1[[#Headers],[31]])</f>
        <v>0</v>
      </c>
      <c r="AL49" s="6">
        <f>SUM(Table_ExternalData_1[[#This Row],[1]:[31]])</f>
        <v>10</v>
      </c>
    </row>
    <row r="50" spans="1:38">
      <c r="A50" s="50" t="s">
        <v>65</v>
      </c>
      <c r="B50" s="3" t="s">
        <v>2366</v>
      </c>
      <c r="C50" s="3" t="s">
        <v>1140</v>
      </c>
      <c r="D50" s="3" t="s">
        <v>1571</v>
      </c>
      <c r="E50" s="3" t="s">
        <v>1572</v>
      </c>
      <c r="F50" s="8" t="s">
        <v>17</v>
      </c>
      <c r="G50" s="6">
        <f>SUMIFS(GQList,GIList,Table_ExternalData_1[[#This Row],[Item_key]],GDList,Table_ExternalData_1[[#Headers],[1]])</f>
        <v>0</v>
      </c>
      <c r="H50" s="6">
        <f>SUMIFS(GQList,GIList,Table_ExternalData_1[[#This Row],[Item_key]],GDList,Table_ExternalData_1[[#Headers],[2]])</f>
        <v>0</v>
      </c>
      <c r="I50" s="6">
        <f>SUMIFS(GQList,GIList,Table_ExternalData_1[[#This Row],[Item_key]],GDList,Table_ExternalData_1[[#Headers],[3]])</f>
        <v>0</v>
      </c>
      <c r="J50" s="6">
        <f>SUMIFS(GQList,GIList,Table_ExternalData_1[[#This Row],[Item_key]],GDList,Table_ExternalData_1[[#Headers],[4]])</f>
        <v>0</v>
      </c>
      <c r="K50" s="6">
        <f>SUMIFS(GQList,GIList,Table_ExternalData_1[[#This Row],[Item_key]],GDList,Table_ExternalData_1[[#Headers],[5]])</f>
        <v>0</v>
      </c>
      <c r="L50" s="6">
        <f>SUMIFS(GQList,GIList,Table_ExternalData_1[[#This Row],[Item_key]],GDList,Table_ExternalData_1[[#Headers],[6]])</f>
        <v>0</v>
      </c>
      <c r="M50" s="6">
        <f>SUMIFS(GQList,GIList,Table_ExternalData_1[[#This Row],[Item_key]],GDList,Table_ExternalData_1[[#Headers],[7]])</f>
        <v>0</v>
      </c>
      <c r="N50" s="6">
        <f>SUMIFS(GQList,GIList,Table_ExternalData_1[[#This Row],[Item_key]],GDList,Table_ExternalData_1[[#Headers],[8]])</f>
        <v>0</v>
      </c>
      <c r="O50" s="6">
        <f>SUMIFS(GQList,GIList,Table_ExternalData_1[[#This Row],[Item_key]],GDList,Table_ExternalData_1[[#Headers],[9]])</f>
        <v>0</v>
      </c>
      <c r="P50" s="6">
        <f>SUMIFS(GQList,GIList,Table_ExternalData_1[[#This Row],[Item_key]],GDList,Table_ExternalData_1[[#Headers],[10]])</f>
        <v>0</v>
      </c>
      <c r="Q50" s="6">
        <f>SUMIFS(GQList,GIList,Table_ExternalData_1[[#This Row],[Item_key]],GDList,Table_ExternalData_1[[#Headers],[11]])</f>
        <v>6</v>
      </c>
      <c r="R50" s="6">
        <f>SUMIFS(GQList,GIList,Table_ExternalData_1[[#This Row],[Item_key]],GDList,Table_ExternalData_1[[#Headers],[12]])</f>
        <v>0</v>
      </c>
      <c r="S50" s="6">
        <f>SUMIFS(GQList,GIList,Table_ExternalData_1[[#This Row],[Item_key]],GDList,Table_ExternalData_1[[#Headers],[13]])</f>
        <v>0</v>
      </c>
      <c r="T50" s="6">
        <f>SUMIFS(GQList,GIList,Table_ExternalData_1[[#This Row],[Item_key]],GDList,Table_ExternalData_1[[#Headers],[14]])</f>
        <v>0</v>
      </c>
      <c r="U50" s="6">
        <f>SUMIFS(GQList,GIList,Table_ExternalData_1[[#This Row],[Item_key]],GDList,Table_ExternalData_1[[#Headers],[15]])</f>
        <v>0</v>
      </c>
      <c r="V50" s="6">
        <f>SUMIFS(GQList,GIList,Table_ExternalData_1[[#This Row],[Item_key]],GDList,Table_ExternalData_1[[#Headers],[16]])</f>
        <v>0</v>
      </c>
      <c r="W50" s="6">
        <f>SUMIFS(GQList,GIList,Table_ExternalData_1[[#This Row],[Item_key]],GDList,Table_ExternalData_1[[#Headers],[17]])</f>
        <v>0</v>
      </c>
      <c r="X50" s="6">
        <f>SUMIFS(GQList,GIList,Table_ExternalData_1[[#This Row],[Item_key]],GDList,Table_ExternalData_1[[#Headers],[18]])</f>
        <v>0</v>
      </c>
      <c r="Y50" s="6">
        <f>SUMIFS(GQList,GIList,Table_ExternalData_1[[#This Row],[Item_key]],GDList,Table_ExternalData_1[[#Headers],[19]])</f>
        <v>0</v>
      </c>
      <c r="Z50" s="6">
        <f>SUMIFS(GQList,GIList,Table_ExternalData_1[[#This Row],[Item_key]],GDList,Table_ExternalData_1[[#Headers],[20]])</f>
        <v>0</v>
      </c>
      <c r="AA50" s="6">
        <f>SUMIFS(GQList,GIList,Table_ExternalData_1[[#This Row],[Item_key]],GDList,Table_ExternalData_1[[#Headers],[21]])</f>
        <v>0</v>
      </c>
      <c r="AB50" s="6">
        <f>SUMIFS(GQList,GIList,Table_ExternalData_1[[#This Row],[Item_key]],GDList,Table_ExternalData_1[[#Headers],[22]])</f>
        <v>0</v>
      </c>
      <c r="AC50" s="6">
        <f>SUMIFS(GQList,GIList,Table_ExternalData_1[[#This Row],[Item_key]],GDList,Table_ExternalData_1[[#Headers],[23]])</f>
        <v>0</v>
      </c>
      <c r="AD50" s="6">
        <f>SUMIFS(GQList,GIList,Table_ExternalData_1[[#This Row],[Item_key]],GDList,Table_ExternalData_1[[#Headers],[24]])</f>
        <v>0</v>
      </c>
      <c r="AE50" s="6">
        <f>SUMIFS(GQList,GIList,Table_ExternalData_1[[#This Row],[Item_key]],GDList,Table_ExternalData_1[[#Headers],[25]])</f>
        <v>0</v>
      </c>
      <c r="AF50" s="6">
        <f>SUMIFS(GQList,GIList,Table_ExternalData_1[[#This Row],[Item_key]],GDList,Table_ExternalData_1[[#Headers],[26]])</f>
        <v>0</v>
      </c>
      <c r="AG50" s="6">
        <f>SUMIFS(GQList,GIList,Table_ExternalData_1[[#This Row],[Item_key]],GDList,Table_ExternalData_1[[#Headers],[27]])</f>
        <v>0</v>
      </c>
      <c r="AH50" s="6">
        <f>SUMIFS(GQList,GIList,Table_ExternalData_1[[#This Row],[Item_key]],GDList,Table_ExternalData_1[[#Headers],[28]])</f>
        <v>0</v>
      </c>
      <c r="AI50" s="6">
        <f>SUMIFS(GQList,GIList,Table_ExternalData_1[[#This Row],[Item_key]],GDList,Table_ExternalData_1[[#Headers],[29]])</f>
        <v>0</v>
      </c>
      <c r="AJ50" s="6">
        <f>SUMIFS(GQList,GIList,Table_ExternalData_1[[#This Row],[Item_key]],GDList,Table_ExternalData_1[[#Headers],[30]])</f>
        <v>0</v>
      </c>
      <c r="AK50" s="6">
        <f>SUMIFS(GQList,GIList,Table_ExternalData_1[[#This Row],[Item_key]],GDList,Table_ExternalData_1[[#Headers],[31]])</f>
        <v>0</v>
      </c>
      <c r="AL50" s="6">
        <f>SUM(Table_ExternalData_1[[#This Row],[1]:[31]])</f>
        <v>6</v>
      </c>
    </row>
    <row r="51" spans="1:38">
      <c r="A51" s="50" t="s">
        <v>65</v>
      </c>
      <c r="B51" s="3" t="s">
        <v>2366</v>
      </c>
      <c r="C51" s="3" t="s">
        <v>1141</v>
      </c>
      <c r="D51" s="3" t="s">
        <v>1602</v>
      </c>
      <c r="E51" s="3" t="s">
        <v>1603</v>
      </c>
      <c r="F51" s="8" t="s">
        <v>17</v>
      </c>
      <c r="G51" s="6">
        <f>SUMIFS(GQList,GIList,Table_ExternalData_1[[#This Row],[Item_key]],GDList,Table_ExternalData_1[[#Headers],[1]])</f>
        <v>0</v>
      </c>
      <c r="H51" s="6">
        <f>SUMIFS(GQList,GIList,Table_ExternalData_1[[#This Row],[Item_key]],GDList,Table_ExternalData_1[[#Headers],[2]])</f>
        <v>0</v>
      </c>
      <c r="I51" s="6">
        <f>SUMIFS(GQList,GIList,Table_ExternalData_1[[#This Row],[Item_key]],GDList,Table_ExternalData_1[[#Headers],[3]])</f>
        <v>0</v>
      </c>
      <c r="J51" s="6">
        <f>SUMIFS(GQList,GIList,Table_ExternalData_1[[#This Row],[Item_key]],GDList,Table_ExternalData_1[[#Headers],[4]])</f>
        <v>0</v>
      </c>
      <c r="K51" s="6">
        <f>SUMIFS(GQList,GIList,Table_ExternalData_1[[#This Row],[Item_key]],GDList,Table_ExternalData_1[[#Headers],[5]])</f>
        <v>0</v>
      </c>
      <c r="L51" s="6">
        <f>SUMIFS(GQList,GIList,Table_ExternalData_1[[#This Row],[Item_key]],GDList,Table_ExternalData_1[[#Headers],[6]])</f>
        <v>0</v>
      </c>
      <c r="M51" s="6">
        <f>SUMIFS(GQList,GIList,Table_ExternalData_1[[#This Row],[Item_key]],GDList,Table_ExternalData_1[[#Headers],[7]])</f>
        <v>0</v>
      </c>
      <c r="N51" s="6">
        <f>SUMIFS(GQList,GIList,Table_ExternalData_1[[#This Row],[Item_key]],GDList,Table_ExternalData_1[[#Headers],[8]])</f>
        <v>0</v>
      </c>
      <c r="O51" s="6">
        <f>SUMIFS(GQList,GIList,Table_ExternalData_1[[#This Row],[Item_key]],GDList,Table_ExternalData_1[[#Headers],[9]])</f>
        <v>0</v>
      </c>
      <c r="P51" s="6">
        <f>SUMIFS(GQList,GIList,Table_ExternalData_1[[#This Row],[Item_key]],GDList,Table_ExternalData_1[[#Headers],[10]])</f>
        <v>6</v>
      </c>
      <c r="Q51" s="6">
        <f>SUMIFS(GQList,GIList,Table_ExternalData_1[[#This Row],[Item_key]],GDList,Table_ExternalData_1[[#Headers],[11]])</f>
        <v>6</v>
      </c>
      <c r="R51" s="6">
        <f>SUMIFS(GQList,GIList,Table_ExternalData_1[[#This Row],[Item_key]],GDList,Table_ExternalData_1[[#Headers],[12]])</f>
        <v>0</v>
      </c>
      <c r="S51" s="6">
        <f>SUMIFS(GQList,GIList,Table_ExternalData_1[[#This Row],[Item_key]],GDList,Table_ExternalData_1[[#Headers],[13]])</f>
        <v>0</v>
      </c>
      <c r="T51" s="6">
        <f>SUMIFS(GQList,GIList,Table_ExternalData_1[[#This Row],[Item_key]],GDList,Table_ExternalData_1[[#Headers],[14]])</f>
        <v>0</v>
      </c>
      <c r="U51" s="6">
        <f>SUMIFS(GQList,GIList,Table_ExternalData_1[[#This Row],[Item_key]],GDList,Table_ExternalData_1[[#Headers],[15]])</f>
        <v>0</v>
      </c>
      <c r="V51" s="6">
        <f>SUMIFS(GQList,GIList,Table_ExternalData_1[[#This Row],[Item_key]],GDList,Table_ExternalData_1[[#Headers],[16]])</f>
        <v>0</v>
      </c>
      <c r="W51" s="6">
        <f>SUMIFS(GQList,GIList,Table_ExternalData_1[[#This Row],[Item_key]],GDList,Table_ExternalData_1[[#Headers],[17]])</f>
        <v>0</v>
      </c>
      <c r="X51" s="6">
        <f>SUMIFS(GQList,GIList,Table_ExternalData_1[[#This Row],[Item_key]],GDList,Table_ExternalData_1[[#Headers],[18]])</f>
        <v>0</v>
      </c>
      <c r="Y51" s="6">
        <f>SUMIFS(GQList,GIList,Table_ExternalData_1[[#This Row],[Item_key]],GDList,Table_ExternalData_1[[#Headers],[19]])</f>
        <v>0</v>
      </c>
      <c r="Z51" s="6">
        <f>SUMIFS(GQList,GIList,Table_ExternalData_1[[#This Row],[Item_key]],GDList,Table_ExternalData_1[[#Headers],[20]])</f>
        <v>0</v>
      </c>
      <c r="AA51" s="6">
        <f>SUMIFS(GQList,GIList,Table_ExternalData_1[[#This Row],[Item_key]],GDList,Table_ExternalData_1[[#Headers],[21]])</f>
        <v>0</v>
      </c>
      <c r="AB51" s="6">
        <f>SUMIFS(GQList,GIList,Table_ExternalData_1[[#This Row],[Item_key]],GDList,Table_ExternalData_1[[#Headers],[22]])</f>
        <v>0</v>
      </c>
      <c r="AC51" s="6">
        <f>SUMIFS(GQList,GIList,Table_ExternalData_1[[#This Row],[Item_key]],GDList,Table_ExternalData_1[[#Headers],[23]])</f>
        <v>0</v>
      </c>
      <c r="AD51" s="6">
        <f>SUMIFS(GQList,GIList,Table_ExternalData_1[[#This Row],[Item_key]],GDList,Table_ExternalData_1[[#Headers],[24]])</f>
        <v>0</v>
      </c>
      <c r="AE51" s="6">
        <f>SUMIFS(GQList,GIList,Table_ExternalData_1[[#This Row],[Item_key]],GDList,Table_ExternalData_1[[#Headers],[25]])</f>
        <v>0</v>
      </c>
      <c r="AF51" s="6">
        <f>SUMIFS(GQList,GIList,Table_ExternalData_1[[#This Row],[Item_key]],GDList,Table_ExternalData_1[[#Headers],[26]])</f>
        <v>0</v>
      </c>
      <c r="AG51" s="6">
        <f>SUMIFS(GQList,GIList,Table_ExternalData_1[[#This Row],[Item_key]],GDList,Table_ExternalData_1[[#Headers],[27]])</f>
        <v>0</v>
      </c>
      <c r="AH51" s="6">
        <f>SUMIFS(GQList,GIList,Table_ExternalData_1[[#This Row],[Item_key]],GDList,Table_ExternalData_1[[#Headers],[28]])</f>
        <v>0</v>
      </c>
      <c r="AI51" s="6">
        <f>SUMIFS(GQList,GIList,Table_ExternalData_1[[#This Row],[Item_key]],GDList,Table_ExternalData_1[[#Headers],[29]])</f>
        <v>0</v>
      </c>
      <c r="AJ51" s="6">
        <f>SUMIFS(GQList,GIList,Table_ExternalData_1[[#This Row],[Item_key]],GDList,Table_ExternalData_1[[#Headers],[30]])</f>
        <v>0</v>
      </c>
      <c r="AK51" s="6">
        <f>SUMIFS(GQList,GIList,Table_ExternalData_1[[#This Row],[Item_key]],GDList,Table_ExternalData_1[[#Headers],[31]])</f>
        <v>0</v>
      </c>
      <c r="AL51" s="6">
        <f>SUM(Table_ExternalData_1[[#This Row],[1]:[31]])</f>
        <v>12</v>
      </c>
    </row>
    <row r="52" spans="1:38">
      <c r="A52" s="50" t="s">
        <v>65</v>
      </c>
      <c r="B52" s="3" t="s">
        <v>2366</v>
      </c>
      <c r="C52" s="3" t="s">
        <v>1142</v>
      </c>
      <c r="D52" s="3" t="s">
        <v>1604</v>
      </c>
      <c r="E52" s="3" t="s">
        <v>1605</v>
      </c>
      <c r="F52" s="8" t="s">
        <v>17</v>
      </c>
      <c r="G52" s="6">
        <f>SUMIFS(GQList,GIList,Table_ExternalData_1[[#This Row],[Item_key]],GDList,Table_ExternalData_1[[#Headers],[1]])</f>
        <v>0</v>
      </c>
      <c r="H52" s="6">
        <f>SUMIFS(GQList,GIList,Table_ExternalData_1[[#This Row],[Item_key]],GDList,Table_ExternalData_1[[#Headers],[2]])</f>
        <v>0</v>
      </c>
      <c r="I52" s="6">
        <f>SUMIFS(GQList,GIList,Table_ExternalData_1[[#This Row],[Item_key]],GDList,Table_ExternalData_1[[#Headers],[3]])</f>
        <v>0</v>
      </c>
      <c r="J52" s="6">
        <f>SUMIFS(GQList,GIList,Table_ExternalData_1[[#This Row],[Item_key]],GDList,Table_ExternalData_1[[#Headers],[4]])</f>
        <v>0</v>
      </c>
      <c r="K52" s="6">
        <f>SUMIFS(GQList,GIList,Table_ExternalData_1[[#This Row],[Item_key]],GDList,Table_ExternalData_1[[#Headers],[5]])</f>
        <v>0</v>
      </c>
      <c r="L52" s="6">
        <f>SUMIFS(GQList,GIList,Table_ExternalData_1[[#This Row],[Item_key]],GDList,Table_ExternalData_1[[#Headers],[6]])</f>
        <v>0</v>
      </c>
      <c r="M52" s="6">
        <f>SUMIFS(GQList,GIList,Table_ExternalData_1[[#This Row],[Item_key]],GDList,Table_ExternalData_1[[#Headers],[7]])</f>
        <v>0</v>
      </c>
      <c r="N52" s="6">
        <f>SUMIFS(GQList,GIList,Table_ExternalData_1[[#This Row],[Item_key]],GDList,Table_ExternalData_1[[#Headers],[8]])</f>
        <v>0</v>
      </c>
      <c r="O52" s="6">
        <f>SUMIFS(GQList,GIList,Table_ExternalData_1[[#This Row],[Item_key]],GDList,Table_ExternalData_1[[#Headers],[9]])</f>
        <v>0</v>
      </c>
      <c r="P52" s="6">
        <f>SUMIFS(GQList,GIList,Table_ExternalData_1[[#This Row],[Item_key]],GDList,Table_ExternalData_1[[#Headers],[10]])</f>
        <v>6</v>
      </c>
      <c r="Q52" s="6">
        <f>SUMIFS(GQList,GIList,Table_ExternalData_1[[#This Row],[Item_key]],GDList,Table_ExternalData_1[[#Headers],[11]])</f>
        <v>6</v>
      </c>
      <c r="R52" s="6">
        <f>SUMIFS(GQList,GIList,Table_ExternalData_1[[#This Row],[Item_key]],GDList,Table_ExternalData_1[[#Headers],[12]])</f>
        <v>0</v>
      </c>
      <c r="S52" s="6">
        <f>SUMIFS(GQList,GIList,Table_ExternalData_1[[#This Row],[Item_key]],GDList,Table_ExternalData_1[[#Headers],[13]])</f>
        <v>0</v>
      </c>
      <c r="T52" s="6">
        <f>SUMIFS(GQList,GIList,Table_ExternalData_1[[#This Row],[Item_key]],GDList,Table_ExternalData_1[[#Headers],[14]])</f>
        <v>0</v>
      </c>
      <c r="U52" s="6">
        <f>SUMIFS(GQList,GIList,Table_ExternalData_1[[#This Row],[Item_key]],GDList,Table_ExternalData_1[[#Headers],[15]])</f>
        <v>0</v>
      </c>
      <c r="V52" s="6">
        <f>SUMIFS(GQList,GIList,Table_ExternalData_1[[#This Row],[Item_key]],GDList,Table_ExternalData_1[[#Headers],[16]])</f>
        <v>0</v>
      </c>
      <c r="W52" s="6">
        <f>SUMIFS(GQList,GIList,Table_ExternalData_1[[#This Row],[Item_key]],GDList,Table_ExternalData_1[[#Headers],[17]])</f>
        <v>0</v>
      </c>
      <c r="X52" s="6">
        <f>SUMIFS(GQList,GIList,Table_ExternalData_1[[#This Row],[Item_key]],GDList,Table_ExternalData_1[[#Headers],[18]])</f>
        <v>0</v>
      </c>
      <c r="Y52" s="6">
        <f>SUMIFS(GQList,GIList,Table_ExternalData_1[[#This Row],[Item_key]],GDList,Table_ExternalData_1[[#Headers],[19]])</f>
        <v>0</v>
      </c>
      <c r="Z52" s="6">
        <f>SUMIFS(GQList,GIList,Table_ExternalData_1[[#This Row],[Item_key]],GDList,Table_ExternalData_1[[#Headers],[20]])</f>
        <v>0</v>
      </c>
      <c r="AA52" s="6">
        <f>SUMIFS(GQList,GIList,Table_ExternalData_1[[#This Row],[Item_key]],GDList,Table_ExternalData_1[[#Headers],[21]])</f>
        <v>0</v>
      </c>
      <c r="AB52" s="6">
        <f>SUMIFS(GQList,GIList,Table_ExternalData_1[[#This Row],[Item_key]],GDList,Table_ExternalData_1[[#Headers],[22]])</f>
        <v>0</v>
      </c>
      <c r="AC52" s="6">
        <f>SUMIFS(GQList,GIList,Table_ExternalData_1[[#This Row],[Item_key]],GDList,Table_ExternalData_1[[#Headers],[23]])</f>
        <v>0</v>
      </c>
      <c r="AD52" s="6">
        <f>SUMIFS(GQList,GIList,Table_ExternalData_1[[#This Row],[Item_key]],GDList,Table_ExternalData_1[[#Headers],[24]])</f>
        <v>0</v>
      </c>
      <c r="AE52" s="6">
        <f>SUMIFS(GQList,GIList,Table_ExternalData_1[[#This Row],[Item_key]],GDList,Table_ExternalData_1[[#Headers],[25]])</f>
        <v>0</v>
      </c>
      <c r="AF52" s="6">
        <f>SUMIFS(GQList,GIList,Table_ExternalData_1[[#This Row],[Item_key]],GDList,Table_ExternalData_1[[#Headers],[26]])</f>
        <v>0</v>
      </c>
      <c r="AG52" s="6">
        <f>SUMIFS(GQList,GIList,Table_ExternalData_1[[#This Row],[Item_key]],GDList,Table_ExternalData_1[[#Headers],[27]])</f>
        <v>0</v>
      </c>
      <c r="AH52" s="6">
        <f>SUMIFS(GQList,GIList,Table_ExternalData_1[[#This Row],[Item_key]],GDList,Table_ExternalData_1[[#Headers],[28]])</f>
        <v>0</v>
      </c>
      <c r="AI52" s="6">
        <f>SUMIFS(GQList,GIList,Table_ExternalData_1[[#This Row],[Item_key]],GDList,Table_ExternalData_1[[#Headers],[29]])</f>
        <v>0</v>
      </c>
      <c r="AJ52" s="6">
        <f>SUMIFS(GQList,GIList,Table_ExternalData_1[[#This Row],[Item_key]],GDList,Table_ExternalData_1[[#Headers],[30]])</f>
        <v>0</v>
      </c>
      <c r="AK52" s="6">
        <f>SUMIFS(GQList,GIList,Table_ExternalData_1[[#This Row],[Item_key]],GDList,Table_ExternalData_1[[#Headers],[31]])</f>
        <v>0</v>
      </c>
      <c r="AL52" s="6">
        <f>SUM(Table_ExternalData_1[[#This Row],[1]:[31]])</f>
        <v>12</v>
      </c>
    </row>
    <row r="53" spans="1:38">
      <c r="A53" s="50" t="s">
        <v>65</v>
      </c>
      <c r="B53" s="3" t="s">
        <v>2366</v>
      </c>
      <c r="C53" s="3" t="s">
        <v>1143</v>
      </c>
      <c r="D53" s="3" t="s">
        <v>2875</v>
      </c>
      <c r="E53" s="3" t="s">
        <v>2876</v>
      </c>
      <c r="F53" s="8" t="s">
        <v>17</v>
      </c>
      <c r="G53" s="6">
        <f>SUMIFS(GQList,GIList,Table_ExternalData_1[[#This Row],[Item_key]],GDList,Table_ExternalData_1[[#Headers],[1]])</f>
        <v>0</v>
      </c>
      <c r="H53" s="6">
        <f>SUMIFS(GQList,GIList,Table_ExternalData_1[[#This Row],[Item_key]],GDList,Table_ExternalData_1[[#Headers],[2]])</f>
        <v>0</v>
      </c>
      <c r="I53" s="6">
        <f>SUMIFS(GQList,GIList,Table_ExternalData_1[[#This Row],[Item_key]],GDList,Table_ExternalData_1[[#Headers],[3]])</f>
        <v>0</v>
      </c>
      <c r="J53" s="6">
        <f>SUMIFS(GQList,GIList,Table_ExternalData_1[[#This Row],[Item_key]],GDList,Table_ExternalData_1[[#Headers],[4]])</f>
        <v>0</v>
      </c>
      <c r="K53" s="6">
        <f>SUMIFS(GQList,GIList,Table_ExternalData_1[[#This Row],[Item_key]],GDList,Table_ExternalData_1[[#Headers],[5]])</f>
        <v>0</v>
      </c>
      <c r="L53" s="6">
        <f>SUMIFS(GQList,GIList,Table_ExternalData_1[[#This Row],[Item_key]],GDList,Table_ExternalData_1[[#Headers],[6]])</f>
        <v>0</v>
      </c>
      <c r="M53" s="6">
        <f>SUMIFS(GQList,GIList,Table_ExternalData_1[[#This Row],[Item_key]],GDList,Table_ExternalData_1[[#Headers],[7]])</f>
        <v>0</v>
      </c>
      <c r="N53" s="6">
        <f>SUMIFS(GQList,GIList,Table_ExternalData_1[[#This Row],[Item_key]],GDList,Table_ExternalData_1[[#Headers],[8]])</f>
        <v>0</v>
      </c>
      <c r="O53" s="6">
        <f>SUMIFS(GQList,GIList,Table_ExternalData_1[[#This Row],[Item_key]],GDList,Table_ExternalData_1[[#Headers],[9]])</f>
        <v>0</v>
      </c>
      <c r="P53" s="6">
        <f>SUMIFS(GQList,GIList,Table_ExternalData_1[[#This Row],[Item_key]],GDList,Table_ExternalData_1[[#Headers],[10]])</f>
        <v>0</v>
      </c>
      <c r="Q53" s="6">
        <f>SUMIFS(GQList,GIList,Table_ExternalData_1[[#This Row],[Item_key]],GDList,Table_ExternalData_1[[#Headers],[11]])</f>
        <v>6</v>
      </c>
      <c r="R53" s="6">
        <f>SUMIFS(GQList,GIList,Table_ExternalData_1[[#This Row],[Item_key]],GDList,Table_ExternalData_1[[#Headers],[12]])</f>
        <v>0</v>
      </c>
      <c r="S53" s="6">
        <f>SUMIFS(GQList,GIList,Table_ExternalData_1[[#This Row],[Item_key]],GDList,Table_ExternalData_1[[#Headers],[13]])</f>
        <v>0</v>
      </c>
      <c r="T53" s="6">
        <f>SUMIFS(GQList,GIList,Table_ExternalData_1[[#This Row],[Item_key]],GDList,Table_ExternalData_1[[#Headers],[14]])</f>
        <v>0</v>
      </c>
      <c r="U53" s="6">
        <f>SUMIFS(GQList,GIList,Table_ExternalData_1[[#This Row],[Item_key]],GDList,Table_ExternalData_1[[#Headers],[15]])</f>
        <v>0</v>
      </c>
      <c r="V53" s="6">
        <f>SUMIFS(GQList,GIList,Table_ExternalData_1[[#This Row],[Item_key]],GDList,Table_ExternalData_1[[#Headers],[16]])</f>
        <v>0</v>
      </c>
      <c r="W53" s="6">
        <f>SUMIFS(GQList,GIList,Table_ExternalData_1[[#This Row],[Item_key]],GDList,Table_ExternalData_1[[#Headers],[17]])</f>
        <v>0</v>
      </c>
      <c r="X53" s="6">
        <f>SUMIFS(GQList,GIList,Table_ExternalData_1[[#This Row],[Item_key]],GDList,Table_ExternalData_1[[#Headers],[18]])</f>
        <v>0</v>
      </c>
      <c r="Y53" s="6">
        <f>SUMIFS(GQList,GIList,Table_ExternalData_1[[#This Row],[Item_key]],GDList,Table_ExternalData_1[[#Headers],[19]])</f>
        <v>0</v>
      </c>
      <c r="Z53" s="6">
        <f>SUMIFS(GQList,GIList,Table_ExternalData_1[[#This Row],[Item_key]],GDList,Table_ExternalData_1[[#Headers],[20]])</f>
        <v>0</v>
      </c>
      <c r="AA53" s="6">
        <f>SUMIFS(GQList,GIList,Table_ExternalData_1[[#This Row],[Item_key]],GDList,Table_ExternalData_1[[#Headers],[21]])</f>
        <v>0</v>
      </c>
      <c r="AB53" s="6">
        <f>SUMIFS(GQList,GIList,Table_ExternalData_1[[#This Row],[Item_key]],GDList,Table_ExternalData_1[[#Headers],[22]])</f>
        <v>0</v>
      </c>
      <c r="AC53" s="6">
        <f>SUMIFS(GQList,GIList,Table_ExternalData_1[[#This Row],[Item_key]],GDList,Table_ExternalData_1[[#Headers],[23]])</f>
        <v>0</v>
      </c>
      <c r="AD53" s="6">
        <f>SUMIFS(GQList,GIList,Table_ExternalData_1[[#This Row],[Item_key]],GDList,Table_ExternalData_1[[#Headers],[24]])</f>
        <v>0</v>
      </c>
      <c r="AE53" s="6">
        <f>SUMIFS(GQList,GIList,Table_ExternalData_1[[#This Row],[Item_key]],GDList,Table_ExternalData_1[[#Headers],[25]])</f>
        <v>0</v>
      </c>
      <c r="AF53" s="6">
        <f>SUMIFS(GQList,GIList,Table_ExternalData_1[[#This Row],[Item_key]],GDList,Table_ExternalData_1[[#Headers],[26]])</f>
        <v>0</v>
      </c>
      <c r="AG53" s="6">
        <f>SUMIFS(GQList,GIList,Table_ExternalData_1[[#This Row],[Item_key]],GDList,Table_ExternalData_1[[#Headers],[27]])</f>
        <v>0</v>
      </c>
      <c r="AH53" s="6">
        <f>SUMIFS(GQList,GIList,Table_ExternalData_1[[#This Row],[Item_key]],GDList,Table_ExternalData_1[[#Headers],[28]])</f>
        <v>0</v>
      </c>
      <c r="AI53" s="6">
        <f>SUMIFS(GQList,GIList,Table_ExternalData_1[[#This Row],[Item_key]],GDList,Table_ExternalData_1[[#Headers],[29]])</f>
        <v>0</v>
      </c>
      <c r="AJ53" s="6">
        <f>SUMIFS(GQList,GIList,Table_ExternalData_1[[#This Row],[Item_key]],GDList,Table_ExternalData_1[[#Headers],[30]])</f>
        <v>0</v>
      </c>
      <c r="AK53" s="6">
        <f>SUMIFS(GQList,GIList,Table_ExternalData_1[[#This Row],[Item_key]],GDList,Table_ExternalData_1[[#Headers],[31]])</f>
        <v>0</v>
      </c>
      <c r="AL53" s="6">
        <f>SUM(Table_ExternalData_1[[#This Row],[1]:[31]])</f>
        <v>6</v>
      </c>
    </row>
    <row r="54" spans="1:38">
      <c r="A54" s="50" t="s">
        <v>65</v>
      </c>
      <c r="B54" s="3" t="s">
        <v>2366</v>
      </c>
      <c r="C54" s="3" t="s">
        <v>1144</v>
      </c>
      <c r="D54" s="3" t="s">
        <v>2877</v>
      </c>
      <c r="E54" s="3" t="s">
        <v>2878</v>
      </c>
      <c r="F54" s="8" t="s">
        <v>17</v>
      </c>
      <c r="G54" s="6">
        <f>SUMIFS(GQList,GIList,Table_ExternalData_1[[#This Row],[Item_key]],GDList,Table_ExternalData_1[[#Headers],[1]])</f>
        <v>0</v>
      </c>
      <c r="H54" s="6">
        <f>SUMIFS(GQList,GIList,Table_ExternalData_1[[#This Row],[Item_key]],GDList,Table_ExternalData_1[[#Headers],[2]])</f>
        <v>0</v>
      </c>
      <c r="I54" s="6">
        <f>SUMIFS(GQList,GIList,Table_ExternalData_1[[#This Row],[Item_key]],GDList,Table_ExternalData_1[[#Headers],[3]])</f>
        <v>0</v>
      </c>
      <c r="J54" s="6">
        <f>SUMIFS(GQList,GIList,Table_ExternalData_1[[#This Row],[Item_key]],GDList,Table_ExternalData_1[[#Headers],[4]])</f>
        <v>0</v>
      </c>
      <c r="K54" s="6">
        <f>SUMIFS(GQList,GIList,Table_ExternalData_1[[#This Row],[Item_key]],GDList,Table_ExternalData_1[[#Headers],[5]])</f>
        <v>0</v>
      </c>
      <c r="L54" s="6">
        <f>SUMIFS(GQList,GIList,Table_ExternalData_1[[#This Row],[Item_key]],GDList,Table_ExternalData_1[[#Headers],[6]])</f>
        <v>0</v>
      </c>
      <c r="M54" s="6">
        <f>SUMIFS(GQList,GIList,Table_ExternalData_1[[#This Row],[Item_key]],GDList,Table_ExternalData_1[[#Headers],[7]])</f>
        <v>0</v>
      </c>
      <c r="N54" s="6">
        <f>SUMIFS(GQList,GIList,Table_ExternalData_1[[#This Row],[Item_key]],GDList,Table_ExternalData_1[[#Headers],[8]])</f>
        <v>0</v>
      </c>
      <c r="O54" s="6">
        <f>SUMIFS(GQList,GIList,Table_ExternalData_1[[#This Row],[Item_key]],GDList,Table_ExternalData_1[[#Headers],[9]])</f>
        <v>0</v>
      </c>
      <c r="P54" s="6">
        <f>SUMIFS(GQList,GIList,Table_ExternalData_1[[#This Row],[Item_key]],GDList,Table_ExternalData_1[[#Headers],[10]])</f>
        <v>0</v>
      </c>
      <c r="Q54" s="6">
        <f>SUMIFS(GQList,GIList,Table_ExternalData_1[[#This Row],[Item_key]],GDList,Table_ExternalData_1[[#Headers],[11]])</f>
        <v>6</v>
      </c>
      <c r="R54" s="6">
        <f>SUMIFS(GQList,GIList,Table_ExternalData_1[[#This Row],[Item_key]],GDList,Table_ExternalData_1[[#Headers],[12]])</f>
        <v>0</v>
      </c>
      <c r="S54" s="6">
        <f>SUMIFS(GQList,GIList,Table_ExternalData_1[[#This Row],[Item_key]],GDList,Table_ExternalData_1[[#Headers],[13]])</f>
        <v>0</v>
      </c>
      <c r="T54" s="6">
        <f>SUMIFS(GQList,GIList,Table_ExternalData_1[[#This Row],[Item_key]],GDList,Table_ExternalData_1[[#Headers],[14]])</f>
        <v>0</v>
      </c>
      <c r="U54" s="6">
        <f>SUMIFS(GQList,GIList,Table_ExternalData_1[[#This Row],[Item_key]],GDList,Table_ExternalData_1[[#Headers],[15]])</f>
        <v>0</v>
      </c>
      <c r="V54" s="6">
        <f>SUMIFS(GQList,GIList,Table_ExternalData_1[[#This Row],[Item_key]],GDList,Table_ExternalData_1[[#Headers],[16]])</f>
        <v>0</v>
      </c>
      <c r="W54" s="6">
        <f>SUMIFS(GQList,GIList,Table_ExternalData_1[[#This Row],[Item_key]],GDList,Table_ExternalData_1[[#Headers],[17]])</f>
        <v>0</v>
      </c>
      <c r="X54" s="6">
        <f>SUMIFS(GQList,GIList,Table_ExternalData_1[[#This Row],[Item_key]],GDList,Table_ExternalData_1[[#Headers],[18]])</f>
        <v>0</v>
      </c>
      <c r="Y54" s="6">
        <f>SUMIFS(GQList,GIList,Table_ExternalData_1[[#This Row],[Item_key]],GDList,Table_ExternalData_1[[#Headers],[19]])</f>
        <v>0</v>
      </c>
      <c r="Z54" s="6">
        <f>SUMIFS(GQList,GIList,Table_ExternalData_1[[#This Row],[Item_key]],GDList,Table_ExternalData_1[[#Headers],[20]])</f>
        <v>0</v>
      </c>
      <c r="AA54" s="6">
        <f>SUMIFS(GQList,GIList,Table_ExternalData_1[[#This Row],[Item_key]],GDList,Table_ExternalData_1[[#Headers],[21]])</f>
        <v>0</v>
      </c>
      <c r="AB54" s="6">
        <f>SUMIFS(GQList,GIList,Table_ExternalData_1[[#This Row],[Item_key]],GDList,Table_ExternalData_1[[#Headers],[22]])</f>
        <v>0</v>
      </c>
      <c r="AC54" s="6">
        <f>SUMIFS(GQList,GIList,Table_ExternalData_1[[#This Row],[Item_key]],GDList,Table_ExternalData_1[[#Headers],[23]])</f>
        <v>0</v>
      </c>
      <c r="AD54" s="6">
        <f>SUMIFS(GQList,GIList,Table_ExternalData_1[[#This Row],[Item_key]],GDList,Table_ExternalData_1[[#Headers],[24]])</f>
        <v>0</v>
      </c>
      <c r="AE54" s="6">
        <f>SUMIFS(GQList,GIList,Table_ExternalData_1[[#This Row],[Item_key]],GDList,Table_ExternalData_1[[#Headers],[25]])</f>
        <v>0</v>
      </c>
      <c r="AF54" s="6">
        <f>SUMIFS(GQList,GIList,Table_ExternalData_1[[#This Row],[Item_key]],GDList,Table_ExternalData_1[[#Headers],[26]])</f>
        <v>0</v>
      </c>
      <c r="AG54" s="6">
        <f>SUMIFS(GQList,GIList,Table_ExternalData_1[[#This Row],[Item_key]],GDList,Table_ExternalData_1[[#Headers],[27]])</f>
        <v>0</v>
      </c>
      <c r="AH54" s="6">
        <f>SUMIFS(GQList,GIList,Table_ExternalData_1[[#This Row],[Item_key]],GDList,Table_ExternalData_1[[#Headers],[28]])</f>
        <v>0</v>
      </c>
      <c r="AI54" s="6">
        <f>SUMIFS(GQList,GIList,Table_ExternalData_1[[#This Row],[Item_key]],GDList,Table_ExternalData_1[[#Headers],[29]])</f>
        <v>0</v>
      </c>
      <c r="AJ54" s="6">
        <f>SUMIFS(GQList,GIList,Table_ExternalData_1[[#This Row],[Item_key]],GDList,Table_ExternalData_1[[#Headers],[30]])</f>
        <v>0</v>
      </c>
      <c r="AK54" s="6">
        <f>SUMIFS(GQList,GIList,Table_ExternalData_1[[#This Row],[Item_key]],GDList,Table_ExternalData_1[[#Headers],[31]])</f>
        <v>0</v>
      </c>
      <c r="AL54" s="6">
        <f>SUM(Table_ExternalData_1[[#This Row],[1]:[31]])</f>
        <v>6</v>
      </c>
    </row>
    <row r="55" spans="1:38">
      <c r="A55" s="50" t="s">
        <v>65</v>
      </c>
      <c r="B55" s="3" t="s">
        <v>2366</v>
      </c>
      <c r="C55" s="3" t="s">
        <v>1164</v>
      </c>
      <c r="D55" s="3" t="s">
        <v>1577</v>
      </c>
      <c r="E55" s="3" t="s">
        <v>1578</v>
      </c>
      <c r="F55" s="8" t="s">
        <v>17</v>
      </c>
      <c r="G55" s="6">
        <f>SUMIFS(GQList,GIList,Table_ExternalData_1[[#This Row],[Item_key]],GDList,Table_ExternalData_1[[#Headers],[1]])</f>
        <v>0</v>
      </c>
      <c r="H55" s="6">
        <f>SUMIFS(GQList,GIList,Table_ExternalData_1[[#This Row],[Item_key]],GDList,Table_ExternalData_1[[#Headers],[2]])</f>
        <v>0</v>
      </c>
      <c r="I55" s="6">
        <f>SUMIFS(GQList,GIList,Table_ExternalData_1[[#This Row],[Item_key]],GDList,Table_ExternalData_1[[#Headers],[3]])</f>
        <v>0</v>
      </c>
      <c r="J55" s="6">
        <f>SUMIFS(GQList,GIList,Table_ExternalData_1[[#This Row],[Item_key]],GDList,Table_ExternalData_1[[#Headers],[4]])</f>
        <v>0</v>
      </c>
      <c r="K55" s="6">
        <f>SUMIFS(GQList,GIList,Table_ExternalData_1[[#This Row],[Item_key]],GDList,Table_ExternalData_1[[#Headers],[5]])</f>
        <v>0</v>
      </c>
      <c r="L55" s="6">
        <f>SUMIFS(GQList,GIList,Table_ExternalData_1[[#This Row],[Item_key]],GDList,Table_ExternalData_1[[#Headers],[6]])</f>
        <v>0</v>
      </c>
      <c r="M55" s="6">
        <f>SUMIFS(GQList,GIList,Table_ExternalData_1[[#This Row],[Item_key]],GDList,Table_ExternalData_1[[#Headers],[7]])</f>
        <v>0</v>
      </c>
      <c r="N55" s="6">
        <f>SUMIFS(GQList,GIList,Table_ExternalData_1[[#This Row],[Item_key]],GDList,Table_ExternalData_1[[#Headers],[8]])</f>
        <v>0</v>
      </c>
      <c r="O55" s="6">
        <f>SUMIFS(GQList,GIList,Table_ExternalData_1[[#This Row],[Item_key]],GDList,Table_ExternalData_1[[#Headers],[9]])</f>
        <v>0</v>
      </c>
      <c r="P55" s="6">
        <f>SUMIFS(GQList,GIList,Table_ExternalData_1[[#This Row],[Item_key]],GDList,Table_ExternalData_1[[#Headers],[10]])</f>
        <v>38</v>
      </c>
      <c r="Q55" s="6">
        <f>SUMIFS(GQList,GIList,Table_ExternalData_1[[#This Row],[Item_key]],GDList,Table_ExternalData_1[[#Headers],[11]])</f>
        <v>0</v>
      </c>
      <c r="R55" s="6">
        <f>SUMIFS(GQList,GIList,Table_ExternalData_1[[#This Row],[Item_key]],GDList,Table_ExternalData_1[[#Headers],[12]])</f>
        <v>0</v>
      </c>
      <c r="S55" s="6">
        <f>SUMIFS(GQList,GIList,Table_ExternalData_1[[#This Row],[Item_key]],GDList,Table_ExternalData_1[[#Headers],[13]])</f>
        <v>0</v>
      </c>
      <c r="T55" s="6">
        <f>SUMIFS(GQList,GIList,Table_ExternalData_1[[#This Row],[Item_key]],GDList,Table_ExternalData_1[[#Headers],[14]])</f>
        <v>0</v>
      </c>
      <c r="U55" s="6">
        <f>SUMIFS(GQList,GIList,Table_ExternalData_1[[#This Row],[Item_key]],GDList,Table_ExternalData_1[[#Headers],[15]])</f>
        <v>0</v>
      </c>
      <c r="V55" s="6">
        <f>SUMIFS(GQList,GIList,Table_ExternalData_1[[#This Row],[Item_key]],GDList,Table_ExternalData_1[[#Headers],[16]])</f>
        <v>0</v>
      </c>
      <c r="W55" s="6">
        <f>SUMIFS(GQList,GIList,Table_ExternalData_1[[#This Row],[Item_key]],GDList,Table_ExternalData_1[[#Headers],[17]])</f>
        <v>0</v>
      </c>
      <c r="X55" s="6">
        <f>SUMIFS(GQList,GIList,Table_ExternalData_1[[#This Row],[Item_key]],GDList,Table_ExternalData_1[[#Headers],[18]])</f>
        <v>0</v>
      </c>
      <c r="Y55" s="6">
        <f>SUMIFS(GQList,GIList,Table_ExternalData_1[[#This Row],[Item_key]],GDList,Table_ExternalData_1[[#Headers],[19]])</f>
        <v>0</v>
      </c>
      <c r="Z55" s="6">
        <f>SUMIFS(GQList,GIList,Table_ExternalData_1[[#This Row],[Item_key]],GDList,Table_ExternalData_1[[#Headers],[20]])</f>
        <v>0</v>
      </c>
      <c r="AA55" s="6">
        <f>SUMIFS(GQList,GIList,Table_ExternalData_1[[#This Row],[Item_key]],GDList,Table_ExternalData_1[[#Headers],[21]])</f>
        <v>0</v>
      </c>
      <c r="AB55" s="6">
        <f>SUMIFS(GQList,GIList,Table_ExternalData_1[[#This Row],[Item_key]],GDList,Table_ExternalData_1[[#Headers],[22]])</f>
        <v>0</v>
      </c>
      <c r="AC55" s="6">
        <f>SUMIFS(GQList,GIList,Table_ExternalData_1[[#This Row],[Item_key]],GDList,Table_ExternalData_1[[#Headers],[23]])</f>
        <v>0</v>
      </c>
      <c r="AD55" s="6">
        <f>SUMIFS(GQList,GIList,Table_ExternalData_1[[#This Row],[Item_key]],GDList,Table_ExternalData_1[[#Headers],[24]])</f>
        <v>0</v>
      </c>
      <c r="AE55" s="6">
        <f>SUMIFS(GQList,GIList,Table_ExternalData_1[[#This Row],[Item_key]],GDList,Table_ExternalData_1[[#Headers],[25]])</f>
        <v>0</v>
      </c>
      <c r="AF55" s="6">
        <f>SUMIFS(GQList,GIList,Table_ExternalData_1[[#This Row],[Item_key]],GDList,Table_ExternalData_1[[#Headers],[26]])</f>
        <v>0</v>
      </c>
      <c r="AG55" s="6">
        <f>SUMIFS(GQList,GIList,Table_ExternalData_1[[#This Row],[Item_key]],GDList,Table_ExternalData_1[[#Headers],[27]])</f>
        <v>0</v>
      </c>
      <c r="AH55" s="6">
        <f>SUMIFS(GQList,GIList,Table_ExternalData_1[[#This Row],[Item_key]],GDList,Table_ExternalData_1[[#Headers],[28]])</f>
        <v>0</v>
      </c>
      <c r="AI55" s="6">
        <f>SUMIFS(GQList,GIList,Table_ExternalData_1[[#This Row],[Item_key]],GDList,Table_ExternalData_1[[#Headers],[29]])</f>
        <v>0</v>
      </c>
      <c r="AJ55" s="6">
        <f>SUMIFS(GQList,GIList,Table_ExternalData_1[[#This Row],[Item_key]],GDList,Table_ExternalData_1[[#Headers],[30]])</f>
        <v>0</v>
      </c>
      <c r="AK55" s="6">
        <f>SUMIFS(GQList,GIList,Table_ExternalData_1[[#This Row],[Item_key]],GDList,Table_ExternalData_1[[#Headers],[31]])</f>
        <v>0</v>
      </c>
      <c r="AL55" s="6">
        <f>SUM(Table_ExternalData_1[[#This Row],[1]:[31]])</f>
        <v>38</v>
      </c>
    </row>
    <row r="56" spans="1:38">
      <c r="A56" s="50" t="s">
        <v>65</v>
      </c>
      <c r="B56" s="3" t="s">
        <v>2366</v>
      </c>
      <c r="C56" s="3" t="s">
        <v>1165</v>
      </c>
      <c r="D56" s="3" t="s">
        <v>1579</v>
      </c>
      <c r="E56" s="3" t="s">
        <v>1580</v>
      </c>
      <c r="F56" s="8" t="s">
        <v>17</v>
      </c>
      <c r="G56" s="6">
        <f>SUMIFS(GQList,GIList,Table_ExternalData_1[[#This Row],[Item_key]],GDList,Table_ExternalData_1[[#Headers],[1]])</f>
        <v>0</v>
      </c>
      <c r="H56" s="6">
        <f>SUMIFS(GQList,GIList,Table_ExternalData_1[[#This Row],[Item_key]],GDList,Table_ExternalData_1[[#Headers],[2]])</f>
        <v>0</v>
      </c>
      <c r="I56" s="6">
        <f>SUMIFS(GQList,GIList,Table_ExternalData_1[[#This Row],[Item_key]],GDList,Table_ExternalData_1[[#Headers],[3]])</f>
        <v>0</v>
      </c>
      <c r="J56" s="6">
        <f>SUMIFS(GQList,GIList,Table_ExternalData_1[[#This Row],[Item_key]],GDList,Table_ExternalData_1[[#Headers],[4]])</f>
        <v>0</v>
      </c>
      <c r="K56" s="6">
        <f>SUMIFS(GQList,GIList,Table_ExternalData_1[[#This Row],[Item_key]],GDList,Table_ExternalData_1[[#Headers],[5]])</f>
        <v>0</v>
      </c>
      <c r="L56" s="6">
        <f>SUMIFS(GQList,GIList,Table_ExternalData_1[[#This Row],[Item_key]],GDList,Table_ExternalData_1[[#Headers],[6]])</f>
        <v>0</v>
      </c>
      <c r="M56" s="6">
        <f>SUMIFS(GQList,GIList,Table_ExternalData_1[[#This Row],[Item_key]],GDList,Table_ExternalData_1[[#Headers],[7]])</f>
        <v>0</v>
      </c>
      <c r="N56" s="6">
        <f>SUMIFS(GQList,GIList,Table_ExternalData_1[[#This Row],[Item_key]],GDList,Table_ExternalData_1[[#Headers],[8]])</f>
        <v>0</v>
      </c>
      <c r="O56" s="6">
        <f>SUMIFS(GQList,GIList,Table_ExternalData_1[[#This Row],[Item_key]],GDList,Table_ExternalData_1[[#Headers],[9]])</f>
        <v>0</v>
      </c>
      <c r="P56" s="6">
        <f>SUMIFS(GQList,GIList,Table_ExternalData_1[[#This Row],[Item_key]],GDList,Table_ExternalData_1[[#Headers],[10]])</f>
        <v>38</v>
      </c>
      <c r="Q56" s="6">
        <f>SUMIFS(GQList,GIList,Table_ExternalData_1[[#This Row],[Item_key]],GDList,Table_ExternalData_1[[#Headers],[11]])</f>
        <v>0</v>
      </c>
      <c r="R56" s="6">
        <f>SUMIFS(GQList,GIList,Table_ExternalData_1[[#This Row],[Item_key]],GDList,Table_ExternalData_1[[#Headers],[12]])</f>
        <v>0</v>
      </c>
      <c r="S56" s="6">
        <f>SUMIFS(GQList,GIList,Table_ExternalData_1[[#This Row],[Item_key]],GDList,Table_ExternalData_1[[#Headers],[13]])</f>
        <v>0</v>
      </c>
      <c r="T56" s="6">
        <f>SUMIFS(GQList,GIList,Table_ExternalData_1[[#This Row],[Item_key]],GDList,Table_ExternalData_1[[#Headers],[14]])</f>
        <v>0</v>
      </c>
      <c r="U56" s="6">
        <f>SUMIFS(GQList,GIList,Table_ExternalData_1[[#This Row],[Item_key]],GDList,Table_ExternalData_1[[#Headers],[15]])</f>
        <v>0</v>
      </c>
      <c r="V56" s="6">
        <f>SUMIFS(GQList,GIList,Table_ExternalData_1[[#This Row],[Item_key]],GDList,Table_ExternalData_1[[#Headers],[16]])</f>
        <v>0</v>
      </c>
      <c r="W56" s="6">
        <f>SUMIFS(GQList,GIList,Table_ExternalData_1[[#This Row],[Item_key]],GDList,Table_ExternalData_1[[#Headers],[17]])</f>
        <v>0</v>
      </c>
      <c r="X56" s="6">
        <f>SUMIFS(GQList,GIList,Table_ExternalData_1[[#This Row],[Item_key]],GDList,Table_ExternalData_1[[#Headers],[18]])</f>
        <v>0</v>
      </c>
      <c r="Y56" s="6">
        <f>SUMIFS(GQList,GIList,Table_ExternalData_1[[#This Row],[Item_key]],GDList,Table_ExternalData_1[[#Headers],[19]])</f>
        <v>0</v>
      </c>
      <c r="Z56" s="6">
        <f>SUMIFS(GQList,GIList,Table_ExternalData_1[[#This Row],[Item_key]],GDList,Table_ExternalData_1[[#Headers],[20]])</f>
        <v>0</v>
      </c>
      <c r="AA56" s="6">
        <f>SUMIFS(GQList,GIList,Table_ExternalData_1[[#This Row],[Item_key]],GDList,Table_ExternalData_1[[#Headers],[21]])</f>
        <v>0</v>
      </c>
      <c r="AB56" s="6">
        <f>SUMIFS(GQList,GIList,Table_ExternalData_1[[#This Row],[Item_key]],GDList,Table_ExternalData_1[[#Headers],[22]])</f>
        <v>0</v>
      </c>
      <c r="AC56" s="6">
        <f>SUMIFS(GQList,GIList,Table_ExternalData_1[[#This Row],[Item_key]],GDList,Table_ExternalData_1[[#Headers],[23]])</f>
        <v>0</v>
      </c>
      <c r="AD56" s="6">
        <f>SUMIFS(GQList,GIList,Table_ExternalData_1[[#This Row],[Item_key]],GDList,Table_ExternalData_1[[#Headers],[24]])</f>
        <v>0</v>
      </c>
      <c r="AE56" s="6">
        <f>SUMIFS(GQList,GIList,Table_ExternalData_1[[#This Row],[Item_key]],GDList,Table_ExternalData_1[[#Headers],[25]])</f>
        <v>0</v>
      </c>
      <c r="AF56" s="6">
        <f>SUMIFS(GQList,GIList,Table_ExternalData_1[[#This Row],[Item_key]],GDList,Table_ExternalData_1[[#Headers],[26]])</f>
        <v>0</v>
      </c>
      <c r="AG56" s="6">
        <f>SUMIFS(GQList,GIList,Table_ExternalData_1[[#This Row],[Item_key]],GDList,Table_ExternalData_1[[#Headers],[27]])</f>
        <v>0</v>
      </c>
      <c r="AH56" s="6">
        <f>SUMIFS(GQList,GIList,Table_ExternalData_1[[#This Row],[Item_key]],GDList,Table_ExternalData_1[[#Headers],[28]])</f>
        <v>0</v>
      </c>
      <c r="AI56" s="6">
        <f>SUMIFS(GQList,GIList,Table_ExternalData_1[[#This Row],[Item_key]],GDList,Table_ExternalData_1[[#Headers],[29]])</f>
        <v>0</v>
      </c>
      <c r="AJ56" s="6">
        <f>SUMIFS(GQList,GIList,Table_ExternalData_1[[#This Row],[Item_key]],GDList,Table_ExternalData_1[[#Headers],[30]])</f>
        <v>0</v>
      </c>
      <c r="AK56" s="6">
        <f>SUMIFS(GQList,GIList,Table_ExternalData_1[[#This Row],[Item_key]],GDList,Table_ExternalData_1[[#Headers],[31]])</f>
        <v>0</v>
      </c>
      <c r="AL56" s="6">
        <f>SUM(Table_ExternalData_1[[#This Row],[1]:[31]])</f>
        <v>38</v>
      </c>
    </row>
    <row r="57" spans="1:38">
      <c r="A57" s="50" t="s">
        <v>65</v>
      </c>
      <c r="B57" s="3" t="s">
        <v>2366</v>
      </c>
      <c r="C57" s="3" t="s">
        <v>1166</v>
      </c>
      <c r="D57" s="3" t="s">
        <v>2859</v>
      </c>
      <c r="E57" s="3" t="s">
        <v>1578</v>
      </c>
      <c r="F57" s="8" t="s">
        <v>17</v>
      </c>
      <c r="G57" s="6">
        <f>SUMIFS(GQList,GIList,Table_ExternalData_1[[#This Row],[Item_key]],GDList,Table_ExternalData_1[[#Headers],[1]])</f>
        <v>0</v>
      </c>
      <c r="H57" s="6">
        <f>SUMIFS(GQList,GIList,Table_ExternalData_1[[#This Row],[Item_key]],GDList,Table_ExternalData_1[[#Headers],[2]])</f>
        <v>0</v>
      </c>
      <c r="I57" s="6">
        <f>SUMIFS(GQList,GIList,Table_ExternalData_1[[#This Row],[Item_key]],GDList,Table_ExternalData_1[[#Headers],[3]])</f>
        <v>0</v>
      </c>
      <c r="J57" s="6">
        <f>SUMIFS(GQList,GIList,Table_ExternalData_1[[#This Row],[Item_key]],GDList,Table_ExternalData_1[[#Headers],[4]])</f>
        <v>0</v>
      </c>
      <c r="K57" s="6">
        <f>SUMIFS(GQList,GIList,Table_ExternalData_1[[#This Row],[Item_key]],GDList,Table_ExternalData_1[[#Headers],[5]])</f>
        <v>0</v>
      </c>
      <c r="L57" s="6">
        <f>SUMIFS(GQList,GIList,Table_ExternalData_1[[#This Row],[Item_key]],GDList,Table_ExternalData_1[[#Headers],[6]])</f>
        <v>0</v>
      </c>
      <c r="M57" s="6">
        <f>SUMIFS(GQList,GIList,Table_ExternalData_1[[#This Row],[Item_key]],GDList,Table_ExternalData_1[[#Headers],[7]])</f>
        <v>0</v>
      </c>
      <c r="N57" s="6">
        <f>SUMIFS(GQList,GIList,Table_ExternalData_1[[#This Row],[Item_key]],GDList,Table_ExternalData_1[[#Headers],[8]])</f>
        <v>0</v>
      </c>
      <c r="O57" s="6">
        <f>SUMIFS(GQList,GIList,Table_ExternalData_1[[#This Row],[Item_key]],GDList,Table_ExternalData_1[[#Headers],[9]])</f>
        <v>0</v>
      </c>
      <c r="P57" s="6">
        <f>SUMIFS(GQList,GIList,Table_ExternalData_1[[#This Row],[Item_key]],GDList,Table_ExternalData_1[[#Headers],[10]])</f>
        <v>0</v>
      </c>
      <c r="Q57" s="6">
        <f>SUMIFS(GQList,GIList,Table_ExternalData_1[[#This Row],[Item_key]],GDList,Table_ExternalData_1[[#Headers],[11]])</f>
        <v>0</v>
      </c>
      <c r="R57" s="6">
        <f>SUMIFS(GQList,GIList,Table_ExternalData_1[[#This Row],[Item_key]],GDList,Table_ExternalData_1[[#Headers],[12]])</f>
        <v>0</v>
      </c>
      <c r="S57" s="6">
        <f>SUMIFS(GQList,GIList,Table_ExternalData_1[[#This Row],[Item_key]],GDList,Table_ExternalData_1[[#Headers],[13]])</f>
        <v>0</v>
      </c>
      <c r="T57" s="6">
        <f>SUMIFS(GQList,GIList,Table_ExternalData_1[[#This Row],[Item_key]],GDList,Table_ExternalData_1[[#Headers],[14]])</f>
        <v>0</v>
      </c>
      <c r="U57" s="6">
        <f>SUMIFS(GQList,GIList,Table_ExternalData_1[[#This Row],[Item_key]],GDList,Table_ExternalData_1[[#Headers],[15]])</f>
        <v>0</v>
      </c>
      <c r="V57" s="6">
        <f>SUMIFS(GQList,GIList,Table_ExternalData_1[[#This Row],[Item_key]],GDList,Table_ExternalData_1[[#Headers],[16]])</f>
        <v>0</v>
      </c>
      <c r="W57" s="6">
        <f>SUMIFS(GQList,GIList,Table_ExternalData_1[[#This Row],[Item_key]],GDList,Table_ExternalData_1[[#Headers],[17]])</f>
        <v>5</v>
      </c>
      <c r="X57" s="6">
        <f>SUMIFS(GQList,GIList,Table_ExternalData_1[[#This Row],[Item_key]],GDList,Table_ExternalData_1[[#Headers],[18]])</f>
        <v>0</v>
      </c>
      <c r="Y57" s="6">
        <f>SUMIFS(GQList,GIList,Table_ExternalData_1[[#This Row],[Item_key]],GDList,Table_ExternalData_1[[#Headers],[19]])</f>
        <v>0</v>
      </c>
      <c r="Z57" s="6">
        <f>SUMIFS(GQList,GIList,Table_ExternalData_1[[#This Row],[Item_key]],GDList,Table_ExternalData_1[[#Headers],[20]])</f>
        <v>0</v>
      </c>
      <c r="AA57" s="6">
        <f>SUMIFS(GQList,GIList,Table_ExternalData_1[[#This Row],[Item_key]],GDList,Table_ExternalData_1[[#Headers],[21]])</f>
        <v>0</v>
      </c>
      <c r="AB57" s="6">
        <f>SUMIFS(GQList,GIList,Table_ExternalData_1[[#This Row],[Item_key]],GDList,Table_ExternalData_1[[#Headers],[22]])</f>
        <v>0</v>
      </c>
      <c r="AC57" s="6">
        <f>SUMIFS(GQList,GIList,Table_ExternalData_1[[#This Row],[Item_key]],GDList,Table_ExternalData_1[[#Headers],[23]])</f>
        <v>0</v>
      </c>
      <c r="AD57" s="6">
        <f>SUMIFS(GQList,GIList,Table_ExternalData_1[[#This Row],[Item_key]],GDList,Table_ExternalData_1[[#Headers],[24]])</f>
        <v>0</v>
      </c>
      <c r="AE57" s="6">
        <f>SUMIFS(GQList,GIList,Table_ExternalData_1[[#This Row],[Item_key]],GDList,Table_ExternalData_1[[#Headers],[25]])</f>
        <v>0</v>
      </c>
      <c r="AF57" s="6">
        <f>SUMIFS(GQList,GIList,Table_ExternalData_1[[#This Row],[Item_key]],GDList,Table_ExternalData_1[[#Headers],[26]])</f>
        <v>0</v>
      </c>
      <c r="AG57" s="6">
        <f>SUMIFS(GQList,GIList,Table_ExternalData_1[[#This Row],[Item_key]],GDList,Table_ExternalData_1[[#Headers],[27]])</f>
        <v>0</v>
      </c>
      <c r="AH57" s="6">
        <f>SUMIFS(GQList,GIList,Table_ExternalData_1[[#This Row],[Item_key]],GDList,Table_ExternalData_1[[#Headers],[28]])</f>
        <v>0</v>
      </c>
      <c r="AI57" s="6">
        <f>SUMIFS(GQList,GIList,Table_ExternalData_1[[#This Row],[Item_key]],GDList,Table_ExternalData_1[[#Headers],[29]])</f>
        <v>0</v>
      </c>
      <c r="AJ57" s="6">
        <f>SUMIFS(GQList,GIList,Table_ExternalData_1[[#This Row],[Item_key]],GDList,Table_ExternalData_1[[#Headers],[30]])</f>
        <v>0</v>
      </c>
      <c r="AK57" s="6">
        <f>SUMIFS(GQList,GIList,Table_ExternalData_1[[#This Row],[Item_key]],GDList,Table_ExternalData_1[[#Headers],[31]])</f>
        <v>0</v>
      </c>
      <c r="AL57" s="6">
        <f>SUM(Table_ExternalData_1[[#This Row],[1]:[31]])</f>
        <v>5</v>
      </c>
    </row>
    <row r="58" spans="1:38">
      <c r="A58" s="50" t="s">
        <v>65</v>
      </c>
      <c r="B58" s="3" t="s">
        <v>2366</v>
      </c>
      <c r="C58" s="3" t="s">
        <v>1167</v>
      </c>
      <c r="D58" s="3" t="s">
        <v>2860</v>
      </c>
      <c r="E58" s="3" t="s">
        <v>1580</v>
      </c>
      <c r="F58" s="8" t="s">
        <v>17</v>
      </c>
      <c r="G58" s="6">
        <f>SUMIFS(GQList,GIList,Table_ExternalData_1[[#This Row],[Item_key]],GDList,Table_ExternalData_1[[#Headers],[1]])</f>
        <v>0</v>
      </c>
      <c r="H58" s="6">
        <f>SUMIFS(GQList,GIList,Table_ExternalData_1[[#This Row],[Item_key]],GDList,Table_ExternalData_1[[#Headers],[2]])</f>
        <v>0</v>
      </c>
      <c r="I58" s="6">
        <f>SUMIFS(GQList,GIList,Table_ExternalData_1[[#This Row],[Item_key]],GDList,Table_ExternalData_1[[#Headers],[3]])</f>
        <v>0</v>
      </c>
      <c r="J58" s="6">
        <f>SUMIFS(GQList,GIList,Table_ExternalData_1[[#This Row],[Item_key]],GDList,Table_ExternalData_1[[#Headers],[4]])</f>
        <v>0</v>
      </c>
      <c r="K58" s="6">
        <f>SUMIFS(GQList,GIList,Table_ExternalData_1[[#This Row],[Item_key]],GDList,Table_ExternalData_1[[#Headers],[5]])</f>
        <v>0</v>
      </c>
      <c r="L58" s="6">
        <f>SUMIFS(GQList,GIList,Table_ExternalData_1[[#This Row],[Item_key]],GDList,Table_ExternalData_1[[#Headers],[6]])</f>
        <v>0</v>
      </c>
      <c r="M58" s="6">
        <f>SUMIFS(GQList,GIList,Table_ExternalData_1[[#This Row],[Item_key]],GDList,Table_ExternalData_1[[#Headers],[7]])</f>
        <v>0</v>
      </c>
      <c r="N58" s="6">
        <f>SUMIFS(GQList,GIList,Table_ExternalData_1[[#This Row],[Item_key]],GDList,Table_ExternalData_1[[#Headers],[8]])</f>
        <v>0</v>
      </c>
      <c r="O58" s="6">
        <f>SUMIFS(GQList,GIList,Table_ExternalData_1[[#This Row],[Item_key]],GDList,Table_ExternalData_1[[#Headers],[9]])</f>
        <v>0</v>
      </c>
      <c r="P58" s="6">
        <f>SUMIFS(GQList,GIList,Table_ExternalData_1[[#This Row],[Item_key]],GDList,Table_ExternalData_1[[#Headers],[10]])</f>
        <v>0</v>
      </c>
      <c r="Q58" s="6">
        <f>SUMIFS(GQList,GIList,Table_ExternalData_1[[#This Row],[Item_key]],GDList,Table_ExternalData_1[[#Headers],[11]])</f>
        <v>0</v>
      </c>
      <c r="R58" s="6">
        <f>SUMIFS(GQList,GIList,Table_ExternalData_1[[#This Row],[Item_key]],GDList,Table_ExternalData_1[[#Headers],[12]])</f>
        <v>0</v>
      </c>
      <c r="S58" s="6">
        <f>SUMIFS(GQList,GIList,Table_ExternalData_1[[#This Row],[Item_key]],GDList,Table_ExternalData_1[[#Headers],[13]])</f>
        <v>0</v>
      </c>
      <c r="T58" s="6">
        <f>SUMIFS(GQList,GIList,Table_ExternalData_1[[#This Row],[Item_key]],GDList,Table_ExternalData_1[[#Headers],[14]])</f>
        <v>0</v>
      </c>
      <c r="U58" s="6">
        <f>SUMIFS(GQList,GIList,Table_ExternalData_1[[#This Row],[Item_key]],GDList,Table_ExternalData_1[[#Headers],[15]])</f>
        <v>0</v>
      </c>
      <c r="V58" s="6">
        <f>SUMIFS(GQList,GIList,Table_ExternalData_1[[#This Row],[Item_key]],GDList,Table_ExternalData_1[[#Headers],[16]])</f>
        <v>0</v>
      </c>
      <c r="W58" s="6">
        <f>SUMIFS(GQList,GIList,Table_ExternalData_1[[#This Row],[Item_key]],GDList,Table_ExternalData_1[[#Headers],[17]])</f>
        <v>5</v>
      </c>
      <c r="X58" s="6">
        <f>SUMIFS(GQList,GIList,Table_ExternalData_1[[#This Row],[Item_key]],GDList,Table_ExternalData_1[[#Headers],[18]])</f>
        <v>0</v>
      </c>
      <c r="Y58" s="6">
        <f>SUMIFS(GQList,GIList,Table_ExternalData_1[[#This Row],[Item_key]],GDList,Table_ExternalData_1[[#Headers],[19]])</f>
        <v>0</v>
      </c>
      <c r="Z58" s="6">
        <f>SUMIFS(GQList,GIList,Table_ExternalData_1[[#This Row],[Item_key]],GDList,Table_ExternalData_1[[#Headers],[20]])</f>
        <v>0</v>
      </c>
      <c r="AA58" s="6">
        <f>SUMIFS(GQList,GIList,Table_ExternalData_1[[#This Row],[Item_key]],GDList,Table_ExternalData_1[[#Headers],[21]])</f>
        <v>0</v>
      </c>
      <c r="AB58" s="6">
        <f>SUMIFS(GQList,GIList,Table_ExternalData_1[[#This Row],[Item_key]],GDList,Table_ExternalData_1[[#Headers],[22]])</f>
        <v>0</v>
      </c>
      <c r="AC58" s="6">
        <f>SUMIFS(GQList,GIList,Table_ExternalData_1[[#This Row],[Item_key]],GDList,Table_ExternalData_1[[#Headers],[23]])</f>
        <v>0</v>
      </c>
      <c r="AD58" s="6">
        <f>SUMIFS(GQList,GIList,Table_ExternalData_1[[#This Row],[Item_key]],GDList,Table_ExternalData_1[[#Headers],[24]])</f>
        <v>0</v>
      </c>
      <c r="AE58" s="6">
        <f>SUMIFS(GQList,GIList,Table_ExternalData_1[[#This Row],[Item_key]],GDList,Table_ExternalData_1[[#Headers],[25]])</f>
        <v>0</v>
      </c>
      <c r="AF58" s="6">
        <f>SUMIFS(GQList,GIList,Table_ExternalData_1[[#This Row],[Item_key]],GDList,Table_ExternalData_1[[#Headers],[26]])</f>
        <v>0</v>
      </c>
      <c r="AG58" s="6">
        <f>SUMIFS(GQList,GIList,Table_ExternalData_1[[#This Row],[Item_key]],GDList,Table_ExternalData_1[[#Headers],[27]])</f>
        <v>0</v>
      </c>
      <c r="AH58" s="6">
        <f>SUMIFS(GQList,GIList,Table_ExternalData_1[[#This Row],[Item_key]],GDList,Table_ExternalData_1[[#Headers],[28]])</f>
        <v>0</v>
      </c>
      <c r="AI58" s="6">
        <f>SUMIFS(GQList,GIList,Table_ExternalData_1[[#This Row],[Item_key]],GDList,Table_ExternalData_1[[#Headers],[29]])</f>
        <v>0</v>
      </c>
      <c r="AJ58" s="6">
        <f>SUMIFS(GQList,GIList,Table_ExternalData_1[[#This Row],[Item_key]],GDList,Table_ExternalData_1[[#Headers],[30]])</f>
        <v>0</v>
      </c>
      <c r="AK58" s="6">
        <f>SUMIFS(GQList,GIList,Table_ExternalData_1[[#This Row],[Item_key]],GDList,Table_ExternalData_1[[#Headers],[31]])</f>
        <v>0</v>
      </c>
      <c r="AL58" s="6">
        <f>SUM(Table_ExternalData_1[[#This Row],[1]:[31]])</f>
        <v>5</v>
      </c>
    </row>
    <row r="59" spans="1:38">
      <c r="A59" s="50" t="s">
        <v>65</v>
      </c>
      <c r="B59" s="3" t="s">
        <v>2366</v>
      </c>
      <c r="C59" s="3" t="s">
        <v>1173</v>
      </c>
      <c r="D59" s="3" t="s">
        <v>1583</v>
      </c>
      <c r="E59" s="3" t="s">
        <v>1584</v>
      </c>
      <c r="F59" s="8" t="s">
        <v>17</v>
      </c>
      <c r="G59" s="6">
        <f>SUMIFS(GQList,GIList,Table_ExternalData_1[[#This Row],[Item_key]],GDList,Table_ExternalData_1[[#Headers],[1]])</f>
        <v>0</v>
      </c>
      <c r="H59" s="6">
        <f>SUMIFS(GQList,GIList,Table_ExternalData_1[[#This Row],[Item_key]],GDList,Table_ExternalData_1[[#Headers],[2]])</f>
        <v>0</v>
      </c>
      <c r="I59" s="6">
        <f>SUMIFS(GQList,GIList,Table_ExternalData_1[[#This Row],[Item_key]],GDList,Table_ExternalData_1[[#Headers],[3]])</f>
        <v>0</v>
      </c>
      <c r="J59" s="6">
        <f>SUMIFS(GQList,GIList,Table_ExternalData_1[[#This Row],[Item_key]],GDList,Table_ExternalData_1[[#Headers],[4]])</f>
        <v>53</v>
      </c>
      <c r="K59" s="6">
        <f>SUMIFS(GQList,GIList,Table_ExternalData_1[[#This Row],[Item_key]],GDList,Table_ExternalData_1[[#Headers],[5]])</f>
        <v>0</v>
      </c>
      <c r="L59" s="6">
        <f>SUMIFS(GQList,GIList,Table_ExternalData_1[[#This Row],[Item_key]],GDList,Table_ExternalData_1[[#Headers],[6]])</f>
        <v>0</v>
      </c>
      <c r="M59" s="6">
        <f>SUMIFS(GQList,GIList,Table_ExternalData_1[[#This Row],[Item_key]],GDList,Table_ExternalData_1[[#Headers],[7]])</f>
        <v>0</v>
      </c>
      <c r="N59" s="6">
        <f>SUMIFS(GQList,GIList,Table_ExternalData_1[[#This Row],[Item_key]],GDList,Table_ExternalData_1[[#Headers],[8]])</f>
        <v>0</v>
      </c>
      <c r="O59" s="6">
        <f>SUMIFS(GQList,GIList,Table_ExternalData_1[[#This Row],[Item_key]],GDList,Table_ExternalData_1[[#Headers],[9]])</f>
        <v>0</v>
      </c>
      <c r="P59" s="6">
        <f>SUMIFS(GQList,GIList,Table_ExternalData_1[[#This Row],[Item_key]],GDList,Table_ExternalData_1[[#Headers],[10]])</f>
        <v>0</v>
      </c>
      <c r="Q59" s="6">
        <f>SUMIFS(GQList,GIList,Table_ExternalData_1[[#This Row],[Item_key]],GDList,Table_ExternalData_1[[#Headers],[11]])</f>
        <v>0</v>
      </c>
      <c r="R59" s="6">
        <f>SUMIFS(GQList,GIList,Table_ExternalData_1[[#This Row],[Item_key]],GDList,Table_ExternalData_1[[#Headers],[12]])</f>
        <v>0</v>
      </c>
      <c r="S59" s="6">
        <f>SUMIFS(GQList,GIList,Table_ExternalData_1[[#This Row],[Item_key]],GDList,Table_ExternalData_1[[#Headers],[13]])</f>
        <v>0</v>
      </c>
      <c r="T59" s="6">
        <f>SUMIFS(GQList,GIList,Table_ExternalData_1[[#This Row],[Item_key]],GDList,Table_ExternalData_1[[#Headers],[14]])</f>
        <v>0</v>
      </c>
      <c r="U59" s="6">
        <f>SUMIFS(GQList,GIList,Table_ExternalData_1[[#This Row],[Item_key]],GDList,Table_ExternalData_1[[#Headers],[15]])</f>
        <v>0</v>
      </c>
      <c r="V59" s="6">
        <f>SUMIFS(GQList,GIList,Table_ExternalData_1[[#This Row],[Item_key]],GDList,Table_ExternalData_1[[#Headers],[16]])</f>
        <v>2</v>
      </c>
      <c r="W59" s="6">
        <f>SUMIFS(GQList,GIList,Table_ExternalData_1[[#This Row],[Item_key]],GDList,Table_ExternalData_1[[#Headers],[17]])</f>
        <v>0</v>
      </c>
      <c r="X59" s="6">
        <f>SUMIFS(GQList,GIList,Table_ExternalData_1[[#This Row],[Item_key]],GDList,Table_ExternalData_1[[#Headers],[18]])</f>
        <v>0</v>
      </c>
      <c r="Y59" s="6">
        <f>SUMIFS(GQList,GIList,Table_ExternalData_1[[#This Row],[Item_key]],GDList,Table_ExternalData_1[[#Headers],[19]])</f>
        <v>0</v>
      </c>
      <c r="Z59" s="6">
        <f>SUMIFS(GQList,GIList,Table_ExternalData_1[[#This Row],[Item_key]],GDList,Table_ExternalData_1[[#Headers],[20]])</f>
        <v>0</v>
      </c>
      <c r="AA59" s="6">
        <f>SUMIFS(GQList,GIList,Table_ExternalData_1[[#This Row],[Item_key]],GDList,Table_ExternalData_1[[#Headers],[21]])</f>
        <v>0</v>
      </c>
      <c r="AB59" s="6">
        <f>SUMIFS(GQList,GIList,Table_ExternalData_1[[#This Row],[Item_key]],GDList,Table_ExternalData_1[[#Headers],[22]])</f>
        <v>0</v>
      </c>
      <c r="AC59" s="6">
        <f>SUMIFS(GQList,GIList,Table_ExternalData_1[[#This Row],[Item_key]],GDList,Table_ExternalData_1[[#Headers],[23]])</f>
        <v>0</v>
      </c>
      <c r="AD59" s="6">
        <f>SUMIFS(GQList,GIList,Table_ExternalData_1[[#This Row],[Item_key]],GDList,Table_ExternalData_1[[#Headers],[24]])</f>
        <v>0</v>
      </c>
      <c r="AE59" s="6">
        <f>SUMIFS(GQList,GIList,Table_ExternalData_1[[#This Row],[Item_key]],GDList,Table_ExternalData_1[[#Headers],[25]])</f>
        <v>0</v>
      </c>
      <c r="AF59" s="6">
        <f>SUMIFS(GQList,GIList,Table_ExternalData_1[[#This Row],[Item_key]],GDList,Table_ExternalData_1[[#Headers],[26]])</f>
        <v>0</v>
      </c>
      <c r="AG59" s="6">
        <f>SUMIFS(GQList,GIList,Table_ExternalData_1[[#This Row],[Item_key]],GDList,Table_ExternalData_1[[#Headers],[27]])</f>
        <v>0</v>
      </c>
      <c r="AH59" s="6">
        <f>SUMIFS(GQList,GIList,Table_ExternalData_1[[#This Row],[Item_key]],GDList,Table_ExternalData_1[[#Headers],[28]])</f>
        <v>0</v>
      </c>
      <c r="AI59" s="6">
        <f>SUMIFS(GQList,GIList,Table_ExternalData_1[[#This Row],[Item_key]],GDList,Table_ExternalData_1[[#Headers],[29]])</f>
        <v>0</v>
      </c>
      <c r="AJ59" s="6">
        <f>SUMIFS(GQList,GIList,Table_ExternalData_1[[#This Row],[Item_key]],GDList,Table_ExternalData_1[[#Headers],[30]])</f>
        <v>0</v>
      </c>
      <c r="AK59" s="6">
        <f>SUMIFS(GQList,GIList,Table_ExternalData_1[[#This Row],[Item_key]],GDList,Table_ExternalData_1[[#Headers],[31]])</f>
        <v>0</v>
      </c>
      <c r="AL59" s="6">
        <f>SUM(Table_ExternalData_1[[#This Row],[1]:[31]])</f>
        <v>55</v>
      </c>
    </row>
    <row r="60" spans="1:38">
      <c r="A60" s="50" t="s">
        <v>65</v>
      </c>
      <c r="B60" s="3" t="s">
        <v>2377</v>
      </c>
      <c r="C60" s="3" t="s">
        <v>2264</v>
      </c>
      <c r="D60" s="3" t="s">
        <v>2378</v>
      </c>
      <c r="E60" s="3" t="s">
        <v>2379</v>
      </c>
      <c r="F60" s="8" t="s">
        <v>17</v>
      </c>
      <c r="G60" s="6">
        <f>SUMIFS(GQList,GIList,Table_ExternalData_1[[#This Row],[Item_key]],GDList,Table_ExternalData_1[[#Headers],[1]])</f>
        <v>0</v>
      </c>
      <c r="H60" s="6">
        <f>SUMIFS(GQList,GIList,Table_ExternalData_1[[#This Row],[Item_key]],GDList,Table_ExternalData_1[[#Headers],[2]])</f>
        <v>0</v>
      </c>
      <c r="I60" s="6">
        <f>SUMIFS(GQList,GIList,Table_ExternalData_1[[#This Row],[Item_key]],GDList,Table_ExternalData_1[[#Headers],[3]])</f>
        <v>0</v>
      </c>
      <c r="J60" s="6">
        <f>SUMIFS(GQList,GIList,Table_ExternalData_1[[#This Row],[Item_key]],GDList,Table_ExternalData_1[[#Headers],[4]])</f>
        <v>0</v>
      </c>
      <c r="K60" s="6">
        <f>SUMIFS(GQList,GIList,Table_ExternalData_1[[#This Row],[Item_key]],GDList,Table_ExternalData_1[[#Headers],[5]])</f>
        <v>0</v>
      </c>
      <c r="L60" s="6">
        <f>SUMIFS(GQList,GIList,Table_ExternalData_1[[#This Row],[Item_key]],GDList,Table_ExternalData_1[[#Headers],[6]])</f>
        <v>0</v>
      </c>
      <c r="M60" s="6">
        <f>SUMIFS(GQList,GIList,Table_ExternalData_1[[#This Row],[Item_key]],GDList,Table_ExternalData_1[[#Headers],[7]])</f>
        <v>0</v>
      </c>
      <c r="N60" s="6">
        <f>SUMIFS(GQList,GIList,Table_ExternalData_1[[#This Row],[Item_key]],GDList,Table_ExternalData_1[[#Headers],[8]])</f>
        <v>0</v>
      </c>
      <c r="O60" s="6">
        <f>SUMIFS(GQList,GIList,Table_ExternalData_1[[#This Row],[Item_key]],GDList,Table_ExternalData_1[[#Headers],[9]])</f>
        <v>0</v>
      </c>
      <c r="P60" s="6">
        <f>SUMIFS(GQList,GIList,Table_ExternalData_1[[#This Row],[Item_key]],GDList,Table_ExternalData_1[[#Headers],[10]])</f>
        <v>0</v>
      </c>
      <c r="Q60" s="6">
        <f>SUMIFS(GQList,GIList,Table_ExternalData_1[[#This Row],[Item_key]],GDList,Table_ExternalData_1[[#Headers],[11]])</f>
        <v>0</v>
      </c>
      <c r="R60" s="6">
        <f>SUMIFS(GQList,GIList,Table_ExternalData_1[[#This Row],[Item_key]],GDList,Table_ExternalData_1[[#Headers],[12]])</f>
        <v>0</v>
      </c>
      <c r="S60" s="6">
        <f>SUMIFS(GQList,GIList,Table_ExternalData_1[[#This Row],[Item_key]],GDList,Table_ExternalData_1[[#Headers],[13]])</f>
        <v>0</v>
      </c>
      <c r="T60" s="6">
        <f>SUMIFS(GQList,GIList,Table_ExternalData_1[[#This Row],[Item_key]],GDList,Table_ExternalData_1[[#Headers],[14]])</f>
        <v>0</v>
      </c>
      <c r="U60" s="6">
        <f>SUMIFS(GQList,GIList,Table_ExternalData_1[[#This Row],[Item_key]],GDList,Table_ExternalData_1[[#Headers],[15]])</f>
        <v>0</v>
      </c>
      <c r="V60" s="6">
        <f>SUMIFS(GQList,GIList,Table_ExternalData_1[[#This Row],[Item_key]],GDList,Table_ExternalData_1[[#Headers],[16]])</f>
        <v>0</v>
      </c>
      <c r="W60" s="6">
        <f>SUMIFS(GQList,GIList,Table_ExternalData_1[[#This Row],[Item_key]],GDList,Table_ExternalData_1[[#Headers],[17]])</f>
        <v>0</v>
      </c>
      <c r="X60" s="6">
        <f>SUMIFS(GQList,GIList,Table_ExternalData_1[[#This Row],[Item_key]],GDList,Table_ExternalData_1[[#Headers],[18]])</f>
        <v>0</v>
      </c>
      <c r="Y60" s="6">
        <f>SUMIFS(GQList,GIList,Table_ExternalData_1[[#This Row],[Item_key]],GDList,Table_ExternalData_1[[#Headers],[19]])</f>
        <v>0</v>
      </c>
      <c r="Z60" s="6">
        <f>SUMIFS(GQList,GIList,Table_ExternalData_1[[#This Row],[Item_key]],GDList,Table_ExternalData_1[[#Headers],[20]])</f>
        <v>0</v>
      </c>
      <c r="AA60" s="6">
        <f>SUMIFS(GQList,GIList,Table_ExternalData_1[[#This Row],[Item_key]],GDList,Table_ExternalData_1[[#Headers],[21]])</f>
        <v>0</v>
      </c>
      <c r="AB60" s="6">
        <f>SUMIFS(GQList,GIList,Table_ExternalData_1[[#This Row],[Item_key]],GDList,Table_ExternalData_1[[#Headers],[22]])</f>
        <v>0</v>
      </c>
      <c r="AC60" s="6">
        <f>SUMIFS(GQList,GIList,Table_ExternalData_1[[#This Row],[Item_key]],GDList,Table_ExternalData_1[[#Headers],[23]])</f>
        <v>0</v>
      </c>
      <c r="AD60" s="6">
        <f>SUMIFS(GQList,GIList,Table_ExternalData_1[[#This Row],[Item_key]],GDList,Table_ExternalData_1[[#Headers],[24]])</f>
        <v>0</v>
      </c>
      <c r="AE60" s="6">
        <f>SUMIFS(GQList,GIList,Table_ExternalData_1[[#This Row],[Item_key]],GDList,Table_ExternalData_1[[#Headers],[25]])</f>
        <v>0</v>
      </c>
      <c r="AF60" s="6">
        <f>SUMIFS(GQList,GIList,Table_ExternalData_1[[#This Row],[Item_key]],GDList,Table_ExternalData_1[[#Headers],[26]])</f>
        <v>0</v>
      </c>
      <c r="AG60" s="6">
        <f>SUMIFS(GQList,GIList,Table_ExternalData_1[[#This Row],[Item_key]],GDList,Table_ExternalData_1[[#Headers],[27]])</f>
        <v>0</v>
      </c>
      <c r="AH60" s="6">
        <f>SUMIFS(GQList,GIList,Table_ExternalData_1[[#This Row],[Item_key]],GDList,Table_ExternalData_1[[#Headers],[28]])</f>
        <v>0</v>
      </c>
      <c r="AI60" s="6">
        <f>SUMIFS(GQList,GIList,Table_ExternalData_1[[#This Row],[Item_key]],GDList,Table_ExternalData_1[[#Headers],[29]])</f>
        <v>0</v>
      </c>
      <c r="AJ60" s="6">
        <f>SUMIFS(GQList,GIList,Table_ExternalData_1[[#This Row],[Item_key]],GDList,Table_ExternalData_1[[#Headers],[30]])</f>
        <v>0</v>
      </c>
      <c r="AK60" s="6">
        <f>SUMIFS(GQList,GIList,Table_ExternalData_1[[#This Row],[Item_key]],GDList,Table_ExternalData_1[[#Headers],[31]])</f>
        <v>250</v>
      </c>
      <c r="AL60" s="6">
        <f>SUM(Table_ExternalData_1[[#This Row],[1]:[31]])</f>
        <v>250</v>
      </c>
    </row>
    <row r="61" spans="1:38">
      <c r="A61" s="50" t="s">
        <v>65</v>
      </c>
      <c r="B61" s="3" t="s">
        <v>2377</v>
      </c>
      <c r="C61" s="3" t="s">
        <v>2266</v>
      </c>
      <c r="D61" s="3" t="s">
        <v>2380</v>
      </c>
      <c r="E61" s="3" t="s">
        <v>2381</v>
      </c>
      <c r="F61" s="8" t="s">
        <v>17</v>
      </c>
      <c r="G61" s="6">
        <f>SUMIFS(GQList,GIList,Table_ExternalData_1[[#This Row],[Item_key]],GDList,Table_ExternalData_1[[#Headers],[1]])</f>
        <v>0</v>
      </c>
      <c r="H61" s="6">
        <f>SUMIFS(GQList,GIList,Table_ExternalData_1[[#This Row],[Item_key]],GDList,Table_ExternalData_1[[#Headers],[2]])</f>
        <v>0</v>
      </c>
      <c r="I61" s="6">
        <f>SUMIFS(GQList,GIList,Table_ExternalData_1[[#This Row],[Item_key]],GDList,Table_ExternalData_1[[#Headers],[3]])</f>
        <v>0</v>
      </c>
      <c r="J61" s="6">
        <f>SUMIFS(GQList,GIList,Table_ExternalData_1[[#This Row],[Item_key]],GDList,Table_ExternalData_1[[#Headers],[4]])</f>
        <v>0</v>
      </c>
      <c r="K61" s="6">
        <f>SUMIFS(GQList,GIList,Table_ExternalData_1[[#This Row],[Item_key]],GDList,Table_ExternalData_1[[#Headers],[5]])</f>
        <v>0</v>
      </c>
      <c r="L61" s="6">
        <f>SUMIFS(GQList,GIList,Table_ExternalData_1[[#This Row],[Item_key]],GDList,Table_ExternalData_1[[#Headers],[6]])</f>
        <v>0</v>
      </c>
      <c r="M61" s="6">
        <f>SUMIFS(GQList,GIList,Table_ExternalData_1[[#This Row],[Item_key]],GDList,Table_ExternalData_1[[#Headers],[7]])</f>
        <v>0</v>
      </c>
      <c r="N61" s="6">
        <f>SUMIFS(GQList,GIList,Table_ExternalData_1[[#This Row],[Item_key]],GDList,Table_ExternalData_1[[#Headers],[8]])</f>
        <v>0</v>
      </c>
      <c r="O61" s="6">
        <f>SUMIFS(GQList,GIList,Table_ExternalData_1[[#This Row],[Item_key]],GDList,Table_ExternalData_1[[#Headers],[9]])</f>
        <v>0</v>
      </c>
      <c r="P61" s="6">
        <f>SUMIFS(GQList,GIList,Table_ExternalData_1[[#This Row],[Item_key]],GDList,Table_ExternalData_1[[#Headers],[10]])</f>
        <v>0</v>
      </c>
      <c r="Q61" s="6">
        <f>SUMIFS(GQList,GIList,Table_ExternalData_1[[#This Row],[Item_key]],GDList,Table_ExternalData_1[[#Headers],[11]])</f>
        <v>0</v>
      </c>
      <c r="R61" s="6">
        <f>SUMIFS(GQList,GIList,Table_ExternalData_1[[#This Row],[Item_key]],GDList,Table_ExternalData_1[[#Headers],[12]])</f>
        <v>0</v>
      </c>
      <c r="S61" s="6">
        <f>SUMIFS(GQList,GIList,Table_ExternalData_1[[#This Row],[Item_key]],GDList,Table_ExternalData_1[[#Headers],[13]])</f>
        <v>0</v>
      </c>
      <c r="T61" s="6">
        <f>SUMIFS(GQList,GIList,Table_ExternalData_1[[#This Row],[Item_key]],GDList,Table_ExternalData_1[[#Headers],[14]])</f>
        <v>0</v>
      </c>
      <c r="U61" s="6">
        <f>SUMIFS(GQList,GIList,Table_ExternalData_1[[#This Row],[Item_key]],GDList,Table_ExternalData_1[[#Headers],[15]])</f>
        <v>0</v>
      </c>
      <c r="V61" s="6">
        <f>SUMIFS(GQList,GIList,Table_ExternalData_1[[#This Row],[Item_key]],GDList,Table_ExternalData_1[[#Headers],[16]])</f>
        <v>0</v>
      </c>
      <c r="W61" s="6">
        <f>SUMIFS(GQList,GIList,Table_ExternalData_1[[#This Row],[Item_key]],GDList,Table_ExternalData_1[[#Headers],[17]])</f>
        <v>0</v>
      </c>
      <c r="X61" s="6">
        <f>SUMIFS(GQList,GIList,Table_ExternalData_1[[#This Row],[Item_key]],GDList,Table_ExternalData_1[[#Headers],[18]])</f>
        <v>0</v>
      </c>
      <c r="Y61" s="6">
        <f>SUMIFS(GQList,GIList,Table_ExternalData_1[[#This Row],[Item_key]],GDList,Table_ExternalData_1[[#Headers],[19]])</f>
        <v>0</v>
      </c>
      <c r="Z61" s="6">
        <f>SUMIFS(GQList,GIList,Table_ExternalData_1[[#This Row],[Item_key]],GDList,Table_ExternalData_1[[#Headers],[20]])</f>
        <v>0</v>
      </c>
      <c r="AA61" s="6">
        <f>SUMIFS(GQList,GIList,Table_ExternalData_1[[#This Row],[Item_key]],GDList,Table_ExternalData_1[[#Headers],[21]])</f>
        <v>0</v>
      </c>
      <c r="AB61" s="6">
        <f>SUMIFS(GQList,GIList,Table_ExternalData_1[[#This Row],[Item_key]],GDList,Table_ExternalData_1[[#Headers],[22]])</f>
        <v>0</v>
      </c>
      <c r="AC61" s="6">
        <f>SUMIFS(GQList,GIList,Table_ExternalData_1[[#This Row],[Item_key]],GDList,Table_ExternalData_1[[#Headers],[23]])</f>
        <v>0</v>
      </c>
      <c r="AD61" s="6">
        <f>SUMIFS(GQList,GIList,Table_ExternalData_1[[#This Row],[Item_key]],GDList,Table_ExternalData_1[[#Headers],[24]])</f>
        <v>0</v>
      </c>
      <c r="AE61" s="6">
        <f>SUMIFS(GQList,GIList,Table_ExternalData_1[[#This Row],[Item_key]],GDList,Table_ExternalData_1[[#Headers],[25]])</f>
        <v>0</v>
      </c>
      <c r="AF61" s="6">
        <f>SUMIFS(GQList,GIList,Table_ExternalData_1[[#This Row],[Item_key]],GDList,Table_ExternalData_1[[#Headers],[26]])</f>
        <v>0</v>
      </c>
      <c r="AG61" s="6">
        <f>SUMIFS(GQList,GIList,Table_ExternalData_1[[#This Row],[Item_key]],GDList,Table_ExternalData_1[[#Headers],[27]])</f>
        <v>0</v>
      </c>
      <c r="AH61" s="6">
        <f>SUMIFS(GQList,GIList,Table_ExternalData_1[[#This Row],[Item_key]],GDList,Table_ExternalData_1[[#Headers],[28]])</f>
        <v>0</v>
      </c>
      <c r="AI61" s="6">
        <f>SUMIFS(GQList,GIList,Table_ExternalData_1[[#This Row],[Item_key]],GDList,Table_ExternalData_1[[#Headers],[29]])</f>
        <v>0</v>
      </c>
      <c r="AJ61" s="6">
        <f>SUMIFS(GQList,GIList,Table_ExternalData_1[[#This Row],[Item_key]],GDList,Table_ExternalData_1[[#Headers],[30]])</f>
        <v>0</v>
      </c>
      <c r="AK61" s="6">
        <f>SUMIFS(GQList,GIList,Table_ExternalData_1[[#This Row],[Item_key]],GDList,Table_ExternalData_1[[#Headers],[31]])</f>
        <v>100</v>
      </c>
      <c r="AL61" s="6">
        <f>SUM(Table_ExternalData_1[[#This Row],[1]:[31]])</f>
        <v>100</v>
      </c>
    </row>
    <row r="62" spans="1:38">
      <c r="A62" s="50" t="s">
        <v>65</v>
      </c>
      <c r="B62" s="3" t="s">
        <v>2377</v>
      </c>
      <c r="C62" s="3" t="s">
        <v>2267</v>
      </c>
      <c r="D62" s="3" t="s">
        <v>2879</v>
      </c>
      <c r="E62" s="3" t="s">
        <v>2880</v>
      </c>
      <c r="F62" s="8" t="s">
        <v>17</v>
      </c>
      <c r="G62" s="6">
        <f>SUMIFS(GQList,GIList,Table_ExternalData_1[[#This Row],[Item_key]],GDList,Table_ExternalData_1[[#Headers],[1]])</f>
        <v>0</v>
      </c>
      <c r="H62" s="6">
        <f>SUMIFS(GQList,GIList,Table_ExternalData_1[[#This Row],[Item_key]],GDList,Table_ExternalData_1[[#Headers],[2]])</f>
        <v>0</v>
      </c>
      <c r="I62" s="6">
        <f>SUMIFS(GQList,GIList,Table_ExternalData_1[[#This Row],[Item_key]],GDList,Table_ExternalData_1[[#Headers],[3]])</f>
        <v>0</v>
      </c>
      <c r="J62" s="6">
        <f>SUMIFS(GQList,GIList,Table_ExternalData_1[[#This Row],[Item_key]],GDList,Table_ExternalData_1[[#Headers],[4]])</f>
        <v>0</v>
      </c>
      <c r="K62" s="6">
        <f>SUMIFS(GQList,GIList,Table_ExternalData_1[[#This Row],[Item_key]],GDList,Table_ExternalData_1[[#Headers],[5]])</f>
        <v>0</v>
      </c>
      <c r="L62" s="6">
        <f>SUMIFS(GQList,GIList,Table_ExternalData_1[[#This Row],[Item_key]],GDList,Table_ExternalData_1[[#Headers],[6]])</f>
        <v>0</v>
      </c>
      <c r="M62" s="6">
        <f>SUMIFS(GQList,GIList,Table_ExternalData_1[[#This Row],[Item_key]],GDList,Table_ExternalData_1[[#Headers],[7]])</f>
        <v>0</v>
      </c>
      <c r="N62" s="6">
        <f>SUMIFS(GQList,GIList,Table_ExternalData_1[[#This Row],[Item_key]],GDList,Table_ExternalData_1[[#Headers],[8]])</f>
        <v>0</v>
      </c>
      <c r="O62" s="6">
        <f>SUMIFS(GQList,GIList,Table_ExternalData_1[[#This Row],[Item_key]],GDList,Table_ExternalData_1[[#Headers],[9]])</f>
        <v>0</v>
      </c>
      <c r="P62" s="6">
        <f>SUMIFS(GQList,GIList,Table_ExternalData_1[[#This Row],[Item_key]],GDList,Table_ExternalData_1[[#Headers],[10]])</f>
        <v>0</v>
      </c>
      <c r="Q62" s="6">
        <f>SUMIFS(GQList,GIList,Table_ExternalData_1[[#This Row],[Item_key]],GDList,Table_ExternalData_1[[#Headers],[11]])</f>
        <v>0</v>
      </c>
      <c r="R62" s="6">
        <f>SUMIFS(GQList,GIList,Table_ExternalData_1[[#This Row],[Item_key]],GDList,Table_ExternalData_1[[#Headers],[12]])</f>
        <v>0</v>
      </c>
      <c r="S62" s="6">
        <f>SUMIFS(GQList,GIList,Table_ExternalData_1[[#This Row],[Item_key]],GDList,Table_ExternalData_1[[#Headers],[13]])</f>
        <v>0</v>
      </c>
      <c r="T62" s="6">
        <f>SUMIFS(GQList,GIList,Table_ExternalData_1[[#This Row],[Item_key]],GDList,Table_ExternalData_1[[#Headers],[14]])</f>
        <v>0</v>
      </c>
      <c r="U62" s="6">
        <f>SUMIFS(GQList,GIList,Table_ExternalData_1[[#This Row],[Item_key]],GDList,Table_ExternalData_1[[#Headers],[15]])</f>
        <v>0</v>
      </c>
      <c r="V62" s="6">
        <f>SUMIFS(GQList,GIList,Table_ExternalData_1[[#This Row],[Item_key]],GDList,Table_ExternalData_1[[#Headers],[16]])</f>
        <v>0</v>
      </c>
      <c r="W62" s="6">
        <f>SUMIFS(GQList,GIList,Table_ExternalData_1[[#This Row],[Item_key]],GDList,Table_ExternalData_1[[#Headers],[17]])</f>
        <v>0</v>
      </c>
      <c r="X62" s="6">
        <f>SUMIFS(GQList,GIList,Table_ExternalData_1[[#This Row],[Item_key]],GDList,Table_ExternalData_1[[#Headers],[18]])</f>
        <v>0</v>
      </c>
      <c r="Y62" s="6">
        <f>SUMIFS(GQList,GIList,Table_ExternalData_1[[#This Row],[Item_key]],GDList,Table_ExternalData_1[[#Headers],[19]])</f>
        <v>0</v>
      </c>
      <c r="Z62" s="6">
        <f>SUMIFS(GQList,GIList,Table_ExternalData_1[[#This Row],[Item_key]],GDList,Table_ExternalData_1[[#Headers],[20]])</f>
        <v>0</v>
      </c>
      <c r="AA62" s="6">
        <f>SUMIFS(GQList,GIList,Table_ExternalData_1[[#This Row],[Item_key]],GDList,Table_ExternalData_1[[#Headers],[21]])</f>
        <v>0</v>
      </c>
      <c r="AB62" s="6">
        <f>SUMIFS(GQList,GIList,Table_ExternalData_1[[#This Row],[Item_key]],GDList,Table_ExternalData_1[[#Headers],[22]])</f>
        <v>0</v>
      </c>
      <c r="AC62" s="6">
        <f>SUMIFS(GQList,GIList,Table_ExternalData_1[[#This Row],[Item_key]],GDList,Table_ExternalData_1[[#Headers],[23]])</f>
        <v>0</v>
      </c>
      <c r="AD62" s="6">
        <f>SUMIFS(GQList,GIList,Table_ExternalData_1[[#This Row],[Item_key]],GDList,Table_ExternalData_1[[#Headers],[24]])</f>
        <v>0</v>
      </c>
      <c r="AE62" s="6">
        <f>SUMIFS(GQList,GIList,Table_ExternalData_1[[#This Row],[Item_key]],GDList,Table_ExternalData_1[[#Headers],[25]])</f>
        <v>0</v>
      </c>
      <c r="AF62" s="6">
        <f>SUMIFS(GQList,GIList,Table_ExternalData_1[[#This Row],[Item_key]],GDList,Table_ExternalData_1[[#Headers],[26]])</f>
        <v>0</v>
      </c>
      <c r="AG62" s="6">
        <f>SUMIFS(GQList,GIList,Table_ExternalData_1[[#This Row],[Item_key]],GDList,Table_ExternalData_1[[#Headers],[27]])</f>
        <v>0</v>
      </c>
      <c r="AH62" s="6">
        <f>SUMIFS(GQList,GIList,Table_ExternalData_1[[#This Row],[Item_key]],GDList,Table_ExternalData_1[[#Headers],[28]])</f>
        <v>0</v>
      </c>
      <c r="AI62" s="6">
        <f>SUMIFS(GQList,GIList,Table_ExternalData_1[[#This Row],[Item_key]],GDList,Table_ExternalData_1[[#Headers],[29]])</f>
        <v>0</v>
      </c>
      <c r="AJ62" s="6">
        <f>SUMIFS(GQList,GIList,Table_ExternalData_1[[#This Row],[Item_key]],GDList,Table_ExternalData_1[[#Headers],[30]])</f>
        <v>0</v>
      </c>
      <c r="AK62" s="6">
        <f>SUMIFS(GQList,GIList,Table_ExternalData_1[[#This Row],[Item_key]],GDList,Table_ExternalData_1[[#Headers],[31]])</f>
        <v>43</v>
      </c>
      <c r="AL62" s="6">
        <f>SUM(Table_ExternalData_1[[#This Row],[1]:[31]])</f>
        <v>43</v>
      </c>
    </row>
    <row r="63" spans="1:38">
      <c r="A63" s="50" t="s">
        <v>65</v>
      </c>
      <c r="B63" s="3" t="s">
        <v>2377</v>
      </c>
      <c r="C63" s="3" t="s">
        <v>2269</v>
      </c>
      <c r="D63" s="3" t="s">
        <v>2881</v>
      </c>
      <c r="E63" s="3" t="s">
        <v>2882</v>
      </c>
      <c r="F63" s="8" t="s">
        <v>17</v>
      </c>
      <c r="G63" s="6">
        <f>SUMIFS(GQList,GIList,Table_ExternalData_1[[#This Row],[Item_key]],GDList,Table_ExternalData_1[[#Headers],[1]])</f>
        <v>0</v>
      </c>
      <c r="H63" s="6">
        <f>SUMIFS(GQList,GIList,Table_ExternalData_1[[#This Row],[Item_key]],GDList,Table_ExternalData_1[[#Headers],[2]])</f>
        <v>0</v>
      </c>
      <c r="I63" s="6">
        <f>SUMIFS(GQList,GIList,Table_ExternalData_1[[#This Row],[Item_key]],GDList,Table_ExternalData_1[[#Headers],[3]])</f>
        <v>0</v>
      </c>
      <c r="J63" s="6">
        <f>SUMIFS(GQList,GIList,Table_ExternalData_1[[#This Row],[Item_key]],GDList,Table_ExternalData_1[[#Headers],[4]])</f>
        <v>0</v>
      </c>
      <c r="K63" s="6">
        <f>SUMIFS(GQList,GIList,Table_ExternalData_1[[#This Row],[Item_key]],GDList,Table_ExternalData_1[[#Headers],[5]])</f>
        <v>0</v>
      </c>
      <c r="L63" s="6">
        <f>SUMIFS(GQList,GIList,Table_ExternalData_1[[#This Row],[Item_key]],GDList,Table_ExternalData_1[[#Headers],[6]])</f>
        <v>0</v>
      </c>
      <c r="M63" s="6">
        <f>SUMIFS(GQList,GIList,Table_ExternalData_1[[#This Row],[Item_key]],GDList,Table_ExternalData_1[[#Headers],[7]])</f>
        <v>0</v>
      </c>
      <c r="N63" s="6">
        <f>SUMIFS(GQList,GIList,Table_ExternalData_1[[#This Row],[Item_key]],GDList,Table_ExternalData_1[[#Headers],[8]])</f>
        <v>0</v>
      </c>
      <c r="O63" s="6">
        <f>SUMIFS(GQList,GIList,Table_ExternalData_1[[#This Row],[Item_key]],GDList,Table_ExternalData_1[[#Headers],[9]])</f>
        <v>0</v>
      </c>
      <c r="P63" s="6">
        <f>SUMIFS(GQList,GIList,Table_ExternalData_1[[#This Row],[Item_key]],GDList,Table_ExternalData_1[[#Headers],[10]])</f>
        <v>0</v>
      </c>
      <c r="Q63" s="6">
        <f>SUMIFS(GQList,GIList,Table_ExternalData_1[[#This Row],[Item_key]],GDList,Table_ExternalData_1[[#Headers],[11]])</f>
        <v>0</v>
      </c>
      <c r="R63" s="6">
        <f>SUMIFS(GQList,GIList,Table_ExternalData_1[[#This Row],[Item_key]],GDList,Table_ExternalData_1[[#Headers],[12]])</f>
        <v>0</v>
      </c>
      <c r="S63" s="6">
        <f>SUMIFS(GQList,GIList,Table_ExternalData_1[[#This Row],[Item_key]],GDList,Table_ExternalData_1[[#Headers],[13]])</f>
        <v>0</v>
      </c>
      <c r="T63" s="6">
        <f>SUMIFS(GQList,GIList,Table_ExternalData_1[[#This Row],[Item_key]],GDList,Table_ExternalData_1[[#Headers],[14]])</f>
        <v>0</v>
      </c>
      <c r="U63" s="6">
        <f>SUMIFS(GQList,GIList,Table_ExternalData_1[[#This Row],[Item_key]],GDList,Table_ExternalData_1[[#Headers],[15]])</f>
        <v>0</v>
      </c>
      <c r="V63" s="6">
        <f>SUMIFS(GQList,GIList,Table_ExternalData_1[[#This Row],[Item_key]],GDList,Table_ExternalData_1[[#Headers],[16]])</f>
        <v>0</v>
      </c>
      <c r="W63" s="6">
        <f>SUMIFS(GQList,GIList,Table_ExternalData_1[[#This Row],[Item_key]],GDList,Table_ExternalData_1[[#Headers],[17]])</f>
        <v>0</v>
      </c>
      <c r="X63" s="6">
        <f>SUMIFS(GQList,GIList,Table_ExternalData_1[[#This Row],[Item_key]],GDList,Table_ExternalData_1[[#Headers],[18]])</f>
        <v>0</v>
      </c>
      <c r="Y63" s="6">
        <f>SUMIFS(GQList,GIList,Table_ExternalData_1[[#This Row],[Item_key]],GDList,Table_ExternalData_1[[#Headers],[19]])</f>
        <v>0</v>
      </c>
      <c r="Z63" s="6">
        <f>SUMIFS(GQList,GIList,Table_ExternalData_1[[#This Row],[Item_key]],GDList,Table_ExternalData_1[[#Headers],[20]])</f>
        <v>0</v>
      </c>
      <c r="AA63" s="6">
        <f>SUMIFS(GQList,GIList,Table_ExternalData_1[[#This Row],[Item_key]],GDList,Table_ExternalData_1[[#Headers],[21]])</f>
        <v>0</v>
      </c>
      <c r="AB63" s="6">
        <f>SUMIFS(GQList,GIList,Table_ExternalData_1[[#This Row],[Item_key]],GDList,Table_ExternalData_1[[#Headers],[22]])</f>
        <v>0</v>
      </c>
      <c r="AC63" s="6">
        <f>SUMIFS(GQList,GIList,Table_ExternalData_1[[#This Row],[Item_key]],GDList,Table_ExternalData_1[[#Headers],[23]])</f>
        <v>0</v>
      </c>
      <c r="AD63" s="6">
        <f>SUMIFS(GQList,GIList,Table_ExternalData_1[[#This Row],[Item_key]],GDList,Table_ExternalData_1[[#Headers],[24]])</f>
        <v>0</v>
      </c>
      <c r="AE63" s="6">
        <f>SUMIFS(GQList,GIList,Table_ExternalData_1[[#This Row],[Item_key]],GDList,Table_ExternalData_1[[#Headers],[25]])</f>
        <v>0</v>
      </c>
      <c r="AF63" s="6">
        <f>SUMIFS(GQList,GIList,Table_ExternalData_1[[#This Row],[Item_key]],GDList,Table_ExternalData_1[[#Headers],[26]])</f>
        <v>0</v>
      </c>
      <c r="AG63" s="6">
        <f>SUMIFS(GQList,GIList,Table_ExternalData_1[[#This Row],[Item_key]],GDList,Table_ExternalData_1[[#Headers],[27]])</f>
        <v>0</v>
      </c>
      <c r="AH63" s="6">
        <f>SUMIFS(GQList,GIList,Table_ExternalData_1[[#This Row],[Item_key]],GDList,Table_ExternalData_1[[#Headers],[28]])</f>
        <v>0</v>
      </c>
      <c r="AI63" s="6">
        <f>SUMIFS(GQList,GIList,Table_ExternalData_1[[#This Row],[Item_key]],GDList,Table_ExternalData_1[[#Headers],[29]])</f>
        <v>0</v>
      </c>
      <c r="AJ63" s="6">
        <f>SUMIFS(GQList,GIList,Table_ExternalData_1[[#This Row],[Item_key]],GDList,Table_ExternalData_1[[#Headers],[30]])</f>
        <v>0</v>
      </c>
      <c r="AK63" s="6">
        <f>SUMIFS(GQList,GIList,Table_ExternalData_1[[#This Row],[Item_key]],GDList,Table_ExternalData_1[[#Headers],[31]])</f>
        <v>98</v>
      </c>
      <c r="AL63" s="6">
        <f>SUM(Table_ExternalData_1[[#This Row],[1]:[31]])</f>
        <v>98</v>
      </c>
    </row>
    <row r="64" spans="1:38">
      <c r="A64" s="50" t="s">
        <v>65</v>
      </c>
      <c r="B64" s="3" t="s">
        <v>2377</v>
      </c>
      <c r="C64" s="3" t="s">
        <v>2288</v>
      </c>
      <c r="D64" s="3" t="s">
        <v>2382</v>
      </c>
      <c r="E64" s="3" t="s">
        <v>2383</v>
      </c>
      <c r="F64" s="8" t="s">
        <v>17</v>
      </c>
      <c r="G64" s="6">
        <f>SUMIFS(GQList,GIList,Table_ExternalData_1[[#This Row],[Item_key]],GDList,Table_ExternalData_1[[#Headers],[1]])</f>
        <v>0</v>
      </c>
      <c r="H64" s="6">
        <f>SUMIFS(GQList,GIList,Table_ExternalData_1[[#This Row],[Item_key]],GDList,Table_ExternalData_1[[#Headers],[2]])</f>
        <v>0</v>
      </c>
      <c r="I64" s="6">
        <f>SUMIFS(GQList,GIList,Table_ExternalData_1[[#This Row],[Item_key]],GDList,Table_ExternalData_1[[#Headers],[3]])</f>
        <v>0</v>
      </c>
      <c r="J64" s="6">
        <f>SUMIFS(GQList,GIList,Table_ExternalData_1[[#This Row],[Item_key]],GDList,Table_ExternalData_1[[#Headers],[4]])</f>
        <v>0</v>
      </c>
      <c r="K64" s="6">
        <f>SUMIFS(GQList,GIList,Table_ExternalData_1[[#This Row],[Item_key]],GDList,Table_ExternalData_1[[#Headers],[5]])</f>
        <v>0</v>
      </c>
      <c r="L64" s="6">
        <f>SUMIFS(GQList,GIList,Table_ExternalData_1[[#This Row],[Item_key]],GDList,Table_ExternalData_1[[#Headers],[6]])</f>
        <v>0</v>
      </c>
      <c r="M64" s="6">
        <f>SUMIFS(GQList,GIList,Table_ExternalData_1[[#This Row],[Item_key]],GDList,Table_ExternalData_1[[#Headers],[7]])</f>
        <v>0</v>
      </c>
      <c r="N64" s="6">
        <f>SUMIFS(GQList,GIList,Table_ExternalData_1[[#This Row],[Item_key]],GDList,Table_ExternalData_1[[#Headers],[8]])</f>
        <v>0</v>
      </c>
      <c r="O64" s="6">
        <f>SUMIFS(GQList,GIList,Table_ExternalData_1[[#This Row],[Item_key]],GDList,Table_ExternalData_1[[#Headers],[9]])</f>
        <v>0</v>
      </c>
      <c r="P64" s="6">
        <f>SUMIFS(GQList,GIList,Table_ExternalData_1[[#This Row],[Item_key]],GDList,Table_ExternalData_1[[#Headers],[10]])</f>
        <v>0</v>
      </c>
      <c r="Q64" s="6">
        <f>SUMIFS(GQList,GIList,Table_ExternalData_1[[#This Row],[Item_key]],GDList,Table_ExternalData_1[[#Headers],[11]])</f>
        <v>0</v>
      </c>
      <c r="R64" s="6">
        <f>SUMIFS(GQList,GIList,Table_ExternalData_1[[#This Row],[Item_key]],GDList,Table_ExternalData_1[[#Headers],[12]])</f>
        <v>0</v>
      </c>
      <c r="S64" s="6">
        <f>SUMIFS(GQList,GIList,Table_ExternalData_1[[#This Row],[Item_key]],GDList,Table_ExternalData_1[[#Headers],[13]])</f>
        <v>0</v>
      </c>
      <c r="T64" s="6">
        <f>SUMIFS(GQList,GIList,Table_ExternalData_1[[#This Row],[Item_key]],GDList,Table_ExternalData_1[[#Headers],[14]])</f>
        <v>0</v>
      </c>
      <c r="U64" s="6">
        <f>SUMIFS(GQList,GIList,Table_ExternalData_1[[#This Row],[Item_key]],GDList,Table_ExternalData_1[[#Headers],[15]])</f>
        <v>0</v>
      </c>
      <c r="V64" s="6">
        <f>SUMIFS(GQList,GIList,Table_ExternalData_1[[#This Row],[Item_key]],GDList,Table_ExternalData_1[[#Headers],[16]])</f>
        <v>0</v>
      </c>
      <c r="W64" s="6">
        <f>SUMIFS(GQList,GIList,Table_ExternalData_1[[#This Row],[Item_key]],GDList,Table_ExternalData_1[[#Headers],[17]])</f>
        <v>0</v>
      </c>
      <c r="X64" s="6">
        <f>SUMIFS(GQList,GIList,Table_ExternalData_1[[#This Row],[Item_key]],GDList,Table_ExternalData_1[[#Headers],[18]])</f>
        <v>0</v>
      </c>
      <c r="Y64" s="6">
        <f>SUMIFS(GQList,GIList,Table_ExternalData_1[[#This Row],[Item_key]],GDList,Table_ExternalData_1[[#Headers],[19]])</f>
        <v>0</v>
      </c>
      <c r="Z64" s="6">
        <f>SUMIFS(GQList,GIList,Table_ExternalData_1[[#This Row],[Item_key]],GDList,Table_ExternalData_1[[#Headers],[20]])</f>
        <v>0</v>
      </c>
      <c r="AA64" s="6">
        <f>SUMIFS(GQList,GIList,Table_ExternalData_1[[#This Row],[Item_key]],GDList,Table_ExternalData_1[[#Headers],[21]])</f>
        <v>0</v>
      </c>
      <c r="AB64" s="6">
        <f>SUMIFS(GQList,GIList,Table_ExternalData_1[[#This Row],[Item_key]],GDList,Table_ExternalData_1[[#Headers],[22]])</f>
        <v>0</v>
      </c>
      <c r="AC64" s="6">
        <f>SUMIFS(GQList,GIList,Table_ExternalData_1[[#This Row],[Item_key]],GDList,Table_ExternalData_1[[#Headers],[23]])</f>
        <v>0</v>
      </c>
      <c r="AD64" s="6">
        <f>SUMIFS(GQList,GIList,Table_ExternalData_1[[#This Row],[Item_key]],GDList,Table_ExternalData_1[[#Headers],[24]])</f>
        <v>0</v>
      </c>
      <c r="AE64" s="6">
        <f>SUMIFS(GQList,GIList,Table_ExternalData_1[[#This Row],[Item_key]],GDList,Table_ExternalData_1[[#Headers],[25]])</f>
        <v>0</v>
      </c>
      <c r="AF64" s="6">
        <f>SUMIFS(GQList,GIList,Table_ExternalData_1[[#This Row],[Item_key]],GDList,Table_ExternalData_1[[#Headers],[26]])</f>
        <v>0</v>
      </c>
      <c r="AG64" s="6">
        <f>SUMIFS(GQList,GIList,Table_ExternalData_1[[#This Row],[Item_key]],GDList,Table_ExternalData_1[[#Headers],[27]])</f>
        <v>0</v>
      </c>
      <c r="AH64" s="6">
        <f>SUMIFS(GQList,GIList,Table_ExternalData_1[[#This Row],[Item_key]],GDList,Table_ExternalData_1[[#Headers],[28]])</f>
        <v>0</v>
      </c>
      <c r="AI64" s="6">
        <f>SUMIFS(GQList,GIList,Table_ExternalData_1[[#This Row],[Item_key]],GDList,Table_ExternalData_1[[#Headers],[29]])</f>
        <v>0</v>
      </c>
      <c r="AJ64" s="6">
        <f>SUMIFS(GQList,GIList,Table_ExternalData_1[[#This Row],[Item_key]],GDList,Table_ExternalData_1[[#Headers],[30]])</f>
        <v>0</v>
      </c>
      <c r="AK64" s="6">
        <f>SUMIFS(GQList,GIList,Table_ExternalData_1[[#This Row],[Item_key]],GDList,Table_ExternalData_1[[#Headers],[31]])</f>
        <v>92</v>
      </c>
      <c r="AL64" s="6">
        <f>SUM(Table_ExternalData_1[[#This Row],[1]:[31]])</f>
        <v>92</v>
      </c>
    </row>
    <row r="65" spans="1:38">
      <c r="A65" s="50" t="s">
        <v>65</v>
      </c>
      <c r="B65" s="3" t="s">
        <v>2377</v>
      </c>
      <c r="C65" s="3" t="s">
        <v>2290</v>
      </c>
      <c r="D65" s="3" t="s">
        <v>2883</v>
      </c>
      <c r="E65" s="3" t="s">
        <v>2884</v>
      </c>
      <c r="F65" s="8" t="s">
        <v>17</v>
      </c>
      <c r="G65" s="6">
        <f>SUMIFS(GQList,GIList,Table_ExternalData_1[[#This Row],[Item_key]],GDList,Table_ExternalData_1[[#Headers],[1]])</f>
        <v>0</v>
      </c>
      <c r="H65" s="6">
        <f>SUMIFS(GQList,GIList,Table_ExternalData_1[[#This Row],[Item_key]],GDList,Table_ExternalData_1[[#Headers],[2]])</f>
        <v>0</v>
      </c>
      <c r="I65" s="6">
        <f>SUMIFS(GQList,GIList,Table_ExternalData_1[[#This Row],[Item_key]],GDList,Table_ExternalData_1[[#Headers],[3]])</f>
        <v>0</v>
      </c>
      <c r="J65" s="6">
        <f>SUMIFS(GQList,GIList,Table_ExternalData_1[[#This Row],[Item_key]],GDList,Table_ExternalData_1[[#Headers],[4]])</f>
        <v>0</v>
      </c>
      <c r="K65" s="6">
        <f>SUMIFS(GQList,GIList,Table_ExternalData_1[[#This Row],[Item_key]],GDList,Table_ExternalData_1[[#Headers],[5]])</f>
        <v>0</v>
      </c>
      <c r="L65" s="6">
        <f>SUMIFS(GQList,GIList,Table_ExternalData_1[[#This Row],[Item_key]],GDList,Table_ExternalData_1[[#Headers],[6]])</f>
        <v>0</v>
      </c>
      <c r="M65" s="6">
        <f>SUMIFS(GQList,GIList,Table_ExternalData_1[[#This Row],[Item_key]],GDList,Table_ExternalData_1[[#Headers],[7]])</f>
        <v>0</v>
      </c>
      <c r="N65" s="6">
        <f>SUMIFS(GQList,GIList,Table_ExternalData_1[[#This Row],[Item_key]],GDList,Table_ExternalData_1[[#Headers],[8]])</f>
        <v>0</v>
      </c>
      <c r="O65" s="6">
        <f>SUMIFS(GQList,GIList,Table_ExternalData_1[[#This Row],[Item_key]],GDList,Table_ExternalData_1[[#Headers],[9]])</f>
        <v>0</v>
      </c>
      <c r="P65" s="6">
        <f>SUMIFS(GQList,GIList,Table_ExternalData_1[[#This Row],[Item_key]],GDList,Table_ExternalData_1[[#Headers],[10]])</f>
        <v>0</v>
      </c>
      <c r="Q65" s="6">
        <f>SUMIFS(GQList,GIList,Table_ExternalData_1[[#This Row],[Item_key]],GDList,Table_ExternalData_1[[#Headers],[11]])</f>
        <v>0</v>
      </c>
      <c r="R65" s="6">
        <f>SUMIFS(GQList,GIList,Table_ExternalData_1[[#This Row],[Item_key]],GDList,Table_ExternalData_1[[#Headers],[12]])</f>
        <v>0</v>
      </c>
      <c r="S65" s="6">
        <f>SUMIFS(GQList,GIList,Table_ExternalData_1[[#This Row],[Item_key]],GDList,Table_ExternalData_1[[#Headers],[13]])</f>
        <v>0</v>
      </c>
      <c r="T65" s="6">
        <f>SUMIFS(GQList,GIList,Table_ExternalData_1[[#This Row],[Item_key]],GDList,Table_ExternalData_1[[#Headers],[14]])</f>
        <v>0</v>
      </c>
      <c r="U65" s="6">
        <f>SUMIFS(GQList,GIList,Table_ExternalData_1[[#This Row],[Item_key]],GDList,Table_ExternalData_1[[#Headers],[15]])</f>
        <v>0</v>
      </c>
      <c r="V65" s="6">
        <f>SUMIFS(GQList,GIList,Table_ExternalData_1[[#This Row],[Item_key]],GDList,Table_ExternalData_1[[#Headers],[16]])</f>
        <v>0</v>
      </c>
      <c r="W65" s="6">
        <f>SUMIFS(GQList,GIList,Table_ExternalData_1[[#This Row],[Item_key]],GDList,Table_ExternalData_1[[#Headers],[17]])</f>
        <v>0</v>
      </c>
      <c r="X65" s="6">
        <f>SUMIFS(GQList,GIList,Table_ExternalData_1[[#This Row],[Item_key]],GDList,Table_ExternalData_1[[#Headers],[18]])</f>
        <v>0</v>
      </c>
      <c r="Y65" s="6">
        <f>SUMIFS(GQList,GIList,Table_ExternalData_1[[#This Row],[Item_key]],GDList,Table_ExternalData_1[[#Headers],[19]])</f>
        <v>0</v>
      </c>
      <c r="Z65" s="6">
        <f>SUMIFS(GQList,GIList,Table_ExternalData_1[[#This Row],[Item_key]],GDList,Table_ExternalData_1[[#Headers],[20]])</f>
        <v>0</v>
      </c>
      <c r="AA65" s="6">
        <f>SUMIFS(GQList,GIList,Table_ExternalData_1[[#This Row],[Item_key]],GDList,Table_ExternalData_1[[#Headers],[21]])</f>
        <v>0</v>
      </c>
      <c r="AB65" s="6">
        <f>SUMIFS(GQList,GIList,Table_ExternalData_1[[#This Row],[Item_key]],GDList,Table_ExternalData_1[[#Headers],[22]])</f>
        <v>0</v>
      </c>
      <c r="AC65" s="6">
        <f>SUMIFS(GQList,GIList,Table_ExternalData_1[[#This Row],[Item_key]],GDList,Table_ExternalData_1[[#Headers],[23]])</f>
        <v>0</v>
      </c>
      <c r="AD65" s="6">
        <f>SUMIFS(GQList,GIList,Table_ExternalData_1[[#This Row],[Item_key]],GDList,Table_ExternalData_1[[#Headers],[24]])</f>
        <v>0</v>
      </c>
      <c r="AE65" s="6">
        <f>SUMIFS(GQList,GIList,Table_ExternalData_1[[#This Row],[Item_key]],GDList,Table_ExternalData_1[[#Headers],[25]])</f>
        <v>0</v>
      </c>
      <c r="AF65" s="6">
        <f>SUMIFS(GQList,GIList,Table_ExternalData_1[[#This Row],[Item_key]],GDList,Table_ExternalData_1[[#Headers],[26]])</f>
        <v>0</v>
      </c>
      <c r="AG65" s="6">
        <f>SUMIFS(GQList,GIList,Table_ExternalData_1[[#This Row],[Item_key]],GDList,Table_ExternalData_1[[#Headers],[27]])</f>
        <v>0</v>
      </c>
      <c r="AH65" s="6">
        <f>SUMIFS(GQList,GIList,Table_ExternalData_1[[#This Row],[Item_key]],GDList,Table_ExternalData_1[[#Headers],[28]])</f>
        <v>0</v>
      </c>
      <c r="AI65" s="6">
        <f>SUMIFS(GQList,GIList,Table_ExternalData_1[[#This Row],[Item_key]],GDList,Table_ExternalData_1[[#Headers],[29]])</f>
        <v>0</v>
      </c>
      <c r="AJ65" s="6">
        <f>SUMIFS(GQList,GIList,Table_ExternalData_1[[#This Row],[Item_key]],GDList,Table_ExternalData_1[[#Headers],[30]])</f>
        <v>0</v>
      </c>
      <c r="AK65" s="6">
        <f>SUMIFS(GQList,GIList,Table_ExternalData_1[[#This Row],[Item_key]],GDList,Table_ExternalData_1[[#Headers],[31]])</f>
        <v>50</v>
      </c>
      <c r="AL65" s="6">
        <f>SUM(Table_ExternalData_1[[#This Row],[1]:[31]])</f>
        <v>50</v>
      </c>
    </row>
    <row r="66" spans="1:38">
      <c r="A66" s="50" t="s">
        <v>65</v>
      </c>
      <c r="B66" s="3" t="s">
        <v>2885</v>
      </c>
      <c r="C66" s="3" t="s">
        <v>1875</v>
      </c>
      <c r="D66" s="3" t="s">
        <v>2687</v>
      </c>
      <c r="E66" s="3" t="s">
        <v>2688</v>
      </c>
      <c r="F66" s="8" t="s">
        <v>17</v>
      </c>
      <c r="G66" s="6">
        <f>SUMIFS(GQList,GIList,Table_ExternalData_1[[#This Row],[Item_key]],GDList,Table_ExternalData_1[[#Headers],[1]])</f>
        <v>0</v>
      </c>
      <c r="H66" s="6">
        <f>SUMIFS(GQList,GIList,Table_ExternalData_1[[#This Row],[Item_key]],GDList,Table_ExternalData_1[[#Headers],[2]])</f>
        <v>0</v>
      </c>
      <c r="I66" s="6">
        <f>SUMIFS(GQList,GIList,Table_ExternalData_1[[#This Row],[Item_key]],GDList,Table_ExternalData_1[[#Headers],[3]])</f>
        <v>0</v>
      </c>
      <c r="J66" s="6">
        <f>SUMIFS(GQList,GIList,Table_ExternalData_1[[#This Row],[Item_key]],GDList,Table_ExternalData_1[[#Headers],[4]])</f>
        <v>0</v>
      </c>
      <c r="K66" s="6">
        <f>SUMIFS(GQList,GIList,Table_ExternalData_1[[#This Row],[Item_key]],GDList,Table_ExternalData_1[[#Headers],[5]])</f>
        <v>0</v>
      </c>
      <c r="L66" s="6">
        <f>SUMIFS(GQList,GIList,Table_ExternalData_1[[#This Row],[Item_key]],GDList,Table_ExternalData_1[[#Headers],[6]])</f>
        <v>0</v>
      </c>
      <c r="M66" s="6">
        <f>SUMIFS(GQList,GIList,Table_ExternalData_1[[#This Row],[Item_key]],GDList,Table_ExternalData_1[[#Headers],[7]])</f>
        <v>0</v>
      </c>
      <c r="N66" s="6">
        <f>SUMIFS(GQList,GIList,Table_ExternalData_1[[#This Row],[Item_key]],GDList,Table_ExternalData_1[[#Headers],[8]])</f>
        <v>0</v>
      </c>
      <c r="O66" s="6">
        <f>SUMIFS(GQList,GIList,Table_ExternalData_1[[#This Row],[Item_key]],GDList,Table_ExternalData_1[[#Headers],[9]])</f>
        <v>0</v>
      </c>
      <c r="P66" s="6">
        <f>SUMIFS(GQList,GIList,Table_ExternalData_1[[#This Row],[Item_key]],GDList,Table_ExternalData_1[[#Headers],[10]])</f>
        <v>0</v>
      </c>
      <c r="Q66" s="6">
        <f>SUMIFS(GQList,GIList,Table_ExternalData_1[[#This Row],[Item_key]],GDList,Table_ExternalData_1[[#Headers],[11]])</f>
        <v>0</v>
      </c>
      <c r="R66" s="6">
        <f>SUMIFS(GQList,GIList,Table_ExternalData_1[[#This Row],[Item_key]],GDList,Table_ExternalData_1[[#Headers],[12]])</f>
        <v>0</v>
      </c>
      <c r="S66" s="6">
        <f>SUMIFS(GQList,GIList,Table_ExternalData_1[[#This Row],[Item_key]],GDList,Table_ExternalData_1[[#Headers],[13]])</f>
        <v>0</v>
      </c>
      <c r="T66" s="6">
        <f>SUMIFS(GQList,GIList,Table_ExternalData_1[[#This Row],[Item_key]],GDList,Table_ExternalData_1[[#Headers],[14]])</f>
        <v>0</v>
      </c>
      <c r="U66" s="6">
        <f>SUMIFS(GQList,GIList,Table_ExternalData_1[[#This Row],[Item_key]],GDList,Table_ExternalData_1[[#Headers],[15]])</f>
        <v>0</v>
      </c>
      <c r="V66" s="6">
        <f>SUMIFS(GQList,GIList,Table_ExternalData_1[[#This Row],[Item_key]],GDList,Table_ExternalData_1[[#Headers],[16]])</f>
        <v>0</v>
      </c>
      <c r="W66" s="6">
        <f>SUMIFS(GQList,GIList,Table_ExternalData_1[[#This Row],[Item_key]],GDList,Table_ExternalData_1[[#Headers],[17]])</f>
        <v>0</v>
      </c>
      <c r="X66" s="6">
        <f>SUMIFS(GQList,GIList,Table_ExternalData_1[[#This Row],[Item_key]],GDList,Table_ExternalData_1[[#Headers],[18]])</f>
        <v>0</v>
      </c>
      <c r="Y66" s="6">
        <f>SUMIFS(GQList,GIList,Table_ExternalData_1[[#This Row],[Item_key]],GDList,Table_ExternalData_1[[#Headers],[19]])</f>
        <v>0</v>
      </c>
      <c r="Z66" s="6">
        <f>SUMIFS(GQList,GIList,Table_ExternalData_1[[#This Row],[Item_key]],GDList,Table_ExternalData_1[[#Headers],[20]])</f>
        <v>0</v>
      </c>
      <c r="AA66" s="6">
        <f>SUMIFS(GQList,GIList,Table_ExternalData_1[[#This Row],[Item_key]],GDList,Table_ExternalData_1[[#Headers],[21]])</f>
        <v>0</v>
      </c>
      <c r="AB66" s="6">
        <f>SUMIFS(GQList,GIList,Table_ExternalData_1[[#This Row],[Item_key]],GDList,Table_ExternalData_1[[#Headers],[22]])</f>
        <v>0</v>
      </c>
      <c r="AC66" s="6">
        <f>SUMIFS(GQList,GIList,Table_ExternalData_1[[#This Row],[Item_key]],GDList,Table_ExternalData_1[[#Headers],[23]])</f>
        <v>0</v>
      </c>
      <c r="AD66" s="6">
        <f>SUMIFS(GQList,GIList,Table_ExternalData_1[[#This Row],[Item_key]],GDList,Table_ExternalData_1[[#Headers],[24]])</f>
        <v>0</v>
      </c>
      <c r="AE66" s="6">
        <f>SUMIFS(GQList,GIList,Table_ExternalData_1[[#This Row],[Item_key]],GDList,Table_ExternalData_1[[#Headers],[25]])</f>
        <v>0</v>
      </c>
      <c r="AF66" s="6">
        <f>SUMIFS(GQList,GIList,Table_ExternalData_1[[#This Row],[Item_key]],GDList,Table_ExternalData_1[[#Headers],[26]])</f>
        <v>0</v>
      </c>
      <c r="AG66" s="6">
        <f>SUMIFS(GQList,GIList,Table_ExternalData_1[[#This Row],[Item_key]],GDList,Table_ExternalData_1[[#Headers],[27]])</f>
        <v>0</v>
      </c>
      <c r="AH66" s="6">
        <f>SUMIFS(GQList,GIList,Table_ExternalData_1[[#This Row],[Item_key]],GDList,Table_ExternalData_1[[#Headers],[28]])</f>
        <v>0</v>
      </c>
      <c r="AI66" s="6">
        <f>SUMIFS(GQList,GIList,Table_ExternalData_1[[#This Row],[Item_key]],GDList,Table_ExternalData_1[[#Headers],[29]])</f>
        <v>0</v>
      </c>
      <c r="AJ66" s="6">
        <f>SUMIFS(GQList,GIList,Table_ExternalData_1[[#This Row],[Item_key]],GDList,Table_ExternalData_1[[#Headers],[30]])</f>
        <v>800</v>
      </c>
      <c r="AK66" s="6">
        <f>SUMIFS(GQList,GIList,Table_ExternalData_1[[#This Row],[Item_key]],GDList,Table_ExternalData_1[[#Headers],[31]])</f>
        <v>0</v>
      </c>
      <c r="AL66" s="6">
        <f>SUM(Table_ExternalData_1[[#This Row],[1]:[31]])</f>
        <v>800</v>
      </c>
    </row>
    <row r="67" spans="1:38">
      <c r="A67" s="50" t="s">
        <v>65</v>
      </c>
      <c r="B67" s="3" t="s">
        <v>2885</v>
      </c>
      <c r="C67" s="3" t="s">
        <v>781</v>
      </c>
      <c r="D67" s="3" t="s">
        <v>2689</v>
      </c>
      <c r="E67" s="3" t="s">
        <v>2690</v>
      </c>
      <c r="F67" s="8" t="s">
        <v>17</v>
      </c>
      <c r="G67" s="6">
        <f>SUMIFS(GQList,GIList,Table_ExternalData_1[[#This Row],[Item_key]],GDList,Table_ExternalData_1[[#Headers],[1]])</f>
        <v>0</v>
      </c>
      <c r="H67" s="6">
        <f>SUMIFS(GQList,GIList,Table_ExternalData_1[[#This Row],[Item_key]],GDList,Table_ExternalData_1[[#Headers],[2]])</f>
        <v>0</v>
      </c>
      <c r="I67" s="6">
        <f>SUMIFS(GQList,GIList,Table_ExternalData_1[[#This Row],[Item_key]],GDList,Table_ExternalData_1[[#Headers],[3]])</f>
        <v>0</v>
      </c>
      <c r="J67" s="6">
        <f>SUMIFS(GQList,GIList,Table_ExternalData_1[[#This Row],[Item_key]],GDList,Table_ExternalData_1[[#Headers],[4]])</f>
        <v>0</v>
      </c>
      <c r="K67" s="6">
        <f>SUMIFS(GQList,GIList,Table_ExternalData_1[[#This Row],[Item_key]],GDList,Table_ExternalData_1[[#Headers],[5]])</f>
        <v>0</v>
      </c>
      <c r="L67" s="6">
        <f>SUMIFS(GQList,GIList,Table_ExternalData_1[[#This Row],[Item_key]],GDList,Table_ExternalData_1[[#Headers],[6]])</f>
        <v>0</v>
      </c>
      <c r="M67" s="6">
        <f>SUMIFS(GQList,GIList,Table_ExternalData_1[[#This Row],[Item_key]],GDList,Table_ExternalData_1[[#Headers],[7]])</f>
        <v>0</v>
      </c>
      <c r="N67" s="6">
        <f>SUMIFS(GQList,GIList,Table_ExternalData_1[[#This Row],[Item_key]],GDList,Table_ExternalData_1[[#Headers],[8]])</f>
        <v>0</v>
      </c>
      <c r="O67" s="6">
        <f>SUMIFS(GQList,GIList,Table_ExternalData_1[[#This Row],[Item_key]],GDList,Table_ExternalData_1[[#Headers],[9]])</f>
        <v>0</v>
      </c>
      <c r="P67" s="6">
        <f>SUMIFS(GQList,GIList,Table_ExternalData_1[[#This Row],[Item_key]],GDList,Table_ExternalData_1[[#Headers],[10]])</f>
        <v>0</v>
      </c>
      <c r="Q67" s="6">
        <f>SUMIFS(GQList,GIList,Table_ExternalData_1[[#This Row],[Item_key]],GDList,Table_ExternalData_1[[#Headers],[11]])</f>
        <v>0</v>
      </c>
      <c r="R67" s="6">
        <f>SUMIFS(GQList,GIList,Table_ExternalData_1[[#This Row],[Item_key]],GDList,Table_ExternalData_1[[#Headers],[12]])</f>
        <v>0</v>
      </c>
      <c r="S67" s="6">
        <f>SUMIFS(GQList,GIList,Table_ExternalData_1[[#This Row],[Item_key]],GDList,Table_ExternalData_1[[#Headers],[13]])</f>
        <v>0</v>
      </c>
      <c r="T67" s="6">
        <f>SUMIFS(GQList,GIList,Table_ExternalData_1[[#This Row],[Item_key]],GDList,Table_ExternalData_1[[#Headers],[14]])</f>
        <v>0</v>
      </c>
      <c r="U67" s="6">
        <f>SUMIFS(GQList,GIList,Table_ExternalData_1[[#This Row],[Item_key]],GDList,Table_ExternalData_1[[#Headers],[15]])</f>
        <v>0</v>
      </c>
      <c r="V67" s="6">
        <f>SUMIFS(GQList,GIList,Table_ExternalData_1[[#This Row],[Item_key]],GDList,Table_ExternalData_1[[#Headers],[16]])</f>
        <v>0</v>
      </c>
      <c r="W67" s="6">
        <f>SUMIFS(GQList,GIList,Table_ExternalData_1[[#This Row],[Item_key]],GDList,Table_ExternalData_1[[#Headers],[17]])</f>
        <v>0</v>
      </c>
      <c r="X67" s="6">
        <f>SUMIFS(GQList,GIList,Table_ExternalData_1[[#This Row],[Item_key]],GDList,Table_ExternalData_1[[#Headers],[18]])</f>
        <v>0</v>
      </c>
      <c r="Y67" s="6">
        <f>SUMIFS(GQList,GIList,Table_ExternalData_1[[#This Row],[Item_key]],GDList,Table_ExternalData_1[[#Headers],[19]])</f>
        <v>0</v>
      </c>
      <c r="Z67" s="6">
        <f>SUMIFS(GQList,GIList,Table_ExternalData_1[[#This Row],[Item_key]],GDList,Table_ExternalData_1[[#Headers],[20]])</f>
        <v>0</v>
      </c>
      <c r="AA67" s="6">
        <f>SUMIFS(GQList,GIList,Table_ExternalData_1[[#This Row],[Item_key]],GDList,Table_ExternalData_1[[#Headers],[21]])</f>
        <v>0</v>
      </c>
      <c r="AB67" s="6">
        <f>SUMIFS(GQList,GIList,Table_ExternalData_1[[#This Row],[Item_key]],GDList,Table_ExternalData_1[[#Headers],[22]])</f>
        <v>0</v>
      </c>
      <c r="AC67" s="6">
        <f>SUMIFS(GQList,GIList,Table_ExternalData_1[[#This Row],[Item_key]],GDList,Table_ExternalData_1[[#Headers],[23]])</f>
        <v>0</v>
      </c>
      <c r="AD67" s="6">
        <f>SUMIFS(GQList,GIList,Table_ExternalData_1[[#This Row],[Item_key]],GDList,Table_ExternalData_1[[#Headers],[24]])</f>
        <v>0</v>
      </c>
      <c r="AE67" s="6">
        <f>SUMIFS(GQList,GIList,Table_ExternalData_1[[#This Row],[Item_key]],GDList,Table_ExternalData_1[[#Headers],[25]])</f>
        <v>0</v>
      </c>
      <c r="AF67" s="6">
        <f>SUMIFS(GQList,GIList,Table_ExternalData_1[[#This Row],[Item_key]],GDList,Table_ExternalData_1[[#Headers],[26]])</f>
        <v>0</v>
      </c>
      <c r="AG67" s="6">
        <f>SUMIFS(GQList,GIList,Table_ExternalData_1[[#This Row],[Item_key]],GDList,Table_ExternalData_1[[#Headers],[27]])</f>
        <v>0</v>
      </c>
      <c r="AH67" s="6">
        <f>SUMIFS(GQList,GIList,Table_ExternalData_1[[#This Row],[Item_key]],GDList,Table_ExternalData_1[[#Headers],[28]])</f>
        <v>0</v>
      </c>
      <c r="AI67" s="6">
        <f>SUMIFS(GQList,GIList,Table_ExternalData_1[[#This Row],[Item_key]],GDList,Table_ExternalData_1[[#Headers],[29]])</f>
        <v>0</v>
      </c>
      <c r="AJ67" s="6">
        <f>SUMIFS(GQList,GIList,Table_ExternalData_1[[#This Row],[Item_key]],GDList,Table_ExternalData_1[[#Headers],[30]])</f>
        <v>3000</v>
      </c>
      <c r="AK67" s="6">
        <f>SUMIFS(GQList,GIList,Table_ExternalData_1[[#This Row],[Item_key]],GDList,Table_ExternalData_1[[#Headers],[31]])</f>
        <v>0</v>
      </c>
      <c r="AL67" s="6">
        <f>SUM(Table_ExternalData_1[[#This Row],[1]:[31]])</f>
        <v>3000</v>
      </c>
    </row>
    <row r="68" spans="1:38">
      <c r="A68" s="50" t="s">
        <v>65</v>
      </c>
      <c r="B68" s="3" t="s">
        <v>2885</v>
      </c>
      <c r="C68" s="3" t="s">
        <v>2254</v>
      </c>
      <c r="D68" s="3" t="s">
        <v>2828</v>
      </c>
      <c r="E68" s="3" t="s">
        <v>2829</v>
      </c>
      <c r="F68" s="8" t="s">
        <v>17</v>
      </c>
      <c r="G68" s="6">
        <f>SUMIFS(GQList,GIList,Table_ExternalData_1[[#This Row],[Item_key]],GDList,Table_ExternalData_1[[#Headers],[1]])</f>
        <v>0</v>
      </c>
      <c r="H68" s="6">
        <f>SUMIFS(GQList,GIList,Table_ExternalData_1[[#This Row],[Item_key]],GDList,Table_ExternalData_1[[#Headers],[2]])</f>
        <v>0</v>
      </c>
      <c r="I68" s="6">
        <f>SUMIFS(GQList,GIList,Table_ExternalData_1[[#This Row],[Item_key]],GDList,Table_ExternalData_1[[#Headers],[3]])</f>
        <v>0</v>
      </c>
      <c r="J68" s="6">
        <f>SUMIFS(GQList,GIList,Table_ExternalData_1[[#This Row],[Item_key]],GDList,Table_ExternalData_1[[#Headers],[4]])</f>
        <v>0</v>
      </c>
      <c r="K68" s="6">
        <f>SUMIFS(GQList,GIList,Table_ExternalData_1[[#This Row],[Item_key]],GDList,Table_ExternalData_1[[#Headers],[5]])</f>
        <v>0</v>
      </c>
      <c r="L68" s="6">
        <f>SUMIFS(GQList,GIList,Table_ExternalData_1[[#This Row],[Item_key]],GDList,Table_ExternalData_1[[#Headers],[6]])</f>
        <v>0</v>
      </c>
      <c r="M68" s="6">
        <f>SUMIFS(GQList,GIList,Table_ExternalData_1[[#This Row],[Item_key]],GDList,Table_ExternalData_1[[#Headers],[7]])</f>
        <v>0</v>
      </c>
      <c r="N68" s="6">
        <f>SUMIFS(GQList,GIList,Table_ExternalData_1[[#This Row],[Item_key]],GDList,Table_ExternalData_1[[#Headers],[8]])</f>
        <v>0</v>
      </c>
      <c r="O68" s="6">
        <f>SUMIFS(GQList,GIList,Table_ExternalData_1[[#This Row],[Item_key]],GDList,Table_ExternalData_1[[#Headers],[9]])</f>
        <v>0</v>
      </c>
      <c r="P68" s="6">
        <f>SUMIFS(GQList,GIList,Table_ExternalData_1[[#This Row],[Item_key]],GDList,Table_ExternalData_1[[#Headers],[10]])</f>
        <v>0</v>
      </c>
      <c r="Q68" s="6">
        <f>SUMIFS(GQList,GIList,Table_ExternalData_1[[#This Row],[Item_key]],GDList,Table_ExternalData_1[[#Headers],[11]])</f>
        <v>0</v>
      </c>
      <c r="R68" s="6">
        <f>SUMIFS(GQList,GIList,Table_ExternalData_1[[#This Row],[Item_key]],GDList,Table_ExternalData_1[[#Headers],[12]])</f>
        <v>0</v>
      </c>
      <c r="S68" s="6">
        <f>SUMIFS(GQList,GIList,Table_ExternalData_1[[#This Row],[Item_key]],GDList,Table_ExternalData_1[[#Headers],[13]])</f>
        <v>0</v>
      </c>
      <c r="T68" s="6">
        <f>SUMIFS(GQList,GIList,Table_ExternalData_1[[#This Row],[Item_key]],GDList,Table_ExternalData_1[[#Headers],[14]])</f>
        <v>0</v>
      </c>
      <c r="U68" s="6">
        <f>SUMIFS(GQList,GIList,Table_ExternalData_1[[#This Row],[Item_key]],GDList,Table_ExternalData_1[[#Headers],[15]])</f>
        <v>0</v>
      </c>
      <c r="V68" s="6">
        <f>SUMIFS(GQList,GIList,Table_ExternalData_1[[#This Row],[Item_key]],GDList,Table_ExternalData_1[[#Headers],[16]])</f>
        <v>0</v>
      </c>
      <c r="W68" s="6">
        <f>SUMIFS(GQList,GIList,Table_ExternalData_1[[#This Row],[Item_key]],GDList,Table_ExternalData_1[[#Headers],[17]])</f>
        <v>0</v>
      </c>
      <c r="X68" s="6">
        <f>SUMIFS(GQList,GIList,Table_ExternalData_1[[#This Row],[Item_key]],GDList,Table_ExternalData_1[[#Headers],[18]])</f>
        <v>0</v>
      </c>
      <c r="Y68" s="6">
        <f>SUMIFS(GQList,GIList,Table_ExternalData_1[[#This Row],[Item_key]],GDList,Table_ExternalData_1[[#Headers],[19]])</f>
        <v>0</v>
      </c>
      <c r="Z68" s="6">
        <f>SUMIFS(GQList,GIList,Table_ExternalData_1[[#This Row],[Item_key]],GDList,Table_ExternalData_1[[#Headers],[20]])</f>
        <v>0</v>
      </c>
      <c r="AA68" s="6">
        <f>SUMIFS(GQList,GIList,Table_ExternalData_1[[#This Row],[Item_key]],GDList,Table_ExternalData_1[[#Headers],[21]])</f>
        <v>0</v>
      </c>
      <c r="AB68" s="6">
        <f>SUMIFS(GQList,GIList,Table_ExternalData_1[[#This Row],[Item_key]],GDList,Table_ExternalData_1[[#Headers],[22]])</f>
        <v>0</v>
      </c>
      <c r="AC68" s="6">
        <f>SUMIFS(GQList,GIList,Table_ExternalData_1[[#This Row],[Item_key]],GDList,Table_ExternalData_1[[#Headers],[23]])</f>
        <v>0</v>
      </c>
      <c r="AD68" s="6">
        <f>SUMIFS(GQList,GIList,Table_ExternalData_1[[#This Row],[Item_key]],GDList,Table_ExternalData_1[[#Headers],[24]])</f>
        <v>0</v>
      </c>
      <c r="AE68" s="6">
        <f>SUMIFS(GQList,GIList,Table_ExternalData_1[[#This Row],[Item_key]],GDList,Table_ExternalData_1[[#Headers],[25]])</f>
        <v>0</v>
      </c>
      <c r="AF68" s="6">
        <f>SUMIFS(GQList,GIList,Table_ExternalData_1[[#This Row],[Item_key]],GDList,Table_ExternalData_1[[#Headers],[26]])</f>
        <v>0</v>
      </c>
      <c r="AG68" s="6">
        <f>SUMIFS(GQList,GIList,Table_ExternalData_1[[#This Row],[Item_key]],GDList,Table_ExternalData_1[[#Headers],[27]])</f>
        <v>0</v>
      </c>
      <c r="AH68" s="6">
        <f>SUMIFS(GQList,GIList,Table_ExternalData_1[[#This Row],[Item_key]],GDList,Table_ExternalData_1[[#Headers],[28]])</f>
        <v>0</v>
      </c>
      <c r="AI68" s="6">
        <f>SUMIFS(GQList,GIList,Table_ExternalData_1[[#This Row],[Item_key]],GDList,Table_ExternalData_1[[#Headers],[29]])</f>
        <v>0</v>
      </c>
      <c r="AJ68" s="6">
        <f>SUMIFS(GQList,GIList,Table_ExternalData_1[[#This Row],[Item_key]],GDList,Table_ExternalData_1[[#Headers],[30]])</f>
        <v>2000</v>
      </c>
      <c r="AK68" s="6">
        <f>SUMIFS(GQList,GIList,Table_ExternalData_1[[#This Row],[Item_key]],GDList,Table_ExternalData_1[[#Headers],[31]])</f>
        <v>0</v>
      </c>
      <c r="AL68" s="6">
        <f>SUM(Table_ExternalData_1[[#This Row],[1]:[31]])</f>
        <v>2000</v>
      </c>
    </row>
    <row r="69" spans="1:38">
      <c r="A69" s="50" t="s">
        <v>65</v>
      </c>
      <c r="B69" s="3" t="s">
        <v>1613</v>
      </c>
      <c r="C69" s="3" t="s">
        <v>312</v>
      </c>
      <c r="D69" s="3" t="s">
        <v>1238</v>
      </c>
      <c r="E69" s="3" t="s">
        <v>1239</v>
      </c>
      <c r="F69" s="8" t="s">
        <v>17</v>
      </c>
      <c r="G69" s="6">
        <f>SUMIFS(GQList,GIList,Table_ExternalData_1[[#This Row],[Item_key]],GDList,Table_ExternalData_1[[#Headers],[1]])</f>
        <v>0</v>
      </c>
      <c r="H69" s="6">
        <f>SUMIFS(GQList,GIList,Table_ExternalData_1[[#This Row],[Item_key]],GDList,Table_ExternalData_1[[#Headers],[2]])</f>
        <v>0</v>
      </c>
      <c r="I69" s="6">
        <f>SUMIFS(GQList,GIList,Table_ExternalData_1[[#This Row],[Item_key]],GDList,Table_ExternalData_1[[#Headers],[3]])</f>
        <v>0</v>
      </c>
      <c r="J69" s="6">
        <f>SUMIFS(GQList,GIList,Table_ExternalData_1[[#This Row],[Item_key]],GDList,Table_ExternalData_1[[#Headers],[4]])</f>
        <v>0</v>
      </c>
      <c r="K69" s="6">
        <f>SUMIFS(GQList,GIList,Table_ExternalData_1[[#This Row],[Item_key]],GDList,Table_ExternalData_1[[#Headers],[5]])</f>
        <v>0</v>
      </c>
      <c r="L69" s="6">
        <f>SUMIFS(GQList,GIList,Table_ExternalData_1[[#This Row],[Item_key]],GDList,Table_ExternalData_1[[#Headers],[6]])</f>
        <v>100</v>
      </c>
      <c r="M69" s="6">
        <f>SUMIFS(GQList,GIList,Table_ExternalData_1[[#This Row],[Item_key]],GDList,Table_ExternalData_1[[#Headers],[7]])</f>
        <v>0</v>
      </c>
      <c r="N69" s="6">
        <f>SUMIFS(GQList,GIList,Table_ExternalData_1[[#This Row],[Item_key]],GDList,Table_ExternalData_1[[#Headers],[8]])</f>
        <v>0</v>
      </c>
      <c r="O69" s="6">
        <f>SUMIFS(GQList,GIList,Table_ExternalData_1[[#This Row],[Item_key]],GDList,Table_ExternalData_1[[#Headers],[9]])</f>
        <v>0</v>
      </c>
      <c r="P69" s="6">
        <f>SUMIFS(GQList,GIList,Table_ExternalData_1[[#This Row],[Item_key]],GDList,Table_ExternalData_1[[#Headers],[10]])</f>
        <v>0</v>
      </c>
      <c r="Q69" s="6">
        <f>SUMIFS(GQList,GIList,Table_ExternalData_1[[#This Row],[Item_key]],GDList,Table_ExternalData_1[[#Headers],[11]])</f>
        <v>0</v>
      </c>
      <c r="R69" s="6">
        <f>SUMIFS(GQList,GIList,Table_ExternalData_1[[#This Row],[Item_key]],GDList,Table_ExternalData_1[[#Headers],[12]])</f>
        <v>0</v>
      </c>
      <c r="S69" s="6">
        <f>SUMIFS(GQList,GIList,Table_ExternalData_1[[#This Row],[Item_key]],GDList,Table_ExternalData_1[[#Headers],[13]])</f>
        <v>0</v>
      </c>
      <c r="T69" s="6">
        <f>SUMIFS(GQList,GIList,Table_ExternalData_1[[#This Row],[Item_key]],GDList,Table_ExternalData_1[[#Headers],[14]])</f>
        <v>0</v>
      </c>
      <c r="U69" s="6">
        <f>SUMIFS(GQList,GIList,Table_ExternalData_1[[#This Row],[Item_key]],GDList,Table_ExternalData_1[[#Headers],[15]])</f>
        <v>0</v>
      </c>
      <c r="V69" s="6">
        <f>SUMIFS(GQList,GIList,Table_ExternalData_1[[#This Row],[Item_key]],GDList,Table_ExternalData_1[[#Headers],[16]])</f>
        <v>0</v>
      </c>
      <c r="W69" s="6">
        <f>SUMIFS(GQList,GIList,Table_ExternalData_1[[#This Row],[Item_key]],GDList,Table_ExternalData_1[[#Headers],[17]])</f>
        <v>0</v>
      </c>
      <c r="X69" s="6">
        <f>SUMIFS(GQList,GIList,Table_ExternalData_1[[#This Row],[Item_key]],GDList,Table_ExternalData_1[[#Headers],[18]])</f>
        <v>0</v>
      </c>
      <c r="Y69" s="6">
        <f>SUMIFS(GQList,GIList,Table_ExternalData_1[[#This Row],[Item_key]],GDList,Table_ExternalData_1[[#Headers],[19]])</f>
        <v>0</v>
      </c>
      <c r="Z69" s="6">
        <f>SUMIFS(GQList,GIList,Table_ExternalData_1[[#This Row],[Item_key]],GDList,Table_ExternalData_1[[#Headers],[20]])</f>
        <v>0</v>
      </c>
      <c r="AA69" s="6">
        <f>SUMIFS(GQList,GIList,Table_ExternalData_1[[#This Row],[Item_key]],GDList,Table_ExternalData_1[[#Headers],[21]])</f>
        <v>0</v>
      </c>
      <c r="AB69" s="6">
        <f>SUMIFS(GQList,GIList,Table_ExternalData_1[[#This Row],[Item_key]],GDList,Table_ExternalData_1[[#Headers],[22]])</f>
        <v>0</v>
      </c>
      <c r="AC69" s="6">
        <f>SUMIFS(GQList,GIList,Table_ExternalData_1[[#This Row],[Item_key]],GDList,Table_ExternalData_1[[#Headers],[23]])</f>
        <v>0</v>
      </c>
      <c r="AD69" s="6">
        <f>SUMIFS(GQList,GIList,Table_ExternalData_1[[#This Row],[Item_key]],GDList,Table_ExternalData_1[[#Headers],[24]])</f>
        <v>0</v>
      </c>
      <c r="AE69" s="6">
        <f>SUMIFS(GQList,GIList,Table_ExternalData_1[[#This Row],[Item_key]],GDList,Table_ExternalData_1[[#Headers],[25]])</f>
        <v>0</v>
      </c>
      <c r="AF69" s="6">
        <f>SUMIFS(GQList,GIList,Table_ExternalData_1[[#This Row],[Item_key]],GDList,Table_ExternalData_1[[#Headers],[26]])</f>
        <v>0</v>
      </c>
      <c r="AG69" s="6">
        <f>SUMIFS(GQList,GIList,Table_ExternalData_1[[#This Row],[Item_key]],GDList,Table_ExternalData_1[[#Headers],[27]])</f>
        <v>0</v>
      </c>
      <c r="AH69" s="6">
        <f>SUMIFS(GQList,GIList,Table_ExternalData_1[[#This Row],[Item_key]],GDList,Table_ExternalData_1[[#Headers],[28]])</f>
        <v>0</v>
      </c>
      <c r="AI69" s="6">
        <f>SUMIFS(GQList,GIList,Table_ExternalData_1[[#This Row],[Item_key]],GDList,Table_ExternalData_1[[#Headers],[29]])</f>
        <v>0</v>
      </c>
      <c r="AJ69" s="6">
        <f>SUMIFS(GQList,GIList,Table_ExternalData_1[[#This Row],[Item_key]],GDList,Table_ExternalData_1[[#Headers],[30]])</f>
        <v>0</v>
      </c>
      <c r="AK69" s="6">
        <f>SUMIFS(GQList,GIList,Table_ExternalData_1[[#This Row],[Item_key]],GDList,Table_ExternalData_1[[#Headers],[31]])</f>
        <v>0</v>
      </c>
      <c r="AL69" s="6">
        <f>SUM(Table_ExternalData_1[[#This Row],[1]:[31]])</f>
        <v>100</v>
      </c>
    </row>
    <row r="70" spans="1:38">
      <c r="A70" s="50" t="s">
        <v>65</v>
      </c>
      <c r="B70" s="3" t="s">
        <v>1613</v>
      </c>
      <c r="C70" s="3" t="s">
        <v>330</v>
      </c>
      <c r="D70" s="3" t="s">
        <v>2384</v>
      </c>
      <c r="E70" s="3" t="s">
        <v>1379</v>
      </c>
      <c r="F70" s="8" t="s">
        <v>17</v>
      </c>
      <c r="G70" s="6">
        <f>SUMIFS(GQList,GIList,Table_ExternalData_1[[#This Row],[Item_key]],GDList,Table_ExternalData_1[[#Headers],[1]])</f>
        <v>0</v>
      </c>
      <c r="H70" s="6">
        <f>SUMIFS(GQList,GIList,Table_ExternalData_1[[#This Row],[Item_key]],GDList,Table_ExternalData_1[[#Headers],[2]])</f>
        <v>0</v>
      </c>
      <c r="I70" s="6">
        <f>SUMIFS(GQList,GIList,Table_ExternalData_1[[#This Row],[Item_key]],GDList,Table_ExternalData_1[[#Headers],[3]])</f>
        <v>0</v>
      </c>
      <c r="J70" s="6">
        <f>SUMIFS(GQList,GIList,Table_ExternalData_1[[#This Row],[Item_key]],GDList,Table_ExternalData_1[[#Headers],[4]])</f>
        <v>0</v>
      </c>
      <c r="K70" s="6">
        <f>SUMIFS(GQList,GIList,Table_ExternalData_1[[#This Row],[Item_key]],GDList,Table_ExternalData_1[[#Headers],[5]])</f>
        <v>0</v>
      </c>
      <c r="L70" s="6">
        <f>SUMIFS(GQList,GIList,Table_ExternalData_1[[#This Row],[Item_key]],GDList,Table_ExternalData_1[[#Headers],[6]])</f>
        <v>600</v>
      </c>
      <c r="M70" s="6">
        <f>SUMIFS(GQList,GIList,Table_ExternalData_1[[#This Row],[Item_key]],GDList,Table_ExternalData_1[[#Headers],[7]])</f>
        <v>0</v>
      </c>
      <c r="N70" s="6">
        <f>SUMIFS(GQList,GIList,Table_ExternalData_1[[#This Row],[Item_key]],GDList,Table_ExternalData_1[[#Headers],[8]])</f>
        <v>0</v>
      </c>
      <c r="O70" s="6">
        <f>SUMIFS(GQList,GIList,Table_ExternalData_1[[#This Row],[Item_key]],GDList,Table_ExternalData_1[[#Headers],[9]])</f>
        <v>0</v>
      </c>
      <c r="P70" s="6">
        <f>SUMIFS(GQList,GIList,Table_ExternalData_1[[#This Row],[Item_key]],GDList,Table_ExternalData_1[[#Headers],[10]])</f>
        <v>0</v>
      </c>
      <c r="Q70" s="6">
        <f>SUMIFS(GQList,GIList,Table_ExternalData_1[[#This Row],[Item_key]],GDList,Table_ExternalData_1[[#Headers],[11]])</f>
        <v>0</v>
      </c>
      <c r="R70" s="6">
        <f>SUMIFS(GQList,GIList,Table_ExternalData_1[[#This Row],[Item_key]],GDList,Table_ExternalData_1[[#Headers],[12]])</f>
        <v>0</v>
      </c>
      <c r="S70" s="6">
        <f>SUMIFS(GQList,GIList,Table_ExternalData_1[[#This Row],[Item_key]],GDList,Table_ExternalData_1[[#Headers],[13]])</f>
        <v>0</v>
      </c>
      <c r="T70" s="6">
        <f>SUMIFS(GQList,GIList,Table_ExternalData_1[[#This Row],[Item_key]],GDList,Table_ExternalData_1[[#Headers],[14]])</f>
        <v>0</v>
      </c>
      <c r="U70" s="6">
        <f>SUMIFS(GQList,GIList,Table_ExternalData_1[[#This Row],[Item_key]],GDList,Table_ExternalData_1[[#Headers],[15]])</f>
        <v>0</v>
      </c>
      <c r="V70" s="6">
        <f>SUMIFS(GQList,GIList,Table_ExternalData_1[[#This Row],[Item_key]],GDList,Table_ExternalData_1[[#Headers],[16]])</f>
        <v>0</v>
      </c>
      <c r="W70" s="6">
        <f>SUMIFS(GQList,GIList,Table_ExternalData_1[[#This Row],[Item_key]],GDList,Table_ExternalData_1[[#Headers],[17]])</f>
        <v>0</v>
      </c>
      <c r="X70" s="6">
        <f>SUMIFS(GQList,GIList,Table_ExternalData_1[[#This Row],[Item_key]],GDList,Table_ExternalData_1[[#Headers],[18]])</f>
        <v>0</v>
      </c>
      <c r="Y70" s="6">
        <f>SUMIFS(GQList,GIList,Table_ExternalData_1[[#This Row],[Item_key]],GDList,Table_ExternalData_1[[#Headers],[19]])</f>
        <v>0</v>
      </c>
      <c r="Z70" s="6">
        <f>SUMIFS(GQList,GIList,Table_ExternalData_1[[#This Row],[Item_key]],GDList,Table_ExternalData_1[[#Headers],[20]])</f>
        <v>0</v>
      </c>
      <c r="AA70" s="6">
        <f>SUMIFS(GQList,GIList,Table_ExternalData_1[[#This Row],[Item_key]],GDList,Table_ExternalData_1[[#Headers],[21]])</f>
        <v>0</v>
      </c>
      <c r="AB70" s="6">
        <f>SUMIFS(GQList,GIList,Table_ExternalData_1[[#This Row],[Item_key]],GDList,Table_ExternalData_1[[#Headers],[22]])</f>
        <v>0</v>
      </c>
      <c r="AC70" s="6">
        <f>SUMIFS(GQList,GIList,Table_ExternalData_1[[#This Row],[Item_key]],GDList,Table_ExternalData_1[[#Headers],[23]])</f>
        <v>0</v>
      </c>
      <c r="AD70" s="6">
        <f>SUMIFS(GQList,GIList,Table_ExternalData_1[[#This Row],[Item_key]],GDList,Table_ExternalData_1[[#Headers],[24]])</f>
        <v>0</v>
      </c>
      <c r="AE70" s="6">
        <f>SUMIFS(GQList,GIList,Table_ExternalData_1[[#This Row],[Item_key]],GDList,Table_ExternalData_1[[#Headers],[25]])</f>
        <v>0</v>
      </c>
      <c r="AF70" s="6">
        <f>SUMIFS(GQList,GIList,Table_ExternalData_1[[#This Row],[Item_key]],GDList,Table_ExternalData_1[[#Headers],[26]])</f>
        <v>0</v>
      </c>
      <c r="AG70" s="6">
        <f>SUMIFS(GQList,GIList,Table_ExternalData_1[[#This Row],[Item_key]],GDList,Table_ExternalData_1[[#Headers],[27]])</f>
        <v>0</v>
      </c>
      <c r="AH70" s="6">
        <f>SUMIFS(GQList,GIList,Table_ExternalData_1[[#This Row],[Item_key]],GDList,Table_ExternalData_1[[#Headers],[28]])</f>
        <v>0</v>
      </c>
      <c r="AI70" s="6">
        <f>SUMIFS(GQList,GIList,Table_ExternalData_1[[#This Row],[Item_key]],GDList,Table_ExternalData_1[[#Headers],[29]])</f>
        <v>0</v>
      </c>
      <c r="AJ70" s="6">
        <f>SUMIFS(GQList,GIList,Table_ExternalData_1[[#This Row],[Item_key]],GDList,Table_ExternalData_1[[#Headers],[30]])</f>
        <v>0</v>
      </c>
      <c r="AK70" s="6">
        <f>SUMIFS(GQList,GIList,Table_ExternalData_1[[#This Row],[Item_key]],GDList,Table_ExternalData_1[[#Headers],[31]])</f>
        <v>0</v>
      </c>
      <c r="AL70" s="6">
        <f>SUM(Table_ExternalData_1[[#This Row],[1]:[31]])</f>
        <v>600</v>
      </c>
    </row>
    <row r="71" spans="1:38">
      <c r="A71" s="31" t="s">
        <v>65</v>
      </c>
      <c r="B71" s="32" t="s">
        <v>1613</v>
      </c>
      <c r="C71" s="32" t="s">
        <v>1707</v>
      </c>
      <c r="D71" s="32" t="s">
        <v>2385</v>
      </c>
      <c r="E71" s="32" t="s">
        <v>2386</v>
      </c>
      <c r="F71" s="33" t="s">
        <v>17</v>
      </c>
      <c r="G71" s="34">
        <f>SUMIFS(GQList,GIList,Table_ExternalData_1[[#This Row],[Item_key]],GDList,Table_ExternalData_1[[#Headers],[1]])</f>
        <v>0</v>
      </c>
      <c r="H71" s="34">
        <f>SUMIFS(GQList,GIList,Table_ExternalData_1[[#This Row],[Item_key]],GDList,Table_ExternalData_1[[#Headers],[2]])</f>
        <v>0</v>
      </c>
      <c r="I71" s="34">
        <f>SUMIFS(GQList,GIList,Table_ExternalData_1[[#This Row],[Item_key]],GDList,Table_ExternalData_1[[#Headers],[3]])</f>
        <v>0</v>
      </c>
      <c r="J71" s="34">
        <f>SUMIFS(GQList,GIList,Table_ExternalData_1[[#This Row],[Item_key]],GDList,Table_ExternalData_1[[#Headers],[4]])</f>
        <v>0</v>
      </c>
      <c r="K71" s="34">
        <f>SUMIFS(GQList,GIList,Table_ExternalData_1[[#This Row],[Item_key]],GDList,Table_ExternalData_1[[#Headers],[5]])</f>
        <v>0</v>
      </c>
      <c r="L71" s="34">
        <f>SUMIFS(GQList,GIList,Table_ExternalData_1[[#This Row],[Item_key]],GDList,Table_ExternalData_1[[#Headers],[6]])</f>
        <v>300</v>
      </c>
      <c r="M71" s="34">
        <f>SUMIFS(GQList,GIList,Table_ExternalData_1[[#This Row],[Item_key]],GDList,Table_ExternalData_1[[#Headers],[7]])</f>
        <v>0</v>
      </c>
      <c r="N71" s="34">
        <f>SUMIFS(GQList,GIList,Table_ExternalData_1[[#This Row],[Item_key]],GDList,Table_ExternalData_1[[#Headers],[8]])</f>
        <v>0</v>
      </c>
      <c r="O71" s="34">
        <f>SUMIFS(GQList,GIList,Table_ExternalData_1[[#This Row],[Item_key]],GDList,Table_ExternalData_1[[#Headers],[9]])</f>
        <v>0</v>
      </c>
      <c r="P71" s="34">
        <f>SUMIFS(GQList,GIList,Table_ExternalData_1[[#This Row],[Item_key]],GDList,Table_ExternalData_1[[#Headers],[10]])</f>
        <v>0</v>
      </c>
      <c r="Q71" s="34">
        <f>SUMIFS(GQList,GIList,Table_ExternalData_1[[#This Row],[Item_key]],GDList,Table_ExternalData_1[[#Headers],[11]])</f>
        <v>0</v>
      </c>
      <c r="R71" s="34">
        <f>SUMIFS(GQList,GIList,Table_ExternalData_1[[#This Row],[Item_key]],GDList,Table_ExternalData_1[[#Headers],[12]])</f>
        <v>0</v>
      </c>
      <c r="S71" s="34">
        <f>SUMIFS(GQList,GIList,Table_ExternalData_1[[#This Row],[Item_key]],GDList,Table_ExternalData_1[[#Headers],[13]])</f>
        <v>0</v>
      </c>
      <c r="T71" s="34">
        <f>SUMIFS(GQList,GIList,Table_ExternalData_1[[#This Row],[Item_key]],GDList,Table_ExternalData_1[[#Headers],[14]])</f>
        <v>0</v>
      </c>
      <c r="U71" s="34">
        <f>SUMIFS(GQList,GIList,Table_ExternalData_1[[#This Row],[Item_key]],GDList,Table_ExternalData_1[[#Headers],[15]])</f>
        <v>0</v>
      </c>
      <c r="V71" s="34">
        <f>SUMIFS(GQList,GIList,Table_ExternalData_1[[#This Row],[Item_key]],GDList,Table_ExternalData_1[[#Headers],[16]])</f>
        <v>0</v>
      </c>
      <c r="W71" s="34">
        <f>SUMIFS(GQList,GIList,Table_ExternalData_1[[#This Row],[Item_key]],GDList,Table_ExternalData_1[[#Headers],[17]])</f>
        <v>0</v>
      </c>
      <c r="X71" s="34">
        <f>SUMIFS(GQList,GIList,Table_ExternalData_1[[#This Row],[Item_key]],GDList,Table_ExternalData_1[[#Headers],[18]])</f>
        <v>0</v>
      </c>
      <c r="Y71" s="34">
        <f>SUMIFS(GQList,GIList,Table_ExternalData_1[[#This Row],[Item_key]],GDList,Table_ExternalData_1[[#Headers],[19]])</f>
        <v>0</v>
      </c>
      <c r="Z71" s="34">
        <f>SUMIFS(GQList,GIList,Table_ExternalData_1[[#This Row],[Item_key]],GDList,Table_ExternalData_1[[#Headers],[20]])</f>
        <v>0</v>
      </c>
      <c r="AA71" s="34">
        <f>SUMIFS(GQList,GIList,Table_ExternalData_1[[#This Row],[Item_key]],GDList,Table_ExternalData_1[[#Headers],[21]])</f>
        <v>0</v>
      </c>
      <c r="AB71" s="34">
        <f>SUMIFS(GQList,GIList,Table_ExternalData_1[[#This Row],[Item_key]],GDList,Table_ExternalData_1[[#Headers],[22]])</f>
        <v>0</v>
      </c>
      <c r="AC71" s="34">
        <f>SUMIFS(GQList,GIList,Table_ExternalData_1[[#This Row],[Item_key]],GDList,Table_ExternalData_1[[#Headers],[23]])</f>
        <v>0</v>
      </c>
      <c r="AD71" s="34">
        <f>SUMIFS(GQList,GIList,Table_ExternalData_1[[#This Row],[Item_key]],GDList,Table_ExternalData_1[[#Headers],[24]])</f>
        <v>0</v>
      </c>
      <c r="AE71" s="34">
        <f>SUMIFS(GQList,GIList,Table_ExternalData_1[[#This Row],[Item_key]],GDList,Table_ExternalData_1[[#Headers],[25]])</f>
        <v>0</v>
      </c>
      <c r="AF71" s="34">
        <f>SUMIFS(GQList,GIList,Table_ExternalData_1[[#This Row],[Item_key]],GDList,Table_ExternalData_1[[#Headers],[26]])</f>
        <v>0</v>
      </c>
      <c r="AG71" s="34">
        <f>SUMIFS(GQList,GIList,Table_ExternalData_1[[#This Row],[Item_key]],GDList,Table_ExternalData_1[[#Headers],[27]])</f>
        <v>0</v>
      </c>
      <c r="AH71" s="34">
        <f>SUMIFS(GQList,GIList,Table_ExternalData_1[[#This Row],[Item_key]],GDList,Table_ExternalData_1[[#Headers],[28]])</f>
        <v>0</v>
      </c>
      <c r="AI71" s="34">
        <f>SUMIFS(GQList,GIList,Table_ExternalData_1[[#This Row],[Item_key]],GDList,Table_ExternalData_1[[#Headers],[29]])</f>
        <v>0</v>
      </c>
      <c r="AJ71" s="34">
        <f>SUMIFS(GQList,GIList,Table_ExternalData_1[[#This Row],[Item_key]],GDList,Table_ExternalData_1[[#Headers],[30]])</f>
        <v>0</v>
      </c>
      <c r="AK71" s="34">
        <f>SUMIFS(GQList,GIList,Table_ExternalData_1[[#This Row],[Item_key]],GDList,Table_ExternalData_1[[#Headers],[31]])</f>
        <v>0</v>
      </c>
      <c r="AL71" s="34">
        <f>SUM(Table_ExternalData_1[[#This Row],[1]:[31]])</f>
        <v>300</v>
      </c>
    </row>
    <row r="72" spans="1:38">
      <c r="A72" s="31" t="s">
        <v>65</v>
      </c>
      <c r="B72" s="32" t="s">
        <v>1613</v>
      </c>
      <c r="C72" s="32" t="s">
        <v>533</v>
      </c>
      <c r="D72" s="32" t="s">
        <v>2387</v>
      </c>
      <c r="E72" s="32" t="s">
        <v>2388</v>
      </c>
      <c r="F72" s="33" t="s">
        <v>17</v>
      </c>
      <c r="G72" s="34">
        <f>SUMIFS(GQList,GIList,Table_ExternalData_1[[#This Row],[Item_key]],GDList,Table_ExternalData_1[[#Headers],[1]])</f>
        <v>0</v>
      </c>
      <c r="H72" s="34">
        <f>SUMIFS(GQList,GIList,Table_ExternalData_1[[#This Row],[Item_key]],GDList,Table_ExternalData_1[[#Headers],[2]])</f>
        <v>0</v>
      </c>
      <c r="I72" s="34">
        <f>SUMIFS(GQList,GIList,Table_ExternalData_1[[#This Row],[Item_key]],GDList,Table_ExternalData_1[[#Headers],[3]])</f>
        <v>0</v>
      </c>
      <c r="J72" s="34">
        <f>SUMIFS(GQList,GIList,Table_ExternalData_1[[#This Row],[Item_key]],GDList,Table_ExternalData_1[[#Headers],[4]])</f>
        <v>0</v>
      </c>
      <c r="K72" s="34">
        <f>SUMIFS(GQList,GIList,Table_ExternalData_1[[#This Row],[Item_key]],GDList,Table_ExternalData_1[[#Headers],[5]])</f>
        <v>0</v>
      </c>
      <c r="L72" s="34">
        <f>SUMIFS(GQList,GIList,Table_ExternalData_1[[#This Row],[Item_key]],GDList,Table_ExternalData_1[[#Headers],[6]])</f>
        <v>500</v>
      </c>
      <c r="M72" s="34">
        <f>SUMIFS(GQList,GIList,Table_ExternalData_1[[#This Row],[Item_key]],GDList,Table_ExternalData_1[[#Headers],[7]])</f>
        <v>0</v>
      </c>
      <c r="N72" s="34">
        <f>SUMIFS(GQList,GIList,Table_ExternalData_1[[#This Row],[Item_key]],GDList,Table_ExternalData_1[[#Headers],[8]])</f>
        <v>0</v>
      </c>
      <c r="O72" s="34">
        <f>SUMIFS(GQList,GIList,Table_ExternalData_1[[#This Row],[Item_key]],GDList,Table_ExternalData_1[[#Headers],[9]])</f>
        <v>0</v>
      </c>
      <c r="P72" s="34">
        <f>SUMIFS(GQList,GIList,Table_ExternalData_1[[#This Row],[Item_key]],GDList,Table_ExternalData_1[[#Headers],[10]])</f>
        <v>0</v>
      </c>
      <c r="Q72" s="34">
        <f>SUMIFS(GQList,GIList,Table_ExternalData_1[[#This Row],[Item_key]],GDList,Table_ExternalData_1[[#Headers],[11]])</f>
        <v>0</v>
      </c>
      <c r="R72" s="34">
        <f>SUMIFS(GQList,GIList,Table_ExternalData_1[[#This Row],[Item_key]],GDList,Table_ExternalData_1[[#Headers],[12]])</f>
        <v>0</v>
      </c>
      <c r="S72" s="34">
        <f>SUMIFS(GQList,GIList,Table_ExternalData_1[[#This Row],[Item_key]],GDList,Table_ExternalData_1[[#Headers],[13]])</f>
        <v>0</v>
      </c>
      <c r="T72" s="34">
        <f>SUMIFS(GQList,GIList,Table_ExternalData_1[[#This Row],[Item_key]],GDList,Table_ExternalData_1[[#Headers],[14]])</f>
        <v>0</v>
      </c>
      <c r="U72" s="34">
        <f>SUMIFS(GQList,GIList,Table_ExternalData_1[[#This Row],[Item_key]],GDList,Table_ExternalData_1[[#Headers],[15]])</f>
        <v>0</v>
      </c>
      <c r="V72" s="34">
        <f>SUMIFS(GQList,GIList,Table_ExternalData_1[[#This Row],[Item_key]],GDList,Table_ExternalData_1[[#Headers],[16]])</f>
        <v>0</v>
      </c>
      <c r="W72" s="34">
        <f>SUMIFS(GQList,GIList,Table_ExternalData_1[[#This Row],[Item_key]],GDList,Table_ExternalData_1[[#Headers],[17]])</f>
        <v>0</v>
      </c>
      <c r="X72" s="34">
        <f>SUMIFS(GQList,GIList,Table_ExternalData_1[[#This Row],[Item_key]],GDList,Table_ExternalData_1[[#Headers],[18]])</f>
        <v>0</v>
      </c>
      <c r="Y72" s="34">
        <f>SUMIFS(GQList,GIList,Table_ExternalData_1[[#This Row],[Item_key]],GDList,Table_ExternalData_1[[#Headers],[19]])</f>
        <v>0</v>
      </c>
      <c r="Z72" s="34">
        <f>SUMIFS(GQList,GIList,Table_ExternalData_1[[#This Row],[Item_key]],GDList,Table_ExternalData_1[[#Headers],[20]])</f>
        <v>0</v>
      </c>
      <c r="AA72" s="34">
        <f>SUMIFS(GQList,GIList,Table_ExternalData_1[[#This Row],[Item_key]],GDList,Table_ExternalData_1[[#Headers],[21]])</f>
        <v>0</v>
      </c>
      <c r="AB72" s="34">
        <f>SUMIFS(GQList,GIList,Table_ExternalData_1[[#This Row],[Item_key]],GDList,Table_ExternalData_1[[#Headers],[22]])</f>
        <v>0</v>
      </c>
      <c r="AC72" s="34">
        <f>SUMIFS(GQList,GIList,Table_ExternalData_1[[#This Row],[Item_key]],GDList,Table_ExternalData_1[[#Headers],[23]])</f>
        <v>0</v>
      </c>
      <c r="AD72" s="34">
        <f>SUMIFS(GQList,GIList,Table_ExternalData_1[[#This Row],[Item_key]],GDList,Table_ExternalData_1[[#Headers],[24]])</f>
        <v>0</v>
      </c>
      <c r="AE72" s="34">
        <f>SUMIFS(GQList,GIList,Table_ExternalData_1[[#This Row],[Item_key]],GDList,Table_ExternalData_1[[#Headers],[25]])</f>
        <v>0</v>
      </c>
      <c r="AF72" s="34">
        <f>SUMIFS(GQList,GIList,Table_ExternalData_1[[#This Row],[Item_key]],GDList,Table_ExternalData_1[[#Headers],[26]])</f>
        <v>0</v>
      </c>
      <c r="AG72" s="34">
        <f>SUMIFS(GQList,GIList,Table_ExternalData_1[[#This Row],[Item_key]],GDList,Table_ExternalData_1[[#Headers],[27]])</f>
        <v>0</v>
      </c>
      <c r="AH72" s="34">
        <f>SUMIFS(GQList,GIList,Table_ExternalData_1[[#This Row],[Item_key]],GDList,Table_ExternalData_1[[#Headers],[28]])</f>
        <v>0</v>
      </c>
      <c r="AI72" s="34">
        <f>SUMIFS(GQList,GIList,Table_ExternalData_1[[#This Row],[Item_key]],GDList,Table_ExternalData_1[[#Headers],[29]])</f>
        <v>0</v>
      </c>
      <c r="AJ72" s="34">
        <f>SUMIFS(GQList,GIList,Table_ExternalData_1[[#This Row],[Item_key]],GDList,Table_ExternalData_1[[#Headers],[30]])</f>
        <v>0</v>
      </c>
      <c r="AK72" s="34">
        <f>SUMIFS(GQList,GIList,Table_ExternalData_1[[#This Row],[Item_key]],GDList,Table_ExternalData_1[[#Headers],[31]])</f>
        <v>0</v>
      </c>
      <c r="AL72" s="34">
        <f>SUM(Table_ExternalData_1[[#This Row],[1]:[31]])</f>
        <v>500</v>
      </c>
    </row>
    <row r="73" spans="1:38">
      <c r="A73" s="31" t="s">
        <v>65</v>
      </c>
      <c r="B73" s="32" t="s">
        <v>1613</v>
      </c>
      <c r="C73" s="32" t="s">
        <v>534</v>
      </c>
      <c r="D73" s="32" t="s">
        <v>1296</v>
      </c>
      <c r="E73" s="32" t="s">
        <v>1297</v>
      </c>
      <c r="F73" s="33" t="s">
        <v>17</v>
      </c>
      <c r="G73" s="34">
        <f>SUMIFS(GQList,GIList,Table_ExternalData_1[[#This Row],[Item_key]],GDList,Table_ExternalData_1[[#Headers],[1]])</f>
        <v>0</v>
      </c>
      <c r="H73" s="34">
        <f>SUMIFS(GQList,GIList,Table_ExternalData_1[[#This Row],[Item_key]],GDList,Table_ExternalData_1[[#Headers],[2]])</f>
        <v>0</v>
      </c>
      <c r="I73" s="34">
        <f>SUMIFS(GQList,GIList,Table_ExternalData_1[[#This Row],[Item_key]],GDList,Table_ExternalData_1[[#Headers],[3]])</f>
        <v>0</v>
      </c>
      <c r="J73" s="34">
        <f>SUMIFS(GQList,GIList,Table_ExternalData_1[[#This Row],[Item_key]],GDList,Table_ExternalData_1[[#Headers],[4]])</f>
        <v>0</v>
      </c>
      <c r="K73" s="34">
        <f>SUMIFS(GQList,GIList,Table_ExternalData_1[[#This Row],[Item_key]],GDList,Table_ExternalData_1[[#Headers],[5]])</f>
        <v>0</v>
      </c>
      <c r="L73" s="34">
        <f>SUMIFS(GQList,GIList,Table_ExternalData_1[[#This Row],[Item_key]],GDList,Table_ExternalData_1[[#Headers],[6]])</f>
        <v>200</v>
      </c>
      <c r="M73" s="34">
        <f>SUMIFS(GQList,GIList,Table_ExternalData_1[[#This Row],[Item_key]],GDList,Table_ExternalData_1[[#Headers],[7]])</f>
        <v>0</v>
      </c>
      <c r="N73" s="34">
        <f>SUMIFS(GQList,GIList,Table_ExternalData_1[[#This Row],[Item_key]],GDList,Table_ExternalData_1[[#Headers],[8]])</f>
        <v>0</v>
      </c>
      <c r="O73" s="34">
        <f>SUMIFS(GQList,GIList,Table_ExternalData_1[[#This Row],[Item_key]],GDList,Table_ExternalData_1[[#Headers],[9]])</f>
        <v>0</v>
      </c>
      <c r="P73" s="34">
        <f>SUMIFS(GQList,GIList,Table_ExternalData_1[[#This Row],[Item_key]],GDList,Table_ExternalData_1[[#Headers],[10]])</f>
        <v>0</v>
      </c>
      <c r="Q73" s="34">
        <f>SUMIFS(GQList,GIList,Table_ExternalData_1[[#This Row],[Item_key]],GDList,Table_ExternalData_1[[#Headers],[11]])</f>
        <v>0</v>
      </c>
      <c r="R73" s="34">
        <f>SUMIFS(GQList,GIList,Table_ExternalData_1[[#This Row],[Item_key]],GDList,Table_ExternalData_1[[#Headers],[12]])</f>
        <v>0</v>
      </c>
      <c r="S73" s="34">
        <f>SUMIFS(GQList,GIList,Table_ExternalData_1[[#This Row],[Item_key]],GDList,Table_ExternalData_1[[#Headers],[13]])</f>
        <v>0</v>
      </c>
      <c r="T73" s="34">
        <f>SUMIFS(GQList,GIList,Table_ExternalData_1[[#This Row],[Item_key]],GDList,Table_ExternalData_1[[#Headers],[14]])</f>
        <v>0</v>
      </c>
      <c r="U73" s="34">
        <f>SUMIFS(GQList,GIList,Table_ExternalData_1[[#This Row],[Item_key]],GDList,Table_ExternalData_1[[#Headers],[15]])</f>
        <v>0</v>
      </c>
      <c r="V73" s="34">
        <f>SUMIFS(GQList,GIList,Table_ExternalData_1[[#This Row],[Item_key]],GDList,Table_ExternalData_1[[#Headers],[16]])</f>
        <v>0</v>
      </c>
      <c r="W73" s="34">
        <f>SUMIFS(GQList,GIList,Table_ExternalData_1[[#This Row],[Item_key]],GDList,Table_ExternalData_1[[#Headers],[17]])</f>
        <v>0</v>
      </c>
      <c r="X73" s="34">
        <f>SUMIFS(GQList,GIList,Table_ExternalData_1[[#This Row],[Item_key]],GDList,Table_ExternalData_1[[#Headers],[18]])</f>
        <v>0</v>
      </c>
      <c r="Y73" s="34">
        <f>SUMIFS(GQList,GIList,Table_ExternalData_1[[#This Row],[Item_key]],GDList,Table_ExternalData_1[[#Headers],[19]])</f>
        <v>0</v>
      </c>
      <c r="Z73" s="34">
        <f>SUMIFS(GQList,GIList,Table_ExternalData_1[[#This Row],[Item_key]],GDList,Table_ExternalData_1[[#Headers],[20]])</f>
        <v>0</v>
      </c>
      <c r="AA73" s="34">
        <f>SUMIFS(GQList,GIList,Table_ExternalData_1[[#This Row],[Item_key]],GDList,Table_ExternalData_1[[#Headers],[21]])</f>
        <v>0</v>
      </c>
      <c r="AB73" s="34">
        <f>SUMIFS(GQList,GIList,Table_ExternalData_1[[#This Row],[Item_key]],GDList,Table_ExternalData_1[[#Headers],[22]])</f>
        <v>0</v>
      </c>
      <c r="AC73" s="34">
        <f>SUMIFS(GQList,GIList,Table_ExternalData_1[[#This Row],[Item_key]],GDList,Table_ExternalData_1[[#Headers],[23]])</f>
        <v>0</v>
      </c>
      <c r="AD73" s="34">
        <f>SUMIFS(GQList,GIList,Table_ExternalData_1[[#This Row],[Item_key]],GDList,Table_ExternalData_1[[#Headers],[24]])</f>
        <v>0</v>
      </c>
      <c r="AE73" s="34">
        <f>SUMIFS(GQList,GIList,Table_ExternalData_1[[#This Row],[Item_key]],GDList,Table_ExternalData_1[[#Headers],[25]])</f>
        <v>0</v>
      </c>
      <c r="AF73" s="34">
        <f>SUMIFS(GQList,GIList,Table_ExternalData_1[[#This Row],[Item_key]],GDList,Table_ExternalData_1[[#Headers],[26]])</f>
        <v>0</v>
      </c>
      <c r="AG73" s="34">
        <f>SUMIFS(GQList,GIList,Table_ExternalData_1[[#This Row],[Item_key]],GDList,Table_ExternalData_1[[#Headers],[27]])</f>
        <v>0</v>
      </c>
      <c r="AH73" s="34">
        <f>SUMIFS(GQList,GIList,Table_ExternalData_1[[#This Row],[Item_key]],GDList,Table_ExternalData_1[[#Headers],[28]])</f>
        <v>0</v>
      </c>
      <c r="AI73" s="34">
        <f>SUMIFS(GQList,GIList,Table_ExternalData_1[[#This Row],[Item_key]],GDList,Table_ExternalData_1[[#Headers],[29]])</f>
        <v>0</v>
      </c>
      <c r="AJ73" s="34">
        <f>SUMIFS(GQList,GIList,Table_ExternalData_1[[#This Row],[Item_key]],GDList,Table_ExternalData_1[[#Headers],[30]])</f>
        <v>0</v>
      </c>
      <c r="AK73" s="34">
        <f>SUMIFS(GQList,GIList,Table_ExternalData_1[[#This Row],[Item_key]],GDList,Table_ExternalData_1[[#Headers],[31]])</f>
        <v>0</v>
      </c>
      <c r="AL73" s="34">
        <f>SUM(Table_ExternalData_1[[#This Row],[1]:[31]])</f>
        <v>200</v>
      </c>
    </row>
    <row r="74" spans="1:38">
      <c r="A74" s="31" t="s">
        <v>65</v>
      </c>
      <c r="B74" s="32" t="s">
        <v>1613</v>
      </c>
      <c r="C74" s="32" t="s">
        <v>2062</v>
      </c>
      <c r="D74" s="32" t="s">
        <v>2389</v>
      </c>
      <c r="E74" s="32" t="s">
        <v>1553</v>
      </c>
      <c r="F74" s="33" t="s">
        <v>17</v>
      </c>
      <c r="G74" s="34">
        <f>SUMIFS(GQList,GIList,Table_ExternalData_1[[#This Row],[Item_key]],GDList,Table_ExternalData_1[[#Headers],[1]])</f>
        <v>0</v>
      </c>
      <c r="H74" s="34">
        <f>SUMIFS(GQList,GIList,Table_ExternalData_1[[#This Row],[Item_key]],GDList,Table_ExternalData_1[[#Headers],[2]])</f>
        <v>0</v>
      </c>
      <c r="I74" s="34">
        <f>SUMIFS(GQList,GIList,Table_ExternalData_1[[#This Row],[Item_key]],GDList,Table_ExternalData_1[[#Headers],[3]])</f>
        <v>0</v>
      </c>
      <c r="J74" s="34">
        <f>SUMIFS(GQList,GIList,Table_ExternalData_1[[#This Row],[Item_key]],GDList,Table_ExternalData_1[[#Headers],[4]])</f>
        <v>0</v>
      </c>
      <c r="K74" s="34">
        <f>SUMIFS(GQList,GIList,Table_ExternalData_1[[#This Row],[Item_key]],GDList,Table_ExternalData_1[[#Headers],[5]])</f>
        <v>0</v>
      </c>
      <c r="L74" s="34">
        <f>SUMIFS(GQList,GIList,Table_ExternalData_1[[#This Row],[Item_key]],GDList,Table_ExternalData_1[[#Headers],[6]])</f>
        <v>50</v>
      </c>
      <c r="M74" s="34">
        <f>SUMIFS(GQList,GIList,Table_ExternalData_1[[#This Row],[Item_key]],GDList,Table_ExternalData_1[[#Headers],[7]])</f>
        <v>0</v>
      </c>
      <c r="N74" s="34">
        <f>SUMIFS(GQList,GIList,Table_ExternalData_1[[#This Row],[Item_key]],GDList,Table_ExternalData_1[[#Headers],[8]])</f>
        <v>0</v>
      </c>
      <c r="O74" s="34">
        <f>SUMIFS(GQList,GIList,Table_ExternalData_1[[#This Row],[Item_key]],GDList,Table_ExternalData_1[[#Headers],[9]])</f>
        <v>0</v>
      </c>
      <c r="P74" s="34">
        <f>SUMIFS(GQList,GIList,Table_ExternalData_1[[#This Row],[Item_key]],GDList,Table_ExternalData_1[[#Headers],[10]])</f>
        <v>0</v>
      </c>
      <c r="Q74" s="34">
        <f>SUMIFS(GQList,GIList,Table_ExternalData_1[[#This Row],[Item_key]],GDList,Table_ExternalData_1[[#Headers],[11]])</f>
        <v>0</v>
      </c>
      <c r="R74" s="34">
        <f>SUMIFS(GQList,GIList,Table_ExternalData_1[[#This Row],[Item_key]],GDList,Table_ExternalData_1[[#Headers],[12]])</f>
        <v>0</v>
      </c>
      <c r="S74" s="34">
        <f>SUMIFS(GQList,GIList,Table_ExternalData_1[[#This Row],[Item_key]],GDList,Table_ExternalData_1[[#Headers],[13]])</f>
        <v>0</v>
      </c>
      <c r="T74" s="34">
        <f>SUMIFS(GQList,GIList,Table_ExternalData_1[[#This Row],[Item_key]],GDList,Table_ExternalData_1[[#Headers],[14]])</f>
        <v>0</v>
      </c>
      <c r="U74" s="34">
        <f>SUMIFS(GQList,GIList,Table_ExternalData_1[[#This Row],[Item_key]],GDList,Table_ExternalData_1[[#Headers],[15]])</f>
        <v>0</v>
      </c>
      <c r="V74" s="34">
        <f>SUMIFS(GQList,GIList,Table_ExternalData_1[[#This Row],[Item_key]],GDList,Table_ExternalData_1[[#Headers],[16]])</f>
        <v>0</v>
      </c>
      <c r="W74" s="34">
        <f>SUMIFS(GQList,GIList,Table_ExternalData_1[[#This Row],[Item_key]],GDList,Table_ExternalData_1[[#Headers],[17]])</f>
        <v>0</v>
      </c>
      <c r="X74" s="34">
        <f>SUMIFS(GQList,GIList,Table_ExternalData_1[[#This Row],[Item_key]],GDList,Table_ExternalData_1[[#Headers],[18]])</f>
        <v>0</v>
      </c>
      <c r="Y74" s="34">
        <f>SUMIFS(GQList,GIList,Table_ExternalData_1[[#This Row],[Item_key]],GDList,Table_ExternalData_1[[#Headers],[19]])</f>
        <v>0</v>
      </c>
      <c r="Z74" s="34">
        <f>SUMIFS(GQList,GIList,Table_ExternalData_1[[#This Row],[Item_key]],GDList,Table_ExternalData_1[[#Headers],[20]])</f>
        <v>0</v>
      </c>
      <c r="AA74" s="34">
        <f>SUMIFS(GQList,GIList,Table_ExternalData_1[[#This Row],[Item_key]],GDList,Table_ExternalData_1[[#Headers],[21]])</f>
        <v>0</v>
      </c>
      <c r="AB74" s="34">
        <f>SUMIFS(GQList,GIList,Table_ExternalData_1[[#This Row],[Item_key]],GDList,Table_ExternalData_1[[#Headers],[22]])</f>
        <v>0</v>
      </c>
      <c r="AC74" s="34">
        <f>SUMIFS(GQList,GIList,Table_ExternalData_1[[#This Row],[Item_key]],GDList,Table_ExternalData_1[[#Headers],[23]])</f>
        <v>0</v>
      </c>
      <c r="AD74" s="34">
        <f>SUMIFS(GQList,GIList,Table_ExternalData_1[[#This Row],[Item_key]],GDList,Table_ExternalData_1[[#Headers],[24]])</f>
        <v>0</v>
      </c>
      <c r="AE74" s="34">
        <f>SUMIFS(GQList,GIList,Table_ExternalData_1[[#This Row],[Item_key]],GDList,Table_ExternalData_1[[#Headers],[25]])</f>
        <v>0</v>
      </c>
      <c r="AF74" s="34">
        <f>SUMIFS(GQList,GIList,Table_ExternalData_1[[#This Row],[Item_key]],GDList,Table_ExternalData_1[[#Headers],[26]])</f>
        <v>0</v>
      </c>
      <c r="AG74" s="34">
        <f>SUMIFS(GQList,GIList,Table_ExternalData_1[[#This Row],[Item_key]],GDList,Table_ExternalData_1[[#Headers],[27]])</f>
        <v>0</v>
      </c>
      <c r="AH74" s="34">
        <f>SUMIFS(GQList,GIList,Table_ExternalData_1[[#This Row],[Item_key]],GDList,Table_ExternalData_1[[#Headers],[28]])</f>
        <v>0</v>
      </c>
      <c r="AI74" s="34">
        <f>SUMIFS(GQList,GIList,Table_ExternalData_1[[#This Row],[Item_key]],GDList,Table_ExternalData_1[[#Headers],[29]])</f>
        <v>0</v>
      </c>
      <c r="AJ74" s="34">
        <f>SUMIFS(GQList,GIList,Table_ExternalData_1[[#This Row],[Item_key]],GDList,Table_ExternalData_1[[#Headers],[30]])</f>
        <v>0</v>
      </c>
      <c r="AK74" s="34">
        <f>SUMIFS(GQList,GIList,Table_ExternalData_1[[#This Row],[Item_key]],GDList,Table_ExternalData_1[[#Headers],[31]])</f>
        <v>0</v>
      </c>
      <c r="AL74" s="34">
        <f>SUM(Table_ExternalData_1[[#This Row],[1]:[31]])</f>
        <v>50</v>
      </c>
    </row>
    <row r="75" spans="1:38">
      <c r="A75" s="31" t="s">
        <v>65</v>
      </c>
      <c r="B75" s="32" t="s">
        <v>1613</v>
      </c>
      <c r="C75" s="32" t="s">
        <v>1177</v>
      </c>
      <c r="D75" s="32" t="s">
        <v>1590</v>
      </c>
      <c r="E75" s="32" t="s">
        <v>1591</v>
      </c>
      <c r="F75" s="33" t="s">
        <v>17</v>
      </c>
      <c r="G75" s="34">
        <f>SUMIFS(GQList,GIList,Table_ExternalData_1[[#This Row],[Item_key]],GDList,Table_ExternalData_1[[#Headers],[1]])</f>
        <v>0</v>
      </c>
      <c r="H75" s="34">
        <f>SUMIFS(GQList,GIList,Table_ExternalData_1[[#This Row],[Item_key]],GDList,Table_ExternalData_1[[#Headers],[2]])</f>
        <v>0</v>
      </c>
      <c r="I75" s="34">
        <f>SUMIFS(GQList,GIList,Table_ExternalData_1[[#This Row],[Item_key]],GDList,Table_ExternalData_1[[#Headers],[3]])</f>
        <v>0</v>
      </c>
      <c r="J75" s="34">
        <f>SUMIFS(GQList,GIList,Table_ExternalData_1[[#This Row],[Item_key]],GDList,Table_ExternalData_1[[#Headers],[4]])</f>
        <v>0</v>
      </c>
      <c r="K75" s="34">
        <f>SUMIFS(GQList,GIList,Table_ExternalData_1[[#This Row],[Item_key]],GDList,Table_ExternalData_1[[#Headers],[5]])</f>
        <v>0</v>
      </c>
      <c r="L75" s="34">
        <f>SUMIFS(GQList,GIList,Table_ExternalData_1[[#This Row],[Item_key]],GDList,Table_ExternalData_1[[#Headers],[6]])</f>
        <v>0</v>
      </c>
      <c r="M75" s="34">
        <f>SUMIFS(GQList,GIList,Table_ExternalData_1[[#This Row],[Item_key]],GDList,Table_ExternalData_1[[#Headers],[7]])</f>
        <v>0</v>
      </c>
      <c r="N75" s="34">
        <f>SUMIFS(GQList,GIList,Table_ExternalData_1[[#This Row],[Item_key]],GDList,Table_ExternalData_1[[#Headers],[8]])</f>
        <v>0</v>
      </c>
      <c r="O75" s="34">
        <f>SUMIFS(GQList,GIList,Table_ExternalData_1[[#This Row],[Item_key]],GDList,Table_ExternalData_1[[#Headers],[9]])</f>
        <v>0</v>
      </c>
      <c r="P75" s="34">
        <f>SUMIFS(GQList,GIList,Table_ExternalData_1[[#This Row],[Item_key]],GDList,Table_ExternalData_1[[#Headers],[10]])</f>
        <v>0</v>
      </c>
      <c r="Q75" s="34">
        <f>SUMIFS(GQList,GIList,Table_ExternalData_1[[#This Row],[Item_key]],GDList,Table_ExternalData_1[[#Headers],[11]])</f>
        <v>0</v>
      </c>
      <c r="R75" s="34">
        <f>SUMIFS(GQList,GIList,Table_ExternalData_1[[#This Row],[Item_key]],GDList,Table_ExternalData_1[[#Headers],[12]])</f>
        <v>0</v>
      </c>
      <c r="S75" s="34">
        <f>SUMIFS(GQList,GIList,Table_ExternalData_1[[#This Row],[Item_key]],GDList,Table_ExternalData_1[[#Headers],[13]])</f>
        <v>0</v>
      </c>
      <c r="T75" s="34">
        <f>SUMIFS(GQList,GIList,Table_ExternalData_1[[#This Row],[Item_key]],GDList,Table_ExternalData_1[[#Headers],[14]])</f>
        <v>0</v>
      </c>
      <c r="U75" s="34">
        <f>SUMIFS(GQList,GIList,Table_ExternalData_1[[#This Row],[Item_key]],GDList,Table_ExternalData_1[[#Headers],[15]])</f>
        <v>0</v>
      </c>
      <c r="V75" s="34">
        <f>SUMIFS(GQList,GIList,Table_ExternalData_1[[#This Row],[Item_key]],GDList,Table_ExternalData_1[[#Headers],[16]])</f>
        <v>0</v>
      </c>
      <c r="W75" s="34">
        <f>SUMIFS(GQList,GIList,Table_ExternalData_1[[#This Row],[Item_key]],GDList,Table_ExternalData_1[[#Headers],[17]])</f>
        <v>100</v>
      </c>
      <c r="X75" s="34">
        <f>SUMIFS(GQList,GIList,Table_ExternalData_1[[#This Row],[Item_key]],GDList,Table_ExternalData_1[[#Headers],[18]])</f>
        <v>0</v>
      </c>
      <c r="Y75" s="34">
        <f>SUMIFS(GQList,GIList,Table_ExternalData_1[[#This Row],[Item_key]],GDList,Table_ExternalData_1[[#Headers],[19]])</f>
        <v>0</v>
      </c>
      <c r="Z75" s="34">
        <f>SUMIFS(GQList,GIList,Table_ExternalData_1[[#This Row],[Item_key]],GDList,Table_ExternalData_1[[#Headers],[20]])</f>
        <v>0</v>
      </c>
      <c r="AA75" s="34">
        <f>SUMIFS(GQList,GIList,Table_ExternalData_1[[#This Row],[Item_key]],GDList,Table_ExternalData_1[[#Headers],[21]])</f>
        <v>0</v>
      </c>
      <c r="AB75" s="34">
        <f>SUMIFS(GQList,GIList,Table_ExternalData_1[[#This Row],[Item_key]],GDList,Table_ExternalData_1[[#Headers],[22]])</f>
        <v>0</v>
      </c>
      <c r="AC75" s="34">
        <f>SUMIFS(GQList,GIList,Table_ExternalData_1[[#This Row],[Item_key]],GDList,Table_ExternalData_1[[#Headers],[23]])</f>
        <v>0</v>
      </c>
      <c r="AD75" s="34">
        <f>SUMIFS(GQList,GIList,Table_ExternalData_1[[#This Row],[Item_key]],GDList,Table_ExternalData_1[[#Headers],[24]])</f>
        <v>0</v>
      </c>
      <c r="AE75" s="34">
        <f>SUMIFS(GQList,GIList,Table_ExternalData_1[[#This Row],[Item_key]],GDList,Table_ExternalData_1[[#Headers],[25]])</f>
        <v>0</v>
      </c>
      <c r="AF75" s="34">
        <f>SUMIFS(GQList,GIList,Table_ExternalData_1[[#This Row],[Item_key]],GDList,Table_ExternalData_1[[#Headers],[26]])</f>
        <v>0</v>
      </c>
      <c r="AG75" s="34">
        <f>SUMIFS(GQList,GIList,Table_ExternalData_1[[#This Row],[Item_key]],GDList,Table_ExternalData_1[[#Headers],[27]])</f>
        <v>0</v>
      </c>
      <c r="AH75" s="34">
        <f>SUMIFS(GQList,GIList,Table_ExternalData_1[[#This Row],[Item_key]],GDList,Table_ExternalData_1[[#Headers],[28]])</f>
        <v>0</v>
      </c>
      <c r="AI75" s="34">
        <f>SUMIFS(GQList,GIList,Table_ExternalData_1[[#This Row],[Item_key]],GDList,Table_ExternalData_1[[#Headers],[29]])</f>
        <v>0</v>
      </c>
      <c r="AJ75" s="34">
        <f>SUMIFS(GQList,GIList,Table_ExternalData_1[[#This Row],[Item_key]],GDList,Table_ExternalData_1[[#Headers],[30]])</f>
        <v>0</v>
      </c>
      <c r="AK75" s="34">
        <f>SUMIFS(GQList,GIList,Table_ExternalData_1[[#This Row],[Item_key]],GDList,Table_ExternalData_1[[#Headers],[31]])</f>
        <v>0</v>
      </c>
      <c r="AL75" s="34">
        <f>SUM(Table_ExternalData_1[[#This Row],[1]:[31]])</f>
        <v>100</v>
      </c>
    </row>
    <row r="76" spans="1:38">
      <c r="A76" s="31" t="s">
        <v>65</v>
      </c>
      <c r="B76" s="32" t="s">
        <v>1613</v>
      </c>
      <c r="C76" s="32" t="s">
        <v>1178</v>
      </c>
      <c r="D76" s="32" t="s">
        <v>1582</v>
      </c>
      <c r="E76" s="32" t="s">
        <v>1592</v>
      </c>
      <c r="F76" s="33" t="s">
        <v>17</v>
      </c>
      <c r="G76" s="34">
        <f>SUMIFS(GQList,GIList,Table_ExternalData_1[[#This Row],[Item_key]],GDList,Table_ExternalData_1[[#Headers],[1]])</f>
        <v>0</v>
      </c>
      <c r="H76" s="34">
        <f>SUMIFS(GQList,GIList,Table_ExternalData_1[[#This Row],[Item_key]],GDList,Table_ExternalData_1[[#Headers],[2]])</f>
        <v>0</v>
      </c>
      <c r="I76" s="34">
        <f>SUMIFS(GQList,GIList,Table_ExternalData_1[[#This Row],[Item_key]],GDList,Table_ExternalData_1[[#Headers],[3]])</f>
        <v>0</v>
      </c>
      <c r="J76" s="34">
        <f>SUMIFS(GQList,GIList,Table_ExternalData_1[[#This Row],[Item_key]],GDList,Table_ExternalData_1[[#Headers],[4]])</f>
        <v>0</v>
      </c>
      <c r="K76" s="34">
        <f>SUMIFS(GQList,GIList,Table_ExternalData_1[[#This Row],[Item_key]],GDList,Table_ExternalData_1[[#Headers],[5]])</f>
        <v>0</v>
      </c>
      <c r="L76" s="34">
        <f>SUMIFS(GQList,GIList,Table_ExternalData_1[[#This Row],[Item_key]],GDList,Table_ExternalData_1[[#Headers],[6]])</f>
        <v>0</v>
      </c>
      <c r="M76" s="34">
        <f>SUMIFS(GQList,GIList,Table_ExternalData_1[[#This Row],[Item_key]],GDList,Table_ExternalData_1[[#Headers],[7]])</f>
        <v>0</v>
      </c>
      <c r="N76" s="34">
        <f>SUMIFS(GQList,GIList,Table_ExternalData_1[[#This Row],[Item_key]],GDList,Table_ExternalData_1[[#Headers],[8]])</f>
        <v>0</v>
      </c>
      <c r="O76" s="34">
        <f>SUMIFS(GQList,GIList,Table_ExternalData_1[[#This Row],[Item_key]],GDList,Table_ExternalData_1[[#Headers],[9]])</f>
        <v>0</v>
      </c>
      <c r="P76" s="34">
        <f>SUMIFS(GQList,GIList,Table_ExternalData_1[[#This Row],[Item_key]],GDList,Table_ExternalData_1[[#Headers],[10]])</f>
        <v>0</v>
      </c>
      <c r="Q76" s="34">
        <f>SUMIFS(GQList,GIList,Table_ExternalData_1[[#This Row],[Item_key]],GDList,Table_ExternalData_1[[#Headers],[11]])</f>
        <v>0</v>
      </c>
      <c r="R76" s="34">
        <f>SUMIFS(GQList,GIList,Table_ExternalData_1[[#This Row],[Item_key]],GDList,Table_ExternalData_1[[#Headers],[12]])</f>
        <v>0</v>
      </c>
      <c r="S76" s="34">
        <f>SUMIFS(GQList,GIList,Table_ExternalData_1[[#This Row],[Item_key]],GDList,Table_ExternalData_1[[#Headers],[13]])</f>
        <v>0</v>
      </c>
      <c r="T76" s="34">
        <f>SUMIFS(GQList,GIList,Table_ExternalData_1[[#This Row],[Item_key]],GDList,Table_ExternalData_1[[#Headers],[14]])</f>
        <v>0</v>
      </c>
      <c r="U76" s="34">
        <f>SUMIFS(GQList,GIList,Table_ExternalData_1[[#This Row],[Item_key]],GDList,Table_ExternalData_1[[#Headers],[15]])</f>
        <v>0</v>
      </c>
      <c r="V76" s="34">
        <f>SUMIFS(GQList,GIList,Table_ExternalData_1[[#This Row],[Item_key]],GDList,Table_ExternalData_1[[#Headers],[16]])</f>
        <v>0</v>
      </c>
      <c r="W76" s="34">
        <f>SUMIFS(GQList,GIList,Table_ExternalData_1[[#This Row],[Item_key]],GDList,Table_ExternalData_1[[#Headers],[17]])</f>
        <v>100</v>
      </c>
      <c r="X76" s="34">
        <f>SUMIFS(GQList,GIList,Table_ExternalData_1[[#This Row],[Item_key]],GDList,Table_ExternalData_1[[#Headers],[18]])</f>
        <v>0</v>
      </c>
      <c r="Y76" s="34">
        <f>SUMIFS(GQList,GIList,Table_ExternalData_1[[#This Row],[Item_key]],GDList,Table_ExternalData_1[[#Headers],[19]])</f>
        <v>0</v>
      </c>
      <c r="Z76" s="34">
        <f>SUMIFS(GQList,GIList,Table_ExternalData_1[[#This Row],[Item_key]],GDList,Table_ExternalData_1[[#Headers],[20]])</f>
        <v>0</v>
      </c>
      <c r="AA76" s="34">
        <f>SUMIFS(GQList,GIList,Table_ExternalData_1[[#This Row],[Item_key]],GDList,Table_ExternalData_1[[#Headers],[21]])</f>
        <v>0</v>
      </c>
      <c r="AB76" s="34">
        <f>SUMIFS(GQList,GIList,Table_ExternalData_1[[#This Row],[Item_key]],GDList,Table_ExternalData_1[[#Headers],[22]])</f>
        <v>0</v>
      </c>
      <c r="AC76" s="34">
        <f>SUMIFS(GQList,GIList,Table_ExternalData_1[[#This Row],[Item_key]],GDList,Table_ExternalData_1[[#Headers],[23]])</f>
        <v>0</v>
      </c>
      <c r="AD76" s="34">
        <f>SUMIFS(GQList,GIList,Table_ExternalData_1[[#This Row],[Item_key]],GDList,Table_ExternalData_1[[#Headers],[24]])</f>
        <v>0</v>
      </c>
      <c r="AE76" s="34">
        <f>SUMIFS(GQList,GIList,Table_ExternalData_1[[#This Row],[Item_key]],GDList,Table_ExternalData_1[[#Headers],[25]])</f>
        <v>0</v>
      </c>
      <c r="AF76" s="34">
        <f>SUMIFS(GQList,GIList,Table_ExternalData_1[[#This Row],[Item_key]],GDList,Table_ExternalData_1[[#Headers],[26]])</f>
        <v>0</v>
      </c>
      <c r="AG76" s="34">
        <f>SUMIFS(GQList,GIList,Table_ExternalData_1[[#This Row],[Item_key]],GDList,Table_ExternalData_1[[#Headers],[27]])</f>
        <v>0</v>
      </c>
      <c r="AH76" s="34">
        <f>SUMIFS(GQList,GIList,Table_ExternalData_1[[#This Row],[Item_key]],GDList,Table_ExternalData_1[[#Headers],[28]])</f>
        <v>0</v>
      </c>
      <c r="AI76" s="34">
        <f>SUMIFS(GQList,GIList,Table_ExternalData_1[[#This Row],[Item_key]],GDList,Table_ExternalData_1[[#Headers],[29]])</f>
        <v>0</v>
      </c>
      <c r="AJ76" s="34">
        <f>SUMIFS(GQList,GIList,Table_ExternalData_1[[#This Row],[Item_key]],GDList,Table_ExternalData_1[[#Headers],[30]])</f>
        <v>0</v>
      </c>
      <c r="AK76" s="34">
        <f>SUMIFS(GQList,GIList,Table_ExternalData_1[[#This Row],[Item_key]],GDList,Table_ExternalData_1[[#Headers],[31]])</f>
        <v>0</v>
      </c>
      <c r="AL76" s="34">
        <f>SUM(Table_ExternalData_1[[#This Row],[1]:[31]])</f>
        <v>100</v>
      </c>
    </row>
    <row r="77" spans="1:38">
      <c r="A77" s="31" t="s">
        <v>65</v>
      </c>
      <c r="B77" s="32" t="s">
        <v>1613</v>
      </c>
      <c r="C77" s="32" t="s">
        <v>1179</v>
      </c>
      <c r="D77" s="32" t="s">
        <v>1593</v>
      </c>
      <c r="E77" s="32" t="s">
        <v>1594</v>
      </c>
      <c r="F77" s="33" t="s">
        <v>17</v>
      </c>
      <c r="G77" s="34">
        <f>SUMIFS(GQList,GIList,Table_ExternalData_1[[#This Row],[Item_key]],GDList,Table_ExternalData_1[[#Headers],[1]])</f>
        <v>0</v>
      </c>
      <c r="H77" s="34">
        <f>SUMIFS(GQList,GIList,Table_ExternalData_1[[#This Row],[Item_key]],GDList,Table_ExternalData_1[[#Headers],[2]])</f>
        <v>0</v>
      </c>
      <c r="I77" s="34">
        <f>SUMIFS(GQList,GIList,Table_ExternalData_1[[#This Row],[Item_key]],GDList,Table_ExternalData_1[[#Headers],[3]])</f>
        <v>0</v>
      </c>
      <c r="J77" s="34">
        <f>SUMIFS(GQList,GIList,Table_ExternalData_1[[#This Row],[Item_key]],GDList,Table_ExternalData_1[[#Headers],[4]])</f>
        <v>0</v>
      </c>
      <c r="K77" s="34">
        <f>SUMIFS(GQList,GIList,Table_ExternalData_1[[#This Row],[Item_key]],GDList,Table_ExternalData_1[[#Headers],[5]])</f>
        <v>0</v>
      </c>
      <c r="L77" s="34">
        <f>SUMIFS(GQList,GIList,Table_ExternalData_1[[#This Row],[Item_key]],GDList,Table_ExternalData_1[[#Headers],[6]])</f>
        <v>0</v>
      </c>
      <c r="M77" s="34">
        <f>SUMIFS(GQList,GIList,Table_ExternalData_1[[#This Row],[Item_key]],GDList,Table_ExternalData_1[[#Headers],[7]])</f>
        <v>0</v>
      </c>
      <c r="N77" s="34">
        <f>SUMIFS(GQList,GIList,Table_ExternalData_1[[#This Row],[Item_key]],GDList,Table_ExternalData_1[[#Headers],[8]])</f>
        <v>0</v>
      </c>
      <c r="O77" s="34">
        <f>SUMIFS(GQList,GIList,Table_ExternalData_1[[#This Row],[Item_key]],GDList,Table_ExternalData_1[[#Headers],[9]])</f>
        <v>0</v>
      </c>
      <c r="P77" s="34">
        <f>SUMIFS(GQList,GIList,Table_ExternalData_1[[#This Row],[Item_key]],GDList,Table_ExternalData_1[[#Headers],[10]])</f>
        <v>0</v>
      </c>
      <c r="Q77" s="34">
        <f>SUMIFS(GQList,GIList,Table_ExternalData_1[[#This Row],[Item_key]],GDList,Table_ExternalData_1[[#Headers],[11]])</f>
        <v>0</v>
      </c>
      <c r="R77" s="34">
        <f>SUMIFS(GQList,GIList,Table_ExternalData_1[[#This Row],[Item_key]],GDList,Table_ExternalData_1[[#Headers],[12]])</f>
        <v>0</v>
      </c>
      <c r="S77" s="34">
        <f>SUMIFS(GQList,GIList,Table_ExternalData_1[[#This Row],[Item_key]],GDList,Table_ExternalData_1[[#Headers],[13]])</f>
        <v>0</v>
      </c>
      <c r="T77" s="34">
        <f>SUMIFS(GQList,GIList,Table_ExternalData_1[[#This Row],[Item_key]],GDList,Table_ExternalData_1[[#Headers],[14]])</f>
        <v>0</v>
      </c>
      <c r="U77" s="34">
        <f>SUMIFS(GQList,GIList,Table_ExternalData_1[[#This Row],[Item_key]],GDList,Table_ExternalData_1[[#Headers],[15]])</f>
        <v>0</v>
      </c>
      <c r="V77" s="34">
        <f>SUMIFS(GQList,GIList,Table_ExternalData_1[[#This Row],[Item_key]],GDList,Table_ExternalData_1[[#Headers],[16]])</f>
        <v>0</v>
      </c>
      <c r="W77" s="34">
        <f>SUMIFS(GQList,GIList,Table_ExternalData_1[[#This Row],[Item_key]],GDList,Table_ExternalData_1[[#Headers],[17]])</f>
        <v>100</v>
      </c>
      <c r="X77" s="34">
        <f>SUMIFS(GQList,GIList,Table_ExternalData_1[[#This Row],[Item_key]],GDList,Table_ExternalData_1[[#Headers],[18]])</f>
        <v>0</v>
      </c>
      <c r="Y77" s="34">
        <f>SUMIFS(GQList,GIList,Table_ExternalData_1[[#This Row],[Item_key]],GDList,Table_ExternalData_1[[#Headers],[19]])</f>
        <v>0</v>
      </c>
      <c r="Z77" s="34">
        <f>SUMIFS(GQList,GIList,Table_ExternalData_1[[#This Row],[Item_key]],GDList,Table_ExternalData_1[[#Headers],[20]])</f>
        <v>0</v>
      </c>
      <c r="AA77" s="34">
        <f>SUMIFS(GQList,GIList,Table_ExternalData_1[[#This Row],[Item_key]],GDList,Table_ExternalData_1[[#Headers],[21]])</f>
        <v>0</v>
      </c>
      <c r="AB77" s="34">
        <f>SUMIFS(GQList,GIList,Table_ExternalData_1[[#This Row],[Item_key]],GDList,Table_ExternalData_1[[#Headers],[22]])</f>
        <v>0</v>
      </c>
      <c r="AC77" s="34">
        <f>SUMIFS(GQList,GIList,Table_ExternalData_1[[#This Row],[Item_key]],GDList,Table_ExternalData_1[[#Headers],[23]])</f>
        <v>0</v>
      </c>
      <c r="AD77" s="34">
        <f>SUMIFS(GQList,GIList,Table_ExternalData_1[[#This Row],[Item_key]],GDList,Table_ExternalData_1[[#Headers],[24]])</f>
        <v>0</v>
      </c>
      <c r="AE77" s="34">
        <f>SUMIFS(GQList,GIList,Table_ExternalData_1[[#This Row],[Item_key]],GDList,Table_ExternalData_1[[#Headers],[25]])</f>
        <v>0</v>
      </c>
      <c r="AF77" s="34">
        <f>SUMIFS(GQList,GIList,Table_ExternalData_1[[#This Row],[Item_key]],GDList,Table_ExternalData_1[[#Headers],[26]])</f>
        <v>0</v>
      </c>
      <c r="AG77" s="34">
        <f>SUMIFS(GQList,GIList,Table_ExternalData_1[[#This Row],[Item_key]],GDList,Table_ExternalData_1[[#Headers],[27]])</f>
        <v>0</v>
      </c>
      <c r="AH77" s="34">
        <f>SUMIFS(GQList,GIList,Table_ExternalData_1[[#This Row],[Item_key]],GDList,Table_ExternalData_1[[#Headers],[28]])</f>
        <v>0</v>
      </c>
      <c r="AI77" s="34">
        <f>SUMIFS(GQList,GIList,Table_ExternalData_1[[#This Row],[Item_key]],GDList,Table_ExternalData_1[[#Headers],[29]])</f>
        <v>0</v>
      </c>
      <c r="AJ77" s="34">
        <f>SUMIFS(GQList,GIList,Table_ExternalData_1[[#This Row],[Item_key]],GDList,Table_ExternalData_1[[#Headers],[30]])</f>
        <v>0</v>
      </c>
      <c r="AK77" s="34">
        <f>SUMIFS(GQList,GIList,Table_ExternalData_1[[#This Row],[Item_key]],GDList,Table_ExternalData_1[[#Headers],[31]])</f>
        <v>0</v>
      </c>
      <c r="AL77" s="34">
        <f>SUM(Table_ExternalData_1[[#This Row],[1]:[31]])</f>
        <v>100</v>
      </c>
    </row>
    <row r="78" spans="1:38">
      <c r="A78" s="31" t="s">
        <v>65</v>
      </c>
      <c r="B78" s="32" t="s">
        <v>1614</v>
      </c>
      <c r="C78" s="32" t="s">
        <v>364</v>
      </c>
      <c r="D78" s="32" t="s">
        <v>2496</v>
      </c>
      <c r="E78" s="32" t="s">
        <v>2497</v>
      </c>
      <c r="F78" s="33" t="s">
        <v>17</v>
      </c>
      <c r="G78" s="34">
        <f>SUMIFS(GQList,GIList,Table_ExternalData_1[[#This Row],[Item_key]],GDList,Table_ExternalData_1[[#Headers],[1]])</f>
        <v>0</v>
      </c>
      <c r="H78" s="34">
        <f>SUMIFS(GQList,GIList,Table_ExternalData_1[[#This Row],[Item_key]],GDList,Table_ExternalData_1[[#Headers],[2]])</f>
        <v>0</v>
      </c>
      <c r="I78" s="34">
        <f>SUMIFS(GQList,GIList,Table_ExternalData_1[[#This Row],[Item_key]],GDList,Table_ExternalData_1[[#Headers],[3]])</f>
        <v>0</v>
      </c>
      <c r="J78" s="34">
        <f>SUMIFS(GQList,GIList,Table_ExternalData_1[[#This Row],[Item_key]],GDList,Table_ExternalData_1[[#Headers],[4]])</f>
        <v>0</v>
      </c>
      <c r="K78" s="34">
        <f>SUMIFS(GQList,GIList,Table_ExternalData_1[[#This Row],[Item_key]],GDList,Table_ExternalData_1[[#Headers],[5]])</f>
        <v>0</v>
      </c>
      <c r="L78" s="34">
        <f>SUMIFS(GQList,GIList,Table_ExternalData_1[[#This Row],[Item_key]],GDList,Table_ExternalData_1[[#Headers],[6]])</f>
        <v>0</v>
      </c>
      <c r="M78" s="34">
        <f>SUMIFS(GQList,GIList,Table_ExternalData_1[[#This Row],[Item_key]],GDList,Table_ExternalData_1[[#Headers],[7]])</f>
        <v>0</v>
      </c>
      <c r="N78" s="34">
        <f>SUMIFS(GQList,GIList,Table_ExternalData_1[[#This Row],[Item_key]],GDList,Table_ExternalData_1[[#Headers],[8]])</f>
        <v>0</v>
      </c>
      <c r="O78" s="34">
        <f>SUMIFS(GQList,GIList,Table_ExternalData_1[[#This Row],[Item_key]],GDList,Table_ExternalData_1[[#Headers],[9]])</f>
        <v>250</v>
      </c>
      <c r="P78" s="34">
        <f>SUMIFS(GQList,GIList,Table_ExternalData_1[[#This Row],[Item_key]],GDList,Table_ExternalData_1[[#Headers],[10]])</f>
        <v>0</v>
      </c>
      <c r="Q78" s="34">
        <f>SUMIFS(GQList,GIList,Table_ExternalData_1[[#This Row],[Item_key]],GDList,Table_ExternalData_1[[#Headers],[11]])</f>
        <v>0</v>
      </c>
      <c r="R78" s="34">
        <f>SUMIFS(GQList,GIList,Table_ExternalData_1[[#This Row],[Item_key]],GDList,Table_ExternalData_1[[#Headers],[12]])</f>
        <v>0</v>
      </c>
      <c r="S78" s="34">
        <f>SUMIFS(GQList,GIList,Table_ExternalData_1[[#This Row],[Item_key]],GDList,Table_ExternalData_1[[#Headers],[13]])</f>
        <v>0</v>
      </c>
      <c r="T78" s="34">
        <f>SUMIFS(GQList,GIList,Table_ExternalData_1[[#This Row],[Item_key]],GDList,Table_ExternalData_1[[#Headers],[14]])</f>
        <v>0</v>
      </c>
      <c r="U78" s="34">
        <f>SUMIFS(GQList,GIList,Table_ExternalData_1[[#This Row],[Item_key]],GDList,Table_ExternalData_1[[#Headers],[15]])</f>
        <v>0</v>
      </c>
      <c r="V78" s="34">
        <f>SUMIFS(GQList,GIList,Table_ExternalData_1[[#This Row],[Item_key]],GDList,Table_ExternalData_1[[#Headers],[16]])</f>
        <v>0</v>
      </c>
      <c r="W78" s="34">
        <f>SUMIFS(GQList,GIList,Table_ExternalData_1[[#This Row],[Item_key]],GDList,Table_ExternalData_1[[#Headers],[17]])</f>
        <v>0</v>
      </c>
      <c r="X78" s="34">
        <f>SUMIFS(GQList,GIList,Table_ExternalData_1[[#This Row],[Item_key]],GDList,Table_ExternalData_1[[#Headers],[18]])</f>
        <v>0</v>
      </c>
      <c r="Y78" s="34">
        <f>SUMIFS(GQList,GIList,Table_ExternalData_1[[#This Row],[Item_key]],GDList,Table_ExternalData_1[[#Headers],[19]])</f>
        <v>0</v>
      </c>
      <c r="Z78" s="34">
        <f>SUMIFS(GQList,GIList,Table_ExternalData_1[[#This Row],[Item_key]],GDList,Table_ExternalData_1[[#Headers],[20]])</f>
        <v>0</v>
      </c>
      <c r="AA78" s="34">
        <f>SUMIFS(GQList,GIList,Table_ExternalData_1[[#This Row],[Item_key]],GDList,Table_ExternalData_1[[#Headers],[21]])</f>
        <v>0</v>
      </c>
      <c r="AB78" s="34">
        <f>SUMIFS(GQList,GIList,Table_ExternalData_1[[#This Row],[Item_key]],GDList,Table_ExternalData_1[[#Headers],[22]])</f>
        <v>0</v>
      </c>
      <c r="AC78" s="34">
        <f>SUMIFS(GQList,GIList,Table_ExternalData_1[[#This Row],[Item_key]],GDList,Table_ExternalData_1[[#Headers],[23]])</f>
        <v>0</v>
      </c>
      <c r="AD78" s="34">
        <f>SUMIFS(GQList,GIList,Table_ExternalData_1[[#This Row],[Item_key]],GDList,Table_ExternalData_1[[#Headers],[24]])</f>
        <v>0</v>
      </c>
      <c r="AE78" s="34">
        <f>SUMIFS(GQList,GIList,Table_ExternalData_1[[#This Row],[Item_key]],GDList,Table_ExternalData_1[[#Headers],[25]])</f>
        <v>0</v>
      </c>
      <c r="AF78" s="34">
        <f>SUMIFS(GQList,GIList,Table_ExternalData_1[[#This Row],[Item_key]],GDList,Table_ExternalData_1[[#Headers],[26]])</f>
        <v>0</v>
      </c>
      <c r="AG78" s="34">
        <f>SUMIFS(GQList,GIList,Table_ExternalData_1[[#This Row],[Item_key]],GDList,Table_ExternalData_1[[#Headers],[27]])</f>
        <v>0</v>
      </c>
      <c r="AH78" s="34">
        <f>SUMIFS(GQList,GIList,Table_ExternalData_1[[#This Row],[Item_key]],GDList,Table_ExternalData_1[[#Headers],[28]])</f>
        <v>0</v>
      </c>
      <c r="AI78" s="34">
        <f>SUMIFS(GQList,GIList,Table_ExternalData_1[[#This Row],[Item_key]],GDList,Table_ExternalData_1[[#Headers],[29]])</f>
        <v>0</v>
      </c>
      <c r="AJ78" s="34">
        <f>SUMIFS(GQList,GIList,Table_ExternalData_1[[#This Row],[Item_key]],GDList,Table_ExternalData_1[[#Headers],[30]])</f>
        <v>0</v>
      </c>
      <c r="AK78" s="34">
        <f>SUMIFS(GQList,GIList,Table_ExternalData_1[[#This Row],[Item_key]],GDList,Table_ExternalData_1[[#Headers],[31]])</f>
        <v>0</v>
      </c>
      <c r="AL78" s="34">
        <f>SUM(Table_ExternalData_1[[#This Row],[1]:[31]])</f>
        <v>250</v>
      </c>
    </row>
    <row r="79" spans="1:38">
      <c r="A79" s="31" t="s">
        <v>65</v>
      </c>
      <c r="B79" s="32" t="s">
        <v>1614</v>
      </c>
      <c r="C79" s="32" t="s">
        <v>1773</v>
      </c>
      <c r="D79" s="32" t="s">
        <v>2624</v>
      </c>
      <c r="E79" s="32" t="s">
        <v>2625</v>
      </c>
      <c r="F79" s="33" t="s">
        <v>17</v>
      </c>
      <c r="G79" s="34">
        <f>SUMIFS(GQList,GIList,Table_ExternalData_1[[#This Row],[Item_key]],GDList,Table_ExternalData_1[[#Headers],[1]])</f>
        <v>0</v>
      </c>
      <c r="H79" s="34">
        <f>SUMIFS(GQList,GIList,Table_ExternalData_1[[#This Row],[Item_key]],GDList,Table_ExternalData_1[[#Headers],[2]])</f>
        <v>0</v>
      </c>
      <c r="I79" s="34">
        <f>SUMIFS(GQList,GIList,Table_ExternalData_1[[#This Row],[Item_key]],GDList,Table_ExternalData_1[[#Headers],[3]])</f>
        <v>100</v>
      </c>
      <c r="J79" s="34">
        <f>SUMIFS(GQList,GIList,Table_ExternalData_1[[#This Row],[Item_key]],GDList,Table_ExternalData_1[[#Headers],[4]])</f>
        <v>0</v>
      </c>
      <c r="K79" s="34">
        <f>SUMIFS(GQList,GIList,Table_ExternalData_1[[#This Row],[Item_key]],GDList,Table_ExternalData_1[[#Headers],[5]])</f>
        <v>0</v>
      </c>
      <c r="L79" s="34">
        <f>SUMIFS(GQList,GIList,Table_ExternalData_1[[#This Row],[Item_key]],GDList,Table_ExternalData_1[[#Headers],[6]])</f>
        <v>0</v>
      </c>
      <c r="M79" s="34">
        <f>SUMIFS(GQList,GIList,Table_ExternalData_1[[#This Row],[Item_key]],GDList,Table_ExternalData_1[[#Headers],[7]])</f>
        <v>0</v>
      </c>
      <c r="N79" s="34">
        <f>SUMIFS(GQList,GIList,Table_ExternalData_1[[#This Row],[Item_key]],GDList,Table_ExternalData_1[[#Headers],[8]])</f>
        <v>0</v>
      </c>
      <c r="O79" s="34">
        <f>SUMIFS(GQList,GIList,Table_ExternalData_1[[#This Row],[Item_key]],GDList,Table_ExternalData_1[[#Headers],[9]])</f>
        <v>200</v>
      </c>
      <c r="P79" s="34">
        <f>SUMIFS(GQList,GIList,Table_ExternalData_1[[#This Row],[Item_key]],GDList,Table_ExternalData_1[[#Headers],[10]])</f>
        <v>0</v>
      </c>
      <c r="Q79" s="34">
        <f>SUMIFS(GQList,GIList,Table_ExternalData_1[[#This Row],[Item_key]],GDList,Table_ExternalData_1[[#Headers],[11]])</f>
        <v>0</v>
      </c>
      <c r="R79" s="34">
        <f>SUMIFS(GQList,GIList,Table_ExternalData_1[[#This Row],[Item_key]],GDList,Table_ExternalData_1[[#Headers],[12]])</f>
        <v>0</v>
      </c>
      <c r="S79" s="34">
        <f>SUMIFS(GQList,GIList,Table_ExternalData_1[[#This Row],[Item_key]],GDList,Table_ExternalData_1[[#Headers],[13]])</f>
        <v>0</v>
      </c>
      <c r="T79" s="34">
        <f>SUMIFS(GQList,GIList,Table_ExternalData_1[[#This Row],[Item_key]],GDList,Table_ExternalData_1[[#Headers],[14]])</f>
        <v>0</v>
      </c>
      <c r="U79" s="34">
        <f>SUMIFS(GQList,GIList,Table_ExternalData_1[[#This Row],[Item_key]],GDList,Table_ExternalData_1[[#Headers],[15]])</f>
        <v>0</v>
      </c>
      <c r="V79" s="34">
        <f>SUMIFS(GQList,GIList,Table_ExternalData_1[[#This Row],[Item_key]],GDList,Table_ExternalData_1[[#Headers],[16]])</f>
        <v>0</v>
      </c>
      <c r="W79" s="34">
        <f>SUMIFS(GQList,GIList,Table_ExternalData_1[[#This Row],[Item_key]],GDList,Table_ExternalData_1[[#Headers],[17]])</f>
        <v>0</v>
      </c>
      <c r="X79" s="34">
        <f>SUMIFS(GQList,GIList,Table_ExternalData_1[[#This Row],[Item_key]],GDList,Table_ExternalData_1[[#Headers],[18]])</f>
        <v>0</v>
      </c>
      <c r="Y79" s="34">
        <f>SUMIFS(GQList,GIList,Table_ExternalData_1[[#This Row],[Item_key]],GDList,Table_ExternalData_1[[#Headers],[19]])</f>
        <v>0</v>
      </c>
      <c r="Z79" s="34">
        <f>SUMIFS(GQList,GIList,Table_ExternalData_1[[#This Row],[Item_key]],GDList,Table_ExternalData_1[[#Headers],[20]])</f>
        <v>0</v>
      </c>
      <c r="AA79" s="34">
        <f>SUMIFS(GQList,GIList,Table_ExternalData_1[[#This Row],[Item_key]],GDList,Table_ExternalData_1[[#Headers],[21]])</f>
        <v>0</v>
      </c>
      <c r="AB79" s="34">
        <f>SUMIFS(GQList,GIList,Table_ExternalData_1[[#This Row],[Item_key]],GDList,Table_ExternalData_1[[#Headers],[22]])</f>
        <v>0</v>
      </c>
      <c r="AC79" s="34">
        <f>SUMIFS(GQList,GIList,Table_ExternalData_1[[#This Row],[Item_key]],GDList,Table_ExternalData_1[[#Headers],[23]])</f>
        <v>0</v>
      </c>
      <c r="AD79" s="34">
        <f>SUMIFS(GQList,GIList,Table_ExternalData_1[[#This Row],[Item_key]],GDList,Table_ExternalData_1[[#Headers],[24]])</f>
        <v>0</v>
      </c>
      <c r="AE79" s="34">
        <f>SUMIFS(GQList,GIList,Table_ExternalData_1[[#This Row],[Item_key]],GDList,Table_ExternalData_1[[#Headers],[25]])</f>
        <v>0</v>
      </c>
      <c r="AF79" s="34">
        <f>SUMIFS(GQList,GIList,Table_ExternalData_1[[#This Row],[Item_key]],GDList,Table_ExternalData_1[[#Headers],[26]])</f>
        <v>0</v>
      </c>
      <c r="AG79" s="34">
        <f>SUMIFS(GQList,GIList,Table_ExternalData_1[[#This Row],[Item_key]],GDList,Table_ExternalData_1[[#Headers],[27]])</f>
        <v>0</v>
      </c>
      <c r="AH79" s="34">
        <f>SUMIFS(GQList,GIList,Table_ExternalData_1[[#This Row],[Item_key]],GDList,Table_ExternalData_1[[#Headers],[28]])</f>
        <v>0</v>
      </c>
      <c r="AI79" s="34">
        <f>SUMIFS(GQList,GIList,Table_ExternalData_1[[#This Row],[Item_key]],GDList,Table_ExternalData_1[[#Headers],[29]])</f>
        <v>0</v>
      </c>
      <c r="AJ79" s="34">
        <f>SUMIFS(GQList,GIList,Table_ExternalData_1[[#This Row],[Item_key]],GDList,Table_ExternalData_1[[#Headers],[30]])</f>
        <v>0</v>
      </c>
      <c r="AK79" s="34">
        <f>SUMIFS(GQList,GIList,Table_ExternalData_1[[#This Row],[Item_key]],GDList,Table_ExternalData_1[[#Headers],[31]])</f>
        <v>0</v>
      </c>
      <c r="AL79" s="34">
        <f>SUM(Table_ExternalData_1[[#This Row],[1]:[31]])</f>
        <v>300</v>
      </c>
    </row>
    <row r="80" spans="1:38">
      <c r="A80" s="31" t="s">
        <v>65</v>
      </c>
      <c r="B80" s="32" t="s">
        <v>1614</v>
      </c>
      <c r="C80" s="32" t="s">
        <v>758</v>
      </c>
      <c r="D80" s="32" t="s">
        <v>2666</v>
      </c>
      <c r="E80" s="32" t="s">
        <v>1422</v>
      </c>
      <c r="F80" s="33" t="s">
        <v>17</v>
      </c>
      <c r="G80" s="34">
        <f>SUMIFS(GQList,GIList,Table_ExternalData_1[[#This Row],[Item_key]],GDList,Table_ExternalData_1[[#Headers],[1]])</f>
        <v>0</v>
      </c>
      <c r="H80" s="34">
        <f>SUMIFS(GQList,GIList,Table_ExternalData_1[[#This Row],[Item_key]],GDList,Table_ExternalData_1[[#Headers],[2]])</f>
        <v>0</v>
      </c>
      <c r="I80" s="34">
        <f>SUMIFS(GQList,GIList,Table_ExternalData_1[[#This Row],[Item_key]],GDList,Table_ExternalData_1[[#Headers],[3]])</f>
        <v>50</v>
      </c>
      <c r="J80" s="34">
        <f>SUMIFS(GQList,GIList,Table_ExternalData_1[[#This Row],[Item_key]],GDList,Table_ExternalData_1[[#Headers],[4]])</f>
        <v>0</v>
      </c>
      <c r="K80" s="34">
        <f>SUMIFS(GQList,GIList,Table_ExternalData_1[[#This Row],[Item_key]],GDList,Table_ExternalData_1[[#Headers],[5]])</f>
        <v>0</v>
      </c>
      <c r="L80" s="34">
        <f>SUMIFS(GQList,GIList,Table_ExternalData_1[[#This Row],[Item_key]],GDList,Table_ExternalData_1[[#Headers],[6]])</f>
        <v>0</v>
      </c>
      <c r="M80" s="34">
        <f>SUMIFS(GQList,GIList,Table_ExternalData_1[[#This Row],[Item_key]],GDList,Table_ExternalData_1[[#Headers],[7]])</f>
        <v>0</v>
      </c>
      <c r="N80" s="34">
        <f>SUMIFS(GQList,GIList,Table_ExternalData_1[[#This Row],[Item_key]],GDList,Table_ExternalData_1[[#Headers],[8]])</f>
        <v>0</v>
      </c>
      <c r="O80" s="34">
        <f>SUMIFS(GQList,GIList,Table_ExternalData_1[[#This Row],[Item_key]],GDList,Table_ExternalData_1[[#Headers],[9]])</f>
        <v>0</v>
      </c>
      <c r="P80" s="34">
        <f>SUMIFS(GQList,GIList,Table_ExternalData_1[[#This Row],[Item_key]],GDList,Table_ExternalData_1[[#Headers],[10]])</f>
        <v>0</v>
      </c>
      <c r="Q80" s="34">
        <f>SUMIFS(GQList,GIList,Table_ExternalData_1[[#This Row],[Item_key]],GDList,Table_ExternalData_1[[#Headers],[11]])</f>
        <v>50</v>
      </c>
      <c r="R80" s="34">
        <f>SUMIFS(GQList,GIList,Table_ExternalData_1[[#This Row],[Item_key]],GDList,Table_ExternalData_1[[#Headers],[12]])</f>
        <v>0</v>
      </c>
      <c r="S80" s="34">
        <f>SUMIFS(GQList,GIList,Table_ExternalData_1[[#This Row],[Item_key]],GDList,Table_ExternalData_1[[#Headers],[13]])</f>
        <v>0</v>
      </c>
      <c r="T80" s="34">
        <f>SUMIFS(GQList,GIList,Table_ExternalData_1[[#This Row],[Item_key]],GDList,Table_ExternalData_1[[#Headers],[14]])</f>
        <v>0</v>
      </c>
      <c r="U80" s="34">
        <f>SUMIFS(GQList,GIList,Table_ExternalData_1[[#This Row],[Item_key]],GDList,Table_ExternalData_1[[#Headers],[15]])</f>
        <v>0</v>
      </c>
      <c r="V80" s="34">
        <f>SUMIFS(GQList,GIList,Table_ExternalData_1[[#This Row],[Item_key]],GDList,Table_ExternalData_1[[#Headers],[16]])</f>
        <v>0</v>
      </c>
      <c r="W80" s="34">
        <f>SUMIFS(GQList,GIList,Table_ExternalData_1[[#This Row],[Item_key]],GDList,Table_ExternalData_1[[#Headers],[17]])</f>
        <v>0</v>
      </c>
      <c r="X80" s="34">
        <f>SUMIFS(GQList,GIList,Table_ExternalData_1[[#This Row],[Item_key]],GDList,Table_ExternalData_1[[#Headers],[18]])</f>
        <v>0</v>
      </c>
      <c r="Y80" s="34">
        <f>SUMIFS(GQList,GIList,Table_ExternalData_1[[#This Row],[Item_key]],GDList,Table_ExternalData_1[[#Headers],[19]])</f>
        <v>0</v>
      </c>
      <c r="Z80" s="34">
        <f>SUMIFS(GQList,GIList,Table_ExternalData_1[[#This Row],[Item_key]],GDList,Table_ExternalData_1[[#Headers],[20]])</f>
        <v>0</v>
      </c>
      <c r="AA80" s="34">
        <f>SUMIFS(GQList,GIList,Table_ExternalData_1[[#This Row],[Item_key]],GDList,Table_ExternalData_1[[#Headers],[21]])</f>
        <v>0</v>
      </c>
      <c r="AB80" s="34">
        <f>SUMIFS(GQList,GIList,Table_ExternalData_1[[#This Row],[Item_key]],GDList,Table_ExternalData_1[[#Headers],[22]])</f>
        <v>0</v>
      </c>
      <c r="AC80" s="34">
        <f>SUMIFS(GQList,GIList,Table_ExternalData_1[[#This Row],[Item_key]],GDList,Table_ExternalData_1[[#Headers],[23]])</f>
        <v>0</v>
      </c>
      <c r="AD80" s="34">
        <f>SUMIFS(GQList,GIList,Table_ExternalData_1[[#This Row],[Item_key]],GDList,Table_ExternalData_1[[#Headers],[24]])</f>
        <v>0</v>
      </c>
      <c r="AE80" s="34">
        <f>SUMIFS(GQList,GIList,Table_ExternalData_1[[#This Row],[Item_key]],GDList,Table_ExternalData_1[[#Headers],[25]])</f>
        <v>0</v>
      </c>
      <c r="AF80" s="34">
        <f>SUMIFS(GQList,GIList,Table_ExternalData_1[[#This Row],[Item_key]],GDList,Table_ExternalData_1[[#Headers],[26]])</f>
        <v>0</v>
      </c>
      <c r="AG80" s="34">
        <f>SUMIFS(GQList,GIList,Table_ExternalData_1[[#This Row],[Item_key]],GDList,Table_ExternalData_1[[#Headers],[27]])</f>
        <v>0</v>
      </c>
      <c r="AH80" s="34">
        <f>SUMIFS(GQList,GIList,Table_ExternalData_1[[#This Row],[Item_key]],GDList,Table_ExternalData_1[[#Headers],[28]])</f>
        <v>0</v>
      </c>
      <c r="AI80" s="34">
        <f>SUMIFS(GQList,GIList,Table_ExternalData_1[[#This Row],[Item_key]],GDList,Table_ExternalData_1[[#Headers],[29]])</f>
        <v>0</v>
      </c>
      <c r="AJ80" s="34">
        <f>SUMIFS(GQList,GIList,Table_ExternalData_1[[#This Row],[Item_key]],GDList,Table_ExternalData_1[[#Headers],[30]])</f>
        <v>0</v>
      </c>
      <c r="AK80" s="34">
        <f>SUMIFS(GQList,GIList,Table_ExternalData_1[[#This Row],[Item_key]],GDList,Table_ExternalData_1[[#Headers],[31]])</f>
        <v>0</v>
      </c>
      <c r="AL80" s="34">
        <f>SUM(Table_ExternalData_1[[#This Row],[1]:[31]])</f>
        <v>100</v>
      </c>
    </row>
    <row r="81" spans="1:38">
      <c r="A81" s="31" t="s">
        <v>65</v>
      </c>
      <c r="B81" s="32" t="s">
        <v>1614</v>
      </c>
      <c r="C81" s="32" t="s">
        <v>1846</v>
      </c>
      <c r="D81" s="32" t="s">
        <v>2677</v>
      </c>
      <c r="E81" s="32" t="s">
        <v>2678</v>
      </c>
      <c r="F81" s="33" t="s">
        <v>17</v>
      </c>
      <c r="G81" s="34">
        <f>SUMIFS(GQList,GIList,Table_ExternalData_1[[#This Row],[Item_key]],GDList,Table_ExternalData_1[[#Headers],[1]])</f>
        <v>0</v>
      </c>
      <c r="H81" s="34">
        <f>SUMIFS(GQList,GIList,Table_ExternalData_1[[#This Row],[Item_key]],GDList,Table_ExternalData_1[[#Headers],[2]])</f>
        <v>0</v>
      </c>
      <c r="I81" s="34">
        <f>SUMIFS(GQList,GIList,Table_ExternalData_1[[#This Row],[Item_key]],GDList,Table_ExternalData_1[[#Headers],[3]])</f>
        <v>0</v>
      </c>
      <c r="J81" s="34">
        <f>SUMIFS(GQList,GIList,Table_ExternalData_1[[#This Row],[Item_key]],GDList,Table_ExternalData_1[[#Headers],[4]])</f>
        <v>0</v>
      </c>
      <c r="K81" s="34">
        <f>SUMIFS(GQList,GIList,Table_ExternalData_1[[#This Row],[Item_key]],GDList,Table_ExternalData_1[[#Headers],[5]])</f>
        <v>0</v>
      </c>
      <c r="L81" s="34">
        <f>SUMIFS(GQList,GIList,Table_ExternalData_1[[#This Row],[Item_key]],GDList,Table_ExternalData_1[[#Headers],[6]])</f>
        <v>0</v>
      </c>
      <c r="M81" s="34">
        <f>SUMIFS(GQList,GIList,Table_ExternalData_1[[#This Row],[Item_key]],GDList,Table_ExternalData_1[[#Headers],[7]])</f>
        <v>0</v>
      </c>
      <c r="N81" s="34">
        <f>SUMIFS(GQList,GIList,Table_ExternalData_1[[#This Row],[Item_key]],GDList,Table_ExternalData_1[[#Headers],[8]])</f>
        <v>0</v>
      </c>
      <c r="O81" s="34">
        <f>SUMIFS(GQList,GIList,Table_ExternalData_1[[#This Row],[Item_key]],GDList,Table_ExternalData_1[[#Headers],[9]])</f>
        <v>500</v>
      </c>
      <c r="P81" s="34">
        <f>SUMIFS(GQList,GIList,Table_ExternalData_1[[#This Row],[Item_key]],GDList,Table_ExternalData_1[[#Headers],[10]])</f>
        <v>0</v>
      </c>
      <c r="Q81" s="34">
        <f>SUMIFS(GQList,GIList,Table_ExternalData_1[[#This Row],[Item_key]],GDList,Table_ExternalData_1[[#Headers],[11]])</f>
        <v>0</v>
      </c>
      <c r="R81" s="34">
        <f>SUMIFS(GQList,GIList,Table_ExternalData_1[[#This Row],[Item_key]],GDList,Table_ExternalData_1[[#Headers],[12]])</f>
        <v>0</v>
      </c>
      <c r="S81" s="34">
        <f>SUMIFS(GQList,GIList,Table_ExternalData_1[[#This Row],[Item_key]],GDList,Table_ExternalData_1[[#Headers],[13]])</f>
        <v>0</v>
      </c>
      <c r="T81" s="34">
        <f>SUMIFS(GQList,GIList,Table_ExternalData_1[[#This Row],[Item_key]],GDList,Table_ExternalData_1[[#Headers],[14]])</f>
        <v>0</v>
      </c>
      <c r="U81" s="34">
        <f>SUMIFS(GQList,GIList,Table_ExternalData_1[[#This Row],[Item_key]],GDList,Table_ExternalData_1[[#Headers],[15]])</f>
        <v>0</v>
      </c>
      <c r="V81" s="34">
        <f>SUMIFS(GQList,GIList,Table_ExternalData_1[[#This Row],[Item_key]],GDList,Table_ExternalData_1[[#Headers],[16]])</f>
        <v>0</v>
      </c>
      <c r="W81" s="34">
        <f>SUMIFS(GQList,GIList,Table_ExternalData_1[[#This Row],[Item_key]],GDList,Table_ExternalData_1[[#Headers],[17]])</f>
        <v>0</v>
      </c>
      <c r="X81" s="34">
        <f>SUMIFS(GQList,GIList,Table_ExternalData_1[[#This Row],[Item_key]],GDList,Table_ExternalData_1[[#Headers],[18]])</f>
        <v>0</v>
      </c>
      <c r="Y81" s="34">
        <f>SUMIFS(GQList,GIList,Table_ExternalData_1[[#This Row],[Item_key]],GDList,Table_ExternalData_1[[#Headers],[19]])</f>
        <v>0</v>
      </c>
      <c r="Z81" s="34">
        <f>SUMIFS(GQList,GIList,Table_ExternalData_1[[#This Row],[Item_key]],GDList,Table_ExternalData_1[[#Headers],[20]])</f>
        <v>0</v>
      </c>
      <c r="AA81" s="34">
        <f>SUMIFS(GQList,GIList,Table_ExternalData_1[[#This Row],[Item_key]],GDList,Table_ExternalData_1[[#Headers],[21]])</f>
        <v>0</v>
      </c>
      <c r="AB81" s="34">
        <f>SUMIFS(GQList,GIList,Table_ExternalData_1[[#This Row],[Item_key]],GDList,Table_ExternalData_1[[#Headers],[22]])</f>
        <v>0</v>
      </c>
      <c r="AC81" s="34">
        <f>SUMIFS(GQList,GIList,Table_ExternalData_1[[#This Row],[Item_key]],GDList,Table_ExternalData_1[[#Headers],[23]])</f>
        <v>0</v>
      </c>
      <c r="AD81" s="34">
        <f>SUMIFS(GQList,GIList,Table_ExternalData_1[[#This Row],[Item_key]],GDList,Table_ExternalData_1[[#Headers],[24]])</f>
        <v>0</v>
      </c>
      <c r="AE81" s="34">
        <f>SUMIFS(GQList,GIList,Table_ExternalData_1[[#This Row],[Item_key]],GDList,Table_ExternalData_1[[#Headers],[25]])</f>
        <v>0</v>
      </c>
      <c r="AF81" s="34">
        <f>SUMIFS(GQList,GIList,Table_ExternalData_1[[#This Row],[Item_key]],GDList,Table_ExternalData_1[[#Headers],[26]])</f>
        <v>0</v>
      </c>
      <c r="AG81" s="34">
        <f>SUMIFS(GQList,GIList,Table_ExternalData_1[[#This Row],[Item_key]],GDList,Table_ExternalData_1[[#Headers],[27]])</f>
        <v>0</v>
      </c>
      <c r="AH81" s="34">
        <f>SUMIFS(GQList,GIList,Table_ExternalData_1[[#This Row],[Item_key]],GDList,Table_ExternalData_1[[#Headers],[28]])</f>
        <v>0</v>
      </c>
      <c r="AI81" s="34">
        <f>SUMIFS(GQList,GIList,Table_ExternalData_1[[#This Row],[Item_key]],GDList,Table_ExternalData_1[[#Headers],[29]])</f>
        <v>0</v>
      </c>
      <c r="AJ81" s="34">
        <f>SUMIFS(GQList,GIList,Table_ExternalData_1[[#This Row],[Item_key]],GDList,Table_ExternalData_1[[#Headers],[30]])</f>
        <v>0</v>
      </c>
      <c r="AK81" s="34">
        <f>SUMIFS(GQList,GIList,Table_ExternalData_1[[#This Row],[Item_key]],GDList,Table_ExternalData_1[[#Headers],[31]])</f>
        <v>0</v>
      </c>
      <c r="AL81" s="34">
        <f>SUM(Table_ExternalData_1[[#This Row],[1]:[31]])</f>
        <v>500</v>
      </c>
    </row>
    <row r="82" spans="1:38">
      <c r="A82" s="31" t="s">
        <v>65</v>
      </c>
      <c r="B82" s="32" t="s">
        <v>1615</v>
      </c>
      <c r="C82" s="32" t="s">
        <v>653</v>
      </c>
      <c r="D82" s="32" t="s">
        <v>2618</v>
      </c>
      <c r="E82" s="32" t="s">
        <v>2619</v>
      </c>
      <c r="F82" s="33" t="s">
        <v>17</v>
      </c>
      <c r="G82" s="34">
        <f>SUMIFS(GQList,GIList,Table_ExternalData_1[[#This Row],[Item_key]],GDList,Table_ExternalData_1[[#Headers],[1]])</f>
        <v>0</v>
      </c>
      <c r="H82" s="34">
        <f>SUMIFS(GQList,GIList,Table_ExternalData_1[[#This Row],[Item_key]],GDList,Table_ExternalData_1[[#Headers],[2]])</f>
        <v>0</v>
      </c>
      <c r="I82" s="34">
        <f>SUMIFS(GQList,GIList,Table_ExternalData_1[[#This Row],[Item_key]],GDList,Table_ExternalData_1[[#Headers],[3]])</f>
        <v>0</v>
      </c>
      <c r="J82" s="34">
        <f>SUMIFS(GQList,GIList,Table_ExternalData_1[[#This Row],[Item_key]],GDList,Table_ExternalData_1[[#Headers],[4]])</f>
        <v>0</v>
      </c>
      <c r="K82" s="34">
        <f>SUMIFS(GQList,GIList,Table_ExternalData_1[[#This Row],[Item_key]],GDList,Table_ExternalData_1[[#Headers],[5]])</f>
        <v>0</v>
      </c>
      <c r="L82" s="34">
        <f>SUMIFS(GQList,GIList,Table_ExternalData_1[[#This Row],[Item_key]],GDList,Table_ExternalData_1[[#Headers],[6]])</f>
        <v>0</v>
      </c>
      <c r="M82" s="34">
        <f>SUMIFS(GQList,GIList,Table_ExternalData_1[[#This Row],[Item_key]],GDList,Table_ExternalData_1[[#Headers],[7]])</f>
        <v>0</v>
      </c>
      <c r="N82" s="34">
        <f>SUMIFS(GQList,GIList,Table_ExternalData_1[[#This Row],[Item_key]],GDList,Table_ExternalData_1[[#Headers],[8]])</f>
        <v>0</v>
      </c>
      <c r="O82" s="34">
        <f>SUMIFS(GQList,GIList,Table_ExternalData_1[[#This Row],[Item_key]],GDList,Table_ExternalData_1[[#Headers],[9]])</f>
        <v>0</v>
      </c>
      <c r="P82" s="34">
        <f>SUMIFS(GQList,GIList,Table_ExternalData_1[[#This Row],[Item_key]],GDList,Table_ExternalData_1[[#Headers],[10]])</f>
        <v>0</v>
      </c>
      <c r="Q82" s="34">
        <f>SUMIFS(GQList,GIList,Table_ExternalData_1[[#This Row],[Item_key]],GDList,Table_ExternalData_1[[#Headers],[11]])</f>
        <v>50</v>
      </c>
      <c r="R82" s="34">
        <f>SUMIFS(GQList,GIList,Table_ExternalData_1[[#This Row],[Item_key]],GDList,Table_ExternalData_1[[#Headers],[12]])</f>
        <v>0</v>
      </c>
      <c r="S82" s="34">
        <f>SUMIFS(GQList,GIList,Table_ExternalData_1[[#This Row],[Item_key]],GDList,Table_ExternalData_1[[#Headers],[13]])</f>
        <v>0</v>
      </c>
      <c r="T82" s="34">
        <f>SUMIFS(GQList,GIList,Table_ExternalData_1[[#This Row],[Item_key]],GDList,Table_ExternalData_1[[#Headers],[14]])</f>
        <v>0</v>
      </c>
      <c r="U82" s="34">
        <f>SUMIFS(GQList,GIList,Table_ExternalData_1[[#This Row],[Item_key]],GDList,Table_ExternalData_1[[#Headers],[15]])</f>
        <v>0</v>
      </c>
      <c r="V82" s="34">
        <f>SUMIFS(GQList,GIList,Table_ExternalData_1[[#This Row],[Item_key]],GDList,Table_ExternalData_1[[#Headers],[16]])</f>
        <v>0</v>
      </c>
      <c r="W82" s="34">
        <f>SUMIFS(GQList,GIList,Table_ExternalData_1[[#This Row],[Item_key]],GDList,Table_ExternalData_1[[#Headers],[17]])</f>
        <v>0</v>
      </c>
      <c r="X82" s="34">
        <f>SUMIFS(GQList,GIList,Table_ExternalData_1[[#This Row],[Item_key]],GDList,Table_ExternalData_1[[#Headers],[18]])</f>
        <v>0</v>
      </c>
      <c r="Y82" s="34">
        <f>SUMIFS(GQList,GIList,Table_ExternalData_1[[#This Row],[Item_key]],GDList,Table_ExternalData_1[[#Headers],[19]])</f>
        <v>0</v>
      </c>
      <c r="Z82" s="34">
        <f>SUMIFS(GQList,GIList,Table_ExternalData_1[[#This Row],[Item_key]],GDList,Table_ExternalData_1[[#Headers],[20]])</f>
        <v>0</v>
      </c>
      <c r="AA82" s="34">
        <f>SUMIFS(GQList,GIList,Table_ExternalData_1[[#This Row],[Item_key]],GDList,Table_ExternalData_1[[#Headers],[21]])</f>
        <v>0</v>
      </c>
      <c r="AB82" s="34">
        <f>SUMIFS(GQList,GIList,Table_ExternalData_1[[#This Row],[Item_key]],GDList,Table_ExternalData_1[[#Headers],[22]])</f>
        <v>0</v>
      </c>
      <c r="AC82" s="34">
        <f>SUMIFS(GQList,GIList,Table_ExternalData_1[[#This Row],[Item_key]],GDList,Table_ExternalData_1[[#Headers],[23]])</f>
        <v>0</v>
      </c>
      <c r="AD82" s="34">
        <f>SUMIFS(GQList,GIList,Table_ExternalData_1[[#This Row],[Item_key]],GDList,Table_ExternalData_1[[#Headers],[24]])</f>
        <v>0</v>
      </c>
      <c r="AE82" s="34">
        <f>SUMIFS(GQList,GIList,Table_ExternalData_1[[#This Row],[Item_key]],GDList,Table_ExternalData_1[[#Headers],[25]])</f>
        <v>0</v>
      </c>
      <c r="AF82" s="34">
        <f>SUMIFS(GQList,GIList,Table_ExternalData_1[[#This Row],[Item_key]],GDList,Table_ExternalData_1[[#Headers],[26]])</f>
        <v>0</v>
      </c>
      <c r="AG82" s="34">
        <f>SUMIFS(GQList,GIList,Table_ExternalData_1[[#This Row],[Item_key]],GDList,Table_ExternalData_1[[#Headers],[27]])</f>
        <v>0</v>
      </c>
      <c r="AH82" s="34">
        <f>SUMIFS(GQList,GIList,Table_ExternalData_1[[#This Row],[Item_key]],GDList,Table_ExternalData_1[[#Headers],[28]])</f>
        <v>0</v>
      </c>
      <c r="AI82" s="34">
        <f>SUMIFS(GQList,GIList,Table_ExternalData_1[[#This Row],[Item_key]],GDList,Table_ExternalData_1[[#Headers],[29]])</f>
        <v>0</v>
      </c>
      <c r="AJ82" s="34">
        <f>SUMIFS(GQList,GIList,Table_ExternalData_1[[#This Row],[Item_key]],GDList,Table_ExternalData_1[[#Headers],[30]])</f>
        <v>0</v>
      </c>
      <c r="AK82" s="34">
        <f>SUMIFS(GQList,GIList,Table_ExternalData_1[[#This Row],[Item_key]],GDList,Table_ExternalData_1[[#Headers],[31]])</f>
        <v>0</v>
      </c>
      <c r="AL82" s="34">
        <f>SUM(Table_ExternalData_1[[#This Row],[1]:[31]])</f>
        <v>50</v>
      </c>
    </row>
    <row r="83" spans="1:38">
      <c r="A83" s="31" t="s">
        <v>65</v>
      </c>
      <c r="B83" s="32" t="s">
        <v>1616</v>
      </c>
      <c r="C83" s="32" t="s">
        <v>542</v>
      </c>
      <c r="D83" s="32" t="s">
        <v>1302</v>
      </c>
      <c r="E83" s="32" t="s">
        <v>1303</v>
      </c>
      <c r="F83" s="33" t="s">
        <v>17</v>
      </c>
      <c r="G83" s="34">
        <f>SUMIFS(GQList,GIList,Table_ExternalData_1[[#This Row],[Item_key]],GDList,Table_ExternalData_1[[#Headers],[1]])</f>
        <v>0</v>
      </c>
      <c r="H83" s="34">
        <f>SUMIFS(GQList,GIList,Table_ExternalData_1[[#This Row],[Item_key]],GDList,Table_ExternalData_1[[#Headers],[2]])</f>
        <v>0</v>
      </c>
      <c r="I83" s="34">
        <f>SUMIFS(GQList,GIList,Table_ExternalData_1[[#This Row],[Item_key]],GDList,Table_ExternalData_1[[#Headers],[3]])</f>
        <v>0</v>
      </c>
      <c r="J83" s="34">
        <f>SUMIFS(GQList,GIList,Table_ExternalData_1[[#This Row],[Item_key]],GDList,Table_ExternalData_1[[#Headers],[4]])</f>
        <v>0</v>
      </c>
      <c r="K83" s="34">
        <f>SUMIFS(GQList,GIList,Table_ExternalData_1[[#This Row],[Item_key]],GDList,Table_ExternalData_1[[#Headers],[5]])</f>
        <v>0</v>
      </c>
      <c r="L83" s="34">
        <f>SUMIFS(GQList,GIList,Table_ExternalData_1[[#This Row],[Item_key]],GDList,Table_ExternalData_1[[#Headers],[6]])</f>
        <v>0</v>
      </c>
      <c r="M83" s="34">
        <f>SUMIFS(GQList,GIList,Table_ExternalData_1[[#This Row],[Item_key]],GDList,Table_ExternalData_1[[#Headers],[7]])</f>
        <v>0</v>
      </c>
      <c r="N83" s="34">
        <f>SUMIFS(GQList,GIList,Table_ExternalData_1[[#This Row],[Item_key]],GDList,Table_ExternalData_1[[#Headers],[8]])</f>
        <v>0</v>
      </c>
      <c r="O83" s="34">
        <f>SUMIFS(GQList,GIList,Table_ExternalData_1[[#This Row],[Item_key]],GDList,Table_ExternalData_1[[#Headers],[9]])</f>
        <v>0</v>
      </c>
      <c r="P83" s="34">
        <f>SUMIFS(GQList,GIList,Table_ExternalData_1[[#This Row],[Item_key]],GDList,Table_ExternalData_1[[#Headers],[10]])</f>
        <v>0</v>
      </c>
      <c r="Q83" s="34">
        <f>SUMIFS(GQList,GIList,Table_ExternalData_1[[#This Row],[Item_key]],GDList,Table_ExternalData_1[[#Headers],[11]])</f>
        <v>0</v>
      </c>
      <c r="R83" s="34">
        <f>SUMIFS(GQList,GIList,Table_ExternalData_1[[#This Row],[Item_key]],GDList,Table_ExternalData_1[[#Headers],[12]])</f>
        <v>0</v>
      </c>
      <c r="S83" s="34">
        <f>SUMIFS(GQList,GIList,Table_ExternalData_1[[#This Row],[Item_key]],GDList,Table_ExternalData_1[[#Headers],[13]])</f>
        <v>0</v>
      </c>
      <c r="T83" s="34">
        <f>SUMIFS(GQList,GIList,Table_ExternalData_1[[#This Row],[Item_key]],GDList,Table_ExternalData_1[[#Headers],[14]])</f>
        <v>0</v>
      </c>
      <c r="U83" s="34">
        <f>SUMIFS(GQList,GIList,Table_ExternalData_1[[#This Row],[Item_key]],GDList,Table_ExternalData_1[[#Headers],[15]])</f>
        <v>500</v>
      </c>
      <c r="V83" s="34">
        <f>SUMIFS(GQList,GIList,Table_ExternalData_1[[#This Row],[Item_key]],GDList,Table_ExternalData_1[[#Headers],[16]])</f>
        <v>0</v>
      </c>
      <c r="W83" s="34">
        <f>SUMIFS(GQList,GIList,Table_ExternalData_1[[#This Row],[Item_key]],GDList,Table_ExternalData_1[[#Headers],[17]])</f>
        <v>0</v>
      </c>
      <c r="X83" s="34">
        <f>SUMIFS(GQList,GIList,Table_ExternalData_1[[#This Row],[Item_key]],GDList,Table_ExternalData_1[[#Headers],[18]])</f>
        <v>0</v>
      </c>
      <c r="Y83" s="34">
        <f>SUMIFS(GQList,GIList,Table_ExternalData_1[[#This Row],[Item_key]],GDList,Table_ExternalData_1[[#Headers],[19]])</f>
        <v>0</v>
      </c>
      <c r="Z83" s="34">
        <f>SUMIFS(GQList,GIList,Table_ExternalData_1[[#This Row],[Item_key]],GDList,Table_ExternalData_1[[#Headers],[20]])</f>
        <v>0</v>
      </c>
      <c r="AA83" s="34">
        <f>SUMIFS(GQList,GIList,Table_ExternalData_1[[#This Row],[Item_key]],GDList,Table_ExternalData_1[[#Headers],[21]])</f>
        <v>0</v>
      </c>
      <c r="AB83" s="34">
        <f>SUMIFS(GQList,GIList,Table_ExternalData_1[[#This Row],[Item_key]],GDList,Table_ExternalData_1[[#Headers],[22]])</f>
        <v>0</v>
      </c>
      <c r="AC83" s="34">
        <f>SUMIFS(GQList,GIList,Table_ExternalData_1[[#This Row],[Item_key]],GDList,Table_ExternalData_1[[#Headers],[23]])</f>
        <v>0</v>
      </c>
      <c r="AD83" s="34">
        <f>SUMIFS(GQList,GIList,Table_ExternalData_1[[#This Row],[Item_key]],GDList,Table_ExternalData_1[[#Headers],[24]])</f>
        <v>0</v>
      </c>
      <c r="AE83" s="34">
        <f>SUMIFS(GQList,GIList,Table_ExternalData_1[[#This Row],[Item_key]],GDList,Table_ExternalData_1[[#Headers],[25]])</f>
        <v>0</v>
      </c>
      <c r="AF83" s="34">
        <f>SUMIFS(GQList,GIList,Table_ExternalData_1[[#This Row],[Item_key]],GDList,Table_ExternalData_1[[#Headers],[26]])</f>
        <v>0</v>
      </c>
      <c r="AG83" s="34">
        <f>SUMIFS(GQList,GIList,Table_ExternalData_1[[#This Row],[Item_key]],GDList,Table_ExternalData_1[[#Headers],[27]])</f>
        <v>0</v>
      </c>
      <c r="AH83" s="34">
        <f>SUMIFS(GQList,GIList,Table_ExternalData_1[[#This Row],[Item_key]],GDList,Table_ExternalData_1[[#Headers],[28]])</f>
        <v>0</v>
      </c>
      <c r="AI83" s="34">
        <f>SUMIFS(GQList,GIList,Table_ExternalData_1[[#This Row],[Item_key]],GDList,Table_ExternalData_1[[#Headers],[29]])</f>
        <v>0</v>
      </c>
      <c r="AJ83" s="34">
        <f>SUMIFS(GQList,GIList,Table_ExternalData_1[[#This Row],[Item_key]],GDList,Table_ExternalData_1[[#Headers],[30]])</f>
        <v>0</v>
      </c>
      <c r="AK83" s="34">
        <f>SUMIFS(GQList,GIList,Table_ExternalData_1[[#This Row],[Item_key]],GDList,Table_ExternalData_1[[#Headers],[31]])</f>
        <v>0</v>
      </c>
      <c r="AL83" s="34">
        <f>SUM(Table_ExternalData_1[[#This Row],[1]:[31]])</f>
        <v>500</v>
      </c>
    </row>
    <row r="84" spans="1:38">
      <c r="A84" s="31" t="s">
        <v>65</v>
      </c>
      <c r="B84" s="32" t="s">
        <v>1617</v>
      </c>
      <c r="C84" s="32" t="s">
        <v>411</v>
      </c>
      <c r="D84" s="32" t="s">
        <v>1263</v>
      </c>
      <c r="E84" s="32" t="s">
        <v>1264</v>
      </c>
      <c r="F84" s="33" t="s">
        <v>17</v>
      </c>
      <c r="G84" s="34">
        <f>SUMIFS(GQList,GIList,Table_ExternalData_1[[#This Row],[Item_key]],GDList,Table_ExternalData_1[[#Headers],[1]])</f>
        <v>0</v>
      </c>
      <c r="H84" s="34">
        <f>SUMIFS(GQList,GIList,Table_ExternalData_1[[#This Row],[Item_key]],GDList,Table_ExternalData_1[[#Headers],[2]])</f>
        <v>0</v>
      </c>
      <c r="I84" s="34">
        <f>SUMIFS(GQList,GIList,Table_ExternalData_1[[#This Row],[Item_key]],GDList,Table_ExternalData_1[[#Headers],[3]])</f>
        <v>0</v>
      </c>
      <c r="J84" s="34">
        <f>SUMIFS(GQList,GIList,Table_ExternalData_1[[#This Row],[Item_key]],GDList,Table_ExternalData_1[[#Headers],[4]])</f>
        <v>0</v>
      </c>
      <c r="K84" s="34">
        <f>SUMIFS(GQList,GIList,Table_ExternalData_1[[#This Row],[Item_key]],GDList,Table_ExternalData_1[[#Headers],[5]])</f>
        <v>0</v>
      </c>
      <c r="L84" s="34">
        <f>SUMIFS(GQList,GIList,Table_ExternalData_1[[#This Row],[Item_key]],GDList,Table_ExternalData_1[[#Headers],[6]])</f>
        <v>0</v>
      </c>
      <c r="M84" s="34">
        <f>SUMIFS(GQList,GIList,Table_ExternalData_1[[#This Row],[Item_key]],GDList,Table_ExternalData_1[[#Headers],[7]])</f>
        <v>0</v>
      </c>
      <c r="N84" s="34">
        <f>SUMIFS(GQList,GIList,Table_ExternalData_1[[#This Row],[Item_key]],GDList,Table_ExternalData_1[[#Headers],[8]])</f>
        <v>0</v>
      </c>
      <c r="O84" s="34">
        <f>SUMIFS(GQList,GIList,Table_ExternalData_1[[#This Row],[Item_key]],GDList,Table_ExternalData_1[[#Headers],[9]])</f>
        <v>0</v>
      </c>
      <c r="P84" s="34">
        <f>SUMIFS(GQList,GIList,Table_ExternalData_1[[#This Row],[Item_key]],GDList,Table_ExternalData_1[[#Headers],[10]])</f>
        <v>0</v>
      </c>
      <c r="Q84" s="34">
        <f>SUMIFS(GQList,GIList,Table_ExternalData_1[[#This Row],[Item_key]],GDList,Table_ExternalData_1[[#Headers],[11]])</f>
        <v>0</v>
      </c>
      <c r="R84" s="34">
        <f>SUMIFS(GQList,GIList,Table_ExternalData_1[[#This Row],[Item_key]],GDList,Table_ExternalData_1[[#Headers],[12]])</f>
        <v>0</v>
      </c>
      <c r="S84" s="34">
        <f>SUMIFS(GQList,GIList,Table_ExternalData_1[[#This Row],[Item_key]],GDList,Table_ExternalData_1[[#Headers],[13]])</f>
        <v>0</v>
      </c>
      <c r="T84" s="34">
        <f>SUMIFS(GQList,GIList,Table_ExternalData_1[[#This Row],[Item_key]],GDList,Table_ExternalData_1[[#Headers],[14]])</f>
        <v>0</v>
      </c>
      <c r="U84" s="34">
        <f>SUMIFS(GQList,GIList,Table_ExternalData_1[[#This Row],[Item_key]],GDList,Table_ExternalData_1[[#Headers],[15]])</f>
        <v>0</v>
      </c>
      <c r="V84" s="34">
        <f>SUMIFS(GQList,GIList,Table_ExternalData_1[[#This Row],[Item_key]],GDList,Table_ExternalData_1[[#Headers],[16]])</f>
        <v>0</v>
      </c>
      <c r="W84" s="34">
        <f>SUMIFS(GQList,GIList,Table_ExternalData_1[[#This Row],[Item_key]],GDList,Table_ExternalData_1[[#Headers],[17]])</f>
        <v>0</v>
      </c>
      <c r="X84" s="34">
        <f>SUMIFS(GQList,GIList,Table_ExternalData_1[[#This Row],[Item_key]],GDList,Table_ExternalData_1[[#Headers],[18]])</f>
        <v>0</v>
      </c>
      <c r="Y84" s="34">
        <f>SUMIFS(GQList,GIList,Table_ExternalData_1[[#This Row],[Item_key]],GDList,Table_ExternalData_1[[#Headers],[19]])</f>
        <v>0</v>
      </c>
      <c r="Z84" s="34">
        <f>SUMIFS(GQList,GIList,Table_ExternalData_1[[#This Row],[Item_key]],GDList,Table_ExternalData_1[[#Headers],[20]])</f>
        <v>0</v>
      </c>
      <c r="AA84" s="34">
        <f>SUMIFS(GQList,GIList,Table_ExternalData_1[[#This Row],[Item_key]],GDList,Table_ExternalData_1[[#Headers],[21]])</f>
        <v>0</v>
      </c>
      <c r="AB84" s="34">
        <f>SUMIFS(GQList,GIList,Table_ExternalData_1[[#This Row],[Item_key]],GDList,Table_ExternalData_1[[#Headers],[22]])</f>
        <v>0</v>
      </c>
      <c r="AC84" s="34">
        <f>SUMIFS(GQList,GIList,Table_ExternalData_1[[#This Row],[Item_key]],GDList,Table_ExternalData_1[[#Headers],[23]])</f>
        <v>0</v>
      </c>
      <c r="AD84" s="34">
        <f>SUMIFS(GQList,GIList,Table_ExternalData_1[[#This Row],[Item_key]],GDList,Table_ExternalData_1[[#Headers],[24]])</f>
        <v>0</v>
      </c>
      <c r="AE84" s="34">
        <f>SUMIFS(GQList,GIList,Table_ExternalData_1[[#This Row],[Item_key]],GDList,Table_ExternalData_1[[#Headers],[25]])</f>
        <v>0</v>
      </c>
      <c r="AF84" s="34">
        <f>SUMIFS(GQList,GIList,Table_ExternalData_1[[#This Row],[Item_key]],GDList,Table_ExternalData_1[[#Headers],[26]])</f>
        <v>0</v>
      </c>
      <c r="AG84" s="34">
        <f>SUMIFS(GQList,GIList,Table_ExternalData_1[[#This Row],[Item_key]],GDList,Table_ExternalData_1[[#Headers],[27]])</f>
        <v>0</v>
      </c>
      <c r="AH84" s="34">
        <f>SUMIFS(GQList,GIList,Table_ExternalData_1[[#This Row],[Item_key]],GDList,Table_ExternalData_1[[#Headers],[28]])</f>
        <v>100</v>
      </c>
      <c r="AI84" s="34">
        <f>SUMIFS(GQList,GIList,Table_ExternalData_1[[#This Row],[Item_key]],GDList,Table_ExternalData_1[[#Headers],[29]])</f>
        <v>0</v>
      </c>
      <c r="AJ84" s="34">
        <f>SUMIFS(GQList,GIList,Table_ExternalData_1[[#This Row],[Item_key]],GDList,Table_ExternalData_1[[#Headers],[30]])</f>
        <v>0</v>
      </c>
      <c r="AK84" s="34">
        <f>SUMIFS(GQList,GIList,Table_ExternalData_1[[#This Row],[Item_key]],GDList,Table_ExternalData_1[[#Headers],[31]])</f>
        <v>0</v>
      </c>
      <c r="AL84" s="34">
        <f>SUM(Table_ExternalData_1[[#This Row],[1]:[31]])</f>
        <v>100</v>
      </c>
    </row>
    <row r="85" spans="1:38" ht="24">
      <c r="A85" s="31" t="s">
        <v>65</v>
      </c>
      <c r="B85" s="32" t="s">
        <v>92</v>
      </c>
      <c r="C85" s="32" t="s">
        <v>2319</v>
      </c>
      <c r="D85" s="32" t="s">
        <v>2857</v>
      </c>
      <c r="E85" s="32" t="s">
        <v>2858</v>
      </c>
      <c r="F85" s="33" t="s">
        <v>17</v>
      </c>
      <c r="G85" s="34">
        <f>SUMIFS(GQList,GIList,Table_ExternalData_1[[#This Row],[Item_key]],GDList,Table_ExternalData_1[[#Headers],[1]])</f>
        <v>0</v>
      </c>
      <c r="H85" s="34">
        <f>SUMIFS(GQList,GIList,Table_ExternalData_1[[#This Row],[Item_key]],GDList,Table_ExternalData_1[[#Headers],[2]])</f>
        <v>0</v>
      </c>
      <c r="I85" s="34">
        <f>SUMIFS(GQList,GIList,Table_ExternalData_1[[#This Row],[Item_key]],GDList,Table_ExternalData_1[[#Headers],[3]])</f>
        <v>0</v>
      </c>
      <c r="J85" s="34">
        <f>SUMIFS(GQList,GIList,Table_ExternalData_1[[#This Row],[Item_key]],GDList,Table_ExternalData_1[[#Headers],[4]])</f>
        <v>0</v>
      </c>
      <c r="K85" s="34">
        <f>SUMIFS(GQList,GIList,Table_ExternalData_1[[#This Row],[Item_key]],GDList,Table_ExternalData_1[[#Headers],[5]])</f>
        <v>0</v>
      </c>
      <c r="L85" s="34">
        <f>SUMIFS(GQList,GIList,Table_ExternalData_1[[#This Row],[Item_key]],GDList,Table_ExternalData_1[[#Headers],[6]])</f>
        <v>0</v>
      </c>
      <c r="M85" s="34">
        <f>SUMIFS(GQList,GIList,Table_ExternalData_1[[#This Row],[Item_key]],GDList,Table_ExternalData_1[[#Headers],[7]])</f>
        <v>0</v>
      </c>
      <c r="N85" s="34">
        <f>SUMIFS(GQList,GIList,Table_ExternalData_1[[#This Row],[Item_key]],GDList,Table_ExternalData_1[[#Headers],[8]])</f>
        <v>0</v>
      </c>
      <c r="O85" s="34">
        <f>SUMIFS(GQList,GIList,Table_ExternalData_1[[#This Row],[Item_key]],GDList,Table_ExternalData_1[[#Headers],[9]])</f>
        <v>0</v>
      </c>
      <c r="P85" s="34">
        <f>SUMIFS(GQList,GIList,Table_ExternalData_1[[#This Row],[Item_key]],GDList,Table_ExternalData_1[[#Headers],[10]])</f>
        <v>0</v>
      </c>
      <c r="Q85" s="34">
        <f>SUMIFS(GQList,GIList,Table_ExternalData_1[[#This Row],[Item_key]],GDList,Table_ExternalData_1[[#Headers],[11]])</f>
        <v>0</v>
      </c>
      <c r="R85" s="34">
        <f>SUMIFS(GQList,GIList,Table_ExternalData_1[[#This Row],[Item_key]],GDList,Table_ExternalData_1[[#Headers],[12]])</f>
        <v>0</v>
      </c>
      <c r="S85" s="34">
        <f>SUMIFS(GQList,GIList,Table_ExternalData_1[[#This Row],[Item_key]],GDList,Table_ExternalData_1[[#Headers],[13]])</f>
        <v>0</v>
      </c>
      <c r="T85" s="34">
        <f>SUMIFS(GQList,GIList,Table_ExternalData_1[[#This Row],[Item_key]],GDList,Table_ExternalData_1[[#Headers],[14]])</f>
        <v>0</v>
      </c>
      <c r="U85" s="34">
        <f>SUMIFS(GQList,GIList,Table_ExternalData_1[[#This Row],[Item_key]],GDList,Table_ExternalData_1[[#Headers],[15]])</f>
        <v>0</v>
      </c>
      <c r="V85" s="34">
        <f>SUMIFS(GQList,GIList,Table_ExternalData_1[[#This Row],[Item_key]],GDList,Table_ExternalData_1[[#Headers],[16]])</f>
        <v>0</v>
      </c>
      <c r="W85" s="34">
        <f>SUMIFS(GQList,GIList,Table_ExternalData_1[[#This Row],[Item_key]],GDList,Table_ExternalData_1[[#Headers],[17]])</f>
        <v>0</v>
      </c>
      <c r="X85" s="34">
        <f>SUMIFS(GQList,GIList,Table_ExternalData_1[[#This Row],[Item_key]],GDList,Table_ExternalData_1[[#Headers],[18]])</f>
        <v>0</v>
      </c>
      <c r="Y85" s="34">
        <f>SUMIFS(GQList,GIList,Table_ExternalData_1[[#This Row],[Item_key]],GDList,Table_ExternalData_1[[#Headers],[19]])</f>
        <v>0</v>
      </c>
      <c r="Z85" s="34">
        <f>SUMIFS(GQList,GIList,Table_ExternalData_1[[#This Row],[Item_key]],GDList,Table_ExternalData_1[[#Headers],[20]])</f>
        <v>0</v>
      </c>
      <c r="AA85" s="34">
        <f>SUMIFS(GQList,GIList,Table_ExternalData_1[[#This Row],[Item_key]],GDList,Table_ExternalData_1[[#Headers],[21]])</f>
        <v>0</v>
      </c>
      <c r="AB85" s="34">
        <f>SUMIFS(GQList,GIList,Table_ExternalData_1[[#This Row],[Item_key]],GDList,Table_ExternalData_1[[#Headers],[22]])</f>
        <v>0</v>
      </c>
      <c r="AC85" s="34">
        <f>SUMIFS(GQList,GIList,Table_ExternalData_1[[#This Row],[Item_key]],GDList,Table_ExternalData_1[[#Headers],[23]])</f>
        <v>0</v>
      </c>
      <c r="AD85" s="34">
        <f>SUMIFS(GQList,GIList,Table_ExternalData_1[[#This Row],[Item_key]],GDList,Table_ExternalData_1[[#Headers],[24]])</f>
        <v>0</v>
      </c>
      <c r="AE85" s="34">
        <f>SUMIFS(GQList,GIList,Table_ExternalData_1[[#This Row],[Item_key]],GDList,Table_ExternalData_1[[#Headers],[25]])</f>
        <v>99</v>
      </c>
      <c r="AF85" s="34">
        <f>SUMIFS(GQList,GIList,Table_ExternalData_1[[#This Row],[Item_key]],GDList,Table_ExternalData_1[[#Headers],[26]])</f>
        <v>0</v>
      </c>
      <c r="AG85" s="34">
        <f>SUMIFS(GQList,GIList,Table_ExternalData_1[[#This Row],[Item_key]],GDList,Table_ExternalData_1[[#Headers],[27]])</f>
        <v>0</v>
      </c>
      <c r="AH85" s="34">
        <f>SUMIFS(GQList,GIList,Table_ExternalData_1[[#This Row],[Item_key]],GDList,Table_ExternalData_1[[#Headers],[28]])</f>
        <v>0</v>
      </c>
      <c r="AI85" s="34">
        <f>SUMIFS(GQList,GIList,Table_ExternalData_1[[#This Row],[Item_key]],GDList,Table_ExternalData_1[[#Headers],[29]])</f>
        <v>0</v>
      </c>
      <c r="AJ85" s="34">
        <f>SUMIFS(GQList,GIList,Table_ExternalData_1[[#This Row],[Item_key]],GDList,Table_ExternalData_1[[#Headers],[30]])</f>
        <v>0</v>
      </c>
      <c r="AK85" s="34">
        <f>SUMIFS(GQList,GIList,Table_ExternalData_1[[#This Row],[Item_key]],GDList,Table_ExternalData_1[[#Headers],[31]])</f>
        <v>0</v>
      </c>
      <c r="AL85" s="34">
        <f>SUM(Table_ExternalData_1[[#This Row],[1]:[31]])</f>
        <v>99</v>
      </c>
    </row>
    <row r="86" spans="1:38">
      <c r="A86" s="31" t="s">
        <v>65</v>
      </c>
      <c r="B86" s="32" t="s">
        <v>2404</v>
      </c>
      <c r="C86" s="32" t="s">
        <v>1841</v>
      </c>
      <c r="D86" s="32" t="s">
        <v>2405</v>
      </c>
      <c r="E86" s="32" t="s">
        <v>2406</v>
      </c>
      <c r="F86" s="33" t="s">
        <v>17</v>
      </c>
      <c r="G86" s="34">
        <f>SUMIFS(GQList,GIList,Table_ExternalData_1[[#This Row],[Item_key]],GDList,Table_ExternalData_1[[#Headers],[1]])</f>
        <v>0</v>
      </c>
      <c r="H86" s="34">
        <f>SUMIFS(GQList,GIList,Table_ExternalData_1[[#This Row],[Item_key]],GDList,Table_ExternalData_1[[#Headers],[2]])</f>
        <v>0</v>
      </c>
      <c r="I86" s="34">
        <f>SUMIFS(GQList,GIList,Table_ExternalData_1[[#This Row],[Item_key]],GDList,Table_ExternalData_1[[#Headers],[3]])</f>
        <v>6024</v>
      </c>
      <c r="J86" s="34">
        <f>SUMIFS(GQList,GIList,Table_ExternalData_1[[#This Row],[Item_key]],GDList,Table_ExternalData_1[[#Headers],[4]])</f>
        <v>0</v>
      </c>
      <c r="K86" s="34">
        <f>SUMIFS(GQList,GIList,Table_ExternalData_1[[#This Row],[Item_key]],GDList,Table_ExternalData_1[[#Headers],[5]])</f>
        <v>0</v>
      </c>
      <c r="L86" s="34">
        <f>SUMIFS(GQList,GIList,Table_ExternalData_1[[#This Row],[Item_key]],GDList,Table_ExternalData_1[[#Headers],[6]])</f>
        <v>0</v>
      </c>
      <c r="M86" s="34">
        <f>SUMIFS(GQList,GIList,Table_ExternalData_1[[#This Row],[Item_key]],GDList,Table_ExternalData_1[[#Headers],[7]])</f>
        <v>0</v>
      </c>
      <c r="N86" s="34">
        <f>SUMIFS(GQList,GIList,Table_ExternalData_1[[#This Row],[Item_key]],GDList,Table_ExternalData_1[[#Headers],[8]])</f>
        <v>0</v>
      </c>
      <c r="O86" s="34">
        <f>SUMIFS(GQList,GIList,Table_ExternalData_1[[#This Row],[Item_key]],GDList,Table_ExternalData_1[[#Headers],[9]])</f>
        <v>0</v>
      </c>
      <c r="P86" s="34">
        <f>SUMIFS(GQList,GIList,Table_ExternalData_1[[#This Row],[Item_key]],GDList,Table_ExternalData_1[[#Headers],[10]])</f>
        <v>4800</v>
      </c>
      <c r="Q86" s="34">
        <f>SUMIFS(GQList,GIList,Table_ExternalData_1[[#This Row],[Item_key]],GDList,Table_ExternalData_1[[#Headers],[11]])</f>
        <v>0</v>
      </c>
      <c r="R86" s="34">
        <f>SUMIFS(GQList,GIList,Table_ExternalData_1[[#This Row],[Item_key]],GDList,Table_ExternalData_1[[#Headers],[12]])</f>
        <v>0</v>
      </c>
      <c r="S86" s="34">
        <f>SUMIFS(GQList,GIList,Table_ExternalData_1[[#This Row],[Item_key]],GDList,Table_ExternalData_1[[#Headers],[13]])</f>
        <v>0</v>
      </c>
      <c r="T86" s="34">
        <f>SUMIFS(GQList,GIList,Table_ExternalData_1[[#This Row],[Item_key]],GDList,Table_ExternalData_1[[#Headers],[14]])</f>
        <v>0</v>
      </c>
      <c r="U86" s="34">
        <f>SUMIFS(GQList,GIList,Table_ExternalData_1[[#This Row],[Item_key]],GDList,Table_ExternalData_1[[#Headers],[15]])</f>
        <v>0</v>
      </c>
      <c r="V86" s="34">
        <f>SUMIFS(GQList,GIList,Table_ExternalData_1[[#This Row],[Item_key]],GDList,Table_ExternalData_1[[#Headers],[16]])</f>
        <v>0</v>
      </c>
      <c r="W86" s="34">
        <f>SUMIFS(GQList,GIList,Table_ExternalData_1[[#This Row],[Item_key]],GDList,Table_ExternalData_1[[#Headers],[17]])</f>
        <v>0</v>
      </c>
      <c r="X86" s="34">
        <f>SUMIFS(GQList,GIList,Table_ExternalData_1[[#This Row],[Item_key]],GDList,Table_ExternalData_1[[#Headers],[18]])</f>
        <v>0</v>
      </c>
      <c r="Y86" s="34">
        <f>SUMIFS(GQList,GIList,Table_ExternalData_1[[#This Row],[Item_key]],GDList,Table_ExternalData_1[[#Headers],[19]])</f>
        <v>0</v>
      </c>
      <c r="Z86" s="34">
        <f>SUMIFS(GQList,GIList,Table_ExternalData_1[[#This Row],[Item_key]],GDList,Table_ExternalData_1[[#Headers],[20]])</f>
        <v>0</v>
      </c>
      <c r="AA86" s="34">
        <f>SUMIFS(GQList,GIList,Table_ExternalData_1[[#This Row],[Item_key]],GDList,Table_ExternalData_1[[#Headers],[21]])</f>
        <v>0</v>
      </c>
      <c r="AB86" s="34">
        <f>SUMIFS(GQList,GIList,Table_ExternalData_1[[#This Row],[Item_key]],GDList,Table_ExternalData_1[[#Headers],[22]])</f>
        <v>0</v>
      </c>
      <c r="AC86" s="34">
        <f>SUMIFS(GQList,GIList,Table_ExternalData_1[[#This Row],[Item_key]],GDList,Table_ExternalData_1[[#Headers],[23]])</f>
        <v>4800</v>
      </c>
      <c r="AD86" s="34">
        <f>SUMIFS(GQList,GIList,Table_ExternalData_1[[#This Row],[Item_key]],GDList,Table_ExternalData_1[[#Headers],[24]])</f>
        <v>0</v>
      </c>
      <c r="AE86" s="34">
        <f>SUMIFS(GQList,GIList,Table_ExternalData_1[[#This Row],[Item_key]],GDList,Table_ExternalData_1[[#Headers],[25]])</f>
        <v>0</v>
      </c>
      <c r="AF86" s="34">
        <f>SUMIFS(GQList,GIList,Table_ExternalData_1[[#This Row],[Item_key]],GDList,Table_ExternalData_1[[#Headers],[26]])</f>
        <v>0</v>
      </c>
      <c r="AG86" s="34">
        <f>SUMIFS(GQList,GIList,Table_ExternalData_1[[#This Row],[Item_key]],GDList,Table_ExternalData_1[[#Headers],[27]])</f>
        <v>0</v>
      </c>
      <c r="AH86" s="34">
        <f>SUMIFS(GQList,GIList,Table_ExternalData_1[[#This Row],[Item_key]],GDList,Table_ExternalData_1[[#Headers],[28]])</f>
        <v>0</v>
      </c>
      <c r="AI86" s="34">
        <f>SUMIFS(GQList,GIList,Table_ExternalData_1[[#This Row],[Item_key]],GDList,Table_ExternalData_1[[#Headers],[29]])</f>
        <v>4080</v>
      </c>
      <c r="AJ86" s="34">
        <f>SUMIFS(GQList,GIList,Table_ExternalData_1[[#This Row],[Item_key]],GDList,Table_ExternalData_1[[#Headers],[30]])</f>
        <v>10320</v>
      </c>
      <c r="AK86" s="34">
        <f>SUMIFS(GQList,GIList,Table_ExternalData_1[[#This Row],[Item_key]],GDList,Table_ExternalData_1[[#Headers],[31]])</f>
        <v>0</v>
      </c>
      <c r="AL86" s="34">
        <f>SUM(Table_ExternalData_1[[#This Row],[1]:[31]])</f>
        <v>30024</v>
      </c>
    </row>
    <row r="87" spans="1:38">
      <c r="A87" s="31" t="s">
        <v>65</v>
      </c>
      <c r="B87" s="32" t="s">
        <v>2404</v>
      </c>
      <c r="C87" s="32" t="s">
        <v>1180</v>
      </c>
      <c r="D87" s="32" t="s">
        <v>2407</v>
      </c>
      <c r="E87" s="32" t="s">
        <v>2408</v>
      </c>
      <c r="F87" s="33" t="s">
        <v>17</v>
      </c>
      <c r="G87" s="34">
        <f>SUMIFS(GQList,GIList,Table_ExternalData_1[[#This Row],[Item_key]],GDList,Table_ExternalData_1[[#Headers],[1]])</f>
        <v>0</v>
      </c>
      <c r="H87" s="34">
        <f>SUMIFS(GQList,GIList,Table_ExternalData_1[[#This Row],[Item_key]],GDList,Table_ExternalData_1[[#Headers],[2]])</f>
        <v>0</v>
      </c>
      <c r="I87" s="34">
        <f>SUMIFS(GQList,GIList,Table_ExternalData_1[[#This Row],[Item_key]],GDList,Table_ExternalData_1[[#Headers],[3]])</f>
        <v>9240</v>
      </c>
      <c r="J87" s="34">
        <f>SUMIFS(GQList,GIList,Table_ExternalData_1[[#This Row],[Item_key]],GDList,Table_ExternalData_1[[#Headers],[4]])</f>
        <v>0</v>
      </c>
      <c r="K87" s="34">
        <f>SUMIFS(GQList,GIList,Table_ExternalData_1[[#This Row],[Item_key]],GDList,Table_ExternalData_1[[#Headers],[5]])</f>
        <v>0</v>
      </c>
      <c r="L87" s="34">
        <f>SUMIFS(GQList,GIList,Table_ExternalData_1[[#This Row],[Item_key]],GDList,Table_ExternalData_1[[#Headers],[6]])</f>
        <v>0</v>
      </c>
      <c r="M87" s="34">
        <f>SUMIFS(GQList,GIList,Table_ExternalData_1[[#This Row],[Item_key]],GDList,Table_ExternalData_1[[#Headers],[7]])</f>
        <v>0</v>
      </c>
      <c r="N87" s="34">
        <f>SUMIFS(GQList,GIList,Table_ExternalData_1[[#This Row],[Item_key]],GDList,Table_ExternalData_1[[#Headers],[8]])</f>
        <v>0</v>
      </c>
      <c r="O87" s="34">
        <f>SUMIFS(GQList,GIList,Table_ExternalData_1[[#This Row],[Item_key]],GDList,Table_ExternalData_1[[#Headers],[9]])</f>
        <v>0</v>
      </c>
      <c r="P87" s="34">
        <f>SUMIFS(GQList,GIList,Table_ExternalData_1[[#This Row],[Item_key]],GDList,Table_ExternalData_1[[#Headers],[10]])</f>
        <v>7200</v>
      </c>
      <c r="Q87" s="34">
        <f>SUMIFS(GQList,GIList,Table_ExternalData_1[[#This Row],[Item_key]],GDList,Table_ExternalData_1[[#Headers],[11]])</f>
        <v>0</v>
      </c>
      <c r="R87" s="34">
        <f>SUMIFS(GQList,GIList,Table_ExternalData_1[[#This Row],[Item_key]],GDList,Table_ExternalData_1[[#Headers],[12]])</f>
        <v>0</v>
      </c>
      <c r="S87" s="34">
        <f>SUMIFS(GQList,GIList,Table_ExternalData_1[[#This Row],[Item_key]],GDList,Table_ExternalData_1[[#Headers],[13]])</f>
        <v>0</v>
      </c>
      <c r="T87" s="34">
        <f>SUMIFS(GQList,GIList,Table_ExternalData_1[[#This Row],[Item_key]],GDList,Table_ExternalData_1[[#Headers],[14]])</f>
        <v>0</v>
      </c>
      <c r="U87" s="34">
        <f>SUMIFS(GQList,GIList,Table_ExternalData_1[[#This Row],[Item_key]],GDList,Table_ExternalData_1[[#Headers],[15]])</f>
        <v>0</v>
      </c>
      <c r="V87" s="34">
        <f>SUMIFS(GQList,GIList,Table_ExternalData_1[[#This Row],[Item_key]],GDList,Table_ExternalData_1[[#Headers],[16]])</f>
        <v>0</v>
      </c>
      <c r="W87" s="34">
        <f>SUMIFS(GQList,GIList,Table_ExternalData_1[[#This Row],[Item_key]],GDList,Table_ExternalData_1[[#Headers],[17]])</f>
        <v>0</v>
      </c>
      <c r="X87" s="34">
        <f>SUMIFS(GQList,GIList,Table_ExternalData_1[[#This Row],[Item_key]],GDList,Table_ExternalData_1[[#Headers],[18]])</f>
        <v>0</v>
      </c>
      <c r="Y87" s="34">
        <f>SUMIFS(GQList,GIList,Table_ExternalData_1[[#This Row],[Item_key]],GDList,Table_ExternalData_1[[#Headers],[19]])</f>
        <v>0</v>
      </c>
      <c r="Z87" s="34">
        <f>SUMIFS(GQList,GIList,Table_ExternalData_1[[#This Row],[Item_key]],GDList,Table_ExternalData_1[[#Headers],[20]])</f>
        <v>0</v>
      </c>
      <c r="AA87" s="34">
        <f>SUMIFS(GQList,GIList,Table_ExternalData_1[[#This Row],[Item_key]],GDList,Table_ExternalData_1[[#Headers],[21]])</f>
        <v>0</v>
      </c>
      <c r="AB87" s="34">
        <f>SUMIFS(GQList,GIList,Table_ExternalData_1[[#This Row],[Item_key]],GDList,Table_ExternalData_1[[#Headers],[22]])</f>
        <v>0</v>
      </c>
      <c r="AC87" s="34">
        <f>SUMIFS(GQList,GIList,Table_ExternalData_1[[#This Row],[Item_key]],GDList,Table_ExternalData_1[[#Headers],[23]])</f>
        <v>0</v>
      </c>
      <c r="AD87" s="34">
        <f>SUMIFS(GQList,GIList,Table_ExternalData_1[[#This Row],[Item_key]],GDList,Table_ExternalData_1[[#Headers],[24]])</f>
        <v>0</v>
      </c>
      <c r="AE87" s="34">
        <f>SUMIFS(GQList,GIList,Table_ExternalData_1[[#This Row],[Item_key]],GDList,Table_ExternalData_1[[#Headers],[25]])</f>
        <v>0</v>
      </c>
      <c r="AF87" s="34">
        <f>SUMIFS(GQList,GIList,Table_ExternalData_1[[#This Row],[Item_key]],GDList,Table_ExternalData_1[[#Headers],[26]])</f>
        <v>0</v>
      </c>
      <c r="AG87" s="34">
        <f>SUMIFS(GQList,GIList,Table_ExternalData_1[[#This Row],[Item_key]],GDList,Table_ExternalData_1[[#Headers],[27]])</f>
        <v>0</v>
      </c>
      <c r="AH87" s="34">
        <f>SUMIFS(GQList,GIList,Table_ExternalData_1[[#This Row],[Item_key]],GDList,Table_ExternalData_1[[#Headers],[28]])</f>
        <v>4800</v>
      </c>
      <c r="AI87" s="34">
        <f>SUMIFS(GQList,GIList,Table_ExternalData_1[[#This Row],[Item_key]],GDList,Table_ExternalData_1[[#Headers],[29]])</f>
        <v>9000</v>
      </c>
      <c r="AJ87" s="34">
        <f>SUMIFS(GQList,GIList,Table_ExternalData_1[[#This Row],[Item_key]],GDList,Table_ExternalData_1[[#Headers],[30]])</f>
        <v>4800</v>
      </c>
      <c r="AK87" s="34">
        <f>SUMIFS(GQList,GIList,Table_ExternalData_1[[#This Row],[Item_key]],GDList,Table_ExternalData_1[[#Headers],[31]])</f>
        <v>0</v>
      </c>
      <c r="AL87" s="34">
        <f>SUM(Table_ExternalData_1[[#This Row],[1]:[31]])</f>
        <v>35040</v>
      </c>
    </row>
    <row r="88" spans="1:38">
      <c r="A88" s="31" t="s">
        <v>65</v>
      </c>
      <c r="B88" s="32" t="s">
        <v>2404</v>
      </c>
      <c r="C88" s="32" t="s">
        <v>1181</v>
      </c>
      <c r="D88" s="32" t="s">
        <v>2409</v>
      </c>
      <c r="E88" s="32" t="s">
        <v>2410</v>
      </c>
      <c r="F88" s="33" t="s">
        <v>17</v>
      </c>
      <c r="G88" s="34">
        <f>SUMIFS(GQList,GIList,Table_ExternalData_1[[#This Row],[Item_key]],GDList,Table_ExternalData_1[[#Headers],[1]])</f>
        <v>0</v>
      </c>
      <c r="H88" s="34">
        <f>SUMIFS(GQList,GIList,Table_ExternalData_1[[#This Row],[Item_key]],GDList,Table_ExternalData_1[[#Headers],[2]])</f>
        <v>0</v>
      </c>
      <c r="I88" s="34">
        <f>SUMIFS(GQList,GIList,Table_ExternalData_1[[#This Row],[Item_key]],GDList,Table_ExternalData_1[[#Headers],[3]])</f>
        <v>6000</v>
      </c>
      <c r="J88" s="34">
        <f>SUMIFS(GQList,GIList,Table_ExternalData_1[[#This Row],[Item_key]],GDList,Table_ExternalData_1[[#Headers],[4]])</f>
        <v>0</v>
      </c>
      <c r="K88" s="34">
        <f>SUMIFS(GQList,GIList,Table_ExternalData_1[[#This Row],[Item_key]],GDList,Table_ExternalData_1[[#Headers],[5]])</f>
        <v>0</v>
      </c>
      <c r="L88" s="34">
        <f>SUMIFS(GQList,GIList,Table_ExternalData_1[[#This Row],[Item_key]],GDList,Table_ExternalData_1[[#Headers],[6]])</f>
        <v>0</v>
      </c>
      <c r="M88" s="34">
        <f>SUMIFS(GQList,GIList,Table_ExternalData_1[[#This Row],[Item_key]],GDList,Table_ExternalData_1[[#Headers],[7]])</f>
        <v>0</v>
      </c>
      <c r="N88" s="34">
        <f>SUMIFS(GQList,GIList,Table_ExternalData_1[[#This Row],[Item_key]],GDList,Table_ExternalData_1[[#Headers],[8]])</f>
        <v>0</v>
      </c>
      <c r="O88" s="34">
        <f>SUMIFS(GQList,GIList,Table_ExternalData_1[[#This Row],[Item_key]],GDList,Table_ExternalData_1[[#Headers],[9]])</f>
        <v>3936</v>
      </c>
      <c r="P88" s="34">
        <f>SUMIFS(GQList,GIList,Table_ExternalData_1[[#This Row],[Item_key]],GDList,Table_ExternalData_1[[#Headers],[10]])</f>
        <v>0</v>
      </c>
      <c r="Q88" s="34">
        <f>SUMIFS(GQList,GIList,Table_ExternalData_1[[#This Row],[Item_key]],GDList,Table_ExternalData_1[[#Headers],[11]])</f>
        <v>0</v>
      </c>
      <c r="R88" s="34">
        <f>SUMIFS(GQList,GIList,Table_ExternalData_1[[#This Row],[Item_key]],GDList,Table_ExternalData_1[[#Headers],[12]])</f>
        <v>0</v>
      </c>
      <c r="S88" s="34">
        <f>SUMIFS(GQList,GIList,Table_ExternalData_1[[#This Row],[Item_key]],GDList,Table_ExternalData_1[[#Headers],[13]])</f>
        <v>0</v>
      </c>
      <c r="T88" s="34">
        <f>SUMIFS(GQList,GIList,Table_ExternalData_1[[#This Row],[Item_key]],GDList,Table_ExternalData_1[[#Headers],[14]])</f>
        <v>0</v>
      </c>
      <c r="U88" s="34">
        <f>SUMIFS(GQList,GIList,Table_ExternalData_1[[#This Row],[Item_key]],GDList,Table_ExternalData_1[[#Headers],[15]])</f>
        <v>0</v>
      </c>
      <c r="V88" s="34">
        <f>SUMIFS(GQList,GIList,Table_ExternalData_1[[#This Row],[Item_key]],GDList,Table_ExternalData_1[[#Headers],[16]])</f>
        <v>0</v>
      </c>
      <c r="W88" s="34">
        <f>SUMIFS(GQList,GIList,Table_ExternalData_1[[#This Row],[Item_key]],GDList,Table_ExternalData_1[[#Headers],[17]])</f>
        <v>0</v>
      </c>
      <c r="X88" s="34">
        <f>SUMIFS(GQList,GIList,Table_ExternalData_1[[#This Row],[Item_key]],GDList,Table_ExternalData_1[[#Headers],[18]])</f>
        <v>0</v>
      </c>
      <c r="Y88" s="34">
        <f>SUMIFS(GQList,GIList,Table_ExternalData_1[[#This Row],[Item_key]],GDList,Table_ExternalData_1[[#Headers],[19]])</f>
        <v>0</v>
      </c>
      <c r="Z88" s="34">
        <f>SUMIFS(GQList,GIList,Table_ExternalData_1[[#This Row],[Item_key]],GDList,Table_ExternalData_1[[#Headers],[20]])</f>
        <v>0</v>
      </c>
      <c r="AA88" s="34">
        <f>SUMIFS(GQList,GIList,Table_ExternalData_1[[#This Row],[Item_key]],GDList,Table_ExternalData_1[[#Headers],[21]])</f>
        <v>0</v>
      </c>
      <c r="AB88" s="34">
        <f>SUMIFS(GQList,GIList,Table_ExternalData_1[[#This Row],[Item_key]],GDList,Table_ExternalData_1[[#Headers],[22]])</f>
        <v>0</v>
      </c>
      <c r="AC88" s="34">
        <f>SUMIFS(GQList,GIList,Table_ExternalData_1[[#This Row],[Item_key]],GDList,Table_ExternalData_1[[#Headers],[23]])</f>
        <v>12000</v>
      </c>
      <c r="AD88" s="34">
        <f>SUMIFS(GQList,GIList,Table_ExternalData_1[[#This Row],[Item_key]],GDList,Table_ExternalData_1[[#Headers],[24]])</f>
        <v>0</v>
      </c>
      <c r="AE88" s="34">
        <f>SUMIFS(GQList,GIList,Table_ExternalData_1[[#This Row],[Item_key]],GDList,Table_ExternalData_1[[#Headers],[25]])</f>
        <v>0</v>
      </c>
      <c r="AF88" s="34">
        <f>SUMIFS(GQList,GIList,Table_ExternalData_1[[#This Row],[Item_key]],GDList,Table_ExternalData_1[[#Headers],[26]])</f>
        <v>0</v>
      </c>
      <c r="AG88" s="34">
        <f>SUMIFS(GQList,GIList,Table_ExternalData_1[[#This Row],[Item_key]],GDList,Table_ExternalData_1[[#Headers],[27]])</f>
        <v>0</v>
      </c>
      <c r="AH88" s="34">
        <f>SUMIFS(GQList,GIList,Table_ExternalData_1[[#This Row],[Item_key]],GDList,Table_ExternalData_1[[#Headers],[28]])</f>
        <v>0</v>
      </c>
      <c r="AI88" s="34">
        <f>SUMIFS(GQList,GIList,Table_ExternalData_1[[#This Row],[Item_key]],GDList,Table_ExternalData_1[[#Headers],[29]])</f>
        <v>8400</v>
      </c>
      <c r="AJ88" s="34">
        <f>SUMIFS(GQList,GIList,Table_ExternalData_1[[#This Row],[Item_key]],GDList,Table_ExternalData_1[[#Headers],[30]])</f>
        <v>0</v>
      </c>
      <c r="AK88" s="34">
        <f>SUMIFS(GQList,GIList,Table_ExternalData_1[[#This Row],[Item_key]],GDList,Table_ExternalData_1[[#Headers],[31]])</f>
        <v>0</v>
      </c>
      <c r="AL88" s="34">
        <f>SUM(Table_ExternalData_1[[#This Row],[1]:[31]])</f>
        <v>30336</v>
      </c>
    </row>
    <row r="89" spans="1:38">
      <c r="A89" s="31" t="s">
        <v>65</v>
      </c>
      <c r="B89" s="32" t="s">
        <v>2404</v>
      </c>
      <c r="C89" s="32" t="s">
        <v>1182</v>
      </c>
      <c r="D89" s="32" t="s">
        <v>2411</v>
      </c>
      <c r="E89" s="32" t="s">
        <v>2412</v>
      </c>
      <c r="F89" s="33" t="s">
        <v>17</v>
      </c>
      <c r="G89" s="34">
        <f>SUMIFS(GQList,GIList,Table_ExternalData_1[[#This Row],[Item_key]],GDList,Table_ExternalData_1[[#Headers],[1]])</f>
        <v>0</v>
      </c>
      <c r="H89" s="34">
        <f>SUMIFS(GQList,GIList,Table_ExternalData_1[[#This Row],[Item_key]],GDList,Table_ExternalData_1[[#Headers],[2]])</f>
        <v>0</v>
      </c>
      <c r="I89" s="34">
        <f>SUMIFS(GQList,GIList,Table_ExternalData_1[[#This Row],[Item_key]],GDList,Table_ExternalData_1[[#Headers],[3]])</f>
        <v>2760</v>
      </c>
      <c r="J89" s="34">
        <f>SUMIFS(GQList,GIList,Table_ExternalData_1[[#This Row],[Item_key]],GDList,Table_ExternalData_1[[#Headers],[4]])</f>
        <v>0</v>
      </c>
      <c r="K89" s="34">
        <f>SUMIFS(GQList,GIList,Table_ExternalData_1[[#This Row],[Item_key]],GDList,Table_ExternalData_1[[#Headers],[5]])</f>
        <v>0</v>
      </c>
      <c r="L89" s="34">
        <f>SUMIFS(GQList,GIList,Table_ExternalData_1[[#This Row],[Item_key]],GDList,Table_ExternalData_1[[#Headers],[6]])</f>
        <v>0</v>
      </c>
      <c r="M89" s="34">
        <f>SUMIFS(GQList,GIList,Table_ExternalData_1[[#This Row],[Item_key]],GDList,Table_ExternalData_1[[#Headers],[7]])</f>
        <v>0</v>
      </c>
      <c r="N89" s="34">
        <f>SUMIFS(GQList,GIList,Table_ExternalData_1[[#This Row],[Item_key]],GDList,Table_ExternalData_1[[#Headers],[8]])</f>
        <v>0</v>
      </c>
      <c r="O89" s="34">
        <f>SUMIFS(GQList,GIList,Table_ExternalData_1[[#This Row],[Item_key]],GDList,Table_ExternalData_1[[#Headers],[9]])</f>
        <v>0</v>
      </c>
      <c r="P89" s="34">
        <f>SUMIFS(GQList,GIList,Table_ExternalData_1[[#This Row],[Item_key]],GDList,Table_ExternalData_1[[#Headers],[10]])</f>
        <v>600</v>
      </c>
      <c r="Q89" s="34">
        <f>SUMIFS(GQList,GIList,Table_ExternalData_1[[#This Row],[Item_key]],GDList,Table_ExternalData_1[[#Headers],[11]])</f>
        <v>0</v>
      </c>
      <c r="R89" s="34">
        <f>SUMIFS(GQList,GIList,Table_ExternalData_1[[#This Row],[Item_key]],GDList,Table_ExternalData_1[[#Headers],[12]])</f>
        <v>0</v>
      </c>
      <c r="S89" s="34">
        <f>SUMIFS(GQList,GIList,Table_ExternalData_1[[#This Row],[Item_key]],GDList,Table_ExternalData_1[[#Headers],[13]])</f>
        <v>0</v>
      </c>
      <c r="T89" s="34">
        <f>SUMIFS(GQList,GIList,Table_ExternalData_1[[#This Row],[Item_key]],GDList,Table_ExternalData_1[[#Headers],[14]])</f>
        <v>0</v>
      </c>
      <c r="U89" s="34">
        <f>SUMIFS(GQList,GIList,Table_ExternalData_1[[#This Row],[Item_key]],GDList,Table_ExternalData_1[[#Headers],[15]])</f>
        <v>0</v>
      </c>
      <c r="V89" s="34">
        <f>SUMIFS(GQList,GIList,Table_ExternalData_1[[#This Row],[Item_key]],GDList,Table_ExternalData_1[[#Headers],[16]])</f>
        <v>0</v>
      </c>
      <c r="W89" s="34">
        <f>SUMIFS(GQList,GIList,Table_ExternalData_1[[#This Row],[Item_key]],GDList,Table_ExternalData_1[[#Headers],[17]])</f>
        <v>0</v>
      </c>
      <c r="X89" s="34">
        <f>SUMIFS(GQList,GIList,Table_ExternalData_1[[#This Row],[Item_key]],GDList,Table_ExternalData_1[[#Headers],[18]])</f>
        <v>0</v>
      </c>
      <c r="Y89" s="34">
        <f>SUMIFS(GQList,GIList,Table_ExternalData_1[[#This Row],[Item_key]],GDList,Table_ExternalData_1[[#Headers],[19]])</f>
        <v>0</v>
      </c>
      <c r="Z89" s="34">
        <f>SUMIFS(GQList,GIList,Table_ExternalData_1[[#This Row],[Item_key]],GDList,Table_ExternalData_1[[#Headers],[20]])</f>
        <v>0</v>
      </c>
      <c r="AA89" s="34">
        <f>SUMIFS(GQList,GIList,Table_ExternalData_1[[#This Row],[Item_key]],GDList,Table_ExternalData_1[[#Headers],[21]])</f>
        <v>0</v>
      </c>
      <c r="AB89" s="34">
        <f>SUMIFS(GQList,GIList,Table_ExternalData_1[[#This Row],[Item_key]],GDList,Table_ExternalData_1[[#Headers],[22]])</f>
        <v>0</v>
      </c>
      <c r="AC89" s="34">
        <f>SUMIFS(GQList,GIList,Table_ExternalData_1[[#This Row],[Item_key]],GDList,Table_ExternalData_1[[#Headers],[23]])</f>
        <v>0</v>
      </c>
      <c r="AD89" s="34">
        <f>SUMIFS(GQList,GIList,Table_ExternalData_1[[#This Row],[Item_key]],GDList,Table_ExternalData_1[[#Headers],[24]])</f>
        <v>0</v>
      </c>
      <c r="AE89" s="34">
        <f>SUMIFS(GQList,GIList,Table_ExternalData_1[[#This Row],[Item_key]],GDList,Table_ExternalData_1[[#Headers],[25]])</f>
        <v>0</v>
      </c>
      <c r="AF89" s="34">
        <f>SUMIFS(GQList,GIList,Table_ExternalData_1[[#This Row],[Item_key]],GDList,Table_ExternalData_1[[#Headers],[26]])</f>
        <v>0</v>
      </c>
      <c r="AG89" s="34">
        <f>SUMIFS(GQList,GIList,Table_ExternalData_1[[#This Row],[Item_key]],GDList,Table_ExternalData_1[[#Headers],[27]])</f>
        <v>0</v>
      </c>
      <c r="AH89" s="34">
        <f>SUMIFS(GQList,GIList,Table_ExternalData_1[[#This Row],[Item_key]],GDList,Table_ExternalData_1[[#Headers],[28]])</f>
        <v>0</v>
      </c>
      <c r="AI89" s="34">
        <f>SUMIFS(GQList,GIList,Table_ExternalData_1[[#This Row],[Item_key]],GDList,Table_ExternalData_1[[#Headers],[29]])</f>
        <v>3600</v>
      </c>
      <c r="AJ89" s="34">
        <f>SUMIFS(GQList,GIList,Table_ExternalData_1[[#This Row],[Item_key]],GDList,Table_ExternalData_1[[#Headers],[30]])</f>
        <v>0</v>
      </c>
      <c r="AK89" s="34">
        <f>SUMIFS(GQList,GIList,Table_ExternalData_1[[#This Row],[Item_key]],GDList,Table_ExternalData_1[[#Headers],[31]])</f>
        <v>0</v>
      </c>
      <c r="AL89" s="34">
        <f>SUM(Table_ExternalData_1[[#This Row],[1]:[31]])</f>
        <v>6960</v>
      </c>
    </row>
    <row r="90" spans="1:38">
      <c r="A90" s="31" t="s">
        <v>65</v>
      </c>
      <c r="B90" s="32" t="s">
        <v>2413</v>
      </c>
      <c r="C90" s="32" t="s">
        <v>953</v>
      </c>
      <c r="D90" s="32" t="s">
        <v>2414</v>
      </c>
      <c r="E90" s="32" t="s">
        <v>2415</v>
      </c>
      <c r="F90" s="33" t="s">
        <v>17</v>
      </c>
      <c r="G90" s="34">
        <f>SUMIFS(GQList,GIList,Table_ExternalData_1[[#This Row],[Item_key]],GDList,Table_ExternalData_1[[#Headers],[1]])</f>
        <v>0</v>
      </c>
      <c r="H90" s="34">
        <f>SUMIFS(GQList,GIList,Table_ExternalData_1[[#This Row],[Item_key]],GDList,Table_ExternalData_1[[#Headers],[2]])</f>
        <v>0</v>
      </c>
      <c r="I90" s="34">
        <f>SUMIFS(GQList,GIList,Table_ExternalData_1[[#This Row],[Item_key]],GDList,Table_ExternalData_1[[#Headers],[3]])</f>
        <v>0</v>
      </c>
      <c r="J90" s="34">
        <f>SUMIFS(GQList,GIList,Table_ExternalData_1[[#This Row],[Item_key]],GDList,Table_ExternalData_1[[#Headers],[4]])</f>
        <v>0</v>
      </c>
      <c r="K90" s="34">
        <f>SUMIFS(GQList,GIList,Table_ExternalData_1[[#This Row],[Item_key]],GDList,Table_ExternalData_1[[#Headers],[5]])</f>
        <v>0</v>
      </c>
      <c r="L90" s="34">
        <f>SUMIFS(GQList,GIList,Table_ExternalData_1[[#This Row],[Item_key]],GDList,Table_ExternalData_1[[#Headers],[6]])</f>
        <v>0</v>
      </c>
      <c r="M90" s="34">
        <f>SUMIFS(GQList,GIList,Table_ExternalData_1[[#This Row],[Item_key]],GDList,Table_ExternalData_1[[#Headers],[7]])</f>
        <v>0</v>
      </c>
      <c r="N90" s="34">
        <f>SUMIFS(GQList,GIList,Table_ExternalData_1[[#This Row],[Item_key]],GDList,Table_ExternalData_1[[#Headers],[8]])</f>
        <v>6000</v>
      </c>
      <c r="O90" s="34">
        <f>SUMIFS(GQList,GIList,Table_ExternalData_1[[#This Row],[Item_key]],GDList,Table_ExternalData_1[[#Headers],[9]])</f>
        <v>0</v>
      </c>
      <c r="P90" s="34">
        <f>SUMIFS(GQList,GIList,Table_ExternalData_1[[#This Row],[Item_key]],GDList,Table_ExternalData_1[[#Headers],[10]])</f>
        <v>0</v>
      </c>
      <c r="Q90" s="34">
        <f>SUMIFS(GQList,GIList,Table_ExternalData_1[[#This Row],[Item_key]],GDList,Table_ExternalData_1[[#Headers],[11]])</f>
        <v>6000</v>
      </c>
      <c r="R90" s="34">
        <f>SUMIFS(GQList,GIList,Table_ExternalData_1[[#This Row],[Item_key]],GDList,Table_ExternalData_1[[#Headers],[12]])</f>
        <v>0</v>
      </c>
      <c r="S90" s="34">
        <f>SUMIFS(GQList,GIList,Table_ExternalData_1[[#This Row],[Item_key]],GDList,Table_ExternalData_1[[#Headers],[13]])</f>
        <v>0</v>
      </c>
      <c r="T90" s="34">
        <f>SUMIFS(GQList,GIList,Table_ExternalData_1[[#This Row],[Item_key]],GDList,Table_ExternalData_1[[#Headers],[14]])</f>
        <v>0</v>
      </c>
      <c r="U90" s="34">
        <f>SUMIFS(GQList,GIList,Table_ExternalData_1[[#This Row],[Item_key]],GDList,Table_ExternalData_1[[#Headers],[15]])</f>
        <v>0</v>
      </c>
      <c r="V90" s="34">
        <f>SUMIFS(GQList,GIList,Table_ExternalData_1[[#This Row],[Item_key]],GDList,Table_ExternalData_1[[#Headers],[16]])</f>
        <v>0</v>
      </c>
      <c r="W90" s="34">
        <f>SUMIFS(GQList,GIList,Table_ExternalData_1[[#This Row],[Item_key]],GDList,Table_ExternalData_1[[#Headers],[17]])</f>
        <v>0</v>
      </c>
      <c r="X90" s="34">
        <f>SUMIFS(GQList,GIList,Table_ExternalData_1[[#This Row],[Item_key]],GDList,Table_ExternalData_1[[#Headers],[18]])</f>
        <v>0</v>
      </c>
      <c r="Y90" s="34">
        <f>SUMIFS(GQList,GIList,Table_ExternalData_1[[#This Row],[Item_key]],GDList,Table_ExternalData_1[[#Headers],[19]])</f>
        <v>0</v>
      </c>
      <c r="Z90" s="34">
        <f>SUMIFS(GQList,GIList,Table_ExternalData_1[[#This Row],[Item_key]],GDList,Table_ExternalData_1[[#Headers],[20]])</f>
        <v>0</v>
      </c>
      <c r="AA90" s="34">
        <f>SUMIFS(GQList,GIList,Table_ExternalData_1[[#This Row],[Item_key]],GDList,Table_ExternalData_1[[#Headers],[21]])</f>
        <v>0</v>
      </c>
      <c r="AB90" s="34">
        <f>SUMIFS(GQList,GIList,Table_ExternalData_1[[#This Row],[Item_key]],GDList,Table_ExternalData_1[[#Headers],[22]])</f>
        <v>0</v>
      </c>
      <c r="AC90" s="34">
        <f>SUMIFS(GQList,GIList,Table_ExternalData_1[[#This Row],[Item_key]],GDList,Table_ExternalData_1[[#Headers],[23]])</f>
        <v>0</v>
      </c>
      <c r="AD90" s="34">
        <f>SUMIFS(GQList,GIList,Table_ExternalData_1[[#This Row],[Item_key]],GDList,Table_ExternalData_1[[#Headers],[24]])</f>
        <v>0</v>
      </c>
      <c r="AE90" s="34">
        <f>SUMIFS(GQList,GIList,Table_ExternalData_1[[#This Row],[Item_key]],GDList,Table_ExternalData_1[[#Headers],[25]])</f>
        <v>0</v>
      </c>
      <c r="AF90" s="34">
        <f>SUMIFS(GQList,GIList,Table_ExternalData_1[[#This Row],[Item_key]],GDList,Table_ExternalData_1[[#Headers],[26]])</f>
        <v>0</v>
      </c>
      <c r="AG90" s="34">
        <f>SUMIFS(GQList,GIList,Table_ExternalData_1[[#This Row],[Item_key]],GDList,Table_ExternalData_1[[#Headers],[27]])</f>
        <v>0</v>
      </c>
      <c r="AH90" s="34">
        <f>SUMIFS(GQList,GIList,Table_ExternalData_1[[#This Row],[Item_key]],GDList,Table_ExternalData_1[[#Headers],[28]])</f>
        <v>5880</v>
      </c>
      <c r="AI90" s="34">
        <f>SUMIFS(GQList,GIList,Table_ExternalData_1[[#This Row],[Item_key]],GDList,Table_ExternalData_1[[#Headers],[29]])</f>
        <v>0</v>
      </c>
      <c r="AJ90" s="34">
        <f>SUMIFS(GQList,GIList,Table_ExternalData_1[[#This Row],[Item_key]],GDList,Table_ExternalData_1[[#Headers],[30]])</f>
        <v>0</v>
      </c>
      <c r="AK90" s="34">
        <f>SUMIFS(GQList,GIList,Table_ExternalData_1[[#This Row],[Item_key]],GDList,Table_ExternalData_1[[#Headers],[31]])</f>
        <v>0</v>
      </c>
      <c r="AL90" s="34">
        <f>SUM(Table_ExternalData_1[[#This Row],[1]:[31]])</f>
        <v>17880</v>
      </c>
    </row>
    <row r="91" spans="1:38">
      <c r="A91" s="31" t="s">
        <v>65</v>
      </c>
      <c r="B91" s="32" t="s">
        <v>1618</v>
      </c>
      <c r="C91" s="32" t="s">
        <v>408</v>
      </c>
      <c r="D91" s="32" t="s">
        <v>2510</v>
      </c>
      <c r="E91" s="32" t="s">
        <v>2511</v>
      </c>
      <c r="F91" s="33" t="s">
        <v>17</v>
      </c>
      <c r="G91" s="34">
        <f>SUMIFS(GQList,GIList,Table_ExternalData_1[[#This Row],[Item_key]],GDList,Table_ExternalData_1[[#Headers],[1]])</f>
        <v>0</v>
      </c>
      <c r="H91" s="34">
        <f>SUMIFS(GQList,GIList,Table_ExternalData_1[[#This Row],[Item_key]],GDList,Table_ExternalData_1[[#Headers],[2]])</f>
        <v>0</v>
      </c>
      <c r="I91" s="34">
        <f>SUMIFS(GQList,GIList,Table_ExternalData_1[[#This Row],[Item_key]],GDList,Table_ExternalData_1[[#Headers],[3]])</f>
        <v>0</v>
      </c>
      <c r="J91" s="34">
        <f>SUMIFS(GQList,GIList,Table_ExternalData_1[[#This Row],[Item_key]],GDList,Table_ExternalData_1[[#Headers],[4]])</f>
        <v>0</v>
      </c>
      <c r="K91" s="34">
        <f>SUMIFS(GQList,GIList,Table_ExternalData_1[[#This Row],[Item_key]],GDList,Table_ExternalData_1[[#Headers],[5]])</f>
        <v>0</v>
      </c>
      <c r="L91" s="34">
        <f>SUMIFS(GQList,GIList,Table_ExternalData_1[[#This Row],[Item_key]],GDList,Table_ExternalData_1[[#Headers],[6]])</f>
        <v>0</v>
      </c>
      <c r="M91" s="34">
        <f>SUMIFS(GQList,GIList,Table_ExternalData_1[[#This Row],[Item_key]],GDList,Table_ExternalData_1[[#Headers],[7]])</f>
        <v>0</v>
      </c>
      <c r="N91" s="34">
        <f>SUMIFS(GQList,GIList,Table_ExternalData_1[[#This Row],[Item_key]],GDList,Table_ExternalData_1[[#Headers],[8]])</f>
        <v>0</v>
      </c>
      <c r="O91" s="34">
        <f>SUMIFS(GQList,GIList,Table_ExternalData_1[[#This Row],[Item_key]],GDList,Table_ExternalData_1[[#Headers],[9]])</f>
        <v>0</v>
      </c>
      <c r="P91" s="34">
        <f>SUMIFS(GQList,GIList,Table_ExternalData_1[[#This Row],[Item_key]],GDList,Table_ExternalData_1[[#Headers],[10]])</f>
        <v>450</v>
      </c>
      <c r="Q91" s="34">
        <f>SUMIFS(GQList,GIList,Table_ExternalData_1[[#This Row],[Item_key]],GDList,Table_ExternalData_1[[#Headers],[11]])</f>
        <v>0</v>
      </c>
      <c r="R91" s="34">
        <f>SUMIFS(GQList,GIList,Table_ExternalData_1[[#This Row],[Item_key]],GDList,Table_ExternalData_1[[#Headers],[12]])</f>
        <v>0</v>
      </c>
      <c r="S91" s="34">
        <f>SUMIFS(GQList,GIList,Table_ExternalData_1[[#This Row],[Item_key]],GDList,Table_ExternalData_1[[#Headers],[13]])</f>
        <v>0</v>
      </c>
      <c r="T91" s="34">
        <f>SUMIFS(GQList,GIList,Table_ExternalData_1[[#This Row],[Item_key]],GDList,Table_ExternalData_1[[#Headers],[14]])</f>
        <v>0</v>
      </c>
      <c r="U91" s="34">
        <f>SUMIFS(GQList,GIList,Table_ExternalData_1[[#This Row],[Item_key]],GDList,Table_ExternalData_1[[#Headers],[15]])</f>
        <v>0</v>
      </c>
      <c r="V91" s="34">
        <f>SUMIFS(GQList,GIList,Table_ExternalData_1[[#This Row],[Item_key]],GDList,Table_ExternalData_1[[#Headers],[16]])</f>
        <v>0</v>
      </c>
      <c r="W91" s="34">
        <f>SUMIFS(GQList,GIList,Table_ExternalData_1[[#This Row],[Item_key]],GDList,Table_ExternalData_1[[#Headers],[17]])</f>
        <v>0</v>
      </c>
      <c r="X91" s="34">
        <f>SUMIFS(GQList,GIList,Table_ExternalData_1[[#This Row],[Item_key]],GDList,Table_ExternalData_1[[#Headers],[18]])</f>
        <v>0</v>
      </c>
      <c r="Y91" s="34">
        <f>SUMIFS(GQList,GIList,Table_ExternalData_1[[#This Row],[Item_key]],GDList,Table_ExternalData_1[[#Headers],[19]])</f>
        <v>0</v>
      </c>
      <c r="Z91" s="34">
        <f>SUMIFS(GQList,GIList,Table_ExternalData_1[[#This Row],[Item_key]],GDList,Table_ExternalData_1[[#Headers],[20]])</f>
        <v>0</v>
      </c>
      <c r="AA91" s="34">
        <f>SUMIFS(GQList,GIList,Table_ExternalData_1[[#This Row],[Item_key]],GDList,Table_ExternalData_1[[#Headers],[21]])</f>
        <v>0</v>
      </c>
      <c r="AB91" s="34">
        <f>SUMIFS(GQList,GIList,Table_ExternalData_1[[#This Row],[Item_key]],GDList,Table_ExternalData_1[[#Headers],[22]])</f>
        <v>0</v>
      </c>
      <c r="AC91" s="34">
        <f>SUMIFS(GQList,GIList,Table_ExternalData_1[[#This Row],[Item_key]],GDList,Table_ExternalData_1[[#Headers],[23]])</f>
        <v>0</v>
      </c>
      <c r="AD91" s="34">
        <f>SUMIFS(GQList,GIList,Table_ExternalData_1[[#This Row],[Item_key]],GDList,Table_ExternalData_1[[#Headers],[24]])</f>
        <v>0</v>
      </c>
      <c r="AE91" s="34">
        <f>SUMIFS(GQList,GIList,Table_ExternalData_1[[#This Row],[Item_key]],GDList,Table_ExternalData_1[[#Headers],[25]])</f>
        <v>0</v>
      </c>
      <c r="AF91" s="34">
        <f>SUMIFS(GQList,GIList,Table_ExternalData_1[[#This Row],[Item_key]],GDList,Table_ExternalData_1[[#Headers],[26]])</f>
        <v>0</v>
      </c>
      <c r="AG91" s="34">
        <f>SUMIFS(GQList,GIList,Table_ExternalData_1[[#This Row],[Item_key]],GDList,Table_ExternalData_1[[#Headers],[27]])</f>
        <v>0</v>
      </c>
      <c r="AH91" s="34">
        <f>SUMIFS(GQList,GIList,Table_ExternalData_1[[#This Row],[Item_key]],GDList,Table_ExternalData_1[[#Headers],[28]])</f>
        <v>0</v>
      </c>
      <c r="AI91" s="34">
        <f>SUMIFS(GQList,GIList,Table_ExternalData_1[[#This Row],[Item_key]],GDList,Table_ExternalData_1[[#Headers],[29]])</f>
        <v>0</v>
      </c>
      <c r="AJ91" s="34">
        <f>SUMIFS(GQList,GIList,Table_ExternalData_1[[#This Row],[Item_key]],GDList,Table_ExternalData_1[[#Headers],[30]])</f>
        <v>0</v>
      </c>
      <c r="AK91" s="34">
        <f>SUMIFS(GQList,GIList,Table_ExternalData_1[[#This Row],[Item_key]],GDList,Table_ExternalData_1[[#Headers],[31]])</f>
        <v>0</v>
      </c>
      <c r="AL91" s="34">
        <f>SUM(Table_ExternalData_1[[#This Row],[1]:[31]])</f>
        <v>450</v>
      </c>
    </row>
    <row r="92" spans="1:38">
      <c r="A92" s="31" t="s">
        <v>65</v>
      </c>
      <c r="B92" s="32" t="s">
        <v>1618</v>
      </c>
      <c r="C92" s="32" t="s">
        <v>750</v>
      </c>
      <c r="D92" s="32" t="s">
        <v>2665</v>
      </c>
      <c r="E92" s="32" t="s">
        <v>2511</v>
      </c>
      <c r="F92" s="33" t="s">
        <v>17</v>
      </c>
      <c r="G92" s="34">
        <f>SUMIFS(GQList,GIList,Table_ExternalData_1[[#This Row],[Item_key]],GDList,Table_ExternalData_1[[#Headers],[1]])</f>
        <v>0</v>
      </c>
      <c r="H92" s="34">
        <f>SUMIFS(GQList,GIList,Table_ExternalData_1[[#This Row],[Item_key]],GDList,Table_ExternalData_1[[#Headers],[2]])</f>
        <v>0</v>
      </c>
      <c r="I92" s="34">
        <f>SUMIFS(GQList,GIList,Table_ExternalData_1[[#This Row],[Item_key]],GDList,Table_ExternalData_1[[#Headers],[3]])</f>
        <v>0</v>
      </c>
      <c r="J92" s="34">
        <f>SUMIFS(GQList,GIList,Table_ExternalData_1[[#This Row],[Item_key]],GDList,Table_ExternalData_1[[#Headers],[4]])</f>
        <v>0</v>
      </c>
      <c r="K92" s="34">
        <f>SUMIFS(GQList,GIList,Table_ExternalData_1[[#This Row],[Item_key]],GDList,Table_ExternalData_1[[#Headers],[5]])</f>
        <v>0</v>
      </c>
      <c r="L92" s="34">
        <f>SUMIFS(GQList,GIList,Table_ExternalData_1[[#This Row],[Item_key]],GDList,Table_ExternalData_1[[#Headers],[6]])</f>
        <v>0</v>
      </c>
      <c r="M92" s="34">
        <f>SUMIFS(GQList,GIList,Table_ExternalData_1[[#This Row],[Item_key]],GDList,Table_ExternalData_1[[#Headers],[7]])</f>
        <v>0</v>
      </c>
      <c r="N92" s="34">
        <f>SUMIFS(GQList,GIList,Table_ExternalData_1[[#This Row],[Item_key]],GDList,Table_ExternalData_1[[#Headers],[8]])</f>
        <v>0</v>
      </c>
      <c r="O92" s="34">
        <f>SUMIFS(GQList,GIList,Table_ExternalData_1[[#This Row],[Item_key]],GDList,Table_ExternalData_1[[#Headers],[9]])</f>
        <v>0</v>
      </c>
      <c r="P92" s="34">
        <f>SUMIFS(GQList,GIList,Table_ExternalData_1[[#This Row],[Item_key]],GDList,Table_ExternalData_1[[#Headers],[10]])</f>
        <v>300</v>
      </c>
      <c r="Q92" s="34">
        <f>SUMIFS(GQList,GIList,Table_ExternalData_1[[#This Row],[Item_key]],GDList,Table_ExternalData_1[[#Headers],[11]])</f>
        <v>0</v>
      </c>
      <c r="R92" s="34">
        <f>SUMIFS(GQList,GIList,Table_ExternalData_1[[#This Row],[Item_key]],GDList,Table_ExternalData_1[[#Headers],[12]])</f>
        <v>0</v>
      </c>
      <c r="S92" s="34">
        <f>SUMIFS(GQList,GIList,Table_ExternalData_1[[#This Row],[Item_key]],GDList,Table_ExternalData_1[[#Headers],[13]])</f>
        <v>0</v>
      </c>
      <c r="T92" s="34">
        <f>SUMIFS(GQList,GIList,Table_ExternalData_1[[#This Row],[Item_key]],GDList,Table_ExternalData_1[[#Headers],[14]])</f>
        <v>0</v>
      </c>
      <c r="U92" s="34">
        <f>SUMIFS(GQList,GIList,Table_ExternalData_1[[#This Row],[Item_key]],GDList,Table_ExternalData_1[[#Headers],[15]])</f>
        <v>0</v>
      </c>
      <c r="V92" s="34">
        <f>SUMIFS(GQList,GIList,Table_ExternalData_1[[#This Row],[Item_key]],GDList,Table_ExternalData_1[[#Headers],[16]])</f>
        <v>0</v>
      </c>
      <c r="W92" s="34">
        <f>SUMIFS(GQList,GIList,Table_ExternalData_1[[#This Row],[Item_key]],GDList,Table_ExternalData_1[[#Headers],[17]])</f>
        <v>0</v>
      </c>
      <c r="X92" s="34">
        <f>SUMIFS(GQList,GIList,Table_ExternalData_1[[#This Row],[Item_key]],GDList,Table_ExternalData_1[[#Headers],[18]])</f>
        <v>0</v>
      </c>
      <c r="Y92" s="34">
        <f>SUMIFS(GQList,GIList,Table_ExternalData_1[[#This Row],[Item_key]],GDList,Table_ExternalData_1[[#Headers],[19]])</f>
        <v>0</v>
      </c>
      <c r="Z92" s="34">
        <f>SUMIFS(GQList,GIList,Table_ExternalData_1[[#This Row],[Item_key]],GDList,Table_ExternalData_1[[#Headers],[20]])</f>
        <v>0</v>
      </c>
      <c r="AA92" s="34">
        <f>SUMIFS(GQList,GIList,Table_ExternalData_1[[#This Row],[Item_key]],GDList,Table_ExternalData_1[[#Headers],[21]])</f>
        <v>0</v>
      </c>
      <c r="AB92" s="34">
        <f>SUMIFS(GQList,GIList,Table_ExternalData_1[[#This Row],[Item_key]],GDList,Table_ExternalData_1[[#Headers],[22]])</f>
        <v>0</v>
      </c>
      <c r="AC92" s="34">
        <f>SUMIFS(GQList,GIList,Table_ExternalData_1[[#This Row],[Item_key]],GDList,Table_ExternalData_1[[#Headers],[23]])</f>
        <v>0</v>
      </c>
      <c r="AD92" s="34">
        <f>SUMIFS(GQList,GIList,Table_ExternalData_1[[#This Row],[Item_key]],GDList,Table_ExternalData_1[[#Headers],[24]])</f>
        <v>0</v>
      </c>
      <c r="AE92" s="34">
        <f>SUMIFS(GQList,GIList,Table_ExternalData_1[[#This Row],[Item_key]],GDList,Table_ExternalData_1[[#Headers],[25]])</f>
        <v>0</v>
      </c>
      <c r="AF92" s="34">
        <f>SUMIFS(GQList,GIList,Table_ExternalData_1[[#This Row],[Item_key]],GDList,Table_ExternalData_1[[#Headers],[26]])</f>
        <v>0</v>
      </c>
      <c r="AG92" s="34">
        <f>SUMIFS(GQList,GIList,Table_ExternalData_1[[#This Row],[Item_key]],GDList,Table_ExternalData_1[[#Headers],[27]])</f>
        <v>0</v>
      </c>
      <c r="AH92" s="34">
        <f>SUMIFS(GQList,GIList,Table_ExternalData_1[[#This Row],[Item_key]],GDList,Table_ExternalData_1[[#Headers],[28]])</f>
        <v>0</v>
      </c>
      <c r="AI92" s="34">
        <f>SUMIFS(GQList,GIList,Table_ExternalData_1[[#This Row],[Item_key]],GDList,Table_ExternalData_1[[#Headers],[29]])</f>
        <v>0</v>
      </c>
      <c r="AJ92" s="34">
        <f>SUMIFS(GQList,GIList,Table_ExternalData_1[[#This Row],[Item_key]],GDList,Table_ExternalData_1[[#Headers],[30]])</f>
        <v>0</v>
      </c>
      <c r="AK92" s="34">
        <f>SUMIFS(GQList,GIList,Table_ExternalData_1[[#This Row],[Item_key]],GDList,Table_ExternalData_1[[#Headers],[31]])</f>
        <v>0</v>
      </c>
      <c r="AL92" s="34">
        <f>SUM(Table_ExternalData_1[[#This Row],[1]:[31]])</f>
        <v>300</v>
      </c>
    </row>
    <row r="93" spans="1:38">
      <c r="A93" s="31" t="s">
        <v>65</v>
      </c>
      <c r="B93" s="32" t="s">
        <v>1618</v>
      </c>
      <c r="C93" s="32" t="s">
        <v>946</v>
      </c>
      <c r="D93" s="32" t="s">
        <v>1435</v>
      </c>
      <c r="E93" s="32" t="s">
        <v>1436</v>
      </c>
      <c r="F93" s="33" t="s">
        <v>17</v>
      </c>
      <c r="G93" s="34">
        <f>SUMIFS(GQList,GIList,Table_ExternalData_1[[#This Row],[Item_key]],GDList,Table_ExternalData_1[[#Headers],[1]])</f>
        <v>0</v>
      </c>
      <c r="H93" s="34">
        <f>SUMIFS(GQList,GIList,Table_ExternalData_1[[#This Row],[Item_key]],GDList,Table_ExternalData_1[[#Headers],[2]])</f>
        <v>0</v>
      </c>
      <c r="I93" s="34">
        <f>SUMIFS(GQList,GIList,Table_ExternalData_1[[#This Row],[Item_key]],GDList,Table_ExternalData_1[[#Headers],[3]])</f>
        <v>0</v>
      </c>
      <c r="J93" s="34">
        <f>SUMIFS(GQList,GIList,Table_ExternalData_1[[#This Row],[Item_key]],GDList,Table_ExternalData_1[[#Headers],[4]])</f>
        <v>0</v>
      </c>
      <c r="K93" s="34">
        <f>SUMIFS(GQList,GIList,Table_ExternalData_1[[#This Row],[Item_key]],GDList,Table_ExternalData_1[[#Headers],[5]])</f>
        <v>0</v>
      </c>
      <c r="L93" s="34">
        <f>SUMIFS(GQList,GIList,Table_ExternalData_1[[#This Row],[Item_key]],GDList,Table_ExternalData_1[[#Headers],[6]])</f>
        <v>0</v>
      </c>
      <c r="M93" s="34">
        <f>SUMIFS(GQList,GIList,Table_ExternalData_1[[#This Row],[Item_key]],GDList,Table_ExternalData_1[[#Headers],[7]])</f>
        <v>0</v>
      </c>
      <c r="N93" s="34">
        <f>SUMIFS(GQList,GIList,Table_ExternalData_1[[#This Row],[Item_key]],GDList,Table_ExternalData_1[[#Headers],[8]])</f>
        <v>0</v>
      </c>
      <c r="O93" s="34">
        <f>SUMIFS(GQList,GIList,Table_ExternalData_1[[#This Row],[Item_key]],GDList,Table_ExternalData_1[[#Headers],[9]])</f>
        <v>0</v>
      </c>
      <c r="P93" s="34">
        <f>SUMIFS(GQList,GIList,Table_ExternalData_1[[#This Row],[Item_key]],GDList,Table_ExternalData_1[[#Headers],[10]])</f>
        <v>100</v>
      </c>
      <c r="Q93" s="34">
        <f>SUMIFS(GQList,GIList,Table_ExternalData_1[[#This Row],[Item_key]],GDList,Table_ExternalData_1[[#Headers],[11]])</f>
        <v>0</v>
      </c>
      <c r="R93" s="34">
        <f>SUMIFS(GQList,GIList,Table_ExternalData_1[[#This Row],[Item_key]],GDList,Table_ExternalData_1[[#Headers],[12]])</f>
        <v>0</v>
      </c>
      <c r="S93" s="34">
        <f>SUMIFS(GQList,GIList,Table_ExternalData_1[[#This Row],[Item_key]],GDList,Table_ExternalData_1[[#Headers],[13]])</f>
        <v>0</v>
      </c>
      <c r="T93" s="34">
        <f>SUMIFS(GQList,GIList,Table_ExternalData_1[[#This Row],[Item_key]],GDList,Table_ExternalData_1[[#Headers],[14]])</f>
        <v>0</v>
      </c>
      <c r="U93" s="34">
        <f>SUMIFS(GQList,GIList,Table_ExternalData_1[[#This Row],[Item_key]],GDList,Table_ExternalData_1[[#Headers],[15]])</f>
        <v>0</v>
      </c>
      <c r="V93" s="34">
        <f>SUMIFS(GQList,GIList,Table_ExternalData_1[[#This Row],[Item_key]],GDList,Table_ExternalData_1[[#Headers],[16]])</f>
        <v>0</v>
      </c>
      <c r="W93" s="34">
        <f>SUMIFS(GQList,GIList,Table_ExternalData_1[[#This Row],[Item_key]],GDList,Table_ExternalData_1[[#Headers],[17]])</f>
        <v>0</v>
      </c>
      <c r="X93" s="34">
        <f>SUMIFS(GQList,GIList,Table_ExternalData_1[[#This Row],[Item_key]],GDList,Table_ExternalData_1[[#Headers],[18]])</f>
        <v>0</v>
      </c>
      <c r="Y93" s="34">
        <f>SUMIFS(GQList,GIList,Table_ExternalData_1[[#This Row],[Item_key]],GDList,Table_ExternalData_1[[#Headers],[19]])</f>
        <v>0</v>
      </c>
      <c r="Z93" s="34">
        <f>SUMIFS(GQList,GIList,Table_ExternalData_1[[#This Row],[Item_key]],GDList,Table_ExternalData_1[[#Headers],[20]])</f>
        <v>0</v>
      </c>
      <c r="AA93" s="34">
        <f>SUMIFS(GQList,GIList,Table_ExternalData_1[[#This Row],[Item_key]],GDList,Table_ExternalData_1[[#Headers],[21]])</f>
        <v>0</v>
      </c>
      <c r="AB93" s="34">
        <f>SUMIFS(GQList,GIList,Table_ExternalData_1[[#This Row],[Item_key]],GDList,Table_ExternalData_1[[#Headers],[22]])</f>
        <v>0</v>
      </c>
      <c r="AC93" s="34">
        <f>SUMIFS(GQList,GIList,Table_ExternalData_1[[#This Row],[Item_key]],GDList,Table_ExternalData_1[[#Headers],[23]])</f>
        <v>0</v>
      </c>
      <c r="AD93" s="34">
        <f>SUMIFS(GQList,GIList,Table_ExternalData_1[[#This Row],[Item_key]],GDList,Table_ExternalData_1[[#Headers],[24]])</f>
        <v>0</v>
      </c>
      <c r="AE93" s="34">
        <f>SUMIFS(GQList,GIList,Table_ExternalData_1[[#This Row],[Item_key]],GDList,Table_ExternalData_1[[#Headers],[25]])</f>
        <v>0</v>
      </c>
      <c r="AF93" s="34">
        <f>SUMIFS(GQList,GIList,Table_ExternalData_1[[#This Row],[Item_key]],GDList,Table_ExternalData_1[[#Headers],[26]])</f>
        <v>0</v>
      </c>
      <c r="AG93" s="34">
        <f>SUMIFS(GQList,GIList,Table_ExternalData_1[[#This Row],[Item_key]],GDList,Table_ExternalData_1[[#Headers],[27]])</f>
        <v>0</v>
      </c>
      <c r="AH93" s="34">
        <f>SUMIFS(GQList,GIList,Table_ExternalData_1[[#This Row],[Item_key]],GDList,Table_ExternalData_1[[#Headers],[28]])</f>
        <v>0</v>
      </c>
      <c r="AI93" s="34">
        <f>SUMIFS(GQList,GIList,Table_ExternalData_1[[#This Row],[Item_key]],GDList,Table_ExternalData_1[[#Headers],[29]])</f>
        <v>0</v>
      </c>
      <c r="AJ93" s="34">
        <f>SUMIFS(GQList,GIList,Table_ExternalData_1[[#This Row],[Item_key]],GDList,Table_ExternalData_1[[#Headers],[30]])</f>
        <v>0</v>
      </c>
      <c r="AK93" s="34">
        <f>SUMIFS(GQList,GIList,Table_ExternalData_1[[#This Row],[Item_key]],GDList,Table_ExternalData_1[[#Headers],[31]])</f>
        <v>0</v>
      </c>
      <c r="AL93" s="34">
        <f>SUM(Table_ExternalData_1[[#This Row],[1]:[31]])</f>
        <v>100</v>
      </c>
    </row>
    <row r="94" spans="1:38">
      <c r="A94" s="31" t="s">
        <v>65</v>
      </c>
      <c r="B94" s="32" t="s">
        <v>1618</v>
      </c>
      <c r="C94" s="32" t="s">
        <v>947</v>
      </c>
      <c r="D94" s="32" t="s">
        <v>1437</v>
      </c>
      <c r="E94" s="32" t="s">
        <v>1438</v>
      </c>
      <c r="F94" s="33" t="s">
        <v>17</v>
      </c>
      <c r="G94" s="34">
        <f>SUMIFS(GQList,GIList,Table_ExternalData_1[[#This Row],[Item_key]],GDList,Table_ExternalData_1[[#Headers],[1]])</f>
        <v>0</v>
      </c>
      <c r="H94" s="34">
        <f>SUMIFS(GQList,GIList,Table_ExternalData_1[[#This Row],[Item_key]],GDList,Table_ExternalData_1[[#Headers],[2]])</f>
        <v>0</v>
      </c>
      <c r="I94" s="34">
        <f>SUMIFS(GQList,GIList,Table_ExternalData_1[[#This Row],[Item_key]],GDList,Table_ExternalData_1[[#Headers],[3]])</f>
        <v>0</v>
      </c>
      <c r="J94" s="34">
        <f>SUMIFS(GQList,GIList,Table_ExternalData_1[[#This Row],[Item_key]],GDList,Table_ExternalData_1[[#Headers],[4]])</f>
        <v>0</v>
      </c>
      <c r="K94" s="34">
        <f>SUMIFS(GQList,GIList,Table_ExternalData_1[[#This Row],[Item_key]],GDList,Table_ExternalData_1[[#Headers],[5]])</f>
        <v>0</v>
      </c>
      <c r="L94" s="34">
        <f>SUMIFS(GQList,GIList,Table_ExternalData_1[[#This Row],[Item_key]],GDList,Table_ExternalData_1[[#Headers],[6]])</f>
        <v>0</v>
      </c>
      <c r="M94" s="34">
        <f>SUMIFS(GQList,GIList,Table_ExternalData_1[[#This Row],[Item_key]],GDList,Table_ExternalData_1[[#Headers],[7]])</f>
        <v>0</v>
      </c>
      <c r="N94" s="34">
        <f>SUMIFS(GQList,GIList,Table_ExternalData_1[[#This Row],[Item_key]],GDList,Table_ExternalData_1[[#Headers],[8]])</f>
        <v>0</v>
      </c>
      <c r="O94" s="34">
        <f>SUMIFS(GQList,GIList,Table_ExternalData_1[[#This Row],[Item_key]],GDList,Table_ExternalData_1[[#Headers],[9]])</f>
        <v>0</v>
      </c>
      <c r="P94" s="34">
        <f>SUMIFS(GQList,GIList,Table_ExternalData_1[[#This Row],[Item_key]],GDList,Table_ExternalData_1[[#Headers],[10]])</f>
        <v>100</v>
      </c>
      <c r="Q94" s="34">
        <f>SUMIFS(GQList,GIList,Table_ExternalData_1[[#This Row],[Item_key]],GDList,Table_ExternalData_1[[#Headers],[11]])</f>
        <v>0</v>
      </c>
      <c r="R94" s="34">
        <f>SUMIFS(GQList,GIList,Table_ExternalData_1[[#This Row],[Item_key]],GDList,Table_ExternalData_1[[#Headers],[12]])</f>
        <v>0</v>
      </c>
      <c r="S94" s="34">
        <f>SUMIFS(GQList,GIList,Table_ExternalData_1[[#This Row],[Item_key]],GDList,Table_ExternalData_1[[#Headers],[13]])</f>
        <v>0</v>
      </c>
      <c r="T94" s="34">
        <f>SUMIFS(GQList,GIList,Table_ExternalData_1[[#This Row],[Item_key]],GDList,Table_ExternalData_1[[#Headers],[14]])</f>
        <v>0</v>
      </c>
      <c r="U94" s="34">
        <f>SUMIFS(GQList,GIList,Table_ExternalData_1[[#This Row],[Item_key]],GDList,Table_ExternalData_1[[#Headers],[15]])</f>
        <v>0</v>
      </c>
      <c r="V94" s="34">
        <f>SUMIFS(GQList,GIList,Table_ExternalData_1[[#This Row],[Item_key]],GDList,Table_ExternalData_1[[#Headers],[16]])</f>
        <v>0</v>
      </c>
      <c r="W94" s="34">
        <f>SUMIFS(GQList,GIList,Table_ExternalData_1[[#This Row],[Item_key]],GDList,Table_ExternalData_1[[#Headers],[17]])</f>
        <v>0</v>
      </c>
      <c r="X94" s="34">
        <f>SUMIFS(GQList,GIList,Table_ExternalData_1[[#This Row],[Item_key]],GDList,Table_ExternalData_1[[#Headers],[18]])</f>
        <v>0</v>
      </c>
      <c r="Y94" s="34">
        <f>SUMIFS(GQList,GIList,Table_ExternalData_1[[#This Row],[Item_key]],GDList,Table_ExternalData_1[[#Headers],[19]])</f>
        <v>0</v>
      </c>
      <c r="Z94" s="34">
        <f>SUMIFS(GQList,GIList,Table_ExternalData_1[[#This Row],[Item_key]],GDList,Table_ExternalData_1[[#Headers],[20]])</f>
        <v>0</v>
      </c>
      <c r="AA94" s="34">
        <f>SUMIFS(GQList,GIList,Table_ExternalData_1[[#This Row],[Item_key]],GDList,Table_ExternalData_1[[#Headers],[21]])</f>
        <v>0</v>
      </c>
      <c r="AB94" s="34">
        <f>SUMIFS(GQList,GIList,Table_ExternalData_1[[#This Row],[Item_key]],GDList,Table_ExternalData_1[[#Headers],[22]])</f>
        <v>0</v>
      </c>
      <c r="AC94" s="34">
        <f>SUMIFS(GQList,GIList,Table_ExternalData_1[[#This Row],[Item_key]],GDList,Table_ExternalData_1[[#Headers],[23]])</f>
        <v>0</v>
      </c>
      <c r="AD94" s="34">
        <f>SUMIFS(GQList,GIList,Table_ExternalData_1[[#This Row],[Item_key]],GDList,Table_ExternalData_1[[#Headers],[24]])</f>
        <v>0</v>
      </c>
      <c r="AE94" s="34">
        <f>SUMIFS(GQList,GIList,Table_ExternalData_1[[#This Row],[Item_key]],GDList,Table_ExternalData_1[[#Headers],[25]])</f>
        <v>0</v>
      </c>
      <c r="AF94" s="34">
        <f>SUMIFS(GQList,GIList,Table_ExternalData_1[[#This Row],[Item_key]],GDList,Table_ExternalData_1[[#Headers],[26]])</f>
        <v>0</v>
      </c>
      <c r="AG94" s="34">
        <f>SUMIFS(GQList,GIList,Table_ExternalData_1[[#This Row],[Item_key]],GDList,Table_ExternalData_1[[#Headers],[27]])</f>
        <v>0</v>
      </c>
      <c r="AH94" s="34">
        <f>SUMIFS(GQList,GIList,Table_ExternalData_1[[#This Row],[Item_key]],GDList,Table_ExternalData_1[[#Headers],[28]])</f>
        <v>0</v>
      </c>
      <c r="AI94" s="34">
        <f>SUMIFS(GQList,GIList,Table_ExternalData_1[[#This Row],[Item_key]],GDList,Table_ExternalData_1[[#Headers],[29]])</f>
        <v>0</v>
      </c>
      <c r="AJ94" s="34">
        <f>SUMIFS(GQList,GIList,Table_ExternalData_1[[#This Row],[Item_key]],GDList,Table_ExternalData_1[[#Headers],[30]])</f>
        <v>0</v>
      </c>
      <c r="AK94" s="34">
        <f>SUMIFS(GQList,GIList,Table_ExternalData_1[[#This Row],[Item_key]],GDList,Table_ExternalData_1[[#Headers],[31]])</f>
        <v>0</v>
      </c>
      <c r="AL94" s="34">
        <f>SUM(Table_ExternalData_1[[#This Row],[1]:[31]])</f>
        <v>100</v>
      </c>
    </row>
    <row r="95" spans="1:38">
      <c r="A95" s="31" t="s">
        <v>65</v>
      </c>
      <c r="B95" s="32" t="s">
        <v>1619</v>
      </c>
      <c r="C95" s="32" t="s">
        <v>1746</v>
      </c>
      <c r="D95" s="32" t="s">
        <v>2572</v>
      </c>
      <c r="E95" s="32" t="s">
        <v>2573</v>
      </c>
      <c r="F95" s="33" t="s">
        <v>17</v>
      </c>
      <c r="G95" s="34">
        <f>SUMIFS(GQList,GIList,Table_ExternalData_1[[#This Row],[Item_key]],GDList,Table_ExternalData_1[[#Headers],[1]])</f>
        <v>0</v>
      </c>
      <c r="H95" s="34">
        <f>SUMIFS(GQList,GIList,Table_ExternalData_1[[#This Row],[Item_key]],GDList,Table_ExternalData_1[[#Headers],[2]])</f>
        <v>0</v>
      </c>
      <c r="I95" s="34">
        <f>SUMIFS(GQList,GIList,Table_ExternalData_1[[#This Row],[Item_key]],GDList,Table_ExternalData_1[[#Headers],[3]])</f>
        <v>0</v>
      </c>
      <c r="J95" s="34">
        <f>SUMIFS(GQList,GIList,Table_ExternalData_1[[#This Row],[Item_key]],GDList,Table_ExternalData_1[[#Headers],[4]])</f>
        <v>0</v>
      </c>
      <c r="K95" s="34">
        <f>SUMIFS(GQList,GIList,Table_ExternalData_1[[#This Row],[Item_key]],GDList,Table_ExternalData_1[[#Headers],[5]])</f>
        <v>0</v>
      </c>
      <c r="L95" s="34">
        <f>SUMIFS(GQList,GIList,Table_ExternalData_1[[#This Row],[Item_key]],GDList,Table_ExternalData_1[[#Headers],[6]])</f>
        <v>0</v>
      </c>
      <c r="M95" s="34">
        <f>SUMIFS(GQList,GIList,Table_ExternalData_1[[#This Row],[Item_key]],GDList,Table_ExternalData_1[[#Headers],[7]])</f>
        <v>0</v>
      </c>
      <c r="N95" s="34">
        <f>SUMIFS(GQList,GIList,Table_ExternalData_1[[#This Row],[Item_key]],GDList,Table_ExternalData_1[[#Headers],[8]])</f>
        <v>0</v>
      </c>
      <c r="O95" s="34">
        <f>SUMIFS(GQList,GIList,Table_ExternalData_1[[#This Row],[Item_key]],GDList,Table_ExternalData_1[[#Headers],[9]])</f>
        <v>0</v>
      </c>
      <c r="P95" s="34">
        <f>SUMIFS(GQList,GIList,Table_ExternalData_1[[#This Row],[Item_key]],GDList,Table_ExternalData_1[[#Headers],[10]])</f>
        <v>0</v>
      </c>
      <c r="Q95" s="34">
        <f>SUMIFS(GQList,GIList,Table_ExternalData_1[[#This Row],[Item_key]],GDList,Table_ExternalData_1[[#Headers],[11]])</f>
        <v>0</v>
      </c>
      <c r="R95" s="34">
        <f>SUMIFS(GQList,GIList,Table_ExternalData_1[[#This Row],[Item_key]],GDList,Table_ExternalData_1[[#Headers],[12]])</f>
        <v>0</v>
      </c>
      <c r="S95" s="34">
        <f>SUMIFS(GQList,GIList,Table_ExternalData_1[[#This Row],[Item_key]],GDList,Table_ExternalData_1[[#Headers],[13]])</f>
        <v>0</v>
      </c>
      <c r="T95" s="34">
        <f>SUMIFS(GQList,GIList,Table_ExternalData_1[[#This Row],[Item_key]],GDList,Table_ExternalData_1[[#Headers],[14]])</f>
        <v>0</v>
      </c>
      <c r="U95" s="34">
        <f>SUMIFS(GQList,GIList,Table_ExternalData_1[[#This Row],[Item_key]],GDList,Table_ExternalData_1[[#Headers],[15]])</f>
        <v>0</v>
      </c>
      <c r="V95" s="34">
        <f>SUMIFS(GQList,GIList,Table_ExternalData_1[[#This Row],[Item_key]],GDList,Table_ExternalData_1[[#Headers],[16]])</f>
        <v>0</v>
      </c>
      <c r="W95" s="34">
        <f>SUMIFS(GQList,GIList,Table_ExternalData_1[[#This Row],[Item_key]],GDList,Table_ExternalData_1[[#Headers],[17]])</f>
        <v>0</v>
      </c>
      <c r="X95" s="34">
        <f>SUMIFS(GQList,GIList,Table_ExternalData_1[[#This Row],[Item_key]],GDList,Table_ExternalData_1[[#Headers],[18]])</f>
        <v>0</v>
      </c>
      <c r="Y95" s="34">
        <f>SUMIFS(GQList,GIList,Table_ExternalData_1[[#This Row],[Item_key]],GDList,Table_ExternalData_1[[#Headers],[19]])</f>
        <v>0</v>
      </c>
      <c r="Z95" s="34">
        <f>SUMIFS(GQList,GIList,Table_ExternalData_1[[#This Row],[Item_key]],GDList,Table_ExternalData_1[[#Headers],[20]])</f>
        <v>0</v>
      </c>
      <c r="AA95" s="34">
        <f>SUMIFS(GQList,GIList,Table_ExternalData_1[[#This Row],[Item_key]],GDList,Table_ExternalData_1[[#Headers],[21]])</f>
        <v>0</v>
      </c>
      <c r="AB95" s="34">
        <f>SUMIFS(GQList,GIList,Table_ExternalData_1[[#This Row],[Item_key]],GDList,Table_ExternalData_1[[#Headers],[22]])</f>
        <v>0</v>
      </c>
      <c r="AC95" s="34">
        <f>SUMIFS(GQList,GIList,Table_ExternalData_1[[#This Row],[Item_key]],GDList,Table_ExternalData_1[[#Headers],[23]])</f>
        <v>0</v>
      </c>
      <c r="AD95" s="34">
        <f>SUMIFS(GQList,GIList,Table_ExternalData_1[[#This Row],[Item_key]],GDList,Table_ExternalData_1[[#Headers],[24]])</f>
        <v>0</v>
      </c>
      <c r="AE95" s="34">
        <f>SUMIFS(GQList,GIList,Table_ExternalData_1[[#This Row],[Item_key]],GDList,Table_ExternalData_1[[#Headers],[25]])</f>
        <v>0</v>
      </c>
      <c r="AF95" s="34">
        <f>SUMIFS(GQList,GIList,Table_ExternalData_1[[#This Row],[Item_key]],GDList,Table_ExternalData_1[[#Headers],[26]])</f>
        <v>0</v>
      </c>
      <c r="AG95" s="34">
        <f>SUMIFS(GQList,GIList,Table_ExternalData_1[[#This Row],[Item_key]],GDList,Table_ExternalData_1[[#Headers],[27]])</f>
        <v>0</v>
      </c>
      <c r="AH95" s="34">
        <f>SUMIFS(GQList,GIList,Table_ExternalData_1[[#This Row],[Item_key]],GDList,Table_ExternalData_1[[#Headers],[28]])</f>
        <v>500</v>
      </c>
      <c r="AI95" s="34">
        <f>SUMIFS(GQList,GIList,Table_ExternalData_1[[#This Row],[Item_key]],GDList,Table_ExternalData_1[[#Headers],[29]])</f>
        <v>0</v>
      </c>
      <c r="AJ95" s="34">
        <f>SUMIFS(GQList,GIList,Table_ExternalData_1[[#This Row],[Item_key]],GDList,Table_ExternalData_1[[#Headers],[30]])</f>
        <v>0</v>
      </c>
      <c r="AK95" s="34">
        <f>SUMIFS(GQList,GIList,Table_ExternalData_1[[#This Row],[Item_key]],GDList,Table_ExternalData_1[[#Headers],[31]])</f>
        <v>0</v>
      </c>
      <c r="AL95" s="34">
        <f>SUM(Table_ExternalData_1[[#This Row],[1]:[31]])</f>
        <v>500</v>
      </c>
    </row>
    <row r="96" spans="1:38">
      <c r="A96" s="31" t="s">
        <v>65</v>
      </c>
      <c r="B96" s="32" t="s">
        <v>1620</v>
      </c>
      <c r="C96" s="32" t="s">
        <v>420</v>
      </c>
      <c r="D96" s="32" t="s">
        <v>1266</v>
      </c>
      <c r="E96" s="32" t="s">
        <v>1267</v>
      </c>
      <c r="F96" s="33" t="s">
        <v>17</v>
      </c>
      <c r="G96" s="34">
        <f>SUMIFS(GQList,GIList,Table_ExternalData_1[[#This Row],[Item_key]],GDList,Table_ExternalData_1[[#Headers],[1]])</f>
        <v>0</v>
      </c>
      <c r="H96" s="34">
        <f>SUMIFS(GQList,GIList,Table_ExternalData_1[[#This Row],[Item_key]],GDList,Table_ExternalData_1[[#Headers],[2]])</f>
        <v>0</v>
      </c>
      <c r="I96" s="34">
        <f>SUMIFS(GQList,GIList,Table_ExternalData_1[[#This Row],[Item_key]],GDList,Table_ExternalData_1[[#Headers],[3]])</f>
        <v>0</v>
      </c>
      <c r="J96" s="34">
        <f>SUMIFS(GQList,GIList,Table_ExternalData_1[[#This Row],[Item_key]],GDList,Table_ExternalData_1[[#Headers],[4]])</f>
        <v>0</v>
      </c>
      <c r="K96" s="34">
        <f>SUMIFS(GQList,GIList,Table_ExternalData_1[[#This Row],[Item_key]],GDList,Table_ExternalData_1[[#Headers],[5]])</f>
        <v>0</v>
      </c>
      <c r="L96" s="34">
        <f>SUMIFS(GQList,GIList,Table_ExternalData_1[[#This Row],[Item_key]],GDList,Table_ExternalData_1[[#Headers],[6]])</f>
        <v>0</v>
      </c>
      <c r="M96" s="34">
        <f>SUMIFS(GQList,GIList,Table_ExternalData_1[[#This Row],[Item_key]],GDList,Table_ExternalData_1[[#Headers],[7]])</f>
        <v>0</v>
      </c>
      <c r="N96" s="34">
        <f>SUMIFS(GQList,GIList,Table_ExternalData_1[[#This Row],[Item_key]],GDList,Table_ExternalData_1[[#Headers],[8]])</f>
        <v>0</v>
      </c>
      <c r="O96" s="34">
        <f>SUMIFS(GQList,GIList,Table_ExternalData_1[[#This Row],[Item_key]],GDList,Table_ExternalData_1[[#Headers],[9]])</f>
        <v>0</v>
      </c>
      <c r="P96" s="34">
        <f>SUMIFS(GQList,GIList,Table_ExternalData_1[[#This Row],[Item_key]],GDList,Table_ExternalData_1[[#Headers],[10]])</f>
        <v>0</v>
      </c>
      <c r="Q96" s="34">
        <f>SUMIFS(GQList,GIList,Table_ExternalData_1[[#This Row],[Item_key]],GDList,Table_ExternalData_1[[#Headers],[11]])</f>
        <v>0</v>
      </c>
      <c r="R96" s="34">
        <f>SUMIFS(GQList,GIList,Table_ExternalData_1[[#This Row],[Item_key]],GDList,Table_ExternalData_1[[#Headers],[12]])</f>
        <v>0</v>
      </c>
      <c r="S96" s="34">
        <f>SUMIFS(GQList,GIList,Table_ExternalData_1[[#This Row],[Item_key]],GDList,Table_ExternalData_1[[#Headers],[13]])</f>
        <v>0</v>
      </c>
      <c r="T96" s="34">
        <f>SUMIFS(GQList,GIList,Table_ExternalData_1[[#This Row],[Item_key]],GDList,Table_ExternalData_1[[#Headers],[14]])</f>
        <v>0</v>
      </c>
      <c r="U96" s="34">
        <f>SUMIFS(GQList,GIList,Table_ExternalData_1[[#This Row],[Item_key]],GDList,Table_ExternalData_1[[#Headers],[15]])</f>
        <v>0</v>
      </c>
      <c r="V96" s="34">
        <f>SUMIFS(GQList,GIList,Table_ExternalData_1[[#This Row],[Item_key]],GDList,Table_ExternalData_1[[#Headers],[16]])</f>
        <v>0</v>
      </c>
      <c r="W96" s="34">
        <f>SUMIFS(GQList,GIList,Table_ExternalData_1[[#This Row],[Item_key]],GDList,Table_ExternalData_1[[#Headers],[17]])</f>
        <v>0</v>
      </c>
      <c r="X96" s="34">
        <f>SUMIFS(GQList,GIList,Table_ExternalData_1[[#This Row],[Item_key]],GDList,Table_ExternalData_1[[#Headers],[18]])</f>
        <v>0</v>
      </c>
      <c r="Y96" s="34">
        <f>SUMIFS(GQList,GIList,Table_ExternalData_1[[#This Row],[Item_key]],GDList,Table_ExternalData_1[[#Headers],[19]])</f>
        <v>0</v>
      </c>
      <c r="Z96" s="34">
        <f>SUMIFS(GQList,GIList,Table_ExternalData_1[[#This Row],[Item_key]],GDList,Table_ExternalData_1[[#Headers],[20]])</f>
        <v>0</v>
      </c>
      <c r="AA96" s="34">
        <f>SUMIFS(GQList,GIList,Table_ExternalData_1[[#This Row],[Item_key]],GDList,Table_ExternalData_1[[#Headers],[21]])</f>
        <v>0</v>
      </c>
      <c r="AB96" s="34">
        <f>SUMIFS(GQList,GIList,Table_ExternalData_1[[#This Row],[Item_key]],GDList,Table_ExternalData_1[[#Headers],[22]])</f>
        <v>0</v>
      </c>
      <c r="AC96" s="34">
        <f>SUMIFS(GQList,GIList,Table_ExternalData_1[[#This Row],[Item_key]],GDList,Table_ExternalData_1[[#Headers],[23]])</f>
        <v>0</v>
      </c>
      <c r="AD96" s="34">
        <f>SUMIFS(GQList,GIList,Table_ExternalData_1[[#This Row],[Item_key]],GDList,Table_ExternalData_1[[#Headers],[24]])</f>
        <v>0</v>
      </c>
      <c r="AE96" s="34">
        <f>SUMIFS(GQList,GIList,Table_ExternalData_1[[#This Row],[Item_key]],GDList,Table_ExternalData_1[[#Headers],[25]])</f>
        <v>0</v>
      </c>
      <c r="AF96" s="34">
        <f>SUMIFS(GQList,GIList,Table_ExternalData_1[[#This Row],[Item_key]],GDList,Table_ExternalData_1[[#Headers],[26]])</f>
        <v>0</v>
      </c>
      <c r="AG96" s="34">
        <f>SUMIFS(GQList,GIList,Table_ExternalData_1[[#This Row],[Item_key]],GDList,Table_ExternalData_1[[#Headers],[27]])</f>
        <v>0</v>
      </c>
      <c r="AH96" s="34">
        <f>SUMIFS(GQList,GIList,Table_ExternalData_1[[#This Row],[Item_key]],GDList,Table_ExternalData_1[[#Headers],[28]])</f>
        <v>0</v>
      </c>
      <c r="AI96" s="34">
        <f>SUMIFS(GQList,GIList,Table_ExternalData_1[[#This Row],[Item_key]],GDList,Table_ExternalData_1[[#Headers],[29]])</f>
        <v>100</v>
      </c>
      <c r="AJ96" s="34">
        <f>SUMIFS(GQList,GIList,Table_ExternalData_1[[#This Row],[Item_key]],GDList,Table_ExternalData_1[[#Headers],[30]])</f>
        <v>0</v>
      </c>
      <c r="AK96" s="34">
        <f>SUMIFS(GQList,GIList,Table_ExternalData_1[[#This Row],[Item_key]],GDList,Table_ExternalData_1[[#Headers],[31]])</f>
        <v>0</v>
      </c>
      <c r="AL96" s="34">
        <f>SUM(Table_ExternalData_1[[#This Row],[1]:[31]])</f>
        <v>100</v>
      </c>
    </row>
    <row r="97" spans="1:38">
      <c r="A97" s="31" t="s">
        <v>65</v>
      </c>
      <c r="B97" s="32" t="s">
        <v>1620</v>
      </c>
      <c r="C97" s="32" t="s">
        <v>792</v>
      </c>
      <c r="D97" s="32" t="s">
        <v>1400</v>
      </c>
      <c r="E97" s="32" t="s">
        <v>1401</v>
      </c>
      <c r="F97" s="33" t="s">
        <v>17</v>
      </c>
      <c r="G97" s="34">
        <f>SUMIFS(GQList,GIList,Table_ExternalData_1[[#This Row],[Item_key]],GDList,Table_ExternalData_1[[#Headers],[1]])</f>
        <v>0</v>
      </c>
      <c r="H97" s="34">
        <f>SUMIFS(GQList,GIList,Table_ExternalData_1[[#This Row],[Item_key]],GDList,Table_ExternalData_1[[#Headers],[2]])</f>
        <v>0</v>
      </c>
      <c r="I97" s="34">
        <f>SUMIFS(GQList,GIList,Table_ExternalData_1[[#This Row],[Item_key]],GDList,Table_ExternalData_1[[#Headers],[3]])</f>
        <v>0</v>
      </c>
      <c r="J97" s="34">
        <f>SUMIFS(GQList,GIList,Table_ExternalData_1[[#This Row],[Item_key]],GDList,Table_ExternalData_1[[#Headers],[4]])</f>
        <v>0</v>
      </c>
      <c r="K97" s="34">
        <f>SUMIFS(GQList,GIList,Table_ExternalData_1[[#This Row],[Item_key]],GDList,Table_ExternalData_1[[#Headers],[5]])</f>
        <v>0</v>
      </c>
      <c r="L97" s="34">
        <f>SUMIFS(GQList,GIList,Table_ExternalData_1[[#This Row],[Item_key]],GDList,Table_ExternalData_1[[#Headers],[6]])</f>
        <v>0</v>
      </c>
      <c r="M97" s="34">
        <f>SUMIFS(GQList,GIList,Table_ExternalData_1[[#This Row],[Item_key]],GDList,Table_ExternalData_1[[#Headers],[7]])</f>
        <v>0</v>
      </c>
      <c r="N97" s="34">
        <f>SUMIFS(GQList,GIList,Table_ExternalData_1[[#This Row],[Item_key]],GDList,Table_ExternalData_1[[#Headers],[8]])</f>
        <v>0</v>
      </c>
      <c r="O97" s="34">
        <f>SUMIFS(GQList,GIList,Table_ExternalData_1[[#This Row],[Item_key]],GDList,Table_ExternalData_1[[#Headers],[9]])</f>
        <v>0</v>
      </c>
      <c r="P97" s="34">
        <f>SUMIFS(GQList,GIList,Table_ExternalData_1[[#This Row],[Item_key]],GDList,Table_ExternalData_1[[#Headers],[10]])</f>
        <v>0</v>
      </c>
      <c r="Q97" s="34">
        <f>SUMIFS(GQList,GIList,Table_ExternalData_1[[#This Row],[Item_key]],GDList,Table_ExternalData_1[[#Headers],[11]])</f>
        <v>0</v>
      </c>
      <c r="R97" s="34">
        <f>SUMIFS(GQList,GIList,Table_ExternalData_1[[#This Row],[Item_key]],GDList,Table_ExternalData_1[[#Headers],[12]])</f>
        <v>0</v>
      </c>
      <c r="S97" s="34">
        <f>SUMIFS(GQList,GIList,Table_ExternalData_1[[#This Row],[Item_key]],GDList,Table_ExternalData_1[[#Headers],[13]])</f>
        <v>0</v>
      </c>
      <c r="T97" s="34">
        <f>SUMIFS(GQList,GIList,Table_ExternalData_1[[#This Row],[Item_key]],GDList,Table_ExternalData_1[[#Headers],[14]])</f>
        <v>0</v>
      </c>
      <c r="U97" s="34">
        <f>SUMIFS(GQList,GIList,Table_ExternalData_1[[#This Row],[Item_key]],GDList,Table_ExternalData_1[[#Headers],[15]])</f>
        <v>0</v>
      </c>
      <c r="V97" s="34">
        <f>SUMIFS(GQList,GIList,Table_ExternalData_1[[#This Row],[Item_key]],GDList,Table_ExternalData_1[[#Headers],[16]])</f>
        <v>0</v>
      </c>
      <c r="W97" s="34">
        <f>SUMIFS(GQList,GIList,Table_ExternalData_1[[#This Row],[Item_key]],GDList,Table_ExternalData_1[[#Headers],[17]])</f>
        <v>0</v>
      </c>
      <c r="X97" s="34">
        <f>SUMIFS(GQList,GIList,Table_ExternalData_1[[#This Row],[Item_key]],GDList,Table_ExternalData_1[[#Headers],[18]])</f>
        <v>0</v>
      </c>
      <c r="Y97" s="34">
        <f>SUMIFS(GQList,GIList,Table_ExternalData_1[[#This Row],[Item_key]],GDList,Table_ExternalData_1[[#Headers],[19]])</f>
        <v>0</v>
      </c>
      <c r="Z97" s="34">
        <f>SUMIFS(GQList,GIList,Table_ExternalData_1[[#This Row],[Item_key]],GDList,Table_ExternalData_1[[#Headers],[20]])</f>
        <v>0</v>
      </c>
      <c r="AA97" s="34">
        <f>SUMIFS(GQList,GIList,Table_ExternalData_1[[#This Row],[Item_key]],GDList,Table_ExternalData_1[[#Headers],[21]])</f>
        <v>0</v>
      </c>
      <c r="AB97" s="34">
        <f>SUMIFS(GQList,GIList,Table_ExternalData_1[[#This Row],[Item_key]],GDList,Table_ExternalData_1[[#Headers],[22]])</f>
        <v>0</v>
      </c>
      <c r="AC97" s="34">
        <f>SUMIFS(GQList,GIList,Table_ExternalData_1[[#This Row],[Item_key]],GDList,Table_ExternalData_1[[#Headers],[23]])</f>
        <v>0</v>
      </c>
      <c r="AD97" s="34">
        <f>SUMIFS(GQList,GIList,Table_ExternalData_1[[#This Row],[Item_key]],GDList,Table_ExternalData_1[[#Headers],[24]])</f>
        <v>0</v>
      </c>
      <c r="AE97" s="34">
        <f>SUMIFS(GQList,GIList,Table_ExternalData_1[[#This Row],[Item_key]],GDList,Table_ExternalData_1[[#Headers],[25]])</f>
        <v>0</v>
      </c>
      <c r="AF97" s="34">
        <f>SUMIFS(GQList,GIList,Table_ExternalData_1[[#This Row],[Item_key]],GDList,Table_ExternalData_1[[#Headers],[26]])</f>
        <v>0</v>
      </c>
      <c r="AG97" s="34">
        <f>SUMIFS(GQList,GIList,Table_ExternalData_1[[#This Row],[Item_key]],GDList,Table_ExternalData_1[[#Headers],[27]])</f>
        <v>0</v>
      </c>
      <c r="AH97" s="34">
        <f>SUMIFS(GQList,GIList,Table_ExternalData_1[[#This Row],[Item_key]],GDList,Table_ExternalData_1[[#Headers],[28]])</f>
        <v>0</v>
      </c>
      <c r="AI97" s="34">
        <f>SUMIFS(GQList,GIList,Table_ExternalData_1[[#This Row],[Item_key]],GDList,Table_ExternalData_1[[#Headers],[29]])</f>
        <v>100</v>
      </c>
      <c r="AJ97" s="34">
        <f>SUMIFS(GQList,GIList,Table_ExternalData_1[[#This Row],[Item_key]],GDList,Table_ExternalData_1[[#Headers],[30]])</f>
        <v>0</v>
      </c>
      <c r="AK97" s="34">
        <f>SUMIFS(GQList,GIList,Table_ExternalData_1[[#This Row],[Item_key]],GDList,Table_ExternalData_1[[#Headers],[31]])</f>
        <v>0</v>
      </c>
      <c r="AL97" s="34">
        <f>SUM(Table_ExternalData_1[[#This Row],[1]:[31]])</f>
        <v>100</v>
      </c>
    </row>
  </sheetData>
  <mergeCells count="3">
    <mergeCell ref="A1:B1"/>
    <mergeCell ref="D2:E2"/>
    <mergeCell ref="G1:K1"/>
  </mergeCells>
  <conditionalFormatting sqref="A5:A97 F5:F97">
    <cfRule type="cellIs" dxfId="88" priority="4" operator="equal">
      <formula>"TR"</formula>
    </cfRule>
    <cfRule type="cellIs" dxfId="87" priority="5" operator="equal">
      <formula>"RT"</formula>
    </cfRule>
    <cfRule type="cellIs" dxfId="86" priority="7" operator="equal">
      <formula>"RCA"</formula>
    </cfRule>
  </conditionalFormatting>
  <conditionalFormatting sqref="B5:B97">
    <cfRule type="containsText" dxfId="85" priority="6" operator="containsText" text="/">
      <formula>NOT(ISERROR(SEARCH("/",B5)))</formula>
    </cfRule>
  </conditionalFormatting>
  <conditionalFormatting sqref="F5:F97">
    <cfRule type="cellIs" dxfId="84" priority="1" operator="equal">
      <formula>"TR"</formula>
    </cfRule>
    <cfRule type="cellIs" dxfId="83" priority="2" operator="equal">
      <formula>"GRN"</formula>
    </cfRule>
    <cfRule type="cellIs" dxfId="82" priority="3" operator="equal">
      <formula>"GRN"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2"/>
  <sheetViews>
    <sheetView workbookViewId="0">
      <selection activeCell="A6" sqref="A6:XFD6"/>
    </sheetView>
  </sheetViews>
  <sheetFormatPr defaultRowHeight="15"/>
  <sheetData>
    <row r="1" spans="1:1">
      <c r="A1" t="s">
        <v>51</v>
      </c>
    </row>
    <row r="2" spans="1:1">
      <c r="A2" t="s">
        <v>52</v>
      </c>
    </row>
    <row r="3" spans="1:1">
      <c r="A3" t="s">
        <v>53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58</v>
      </c>
    </row>
    <row r="9" spans="1:1">
      <c r="A9" t="s">
        <v>59</v>
      </c>
    </row>
    <row r="10" spans="1:1">
      <c r="A10" t="s">
        <v>60</v>
      </c>
    </row>
    <row r="11" spans="1:1">
      <c r="A11" t="s">
        <v>61</v>
      </c>
    </row>
    <row r="12" spans="1:1">
      <c r="A12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882"/>
  <sheetViews>
    <sheetView workbookViewId="0">
      <selection activeCell="A74" sqref="A74"/>
    </sheetView>
  </sheetViews>
  <sheetFormatPr defaultRowHeight="15"/>
  <cols>
    <col min="1" max="1" width="11.5703125" bestFit="1" customWidth="1"/>
    <col min="3" max="3" width="8.140625" bestFit="1" customWidth="1"/>
    <col min="4" max="4" width="6.42578125" customWidth="1"/>
    <col min="5" max="5" width="11.140625" bestFit="1" customWidth="1"/>
    <col min="6" max="6" width="8.140625" bestFit="1" customWidth="1"/>
  </cols>
  <sheetData>
    <row r="1" spans="1:4">
      <c r="A1" t="s">
        <v>2</v>
      </c>
      <c r="B1" t="s">
        <v>1</v>
      </c>
      <c r="C1" t="s">
        <v>67</v>
      </c>
      <c r="D1" t="s">
        <v>15</v>
      </c>
    </row>
    <row r="2" spans="1:4" hidden="1">
      <c r="A2" t="s">
        <v>1029</v>
      </c>
      <c r="B2">
        <v>2</v>
      </c>
      <c r="C2" t="s">
        <v>72</v>
      </c>
      <c r="D2">
        <v>1</v>
      </c>
    </row>
    <row r="3" spans="1:4" hidden="1">
      <c r="A3" t="s">
        <v>1180</v>
      </c>
      <c r="B3">
        <v>3</v>
      </c>
      <c r="C3" t="s">
        <v>72</v>
      </c>
      <c r="D3">
        <v>4440</v>
      </c>
    </row>
    <row r="4" spans="1:4" hidden="1">
      <c r="A4" t="s">
        <v>1182</v>
      </c>
      <c r="B4">
        <v>3</v>
      </c>
      <c r="C4" t="s">
        <v>72</v>
      </c>
      <c r="D4">
        <v>360</v>
      </c>
    </row>
    <row r="5" spans="1:4" hidden="1">
      <c r="A5" t="s">
        <v>1181</v>
      </c>
      <c r="B5">
        <v>3</v>
      </c>
      <c r="C5" t="s">
        <v>72</v>
      </c>
      <c r="D5">
        <v>864</v>
      </c>
    </row>
    <row r="6" spans="1:4" hidden="1">
      <c r="A6" t="s">
        <v>1841</v>
      </c>
      <c r="B6">
        <v>3</v>
      </c>
      <c r="C6" t="s">
        <v>72</v>
      </c>
      <c r="D6">
        <v>6024</v>
      </c>
    </row>
    <row r="7" spans="1:4" hidden="1">
      <c r="A7" t="s">
        <v>1181</v>
      </c>
      <c r="B7">
        <v>3</v>
      </c>
      <c r="C7" t="s">
        <v>72</v>
      </c>
      <c r="D7">
        <v>3936</v>
      </c>
    </row>
    <row r="8" spans="1:4" hidden="1">
      <c r="A8" t="s">
        <v>1182</v>
      </c>
      <c r="B8">
        <v>3</v>
      </c>
      <c r="C8" t="s">
        <v>72</v>
      </c>
      <c r="D8">
        <v>1800</v>
      </c>
    </row>
    <row r="9" spans="1:4" hidden="1">
      <c r="A9" t="s">
        <v>1173</v>
      </c>
      <c r="B9">
        <v>4</v>
      </c>
      <c r="C9" t="s">
        <v>72</v>
      </c>
      <c r="D9">
        <v>10</v>
      </c>
    </row>
    <row r="10" spans="1:4" hidden="1">
      <c r="A10" t="s">
        <v>1174</v>
      </c>
      <c r="B10">
        <v>4</v>
      </c>
      <c r="C10" t="s">
        <v>72</v>
      </c>
      <c r="D10">
        <v>10</v>
      </c>
    </row>
    <row r="11" spans="1:4" hidden="1">
      <c r="A11" t="s">
        <v>1175</v>
      </c>
      <c r="B11">
        <v>4</v>
      </c>
      <c r="C11" t="s">
        <v>72</v>
      </c>
      <c r="D11">
        <v>10</v>
      </c>
    </row>
    <row r="12" spans="1:4" hidden="1">
      <c r="A12" t="s">
        <v>185</v>
      </c>
      <c r="B12">
        <v>6</v>
      </c>
      <c r="C12" t="s">
        <v>72</v>
      </c>
      <c r="D12">
        <v>10</v>
      </c>
    </row>
    <row r="13" spans="1:4" hidden="1">
      <c r="A13" t="s">
        <v>1640</v>
      </c>
      <c r="B13">
        <v>6</v>
      </c>
      <c r="C13" t="s">
        <v>72</v>
      </c>
      <c r="D13">
        <v>1</v>
      </c>
    </row>
    <row r="14" spans="1:4" hidden="1">
      <c r="A14" t="s">
        <v>250</v>
      </c>
      <c r="B14">
        <v>6</v>
      </c>
      <c r="C14" t="s">
        <v>72</v>
      </c>
      <c r="D14">
        <v>10</v>
      </c>
    </row>
    <row r="15" spans="1:4" hidden="1">
      <c r="A15" t="s">
        <v>301</v>
      </c>
      <c r="B15">
        <v>6</v>
      </c>
      <c r="C15" t="s">
        <v>72</v>
      </c>
      <c r="D15">
        <v>1</v>
      </c>
    </row>
    <row r="16" spans="1:4" hidden="1">
      <c r="A16" t="s">
        <v>354</v>
      </c>
      <c r="B16">
        <v>6</v>
      </c>
      <c r="C16" t="s">
        <v>72</v>
      </c>
      <c r="D16">
        <v>10</v>
      </c>
    </row>
    <row r="17" spans="1:4" hidden="1">
      <c r="A17" t="s">
        <v>360</v>
      </c>
      <c r="B17">
        <v>6</v>
      </c>
      <c r="C17" t="s">
        <v>72</v>
      </c>
      <c r="D17">
        <v>10</v>
      </c>
    </row>
    <row r="18" spans="1:4" hidden="1">
      <c r="A18" t="s">
        <v>1713</v>
      </c>
      <c r="B18">
        <v>6</v>
      </c>
      <c r="C18" t="s">
        <v>72</v>
      </c>
      <c r="D18">
        <v>2</v>
      </c>
    </row>
    <row r="19" spans="1:4" hidden="1">
      <c r="A19" t="s">
        <v>462</v>
      </c>
      <c r="B19">
        <v>6</v>
      </c>
      <c r="C19" t="s">
        <v>72</v>
      </c>
      <c r="D19">
        <v>2</v>
      </c>
    </row>
    <row r="20" spans="1:4" hidden="1">
      <c r="A20" t="s">
        <v>1734</v>
      </c>
      <c r="B20">
        <v>6</v>
      </c>
      <c r="C20" t="s">
        <v>72</v>
      </c>
      <c r="D20">
        <v>2</v>
      </c>
    </row>
    <row r="21" spans="1:4" hidden="1">
      <c r="A21" t="s">
        <v>1735</v>
      </c>
      <c r="B21">
        <v>6</v>
      </c>
      <c r="C21" t="s">
        <v>72</v>
      </c>
      <c r="D21">
        <v>2</v>
      </c>
    </row>
    <row r="22" spans="1:4" hidden="1">
      <c r="A22" t="s">
        <v>518</v>
      </c>
      <c r="B22">
        <v>6</v>
      </c>
      <c r="C22" t="s">
        <v>72</v>
      </c>
      <c r="D22">
        <v>5</v>
      </c>
    </row>
    <row r="23" spans="1:4" hidden="1">
      <c r="A23" t="s">
        <v>549</v>
      </c>
      <c r="B23">
        <v>6</v>
      </c>
      <c r="C23" t="s">
        <v>72</v>
      </c>
      <c r="D23">
        <v>22</v>
      </c>
    </row>
    <row r="24" spans="1:4" hidden="1">
      <c r="A24" t="s">
        <v>551</v>
      </c>
      <c r="B24">
        <v>6</v>
      </c>
      <c r="C24" t="s">
        <v>72</v>
      </c>
      <c r="D24">
        <v>10</v>
      </c>
    </row>
    <row r="25" spans="1:4" hidden="1">
      <c r="A25" t="s">
        <v>1752</v>
      </c>
      <c r="B25">
        <v>6</v>
      </c>
      <c r="C25" t="s">
        <v>72</v>
      </c>
      <c r="D25">
        <v>20</v>
      </c>
    </row>
    <row r="26" spans="1:4" hidden="1">
      <c r="A26" t="s">
        <v>1762</v>
      </c>
      <c r="B26">
        <v>6</v>
      </c>
      <c r="C26" t="s">
        <v>72</v>
      </c>
      <c r="D26">
        <v>2</v>
      </c>
    </row>
    <row r="27" spans="1:4" hidden="1">
      <c r="A27" t="s">
        <v>653</v>
      </c>
      <c r="B27">
        <v>6</v>
      </c>
      <c r="C27" t="s">
        <v>72</v>
      </c>
      <c r="D27">
        <v>20</v>
      </c>
    </row>
    <row r="28" spans="1:4" hidden="1">
      <c r="A28" t="s">
        <v>654</v>
      </c>
      <c r="B28">
        <v>6</v>
      </c>
      <c r="C28" t="s">
        <v>72</v>
      </c>
      <c r="D28">
        <v>5</v>
      </c>
    </row>
    <row r="29" spans="1:4" hidden="1">
      <c r="A29" t="s">
        <v>676</v>
      </c>
      <c r="B29">
        <v>6</v>
      </c>
      <c r="C29" t="s">
        <v>72</v>
      </c>
      <c r="D29">
        <v>10</v>
      </c>
    </row>
    <row r="30" spans="1:4" hidden="1">
      <c r="A30" t="s">
        <v>677</v>
      </c>
      <c r="B30">
        <v>6</v>
      </c>
      <c r="C30" t="s">
        <v>72</v>
      </c>
      <c r="D30">
        <v>10</v>
      </c>
    </row>
    <row r="31" spans="1:4" hidden="1">
      <c r="A31" t="s">
        <v>712</v>
      </c>
      <c r="B31">
        <v>6</v>
      </c>
      <c r="C31" t="s">
        <v>72</v>
      </c>
      <c r="D31">
        <v>3</v>
      </c>
    </row>
    <row r="32" spans="1:4" hidden="1">
      <c r="A32" t="s">
        <v>1790</v>
      </c>
      <c r="B32">
        <v>6</v>
      </c>
      <c r="C32" t="s">
        <v>72</v>
      </c>
      <c r="D32">
        <v>2</v>
      </c>
    </row>
    <row r="33" spans="1:4" hidden="1">
      <c r="A33" t="s">
        <v>715</v>
      </c>
      <c r="B33">
        <v>6</v>
      </c>
      <c r="C33" t="s">
        <v>72</v>
      </c>
      <c r="D33">
        <v>2</v>
      </c>
    </row>
    <row r="34" spans="1:4" hidden="1">
      <c r="A34" t="s">
        <v>731</v>
      </c>
      <c r="B34">
        <v>6</v>
      </c>
      <c r="C34" t="s">
        <v>72</v>
      </c>
      <c r="D34">
        <v>1</v>
      </c>
    </row>
    <row r="35" spans="1:4" hidden="1">
      <c r="A35" t="s">
        <v>781</v>
      </c>
      <c r="B35">
        <v>6</v>
      </c>
      <c r="C35" t="s">
        <v>72</v>
      </c>
      <c r="D35">
        <v>1000</v>
      </c>
    </row>
    <row r="36" spans="1:4" hidden="1">
      <c r="A36" t="s">
        <v>817</v>
      </c>
      <c r="B36">
        <v>6</v>
      </c>
      <c r="C36" t="s">
        <v>72</v>
      </c>
      <c r="D36">
        <v>24</v>
      </c>
    </row>
    <row r="37" spans="1:4" hidden="1">
      <c r="A37" t="s">
        <v>965</v>
      </c>
      <c r="B37">
        <v>6</v>
      </c>
      <c r="C37" t="s">
        <v>72</v>
      </c>
      <c r="D37">
        <v>100</v>
      </c>
    </row>
    <row r="38" spans="1:4" hidden="1">
      <c r="A38" t="s">
        <v>974</v>
      </c>
      <c r="B38">
        <v>6</v>
      </c>
      <c r="C38" t="s">
        <v>72</v>
      </c>
      <c r="D38">
        <v>200</v>
      </c>
    </row>
    <row r="39" spans="1:4" hidden="1">
      <c r="A39" t="s">
        <v>1051</v>
      </c>
      <c r="B39">
        <v>6</v>
      </c>
      <c r="C39" t="s">
        <v>72</v>
      </c>
      <c r="D39">
        <v>2</v>
      </c>
    </row>
    <row r="40" spans="1:4" hidden="1">
      <c r="A40" t="s">
        <v>1076</v>
      </c>
      <c r="B40">
        <v>6</v>
      </c>
      <c r="C40" t="s">
        <v>72</v>
      </c>
      <c r="D40">
        <v>10</v>
      </c>
    </row>
    <row r="41" spans="1:4" hidden="1">
      <c r="A41" t="s">
        <v>2254</v>
      </c>
      <c r="B41">
        <v>6</v>
      </c>
      <c r="C41" t="s">
        <v>72</v>
      </c>
      <c r="D41">
        <v>30</v>
      </c>
    </row>
    <row r="42" spans="1:4" hidden="1">
      <c r="A42" t="s">
        <v>1131</v>
      </c>
      <c r="B42">
        <v>6</v>
      </c>
      <c r="C42" t="s">
        <v>72</v>
      </c>
      <c r="D42">
        <v>10</v>
      </c>
    </row>
    <row r="43" spans="1:4" hidden="1">
      <c r="A43" t="s">
        <v>1163</v>
      </c>
      <c r="B43">
        <v>6</v>
      </c>
      <c r="C43" t="s">
        <v>72</v>
      </c>
      <c r="D43">
        <v>3</v>
      </c>
    </row>
    <row r="44" spans="1:4" hidden="1">
      <c r="A44" t="s">
        <v>191</v>
      </c>
      <c r="B44">
        <v>6</v>
      </c>
      <c r="C44" t="s">
        <v>72</v>
      </c>
      <c r="D44">
        <v>10</v>
      </c>
    </row>
    <row r="45" spans="1:4" hidden="1">
      <c r="A45" t="s">
        <v>1646</v>
      </c>
      <c r="B45">
        <v>6</v>
      </c>
      <c r="C45" t="s">
        <v>72</v>
      </c>
      <c r="D45">
        <v>5</v>
      </c>
    </row>
    <row r="46" spans="1:4" hidden="1">
      <c r="A46" t="s">
        <v>221</v>
      </c>
      <c r="B46">
        <v>6</v>
      </c>
      <c r="C46" t="s">
        <v>72</v>
      </c>
      <c r="D46">
        <v>5</v>
      </c>
    </row>
    <row r="47" spans="1:4" hidden="1">
      <c r="A47" t="s">
        <v>253</v>
      </c>
      <c r="B47">
        <v>6</v>
      </c>
      <c r="C47" t="s">
        <v>72</v>
      </c>
      <c r="D47">
        <v>3</v>
      </c>
    </row>
    <row r="48" spans="1:4" hidden="1">
      <c r="A48" t="s">
        <v>258</v>
      </c>
      <c r="B48">
        <v>6</v>
      </c>
      <c r="C48" t="s">
        <v>72</v>
      </c>
      <c r="D48">
        <v>3</v>
      </c>
    </row>
    <row r="49" spans="1:4" hidden="1">
      <c r="A49" t="s">
        <v>307</v>
      </c>
      <c r="B49">
        <v>6</v>
      </c>
      <c r="C49" t="s">
        <v>72</v>
      </c>
      <c r="D49">
        <v>5</v>
      </c>
    </row>
    <row r="50" spans="1:4" hidden="1">
      <c r="A50" t="s">
        <v>312</v>
      </c>
      <c r="B50">
        <v>6</v>
      </c>
      <c r="C50" t="s">
        <v>72</v>
      </c>
      <c r="D50">
        <v>50</v>
      </c>
    </row>
    <row r="51" spans="1:4" hidden="1">
      <c r="A51" t="s">
        <v>330</v>
      </c>
      <c r="B51">
        <v>6</v>
      </c>
      <c r="C51" t="s">
        <v>72</v>
      </c>
      <c r="D51">
        <v>120</v>
      </c>
    </row>
    <row r="52" spans="1:4" hidden="1">
      <c r="A52" t="s">
        <v>356</v>
      </c>
      <c r="B52">
        <v>6</v>
      </c>
      <c r="C52" t="s">
        <v>72</v>
      </c>
      <c r="D52">
        <v>3</v>
      </c>
    </row>
    <row r="53" spans="1:4" hidden="1">
      <c r="A53" t="s">
        <v>358</v>
      </c>
      <c r="B53">
        <v>6</v>
      </c>
      <c r="C53" t="s">
        <v>72</v>
      </c>
      <c r="D53">
        <v>3</v>
      </c>
    </row>
    <row r="54" spans="1:4" hidden="1">
      <c r="A54" t="s">
        <v>367</v>
      </c>
      <c r="B54">
        <v>6</v>
      </c>
      <c r="C54" t="s">
        <v>72</v>
      </c>
      <c r="D54">
        <v>2</v>
      </c>
    </row>
    <row r="55" spans="1:4" hidden="1">
      <c r="A55" t="s">
        <v>1707</v>
      </c>
      <c r="B55">
        <v>6</v>
      </c>
      <c r="C55" t="s">
        <v>72</v>
      </c>
      <c r="D55">
        <v>20</v>
      </c>
    </row>
    <row r="56" spans="1:4" hidden="1">
      <c r="A56" t="s">
        <v>1713</v>
      </c>
      <c r="B56">
        <v>6</v>
      </c>
      <c r="C56" t="s">
        <v>72</v>
      </c>
      <c r="D56">
        <v>3</v>
      </c>
    </row>
    <row r="57" spans="1:4" hidden="1">
      <c r="A57" t="s">
        <v>409</v>
      </c>
      <c r="B57">
        <v>6</v>
      </c>
      <c r="C57" t="s">
        <v>72</v>
      </c>
      <c r="D57">
        <v>2</v>
      </c>
    </row>
    <row r="58" spans="1:4" hidden="1">
      <c r="A58" t="s">
        <v>431</v>
      </c>
      <c r="B58">
        <v>6</v>
      </c>
      <c r="C58" t="s">
        <v>72</v>
      </c>
      <c r="D58">
        <v>10</v>
      </c>
    </row>
    <row r="59" spans="1:4" hidden="1">
      <c r="A59" t="s">
        <v>432</v>
      </c>
      <c r="B59">
        <v>6</v>
      </c>
      <c r="C59" t="s">
        <v>72</v>
      </c>
      <c r="D59">
        <v>8</v>
      </c>
    </row>
    <row r="60" spans="1:4" hidden="1">
      <c r="A60" t="s">
        <v>434</v>
      </c>
      <c r="B60">
        <v>6</v>
      </c>
      <c r="C60" t="s">
        <v>72</v>
      </c>
      <c r="D60">
        <v>25</v>
      </c>
    </row>
    <row r="61" spans="1:4" hidden="1">
      <c r="A61" t="s">
        <v>443</v>
      </c>
      <c r="B61">
        <v>6</v>
      </c>
      <c r="C61" t="s">
        <v>72</v>
      </c>
      <c r="D61">
        <v>50</v>
      </c>
    </row>
    <row r="62" spans="1:4" hidden="1">
      <c r="A62" t="s">
        <v>445</v>
      </c>
      <c r="B62">
        <v>6</v>
      </c>
      <c r="C62" t="s">
        <v>72</v>
      </c>
      <c r="D62">
        <v>50</v>
      </c>
    </row>
    <row r="63" spans="1:4" hidden="1">
      <c r="A63" t="s">
        <v>1733</v>
      </c>
      <c r="B63">
        <v>6</v>
      </c>
      <c r="C63" t="s">
        <v>72</v>
      </c>
      <c r="D63">
        <v>5</v>
      </c>
    </row>
    <row r="64" spans="1:4" hidden="1">
      <c r="A64" t="s">
        <v>1743</v>
      </c>
      <c r="B64">
        <v>6</v>
      </c>
      <c r="C64" t="s">
        <v>72</v>
      </c>
      <c r="D64">
        <v>10</v>
      </c>
    </row>
    <row r="65" spans="1:4" hidden="1">
      <c r="A65" t="s">
        <v>520</v>
      </c>
      <c r="B65">
        <v>6</v>
      </c>
      <c r="C65" t="s">
        <v>72</v>
      </c>
      <c r="D65">
        <v>30</v>
      </c>
    </row>
    <row r="66" spans="1:4" hidden="1">
      <c r="A66" t="s">
        <v>523</v>
      </c>
      <c r="B66">
        <v>6</v>
      </c>
      <c r="C66" t="s">
        <v>72</v>
      </c>
      <c r="D66">
        <v>15</v>
      </c>
    </row>
    <row r="67" spans="1:4" hidden="1">
      <c r="A67" t="s">
        <v>1759</v>
      </c>
      <c r="B67">
        <v>6</v>
      </c>
      <c r="C67" t="s">
        <v>72</v>
      </c>
      <c r="D67">
        <v>10</v>
      </c>
    </row>
    <row r="68" spans="1:4" hidden="1">
      <c r="A68" t="s">
        <v>629</v>
      </c>
      <c r="B68">
        <v>6</v>
      </c>
      <c r="C68" t="s">
        <v>72</v>
      </c>
      <c r="D68">
        <v>55</v>
      </c>
    </row>
    <row r="69" spans="1:4" hidden="1">
      <c r="A69" t="s">
        <v>1763</v>
      </c>
      <c r="B69">
        <v>6</v>
      </c>
      <c r="C69" t="s">
        <v>72</v>
      </c>
      <c r="D69">
        <v>21</v>
      </c>
    </row>
    <row r="70" spans="1:4" hidden="1">
      <c r="A70" t="s">
        <v>1764</v>
      </c>
      <c r="B70">
        <v>6</v>
      </c>
      <c r="C70" t="s">
        <v>72</v>
      </c>
      <c r="D70">
        <v>30</v>
      </c>
    </row>
    <row r="71" spans="1:4" hidden="1">
      <c r="A71" t="s">
        <v>635</v>
      </c>
      <c r="B71">
        <v>6</v>
      </c>
      <c r="C71" t="s">
        <v>72</v>
      </c>
      <c r="D71">
        <v>30</v>
      </c>
    </row>
    <row r="72" spans="1:4" hidden="1">
      <c r="A72" t="s">
        <v>676</v>
      </c>
      <c r="B72">
        <v>6</v>
      </c>
      <c r="C72" t="s">
        <v>72</v>
      </c>
      <c r="D72">
        <v>10</v>
      </c>
    </row>
    <row r="73" spans="1:4" hidden="1">
      <c r="A73" t="s">
        <v>677</v>
      </c>
      <c r="B73">
        <v>6</v>
      </c>
      <c r="C73" t="s">
        <v>72</v>
      </c>
      <c r="D73">
        <v>10</v>
      </c>
    </row>
    <row r="74" spans="1:4" hidden="1">
      <c r="A74" t="s">
        <v>703</v>
      </c>
      <c r="B74">
        <v>6</v>
      </c>
      <c r="C74" t="s">
        <v>72</v>
      </c>
      <c r="D74">
        <v>10</v>
      </c>
    </row>
    <row r="75" spans="1:4" hidden="1">
      <c r="A75" t="s">
        <v>707</v>
      </c>
      <c r="B75">
        <v>6</v>
      </c>
      <c r="C75" t="s">
        <v>72</v>
      </c>
      <c r="D75">
        <v>25</v>
      </c>
    </row>
    <row r="76" spans="1:4" hidden="1">
      <c r="A76" t="s">
        <v>709</v>
      </c>
      <c r="B76">
        <v>6</v>
      </c>
      <c r="C76" t="s">
        <v>72</v>
      </c>
      <c r="D76">
        <v>19</v>
      </c>
    </row>
    <row r="77" spans="1:4" hidden="1">
      <c r="A77" t="s">
        <v>712</v>
      </c>
      <c r="B77">
        <v>6</v>
      </c>
      <c r="C77" t="s">
        <v>72</v>
      </c>
      <c r="D77">
        <v>10</v>
      </c>
    </row>
    <row r="78" spans="1:4" hidden="1">
      <c r="A78" t="s">
        <v>731</v>
      </c>
      <c r="B78">
        <v>6</v>
      </c>
      <c r="C78" t="s">
        <v>72</v>
      </c>
      <c r="D78">
        <v>4</v>
      </c>
    </row>
    <row r="79" spans="1:4" hidden="1">
      <c r="A79" t="s">
        <v>752</v>
      </c>
      <c r="B79">
        <v>6</v>
      </c>
      <c r="C79" t="s">
        <v>72</v>
      </c>
      <c r="D79">
        <v>10</v>
      </c>
    </row>
    <row r="80" spans="1:4" hidden="1">
      <c r="A80" t="s">
        <v>1831</v>
      </c>
      <c r="B80">
        <v>6</v>
      </c>
      <c r="C80" t="s">
        <v>72</v>
      </c>
      <c r="D80">
        <v>4</v>
      </c>
    </row>
    <row r="81" spans="1:4" hidden="1">
      <c r="A81" t="s">
        <v>1852</v>
      </c>
      <c r="B81">
        <v>6</v>
      </c>
      <c r="C81" t="s">
        <v>72</v>
      </c>
      <c r="D81">
        <v>10</v>
      </c>
    </row>
    <row r="82" spans="1:4" hidden="1">
      <c r="A82" t="s">
        <v>2002</v>
      </c>
      <c r="B82">
        <v>6</v>
      </c>
      <c r="C82" t="s">
        <v>72</v>
      </c>
      <c r="D82">
        <v>20</v>
      </c>
    </row>
    <row r="83" spans="1:4" hidden="1">
      <c r="A83" t="s">
        <v>817</v>
      </c>
      <c r="B83">
        <v>6</v>
      </c>
      <c r="C83" t="s">
        <v>72</v>
      </c>
      <c r="D83">
        <v>5</v>
      </c>
    </row>
    <row r="84" spans="1:4" hidden="1">
      <c r="A84" t="s">
        <v>818</v>
      </c>
      <c r="B84">
        <v>6</v>
      </c>
      <c r="C84" t="s">
        <v>72</v>
      </c>
      <c r="D84">
        <v>6</v>
      </c>
    </row>
    <row r="85" spans="1:4" hidden="1">
      <c r="A85" t="s">
        <v>827</v>
      </c>
      <c r="B85">
        <v>6</v>
      </c>
      <c r="C85" t="s">
        <v>72</v>
      </c>
      <c r="D85">
        <v>20</v>
      </c>
    </row>
    <row r="86" spans="1:4" hidden="1">
      <c r="A86" t="s">
        <v>2062</v>
      </c>
      <c r="B86">
        <v>6</v>
      </c>
      <c r="C86" t="s">
        <v>72</v>
      </c>
      <c r="D86">
        <v>20</v>
      </c>
    </row>
    <row r="87" spans="1:4" hidden="1">
      <c r="A87" t="s">
        <v>2071</v>
      </c>
      <c r="B87">
        <v>6</v>
      </c>
      <c r="C87" t="s">
        <v>72</v>
      </c>
      <c r="D87">
        <v>10</v>
      </c>
    </row>
    <row r="88" spans="1:4" hidden="1">
      <c r="A88" t="s">
        <v>840</v>
      </c>
      <c r="B88">
        <v>6</v>
      </c>
      <c r="C88" t="s">
        <v>72</v>
      </c>
      <c r="D88">
        <v>50</v>
      </c>
    </row>
    <row r="89" spans="1:4" hidden="1">
      <c r="A89" t="s">
        <v>949</v>
      </c>
      <c r="B89">
        <v>6</v>
      </c>
      <c r="C89" t="s">
        <v>72</v>
      </c>
      <c r="D89">
        <v>25</v>
      </c>
    </row>
    <row r="90" spans="1:4" hidden="1">
      <c r="A90" t="s">
        <v>950</v>
      </c>
      <c r="B90">
        <v>6</v>
      </c>
      <c r="C90" t="s">
        <v>72</v>
      </c>
      <c r="D90">
        <v>25</v>
      </c>
    </row>
    <row r="91" spans="1:4" hidden="1">
      <c r="A91" t="s">
        <v>951</v>
      </c>
      <c r="B91">
        <v>6</v>
      </c>
      <c r="C91" t="s">
        <v>72</v>
      </c>
      <c r="D91">
        <v>25</v>
      </c>
    </row>
    <row r="92" spans="1:4" hidden="1">
      <c r="A92" t="s">
        <v>953</v>
      </c>
      <c r="B92">
        <v>6</v>
      </c>
      <c r="C92" t="s">
        <v>72</v>
      </c>
      <c r="D92">
        <v>284</v>
      </c>
    </row>
    <row r="93" spans="1:4" hidden="1">
      <c r="A93" t="s">
        <v>955</v>
      </c>
      <c r="B93">
        <v>6</v>
      </c>
      <c r="C93" t="s">
        <v>72</v>
      </c>
      <c r="D93">
        <v>20</v>
      </c>
    </row>
    <row r="94" spans="1:4" hidden="1">
      <c r="A94" t="s">
        <v>964</v>
      </c>
      <c r="B94">
        <v>6</v>
      </c>
      <c r="C94" t="s">
        <v>72</v>
      </c>
      <c r="D94">
        <v>50</v>
      </c>
    </row>
    <row r="95" spans="1:4" hidden="1">
      <c r="A95" t="s">
        <v>972</v>
      </c>
      <c r="B95">
        <v>6</v>
      </c>
      <c r="C95" t="s">
        <v>72</v>
      </c>
      <c r="D95">
        <v>50</v>
      </c>
    </row>
    <row r="96" spans="1:4" hidden="1">
      <c r="A96" t="s">
        <v>974</v>
      </c>
      <c r="B96">
        <v>6</v>
      </c>
      <c r="C96" t="s">
        <v>72</v>
      </c>
      <c r="D96">
        <v>400</v>
      </c>
    </row>
    <row r="97" spans="1:4" hidden="1">
      <c r="A97" t="s">
        <v>998</v>
      </c>
      <c r="B97">
        <v>6</v>
      </c>
      <c r="C97" t="s">
        <v>72</v>
      </c>
      <c r="D97">
        <v>3</v>
      </c>
    </row>
    <row r="98" spans="1:4" hidden="1">
      <c r="A98" t="s">
        <v>1010</v>
      </c>
      <c r="B98">
        <v>6</v>
      </c>
      <c r="C98" t="s">
        <v>72</v>
      </c>
      <c r="D98">
        <v>15</v>
      </c>
    </row>
    <row r="99" spans="1:4" hidden="1">
      <c r="A99" t="s">
        <v>1013</v>
      </c>
      <c r="B99">
        <v>6</v>
      </c>
      <c r="C99" t="s">
        <v>72</v>
      </c>
      <c r="D99">
        <v>5</v>
      </c>
    </row>
    <row r="100" spans="1:4" hidden="1">
      <c r="A100" t="s">
        <v>1026</v>
      </c>
      <c r="B100">
        <v>6</v>
      </c>
      <c r="C100" t="s">
        <v>72</v>
      </c>
      <c r="D100">
        <v>20</v>
      </c>
    </row>
    <row r="101" spans="1:4" hidden="1">
      <c r="A101" t="s">
        <v>1038</v>
      </c>
      <c r="B101">
        <v>6</v>
      </c>
      <c r="C101" t="s">
        <v>72</v>
      </c>
      <c r="D101">
        <v>6</v>
      </c>
    </row>
    <row r="102" spans="1:4" hidden="1">
      <c r="A102" t="s">
        <v>1051</v>
      </c>
      <c r="B102">
        <v>6</v>
      </c>
      <c r="C102" t="s">
        <v>72</v>
      </c>
      <c r="D102">
        <v>3</v>
      </c>
    </row>
    <row r="103" spans="1:4" hidden="1">
      <c r="A103" t="s">
        <v>1052</v>
      </c>
      <c r="B103">
        <v>6</v>
      </c>
      <c r="C103" t="s">
        <v>72</v>
      </c>
      <c r="D103">
        <v>2</v>
      </c>
    </row>
    <row r="104" spans="1:4" hidden="1">
      <c r="A104" t="s">
        <v>3</v>
      </c>
      <c r="B104">
        <v>6</v>
      </c>
      <c r="C104" t="s">
        <v>72</v>
      </c>
      <c r="D104">
        <v>10</v>
      </c>
    </row>
    <row r="105" spans="1:4" hidden="1">
      <c r="A105" t="s">
        <v>1069</v>
      </c>
      <c r="B105">
        <v>6</v>
      </c>
      <c r="C105" t="s">
        <v>72</v>
      </c>
      <c r="D105">
        <v>6</v>
      </c>
    </row>
    <row r="106" spans="1:4" hidden="1">
      <c r="A106" t="s">
        <v>85</v>
      </c>
      <c r="B106">
        <v>6</v>
      </c>
      <c r="C106" t="s">
        <v>72</v>
      </c>
      <c r="D106">
        <v>10</v>
      </c>
    </row>
    <row r="107" spans="1:4" hidden="1">
      <c r="A107" t="s">
        <v>1104</v>
      </c>
      <c r="B107">
        <v>6</v>
      </c>
      <c r="C107" t="s">
        <v>72</v>
      </c>
      <c r="D107">
        <v>3</v>
      </c>
    </row>
    <row r="108" spans="1:4" hidden="1">
      <c r="A108" t="s">
        <v>2231</v>
      </c>
      <c r="B108">
        <v>6</v>
      </c>
      <c r="C108" t="s">
        <v>72</v>
      </c>
      <c r="D108">
        <v>10</v>
      </c>
    </row>
    <row r="109" spans="1:4" hidden="1">
      <c r="A109" t="s">
        <v>2232</v>
      </c>
      <c r="B109">
        <v>6</v>
      </c>
      <c r="C109" t="s">
        <v>72</v>
      </c>
      <c r="D109">
        <v>10</v>
      </c>
    </row>
    <row r="110" spans="1:4" hidden="1">
      <c r="A110" t="s">
        <v>2283</v>
      </c>
      <c r="B110">
        <v>6</v>
      </c>
      <c r="C110" t="s">
        <v>72</v>
      </c>
      <c r="D110">
        <v>3</v>
      </c>
    </row>
    <row r="111" spans="1:4" hidden="1">
      <c r="A111" t="s">
        <v>2286</v>
      </c>
      <c r="B111">
        <v>6</v>
      </c>
      <c r="C111" t="s">
        <v>72</v>
      </c>
      <c r="D111">
        <v>40</v>
      </c>
    </row>
    <row r="112" spans="1:4" hidden="1">
      <c r="A112" t="s">
        <v>1131</v>
      </c>
      <c r="B112">
        <v>6</v>
      </c>
      <c r="C112" t="s">
        <v>72</v>
      </c>
      <c r="D112">
        <v>20</v>
      </c>
    </row>
    <row r="113" spans="1:4" hidden="1">
      <c r="A113" t="s">
        <v>2298</v>
      </c>
      <c r="B113">
        <v>6</v>
      </c>
      <c r="C113" t="s">
        <v>72</v>
      </c>
      <c r="D113">
        <v>30</v>
      </c>
    </row>
    <row r="114" spans="1:4" hidden="1">
      <c r="A114" t="s">
        <v>2308</v>
      </c>
      <c r="B114">
        <v>6</v>
      </c>
      <c r="C114" t="s">
        <v>72</v>
      </c>
      <c r="D114">
        <v>2</v>
      </c>
    </row>
    <row r="115" spans="1:4" hidden="1">
      <c r="A115" t="s">
        <v>1029</v>
      </c>
      <c r="B115">
        <v>7</v>
      </c>
      <c r="C115" t="s">
        <v>72</v>
      </c>
      <c r="D115">
        <v>1</v>
      </c>
    </row>
    <row r="116" spans="1:4" hidden="1">
      <c r="A116" t="s">
        <v>953</v>
      </c>
      <c r="B116">
        <v>8</v>
      </c>
      <c r="C116" t="s">
        <v>72</v>
      </c>
      <c r="D116">
        <v>2750</v>
      </c>
    </row>
    <row r="117" spans="1:4" hidden="1">
      <c r="A117" t="s">
        <v>1180</v>
      </c>
      <c r="B117">
        <v>8</v>
      </c>
      <c r="C117" t="s">
        <v>72</v>
      </c>
      <c r="D117">
        <v>1200</v>
      </c>
    </row>
    <row r="118" spans="1:4" hidden="1">
      <c r="A118" t="s">
        <v>1181</v>
      </c>
      <c r="B118">
        <v>9</v>
      </c>
      <c r="C118" t="s">
        <v>72</v>
      </c>
      <c r="D118">
        <v>3936</v>
      </c>
    </row>
    <row r="119" spans="1:4" hidden="1">
      <c r="A119" t="s">
        <v>1182</v>
      </c>
      <c r="B119">
        <v>10</v>
      </c>
      <c r="C119" t="s">
        <v>72</v>
      </c>
      <c r="D119">
        <v>600</v>
      </c>
    </row>
    <row r="120" spans="1:4" hidden="1">
      <c r="A120" t="s">
        <v>242</v>
      </c>
      <c r="B120">
        <v>10</v>
      </c>
      <c r="C120" t="s">
        <v>72</v>
      </c>
      <c r="D120">
        <v>10</v>
      </c>
    </row>
    <row r="121" spans="1:4" hidden="1">
      <c r="A121" t="s">
        <v>323</v>
      </c>
      <c r="B121">
        <v>10</v>
      </c>
      <c r="C121" t="s">
        <v>72</v>
      </c>
      <c r="D121">
        <v>20</v>
      </c>
    </row>
    <row r="122" spans="1:4" hidden="1">
      <c r="A122" t="s">
        <v>324</v>
      </c>
      <c r="B122">
        <v>10</v>
      </c>
      <c r="C122" t="s">
        <v>72</v>
      </c>
      <c r="D122">
        <v>5</v>
      </c>
    </row>
    <row r="123" spans="1:4" hidden="1">
      <c r="A123" t="s">
        <v>342</v>
      </c>
      <c r="B123">
        <v>10</v>
      </c>
      <c r="C123" t="s">
        <v>72</v>
      </c>
      <c r="D123">
        <v>2</v>
      </c>
    </row>
    <row r="124" spans="1:4" hidden="1">
      <c r="A124" t="s">
        <v>356</v>
      </c>
      <c r="B124">
        <v>10</v>
      </c>
      <c r="C124" t="s">
        <v>72</v>
      </c>
      <c r="D124">
        <v>100</v>
      </c>
    </row>
    <row r="125" spans="1:4" hidden="1">
      <c r="A125" t="s">
        <v>371</v>
      </c>
      <c r="B125">
        <v>10</v>
      </c>
      <c r="C125" t="s">
        <v>72</v>
      </c>
      <c r="D125">
        <v>96</v>
      </c>
    </row>
    <row r="126" spans="1:4" hidden="1">
      <c r="A126" t="s">
        <v>373</v>
      </c>
      <c r="B126">
        <v>10</v>
      </c>
      <c r="C126" t="s">
        <v>72</v>
      </c>
      <c r="D126">
        <v>29</v>
      </c>
    </row>
    <row r="127" spans="1:4" hidden="1">
      <c r="A127" t="s">
        <v>389</v>
      </c>
      <c r="B127">
        <v>10</v>
      </c>
      <c r="C127" t="s">
        <v>72</v>
      </c>
      <c r="D127">
        <v>10</v>
      </c>
    </row>
    <row r="128" spans="1:4" hidden="1">
      <c r="A128" t="s">
        <v>408</v>
      </c>
      <c r="B128">
        <v>10</v>
      </c>
      <c r="C128" t="s">
        <v>72</v>
      </c>
      <c r="D128">
        <v>223</v>
      </c>
    </row>
    <row r="129" spans="1:4" hidden="1">
      <c r="A129" t="s">
        <v>1713</v>
      </c>
      <c r="B129">
        <v>10</v>
      </c>
      <c r="C129" t="s">
        <v>72</v>
      </c>
      <c r="D129">
        <v>3</v>
      </c>
    </row>
    <row r="130" spans="1:4" hidden="1">
      <c r="A130" t="s">
        <v>1717</v>
      </c>
      <c r="B130">
        <v>10</v>
      </c>
      <c r="C130" t="s">
        <v>72</v>
      </c>
      <c r="D130">
        <v>10</v>
      </c>
    </row>
    <row r="131" spans="1:4" hidden="1">
      <c r="A131" t="s">
        <v>425</v>
      </c>
      <c r="B131">
        <v>10</v>
      </c>
      <c r="C131" t="s">
        <v>72</v>
      </c>
      <c r="D131">
        <v>11</v>
      </c>
    </row>
    <row r="132" spans="1:4" hidden="1">
      <c r="A132" t="s">
        <v>432</v>
      </c>
      <c r="B132">
        <v>10</v>
      </c>
      <c r="C132" t="s">
        <v>72</v>
      </c>
      <c r="D132">
        <v>2</v>
      </c>
    </row>
    <row r="133" spans="1:4" hidden="1">
      <c r="A133" t="s">
        <v>1728</v>
      </c>
      <c r="B133">
        <v>10</v>
      </c>
      <c r="C133" t="s">
        <v>72</v>
      </c>
      <c r="D133">
        <v>20</v>
      </c>
    </row>
    <row r="134" spans="1:4" hidden="1">
      <c r="A134" t="s">
        <v>492</v>
      </c>
      <c r="B134">
        <v>10</v>
      </c>
      <c r="C134" t="s">
        <v>72</v>
      </c>
      <c r="D134">
        <v>50</v>
      </c>
    </row>
    <row r="135" spans="1:4" hidden="1">
      <c r="A135" t="s">
        <v>493</v>
      </c>
      <c r="B135">
        <v>10</v>
      </c>
      <c r="C135" t="s">
        <v>72</v>
      </c>
      <c r="D135">
        <v>31</v>
      </c>
    </row>
    <row r="136" spans="1:4" hidden="1">
      <c r="A136" t="s">
        <v>533</v>
      </c>
      <c r="B136">
        <v>10</v>
      </c>
      <c r="C136" t="s">
        <v>72</v>
      </c>
      <c r="D136">
        <v>100</v>
      </c>
    </row>
    <row r="137" spans="1:4" hidden="1">
      <c r="A137" t="s">
        <v>534</v>
      </c>
      <c r="B137">
        <v>10</v>
      </c>
      <c r="C137" t="s">
        <v>72</v>
      </c>
      <c r="D137">
        <v>100</v>
      </c>
    </row>
    <row r="138" spans="1:4" hidden="1">
      <c r="A138" t="s">
        <v>1747</v>
      </c>
      <c r="B138">
        <v>10</v>
      </c>
      <c r="C138" t="s">
        <v>72</v>
      </c>
      <c r="D138">
        <v>25</v>
      </c>
    </row>
    <row r="139" spans="1:4" hidden="1">
      <c r="A139" t="s">
        <v>1750</v>
      </c>
      <c r="B139">
        <v>10</v>
      </c>
      <c r="C139" t="s">
        <v>72</v>
      </c>
      <c r="D139">
        <v>10</v>
      </c>
    </row>
    <row r="140" spans="1:4" hidden="1">
      <c r="A140" t="s">
        <v>555</v>
      </c>
      <c r="B140">
        <v>10</v>
      </c>
      <c r="C140" t="s">
        <v>72</v>
      </c>
      <c r="D140">
        <v>22</v>
      </c>
    </row>
    <row r="141" spans="1:4" hidden="1">
      <c r="A141" t="s">
        <v>564</v>
      </c>
      <c r="B141">
        <v>10</v>
      </c>
      <c r="C141" t="s">
        <v>72</v>
      </c>
      <c r="D141">
        <v>1</v>
      </c>
    </row>
    <row r="142" spans="1:4" hidden="1">
      <c r="A142" t="s">
        <v>614</v>
      </c>
      <c r="B142">
        <v>10</v>
      </c>
      <c r="C142" t="s">
        <v>72</v>
      </c>
      <c r="D142">
        <v>20</v>
      </c>
    </row>
    <row r="143" spans="1:4" hidden="1">
      <c r="A143" t="s">
        <v>616</v>
      </c>
      <c r="B143">
        <v>10</v>
      </c>
      <c r="C143" t="s">
        <v>72</v>
      </c>
      <c r="D143">
        <v>2</v>
      </c>
    </row>
    <row r="144" spans="1:4" hidden="1">
      <c r="A144" t="s">
        <v>629</v>
      </c>
      <c r="B144">
        <v>10</v>
      </c>
      <c r="C144" t="s">
        <v>72</v>
      </c>
      <c r="D144">
        <v>20</v>
      </c>
    </row>
    <row r="145" spans="1:4" hidden="1">
      <c r="A145" t="s">
        <v>1763</v>
      </c>
      <c r="B145">
        <v>10</v>
      </c>
      <c r="C145" t="s">
        <v>72</v>
      </c>
      <c r="D145">
        <v>4</v>
      </c>
    </row>
    <row r="146" spans="1:4" hidden="1">
      <c r="A146" t="s">
        <v>1765</v>
      </c>
      <c r="B146">
        <v>10</v>
      </c>
      <c r="C146" t="s">
        <v>72</v>
      </c>
      <c r="D146">
        <v>300</v>
      </c>
    </row>
    <row r="147" spans="1:4" hidden="1">
      <c r="A147" t="s">
        <v>649</v>
      </c>
      <c r="B147">
        <v>10</v>
      </c>
      <c r="C147" t="s">
        <v>72</v>
      </c>
      <c r="D147">
        <v>15</v>
      </c>
    </row>
    <row r="148" spans="1:4" hidden="1">
      <c r="A148" t="s">
        <v>1773</v>
      </c>
      <c r="B148">
        <v>10</v>
      </c>
      <c r="C148" t="s">
        <v>72</v>
      </c>
      <c r="D148">
        <v>236</v>
      </c>
    </row>
    <row r="149" spans="1:4" hidden="1">
      <c r="A149" t="s">
        <v>676</v>
      </c>
      <c r="B149">
        <v>10</v>
      </c>
      <c r="C149" t="s">
        <v>72</v>
      </c>
      <c r="D149">
        <v>20</v>
      </c>
    </row>
    <row r="150" spans="1:4" hidden="1">
      <c r="A150" t="s">
        <v>677</v>
      </c>
      <c r="B150">
        <v>10</v>
      </c>
      <c r="C150" t="s">
        <v>72</v>
      </c>
      <c r="D150">
        <v>20</v>
      </c>
    </row>
    <row r="151" spans="1:4" hidden="1">
      <c r="A151" t="s">
        <v>709</v>
      </c>
      <c r="B151">
        <v>10</v>
      </c>
      <c r="C151" t="s">
        <v>72</v>
      </c>
      <c r="D151">
        <v>76</v>
      </c>
    </row>
    <row r="152" spans="1:4" hidden="1">
      <c r="A152" t="s">
        <v>716</v>
      </c>
      <c r="B152">
        <v>10</v>
      </c>
      <c r="C152" t="s">
        <v>72</v>
      </c>
      <c r="D152">
        <v>6</v>
      </c>
    </row>
    <row r="153" spans="1:4" hidden="1">
      <c r="A153" t="s">
        <v>1804</v>
      </c>
      <c r="B153">
        <v>10</v>
      </c>
      <c r="C153" t="s">
        <v>72</v>
      </c>
      <c r="D153">
        <v>5</v>
      </c>
    </row>
    <row r="154" spans="1:4" hidden="1">
      <c r="A154" t="s">
        <v>718</v>
      </c>
      <c r="B154">
        <v>10</v>
      </c>
      <c r="C154" t="s">
        <v>72</v>
      </c>
      <c r="D154">
        <v>167</v>
      </c>
    </row>
    <row r="155" spans="1:4" hidden="1">
      <c r="A155" t="s">
        <v>729</v>
      </c>
      <c r="B155">
        <v>10</v>
      </c>
      <c r="C155" t="s">
        <v>72</v>
      </c>
      <c r="D155">
        <v>183</v>
      </c>
    </row>
    <row r="156" spans="1:4" hidden="1">
      <c r="A156" t="s">
        <v>731</v>
      </c>
      <c r="B156">
        <v>10</v>
      </c>
      <c r="C156" t="s">
        <v>72</v>
      </c>
      <c r="D156">
        <v>5</v>
      </c>
    </row>
    <row r="157" spans="1:4" hidden="1">
      <c r="A157" t="s">
        <v>1821</v>
      </c>
      <c r="B157">
        <v>10</v>
      </c>
      <c r="C157" t="s">
        <v>72</v>
      </c>
      <c r="D157">
        <v>2</v>
      </c>
    </row>
    <row r="158" spans="1:4" hidden="1">
      <c r="A158" t="s">
        <v>745</v>
      </c>
      <c r="B158">
        <v>10</v>
      </c>
      <c r="C158" t="s">
        <v>72</v>
      </c>
      <c r="D158">
        <v>150</v>
      </c>
    </row>
    <row r="159" spans="1:4" hidden="1">
      <c r="A159" t="s">
        <v>750</v>
      </c>
      <c r="B159">
        <v>10</v>
      </c>
      <c r="C159" t="s">
        <v>72</v>
      </c>
      <c r="D159">
        <v>22</v>
      </c>
    </row>
    <row r="160" spans="1:4" hidden="1">
      <c r="A160" t="s">
        <v>758</v>
      </c>
      <c r="B160">
        <v>10</v>
      </c>
      <c r="C160" t="s">
        <v>72</v>
      </c>
      <c r="D160">
        <v>13</v>
      </c>
    </row>
    <row r="161" spans="1:4" hidden="1">
      <c r="A161" t="s">
        <v>760</v>
      </c>
      <c r="B161">
        <v>10</v>
      </c>
      <c r="C161" t="s">
        <v>72</v>
      </c>
      <c r="D161">
        <v>95</v>
      </c>
    </row>
    <row r="162" spans="1:4" hidden="1">
      <c r="A162" t="s">
        <v>1846</v>
      </c>
      <c r="B162">
        <v>10</v>
      </c>
      <c r="C162" t="s">
        <v>72</v>
      </c>
      <c r="D162">
        <v>490</v>
      </c>
    </row>
    <row r="163" spans="1:4" hidden="1">
      <c r="A163" s="42" t="s">
        <v>1897</v>
      </c>
      <c r="B163" s="42">
        <v>10</v>
      </c>
      <c r="C163" s="42" t="s">
        <v>72</v>
      </c>
      <c r="D163" s="42">
        <v>10</v>
      </c>
    </row>
    <row r="164" spans="1:4" hidden="1">
      <c r="A164" s="42" t="s">
        <v>797</v>
      </c>
      <c r="B164" s="42">
        <v>10</v>
      </c>
      <c r="C164" s="42" t="s">
        <v>72</v>
      </c>
      <c r="D164" s="42">
        <v>115</v>
      </c>
    </row>
    <row r="165" spans="1:4" hidden="1">
      <c r="A165" s="42" t="s">
        <v>2002</v>
      </c>
      <c r="B165" s="42">
        <v>10</v>
      </c>
      <c r="C165" s="42" t="s">
        <v>72</v>
      </c>
      <c r="D165" s="42">
        <v>200</v>
      </c>
    </row>
    <row r="166" spans="1:4" hidden="1">
      <c r="A166" s="42" t="s">
        <v>2026</v>
      </c>
      <c r="B166" s="42">
        <v>10</v>
      </c>
      <c r="C166" s="42" t="s">
        <v>72</v>
      </c>
      <c r="D166" s="42">
        <v>20</v>
      </c>
    </row>
    <row r="167" spans="1:4" hidden="1">
      <c r="A167" s="42" t="s">
        <v>2056</v>
      </c>
      <c r="B167" s="42">
        <v>10</v>
      </c>
      <c r="C167" s="42" t="s">
        <v>72</v>
      </c>
      <c r="D167" s="42">
        <v>19</v>
      </c>
    </row>
    <row r="168" spans="1:4" hidden="1">
      <c r="A168" s="42" t="s">
        <v>946</v>
      </c>
      <c r="B168" s="42">
        <v>10</v>
      </c>
      <c r="C168" s="42" t="s">
        <v>72</v>
      </c>
      <c r="D168" s="42">
        <v>10</v>
      </c>
    </row>
    <row r="169" spans="1:4" hidden="1">
      <c r="A169" s="42" t="s">
        <v>947</v>
      </c>
      <c r="B169" s="42">
        <v>10</v>
      </c>
      <c r="C169" s="42" t="s">
        <v>72</v>
      </c>
      <c r="D169" s="42">
        <v>8</v>
      </c>
    </row>
    <row r="170" spans="1:4" hidden="1">
      <c r="A170" s="42" t="s">
        <v>953</v>
      </c>
      <c r="B170" s="42">
        <v>10</v>
      </c>
      <c r="C170" s="42" t="s">
        <v>72</v>
      </c>
      <c r="D170" s="42">
        <v>3000</v>
      </c>
    </row>
    <row r="171" spans="1:4" hidden="1">
      <c r="A171" s="42" t="s">
        <v>965</v>
      </c>
      <c r="B171" s="42">
        <v>10</v>
      </c>
      <c r="C171" s="42" t="s">
        <v>72</v>
      </c>
      <c r="D171" s="42">
        <v>30</v>
      </c>
    </row>
    <row r="172" spans="1:4" hidden="1">
      <c r="A172" s="42" t="s">
        <v>2164</v>
      </c>
      <c r="B172" s="42">
        <v>10</v>
      </c>
      <c r="C172" s="42" t="s">
        <v>72</v>
      </c>
      <c r="D172" s="42">
        <v>10</v>
      </c>
    </row>
    <row r="173" spans="1:4" hidden="1">
      <c r="A173" s="42" t="s">
        <v>2180</v>
      </c>
      <c r="B173" s="42">
        <v>10</v>
      </c>
      <c r="C173" s="42" t="s">
        <v>72</v>
      </c>
      <c r="D173" s="42">
        <v>20</v>
      </c>
    </row>
    <row r="174" spans="1:4" hidden="1">
      <c r="A174" s="42" t="s">
        <v>1029</v>
      </c>
      <c r="B174" s="42">
        <v>10</v>
      </c>
      <c r="C174" s="42" t="s">
        <v>72</v>
      </c>
      <c r="D174" s="42">
        <v>3</v>
      </c>
    </row>
    <row r="175" spans="1:4" hidden="1">
      <c r="A175" s="42" t="s">
        <v>1083</v>
      </c>
      <c r="B175" s="42">
        <v>10</v>
      </c>
      <c r="C175" s="42" t="s">
        <v>72</v>
      </c>
      <c r="D175" s="42">
        <v>3</v>
      </c>
    </row>
    <row r="176" spans="1:4" hidden="1">
      <c r="A176" s="42" t="s">
        <v>2233</v>
      </c>
      <c r="B176" s="42">
        <v>10</v>
      </c>
      <c r="C176" s="42" t="s">
        <v>72</v>
      </c>
      <c r="D176" s="42">
        <v>20</v>
      </c>
    </row>
    <row r="177" spans="1:4" hidden="1">
      <c r="A177" s="42" t="s">
        <v>1116</v>
      </c>
      <c r="B177" s="42">
        <v>10</v>
      </c>
      <c r="C177" s="42" t="s">
        <v>72</v>
      </c>
      <c r="D177" s="42">
        <v>5</v>
      </c>
    </row>
    <row r="178" spans="1:4" hidden="1">
      <c r="A178" s="42" t="s">
        <v>2310</v>
      </c>
      <c r="B178" s="42">
        <v>10</v>
      </c>
      <c r="C178" s="42" t="s">
        <v>72</v>
      </c>
      <c r="D178" s="42">
        <v>15</v>
      </c>
    </row>
    <row r="179" spans="1:4" hidden="1">
      <c r="A179" s="42" t="s">
        <v>1163</v>
      </c>
      <c r="B179" s="42">
        <v>10</v>
      </c>
      <c r="C179" s="42" t="s">
        <v>72</v>
      </c>
      <c r="D179" s="42">
        <v>5</v>
      </c>
    </row>
    <row r="180" spans="1:4" hidden="1">
      <c r="A180" s="42" t="s">
        <v>1164</v>
      </c>
      <c r="B180" s="42">
        <v>10</v>
      </c>
      <c r="C180" s="42" t="s">
        <v>72</v>
      </c>
      <c r="D180" s="42">
        <v>38</v>
      </c>
    </row>
    <row r="181" spans="1:4" hidden="1">
      <c r="A181" s="42" t="s">
        <v>1165</v>
      </c>
      <c r="B181" s="42">
        <v>10</v>
      </c>
      <c r="C181" s="42" t="s">
        <v>72</v>
      </c>
      <c r="D181" s="42">
        <v>26</v>
      </c>
    </row>
    <row r="182" spans="1:4" hidden="1">
      <c r="A182" s="42" t="s">
        <v>1168</v>
      </c>
      <c r="B182" s="42">
        <v>10</v>
      </c>
      <c r="C182" s="42" t="s">
        <v>72</v>
      </c>
      <c r="D182" s="42">
        <v>2</v>
      </c>
    </row>
    <row r="183" spans="1:4" hidden="1">
      <c r="A183" s="42" t="s">
        <v>1173</v>
      </c>
      <c r="B183" s="42">
        <v>10</v>
      </c>
      <c r="C183" s="42" t="s">
        <v>72</v>
      </c>
      <c r="D183" s="42">
        <v>3</v>
      </c>
    </row>
    <row r="184" spans="1:4" hidden="1">
      <c r="A184" s="42" t="s">
        <v>1174</v>
      </c>
      <c r="B184" s="42">
        <v>10</v>
      </c>
      <c r="C184" s="42" t="s">
        <v>72</v>
      </c>
      <c r="D184" s="42">
        <v>3</v>
      </c>
    </row>
    <row r="185" spans="1:4" hidden="1">
      <c r="A185" s="42" t="s">
        <v>1175</v>
      </c>
      <c r="B185" s="42">
        <v>10</v>
      </c>
      <c r="C185" s="42" t="s">
        <v>72</v>
      </c>
      <c r="D185" s="42">
        <v>3</v>
      </c>
    </row>
    <row r="186" spans="1:4" hidden="1">
      <c r="A186" s="42" t="s">
        <v>1180</v>
      </c>
      <c r="B186" s="42">
        <v>10</v>
      </c>
      <c r="C186" s="42" t="s">
        <v>72</v>
      </c>
      <c r="D186" s="42">
        <v>600</v>
      </c>
    </row>
    <row r="187" spans="1:4" hidden="1">
      <c r="A187" s="42" t="s">
        <v>1136</v>
      </c>
      <c r="B187" s="42">
        <v>10</v>
      </c>
      <c r="C187" s="42" t="s">
        <v>72</v>
      </c>
      <c r="D187" s="42">
        <v>10</v>
      </c>
    </row>
    <row r="188" spans="1:4" hidden="1">
      <c r="A188" s="42" t="s">
        <v>1137</v>
      </c>
      <c r="B188" s="42">
        <v>10</v>
      </c>
      <c r="C188" s="42" t="s">
        <v>72</v>
      </c>
      <c r="D188" s="42">
        <v>10</v>
      </c>
    </row>
    <row r="189" spans="1:4" hidden="1">
      <c r="A189" s="42" t="s">
        <v>1141</v>
      </c>
      <c r="B189" s="42">
        <v>10</v>
      </c>
      <c r="C189" s="42" t="s">
        <v>72</v>
      </c>
      <c r="D189" s="42">
        <v>2</v>
      </c>
    </row>
    <row r="190" spans="1:4" hidden="1">
      <c r="A190" s="42" t="s">
        <v>1142</v>
      </c>
      <c r="B190" s="42">
        <v>10</v>
      </c>
      <c r="C190" s="42" t="s">
        <v>72</v>
      </c>
      <c r="D190" s="42">
        <v>2</v>
      </c>
    </row>
    <row r="191" spans="1:4" hidden="1">
      <c r="A191" s="42" t="s">
        <v>953</v>
      </c>
      <c r="B191" s="42">
        <v>11</v>
      </c>
      <c r="C191" s="42" t="s">
        <v>72</v>
      </c>
      <c r="D191" s="42">
        <v>2109</v>
      </c>
    </row>
    <row r="192" spans="1:4" hidden="1">
      <c r="A192" s="42" t="s">
        <v>1841</v>
      </c>
      <c r="B192" s="42">
        <v>13</v>
      </c>
      <c r="C192" s="42" t="s">
        <v>72</v>
      </c>
      <c r="D192" s="42">
        <v>3636</v>
      </c>
    </row>
    <row r="193" spans="1:4" hidden="1">
      <c r="A193" s="42" t="s">
        <v>1079</v>
      </c>
      <c r="B193" s="42">
        <v>13</v>
      </c>
      <c r="C193" s="42" t="s">
        <v>72</v>
      </c>
      <c r="D193" s="42">
        <v>50</v>
      </c>
    </row>
    <row r="194" spans="1:4" hidden="1">
      <c r="A194" s="42" t="s">
        <v>1180</v>
      </c>
      <c r="B194" s="42">
        <v>13</v>
      </c>
      <c r="C194" s="42" t="s">
        <v>72</v>
      </c>
      <c r="D194" s="42">
        <v>4800</v>
      </c>
    </row>
    <row r="195" spans="1:4" hidden="1">
      <c r="A195" s="42" t="s">
        <v>1180</v>
      </c>
      <c r="B195" s="42">
        <v>15</v>
      </c>
      <c r="C195" s="42" t="s">
        <v>72</v>
      </c>
      <c r="D195" s="42">
        <v>1080</v>
      </c>
    </row>
    <row r="196" spans="1:4" hidden="1">
      <c r="A196" s="42" t="s">
        <v>1633</v>
      </c>
      <c r="B196" s="42">
        <v>16</v>
      </c>
      <c r="C196" s="42" t="s">
        <v>72</v>
      </c>
      <c r="D196" s="42">
        <v>4</v>
      </c>
    </row>
    <row r="197" spans="1:4" hidden="1">
      <c r="A197" s="42" t="s">
        <v>1637</v>
      </c>
      <c r="B197" s="42">
        <v>16</v>
      </c>
      <c r="C197" s="42" t="s">
        <v>72</v>
      </c>
      <c r="D197" s="42">
        <v>1</v>
      </c>
    </row>
    <row r="198" spans="1:4" hidden="1">
      <c r="A198" s="42" t="s">
        <v>185</v>
      </c>
      <c r="B198" s="42">
        <v>16</v>
      </c>
      <c r="C198" s="42" t="s">
        <v>72</v>
      </c>
      <c r="D198" s="42">
        <v>10</v>
      </c>
    </row>
    <row r="199" spans="1:4" hidden="1">
      <c r="A199" s="42" t="s">
        <v>1640</v>
      </c>
      <c r="B199" s="42">
        <v>16</v>
      </c>
      <c r="C199" s="42" t="s">
        <v>72</v>
      </c>
      <c r="D199" s="42">
        <v>2</v>
      </c>
    </row>
    <row r="200" spans="1:4" hidden="1">
      <c r="A200" s="42" t="s">
        <v>1653</v>
      </c>
      <c r="B200" s="42">
        <v>16</v>
      </c>
      <c r="C200" s="42" t="s">
        <v>72</v>
      </c>
      <c r="D200" s="42">
        <v>20</v>
      </c>
    </row>
    <row r="201" spans="1:4" hidden="1">
      <c r="A201" s="42" t="s">
        <v>243</v>
      </c>
      <c r="B201" s="42">
        <v>16</v>
      </c>
      <c r="C201" s="42" t="s">
        <v>72</v>
      </c>
      <c r="D201" s="42">
        <v>100</v>
      </c>
    </row>
    <row r="202" spans="1:4" hidden="1">
      <c r="A202" s="42" t="s">
        <v>258</v>
      </c>
      <c r="B202" s="42">
        <v>16</v>
      </c>
      <c r="C202" s="42" t="s">
        <v>72</v>
      </c>
      <c r="D202" s="42">
        <v>20</v>
      </c>
    </row>
    <row r="203" spans="1:4" hidden="1">
      <c r="A203" s="42" t="s">
        <v>290</v>
      </c>
      <c r="B203" s="42">
        <v>16</v>
      </c>
      <c r="C203" s="42" t="s">
        <v>72</v>
      </c>
      <c r="D203" s="42">
        <v>110</v>
      </c>
    </row>
    <row r="204" spans="1:4" hidden="1">
      <c r="A204" s="42" t="s">
        <v>301</v>
      </c>
      <c r="B204" s="42">
        <v>16</v>
      </c>
      <c r="C204" s="42" t="s">
        <v>72</v>
      </c>
      <c r="D204" s="42">
        <v>5</v>
      </c>
    </row>
    <row r="205" spans="1:4" hidden="1">
      <c r="A205" s="42" t="s">
        <v>302</v>
      </c>
      <c r="B205" s="42">
        <v>16</v>
      </c>
      <c r="C205" s="42" t="s">
        <v>72</v>
      </c>
      <c r="D205" s="42">
        <v>5</v>
      </c>
    </row>
    <row r="206" spans="1:4" hidden="1">
      <c r="A206" s="42" t="s">
        <v>1667</v>
      </c>
      <c r="B206" s="42">
        <v>16</v>
      </c>
      <c r="C206" s="42" t="s">
        <v>72</v>
      </c>
      <c r="D206" s="42">
        <v>100</v>
      </c>
    </row>
    <row r="207" spans="1:4" hidden="1">
      <c r="A207" s="42" t="s">
        <v>312</v>
      </c>
      <c r="B207" s="42">
        <v>16</v>
      </c>
      <c r="C207" s="42" t="s">
        <v>72</v>
      </c>
      <c r="D207" s="42">
        <v>120</v>
      </c>
    </row>
    <row r="208" spans="1:4" hidden="1">
      <c r="A208" s="42" t="s">
        <v>1677</v>
      </c>
      <c r="B208" s="42">
        <v>16</v>
      </c>
      <c r="C208" s="42" t="s">
        <v>72</v>
      </c>
      <c r="D208" s="42">
        <v>20</v>
      </c>
    </row>
    <row r="209" spans="1:4" hidden="1">
      <c r="A209" s="42" t="s">
        <v>324</v>
      </c>
      <c r="B209" s="42">
        <v>16</v>
      </c>
      <c r="C209" s="42" t="s">
        <v>72</v>
      </c>
      <c r="D209" s="42">
        <v>2</v>
      </c>
    </row>
    <row r="210" spans="1:4" hidden="1">
      <c r="A210" s="42" t="s">
        <v>333</v>
      </c>
      <c r="B210" s="42">
        <v>16</v>
      </c>
      <c r="C210" s="42" t="s">
        <v>72</v>
      </c>
      <c r="D210" s="42">
        <v>26</v>
      </c>
    </row>
    <row r="211" spans="1:4" hidden="1">
      <c r="A211" s="42" t="s">
        <v>342</v>
      </c>
      <c r="B211" s="42">
        <v>16</v>
      </c>
      <c r="C211" s="42" t="s">
        <v>72</v>
      </c>
      <c r="D211" s="42">
        <v>12</v>
      </c>
    </row>
    <row r="212" spans="1:4" hidden="1">
      <c r="A212" s="42" t="s">
        <v>345</v>
      </c>
      <c r="B212" s="42">
        <v>16</v>
      </c>
      <c r="C212" s="42" t="s">
        <v>72</v>
      </c>
      <c r="D212" s="42">
        <v>10</v>
      </c>
    </row>
    <row r="213" spans="1:4" hidden="1">
      <c r="A213" s="42" t="s">
        <v>353</v>
      </c>
      <c r="B213" s="42">
        <v>16</v>
      </c>
      <c r="C213" s="42" t="s">
        <v>72</v>
      </c>
      <c r="D213" s="42">
        <v>5</v>
      </c>
    </row>
    <row r="214" spans="1:4" hidden="1">
      <c r="A214" s="42" t="s">
        <v>354</v>
      </c>
      <c r="B214" s="42">
        <v>16</v>
      </c>
      <c r="C214" s="42" t="s">
        <v>72</v>
      </c>
      <c r="D214" s="42">
        <v>50</v>
      </c>
    </row>
    <row r="215" spans="1:4" hidden="1">
      <c r="A215" s="42" t="s">
        <v>360</v>
      </c>
      <c r="B215" s="42">
        <v>16</v>
      </c>
      <c r="C215" s="42" t="s">
        <v>72</v>
      </c>
      <c r="D215" s="42">
        <v>10</v>
      </c>
    </row>
    <row r="216" spans="1:4" hidden="1">
      <c r="A216" s="42" t="s">
        <v>367</v>
      </c>
      <c r="B216" s="42">
        <v>16</v>
      </c>
      <c r="C216" s="42" t="s">
        <v>72</v>
      </c>
      <c r="D216" s="42">
        <v>10</v>
      </c>
    </row>
    <row r="217" spans="1:4" hidden="1">
      <c r="A217" s="42" t="s">
        <v>371</v>
      </c>
      <c r="B217" s="42">
        <v>16</v>
      </c>
      <c r="C217" s="42" t="s">
        <v>72</v>
      </c>
      <c r="D217" s="42">
        <v>20</v>
      </c>
    </row>
    <row r="218" spans="1:4" hidden="1">
      <c r="A218" s="42" t="s">
        <v>372</v>
      </c>
      <c r="B218" s="42">
        <v>16</v>
      </c>
      <c r="C218" s="42" t="s">
        <v>72</v>
      </c>
      <c r="D218" s="42">
        <v>200</v>
      </c>
    </row>
    <row r="219" spans="1:4" hidden="1">
      <c r="A219" s="42" t="s">
        <v>408</v>
      </c>
      <c r="B219" s="42">
        <v>16</v>
      </c>
      <c r="C219" s="42" t="s">
        <v>72</v>
      </c>
      <c r="D219" s="42">
        <v>10</v>
      </c>
    </row>
    <row r="220" spans="1:4" hidden="1">
      <c r="A220" s="42" t="s">
        <v>420</v>
      </c>
      <c r="B220" s="42">
        <v>16</v>
      </c>
      <c r="C220" s="42" t="s">
        <v>72</v>
      </c>
      <c r="D220" s="42">
        <v>5</v>
      </c>
    </row>
    <row r="221" spans="1:4" hidden="1">
      <c r="A221" s="42" t="s">
        <v>425</v>
      </c>
      <c r="B221" s="42">
        <v>16</v>
      </c>
      <c r="C221" s="42" t="s">
        <v>72</v>
      </c>
      <c r="D221" s="42">
        <v>30</v>
      </c>
    </row>
    <row r="222" spans="1:4" hidden="1">
      <c r="A222" s="42" t="s">
        <v>426</v>
      </c>
      <c r="B222" s="42">
        <v>16</v>
      </c>
      <c r="C222" s="42" t="s">
        <v>72</v>
      </c>
      <c r="D222" s="42">
        <v>10</v>
      </c>
    </row>
    <row r="223" spans="1:4" hidden="1">
      <c r="A223" s="42" t="s">
        <v>1719</v>
      </c>
      <c r="B223" s="42">
        <v>16</v>
      </c>
      <c r="C223" s="42" t="s">
        <v>72</v>
      </c>
      <c r="D223" s="42">
        <v>7</v>
      </c>
    </row>
    <row r="224" spans="1:4" hidden="1">
      <c r="A224" s="42" t="s">
        <v>432</v>
      </c>
      <c r="B224" s="42">
        <v>16</v>
      </c>
      <c r="C224" s="42" t="s">
        <v>72</v>
      </c>
      <c r="D224" s="42">
        <v>3</v>
      </c>
    </row>
    <row r="225" spans="1:4" hidden="1">
      <c r="A225" s="42" t="s">
        <v>434</v>
      </c>
      <c r="B225" s="42">
        <v>16</v>
      </c>
      <c r="C225" s="42" t="s">
        <v>72</v>
      </c>
      <c r="D225" s="42">
        <v>100</v>
      </c>
    </row>
    <row r="226" spans="1:4" hidden="1">
      <c r="A226" s="42" t="s">
        <v>435</v>
      </c>
      <c r="B226" s="42">
        <v>16</v>
      </c>
      <c r="C226" s="42" t="s">
        <v>72</v>
      </c>
      <c r="D226" s="42">
        <v>50</v>
      </c>
    </row>
    <row r="227" spans="1:4" hidden="1">
      <c r="A227" s="42" t="s">
        <v>1723</v>
      </c>
      <c r="B227" s="42">
        <v>16</v>
      </c>
      <c r="C227" s="42" t="s">
        <v>72</v>
      </c>
      <c r="D227" s="42">
        <v>460</v>
      </c>
    </row>
    <row r="228" spans="1:4" hidden="1">
      <c r="A228" s="42" t="s">
        <v>437</v>
      </c>
      <c r="B228" s="42">
        <v>16</v>
      </c>
      <c r="C228" s="42" t="s">
        <v>72</v>
      </c>
      <c r="D228" s="42">
        <v>25</v>
      </c>
    </row>
    <row r="229" spans="1:4" hidden="1">
      <c r="A229" s="42" t="s">
        <v>462</v>
      </c>
      <c r="B229" s="42">
        <v>16</v>
      </c>
      <c r="C229" s="42" t="s">
        <v>72</v>
      </c>
      <c r="D229" s="42">
        <v>5</v>
      </c>
    </row>
    <row r="230" spans="1:4" hidden="1">
      <c r="A230" s="42" t="s">
        <v>464</v>
      </c>
      <c r="B230" s="42">
        <v>16</v>
      </c>
      <c r="C230" s="42" t="s">
        <v>72</v>
      </c>
      <c r="D230" s="42">
        <v>2</v>
      </c>
    </row>
    <row r="231" spans="1:4" hidden="1">
      <c r="A231" s="42" t="s">
        <v>1728</v>
      </c>
      <c r="B231" s="42">
        <v>16</v>
      </c>
      <c r="C231" s="42" t="s">
        <v>72</v>
      </c>
      <c r="D231" s="42">
        <v>10</v>
      </c>
    </row>
    <row r="232" spans="1:4" hidden="1">
      <c r="A232" s="42" t="s">
        <v>480</v>
      </c>
      <c r="B232" s="42">
        <v>16</v>
      </c>
      <c r="C232" s="42" t="s">
        <v>72</v>
      </c>
      <c r="D232" s="42">
        <v>10</v>
      </c>
    </row>
    <row r="233" spans="1:4" hidden="1">
      <c r="A233" s="42" t="s">
        <v>491</v>
      </c>
      <c r="B233" s="42">
        <v>16</v>
      </c>
      <c r="C233" s="42" t="s">
        <v>72</v>
      </c>
      <c r="D233" s="42">
        <v>2</v>
      </c>
    </row>
    <row r="234" spans="1:4" hidden="1">
      <c r="A234" s="42" t="s">
        <v>1733</v>
      </c>
      <c r="B234" s="42">
        <v>16</v>
      </c>
      <c r="C234" s="42" t="s">
        <v>72</v>
      </c>
      <c r="D234" s="42">
        <v>2</v>
      </c>
    </row>
    <row r="235" spans="1:4" hidden="1">
      <c r="A235" s="42" t="s">
        <v>492</v>
      </c>
      <c r="B235" s="42">
        <v>16</v>
      </c>
      <c r="C235" s="42" t="s">
        <v>72</v>
      </c>
      <c r="D235" s="42">
        <v>35</v>
      </c>
    </row>
    <row r="236" spans="1:4" hidden="1">
      <c r="A236" s="42" t="s">
        <v>495</v>
      </c>
      <c r="B236" s="42">
        <v>16</v>
      </c>
      <c r="C236" s="42" t="s">
        <v>72</v>
      </c>
      <c r="D236" s="42">
        <v>47</v>
      </c>
    </row>
    <row r="237" spans="1:4" hidden="1">
      <c r="A237" s="42" t="s">
        <v>512</v>
      </c>
      <c r="B237" s="42">
        <v>16</v>
      </c>
      <c r="C237" s="42" t="s">
        <v>72</v>
      </c>
      <c r="D237" s="42">
        <v>10</v>
      </c>
    </row>
    <row r="238" spans="1:4" hidden="1">
      <c r="A238" s="42" t="s">
        <v>518</v>
      </c>
      <c r="B238" s="42">
        <v>16</v>
      </c>
      <c r="C238" s="42" t="s">
        <v>72</v>
      </c>
      <c r="D238" s="42">
        <v>3</v>
      </c>
    </row>
    <row r="239" spans="1:4" hidden="1">
      <c r="A239" s="42" t="s">
        <v>529</v>
      </c>
      <c r="B239" s="42">
        <v>16</v>
      </c>
      <c r="C239" s="42" t="s">
        <v>72</v>
      </c>
      <c r="D239" s="42">
        <v>10</v>
      </c>
    </row>
    <row r="240" spans="1:4" hidden="1">
      <c r="A240" s="42" t="s">
        <v>534</v>
      </c>
      <c r="B240" s="42">
        <v>16</v>
      </c>
      <c r="C240" s="42" t="s">
        <v>72</v>
      </c>
      <c r="D240" s="42">
        <v>20</v>
      </c>
    </row>
    <row r="241" spans="1:4" hidden="1">
      <c r="A241" s="42" t="s">
        <v>544</v>
      </c>
      <c r="B241" s="42">
        <v>16</v>
      </c>
      <c r="C241" s="42" t="s">
        <v>72</v>
      </c>
      <c r="D241" s="42">
        <v>2</v>
      </c>
    </row>
    <row r="242" spans="1:4" hidden="1">
      <c r="A242" s="42" t="s">
        <v>545</v>
      </c>
      <c r="B242" s="42">
        <v>16</v>
      </c>
      <c r="C242" s="42" t="s">
        <v>72</v>
      </c>
      <c r="D242" s="42">
        <v>2</v>
      </c>
    </row>
    <row r="243" spans="1:4" hidden="1">
      <c r="A243" s="42" t="s">
        <v>546</v>
      </c>
      <c r="B243" s="42">
        <v>16</v>
      </c>
      <c r="C243" s="42" t="s">
        <v>72</v>
      </c>
      <c r="D243" s="42">
        <v>2</v>
      </c>
    </row>
    <row r="244" spans="1:4" hidden="1">
      <c r="A244" s="42" t="s">
        <v>547</v>
      </c>
      <c r="B244" s="42">
        <v>16</v>
      </c>
      <c r="C244" s="42" t="s">
        <v>72</v>
      </c>
      <c r="D244" s="42">
        <v>2</v>
      </c>
    </row>
    <row r="245" spans="1:4" hidden="1">
      <c r="A245" s="42" t="s">
        <v>548</v>
      </c>
      <c r="B245" s="42">
        <v>16</v>
      </c>
      <c r="C245" s="42" t="s">
        <v>72</v>
      </c>
      <c r="D245" s="42">
        <v>40</v>
      </c>
    </row>
    <row r="246" spans="1:4" hidden="1">
      <c r="A246" s="42" t="s">
        <v>549</v>
      </c>
      <c r="B246" s="42">
        <v>16</v>
      </c>
      <c r="C246" s="42" t="s">
        <v>72</v>
      </c>
      <c r="D246" s="42">
        <v>20</v>
      </c>
    </row>
    <row r="247" spans="1:4" hidden="1">
      <c r="A247" s="42" t="s">
        <v>616</v>
      </c>
      <c r="B247" s="42">
        <v>16</v>
      </c>
      <c r="C247" s="42" t="s">
        <v>72</v>
      </c>
      <c r="D247" s="42">
        <v>3</v>
      </c>
    </row>
    <row r="248" spans="1:4" hidden="1">
      <c r="A248" s="42" t="s">
        <v>622</v>
      </c>
      <c r="B248" s="42">
        <v>16</v>
      </c>
      <c r="C248" s="42" t="s">
        <v>72</v>
      </c>
      <c r="D248" s="42">
        <v>30</v>
      </c>
    </row>
    <row r="249" spans="1:4" hidden="1">
      <c r="A249" s="42" t="s">
        <v>629</v>
      </c>
      <c r="B249" s="42">
        <v>16</v>
      </c>
      <c r="C249" s="42" t="s">
        <v>72</v>
      </c>
      <c r="D249" s="42">
        <v>55</v>
      </c>
    </row>
    <row r="250" spans="1:4" hidden="1">
      <c r="A250" s="42" t="s">
        <v>1763</v>
      </c>
      <c r="B250" s="42">
        <v>16</v>
      </c>
      <c r="C250" s="42" t="s">
        <v>72</v>
      </c>
      <c r="D250" s="42">
        <v>15</v>
      </c>
    </row>
    <row r="251" spans="1:4" hidden="1">
      <c r="A251" s="42" t="s">
        <v>1765</v>
      </c>
      <c r="B251" s="42">
        <v>16</v>
      </c>
      <c r="C251" s="42" t="s">
        <v>72</v>
      </c>
      <c r="D251" s="42">
        <v>90</v>
      </c>
    </row>
    <row r="252" spans="1:4" hidden="1">
      <c r="A252" s="42" t="s">
        <v>638</v>
      </c>
      <c r="B252" s="42">
        <v>16</v>
      </c>
      <c r="C252" s="42" t="s">
        <v>72</v>
      </c>
      <c r="D252" s="42">
        <v>60</v>
      </c>
    </row>
    <row r="253" spans="1:4" hidden="1">
      <c r="A253" s="42" t="s">
        <v>640</v>
      </c>
      <c r="B253" s="42">
        <v>16</v>
      </c>
      <c r="C253" s="42" t="s">
        <v>72</v>
      </c>
      <c r="D253" s="42">
        <v>90</v>
      </c>
    </row>
    <row r="254" spans="1:4" hidden="1">
      <c r="A254" s="42" t="s">
        <v>1199</v>
      </c>
      <c r="B254" s="42">
        <v>16</v>
      </c>
      <c r="C254" s="42" t="s">
        <v>72</v>
      </c>
      <c r="D254" s="42">
        <v>20</v>
      </c>
    </row>
    <row r="255" spans="1:4" hidden="1">
      <c r="A255" s="42" t="s">
        <v>642</v>
      </c>
      <c r="B255" s="42">
        <v>16</v>
      </c>
      <c r="C255" s="42" t="s">
        <v>72</v>
      </c>
      <c r="D255" s="42">
        <v>10</v>
      </c>
    </row>
    <row r="256" spans="1:4" hidden="1">
      <c r="A256" s="42" t="s">
        <v>643</v>
      </c>
      <c r="B256" s="42">
        <v>16</v>
      </c>
      <c r="C256" s="42" t="s">
        <v>72</v>
      </c>
      <c r="D256" s="42">
        <v>20</v>
      </c>
    </row>
    <row r="257" spans="1:4" hidden="1">
      <c r="A257" s="42" t="s">
        <v>647</v>
      </c>
      <c r="B257" s="42">
        <v>16</v>
      </c>
      <c r="C257" s="42" t="s">
        <v>72</v>
      </c>
      <c r="D257" s="42">
        <v>4</v>
      </c>
    </row>
    <row r="258" spans="1:4" hidden="1">
      <c r="A258" s="42" t="s">
        <v>648</v>
      </c>
      <c r="B258" s="42">
        <v>16</v>
      </c>
      <c r="C258" s="42" t="s">
        <v>72</v>
      </c>
      <c r="D258" s="42">
        <v>4</v>
      </c>
    </row>
    <row r="259" spans="1:4" hidden="1">
      <c r="A259" s="42" t="s">
        <v>649</v>
      </c>
      <c r="B259" s="42">
        <v>16</v>
      </c>
      <c r="C259" s="42" t="s">
        <v>72</v>
      </c>
      <c r="D259" s="42">
        <v>4</v>
      </c>
    </row>
    <row r="260" spans="1:4" hidden="1">
      <c r="A260" s="42" t="s">
        <v>650</v>
      </c>
      <c r="B260" s="42">
        <v>16</v>
      </c>
      <c r="C260" s="42" t="s">
        <v>72</v>
      </c>
      <c r="D260" s="42">
        <v>4</v>
      </c>
    </row>
    <row r="261" spans="1:4" hidden="1">
      <c r="A261" s="42" t="s">
        <v>654</v>
      </c>
      <c r="B261" s="42">
        <v>16</v>
      </c>
      <c r="C261" s="42" t="s">
        <v>72</v>
      </c>
      <c r="D261" s="42">
        <v>20</v>
      </c>
    </row>
    <row r="262" spans="1:4" hidden="1">
      <c r="A262" s="42" t="s">
        <v>667</v>
      </c>
      <c r="B262" s="42">
        <v>16</v>
      </c>
      <c r="C262" s="42" t="s">
        <v>72</v>
      </c>
      <c r="D262" s="42">
        <v>10</v>
      </c>
    </row>
    <row r="263" spans="1:4" hidden="1">
      <c r="A263" s="42" t="s">
        <v>676</v>
      </c>
      <c r="B263" s="42">
        <v>16</v>
      </c>
      <c r="C263" s="42" t="s">
        <v>72</v>
      </c>
      <c r="D263" s="42">
        <v>10</v>
      </c>
    </row>
    <row r="264" spans="1:4" hidden="1">
      <c r="A264" s="42" t="s">
        <v>677</v>
      </c>
      <c r="B264" s="42">
        <v>16</v>
      </c>
      <c r="C264" s="42" t="s">
        <v>72</v>
      </c>
      <c r="D264" s="42">
        <v>20</v>
      </c>
    </row>
    <row r="265" spans="1:4" hidden="1">
      <c r="A265" s="42" t="s">
        <v>1782</v>
      </c>
      <c r="B265" s="42">
        <v>16</v>
      </c>
      <c r="C265" s="42" t="s">
        <v>72</v>
      </c>
      <c r="D265" s="42">
        <v>15</v>
      </c>
    </row>
    <row r="266" spans="1:4" hidden="1">
      <c r="A266" s="42" t="s">
        <v>704</v>
      </c>
      <c r="B266" s="42">
        <v>16</v>
      </c>
      <c r="C266" s="42" t="s">
        <v>72</v>
      </c>
      <c r="D266" s="42">
        <v>20</v>
      </c>
    </row>
    <row r="267" spans="1:4" hidden="1">
      <c r="A267" s="42" t="s">
        <v>707</v>
      </c>
      <c r="B267" s="42">
        <v>16</v>
      </c>
      <c r="C267" s="42" t="s">
        <v>72</v>
      </c>
      <c r="D267" s="42">
        <v>30</v>
      </c>
    </row>
    <row r="268" spans="1:4" hidden="1">
      <c r="A268" s="42" t="s">
        <v>709</v>
      </c>
      <c r="B268" s="42">
        <v>16</v>
      </c>
      <c r="C268" s="42" t="s">
        <v>72</v>
      </c>
      <c r="D268" s="42">
        <v>30</v>
      </c>
    </row>
    <row r="269" spans="1:4" hidden="1">
      <c r="A269" s="42" t="s">
        <v>710</v>
      </c>
      <c r="B269" s="42">
        <v>16</v>
      </c>
      <c r="C269" s="42" t="s">
        <v>72</v>
      </c>
      <c r="D269" s="42">
        <v>20</v>
      </c>
    </row>
    <row r="270" spans="1:4" hidden="1">
      <c r="A270" s="42" t="s">
        <v>712</v>
      </c>
      <c r="B270" s="42">
        <v>16</v>
      </c>
      <c r="C270" s="42" t="s">
        <v>72</v>
      </c>
      <c r="D270" s="42">
        <v>11</v>
      </c>
    </row>
    <row r="271" spans="1:4" hidden="1">
      <c r="A271" s="42" t="s">
        <v>1790</v>
      </c>
      <c r="B271" s="42">
        <v>16</v>
      </c>
      <c r="C271" s="42" t="s">
        <v>72</v>
      </c>
      <c r="D271" s="42">
        <v>5</v>
      </c>
    </row>
    <row r="272" spans="1:4" hidden="1">
      <c r="A272" s="42" t="s">
        <v>717</v>
      </c>
      <c r="B272" s="42">
        <v>16</v>
      </c>
      <c r="C272" s="42" t="s">
        <v>72</v>
      </c>
      <c r="D272" s="42">
        <v>4</v>
      </c>
    </row>
    <row r="273" spans="1:4" hidden="1">
      <c r="A273" s="42" t="s">
        <v>729</v>
      </c>
      <c r="B273" s="42">
        <v>16</v>
      </c>
      <c r="C273" s="42" t="s">
        <v>72</v>
      </c>
      <c r="D273" s="42">
        <v>137</v>
      </c>
    </row>
    <row r="274" spans="1:4" hidden="1">
      <c r="A274" s="42" t="s">
        <v>740</v>
      </c>
      <c r="B274" s="42">
        <v>16</v>
      </c>
      <c r="C274" s="42" t="s">
        <v>72</v>
      </c>
      <c r="D274" s="42">
        <v>10</v>
      </c>
    </row>
    <row r="275" spans="1:4" hidden="1">
      <c r="A275" s="42" t="s">
        <v>750</v>
      </c>
      <c r="B275" s="42">
        <v>16</v>
      </c>
      <c r="C275" s="42" t="s">
        <v>72</v>
      </c>
      <c r="D275" s="42">
        <v>25</v>
      </c>
    </row>
    <row r="276" spans="1:4" hidden="1">
      <c r="A276" s="42" t="s">
        <v>752</v>
      </c>
      <c r="B276" s="42">
        <v>16</v>
      </c>
      <c r="C276" s="42" t="s">
        <v>72</v>
      </c>
      <c r="D276" s="42">
        <v>73</v>
      </c>
    </row>
    <row r="277" spans="1:4" hidden="1">
      <c r="A277" s="42" t="s">
        <v>758</v>
      </c>
      <c r="B277" s="42">
        <v>16</v>
      </c>
      <c r="C277" s="42" t="s">
        <v>72</v>
      </c>
      <c r="D277" s="42">
        <v>10</v>
      </c>
    </row>
    <row r="278" spans="1:4" hidden="1">
      <c r="A278" s="42" t="s">
        <v>760</v>
      </c>
      <c r="B278" s="42">
        <v>16</v>
      </c>
      <c r="C278" s="42" t="s">
        <v>72</v>
      </c>
      <c r="D278" s="42">
        <v>5</v>
      </c>
    </row>
    <row r="279" spans="1:4" hidden="1">
      <c r="A279" s="42" t="s">
        <v>764</v>
      </c>
      <c r="B279" s="42">
        <v>16</v>
      </c>
      <c r="C279" s="42" t="s">
        <v>72</v>
      </c>
      <c r="D279" s="42">
        <v>15</v>
      </c>
    </row>
    <row r="280" spans="1:4" hidden="1">
      <c r="A280" s="42" t="s">
        <v>1831</v>
      </c>
      <c r="B280" s="42">
        <v>16</v>
      </c>
      <c r="C280" s="42" t="s">
        <v>72</v>
      </c>
      <c r="D280" s="42">
        <v>10</v>
      </c>
    </row>
    <row r="281" spans="1:4" hidden="1">
      <c r="A281" s="42" t="s">
        <v>1198</v>
      </c>
      <c r="B281" s="42">
        <v>16</v>
      </c>
      <c r="C281" s="42" t="s">
        <v>72</v>
      </c>
      <c r="D281" s="42">
        <v>200</v>
      </c>
    </row>
    <row r="282" spans="1:4" hidden="1">
      <c r="A282" s="42" t="s">
        <v>1866</v>
      </c>
      <c r="B282" s="42">
        <v>16</v>
      </c>
      <c r="C282" s="42" t="s">
        <v>72</v>
      </c>
      <c r="D282" s="42">
        <v>20</v>
      </c>
    </row>
    <row r="283" spans="1:4" hidden="1">
      <c r="A283" s="42" t="s">
        <v>1879</v>
      </c>
      <c r="B283" s="42">
        <v>16</v>
      </c>
      <c r="C283" s="42" t="s">
        <v>72</v>
      </c>
      <c r="D283" s="42">
        <v>2</v>
      </c>
    </row>
    <row r="284" spans="1:4" hidden="1">
      <c r="A284" s="42" t="s">
        <v>783</v>
      </c>
      <c r="B284" s="42">
        <v>16</v>
      </c>
      <c r="C284" s="42" t="s">
        <v>72</v>
      </c>
      <c r="D284" s="42">
        <v>20</v>
      </c>
    </row>
    <row r="285" spans="1:4" hidden="1">
      <c r="A285" s="42" t="s">
        <v>784</v>
      </c>
      <c r="B285" s="42">
        <v>16</v>
      </c>
      <c r="C285" s="42" t="s">
        <v>72</v>
      </c>
      <c r="D285" s="42">
        <v>5</v>
      </c>
    </row>
    <row r="286" spans="1:4" hidden="1">
      <c r="A286" s="42" t="s">
        <v>1908</v>
      </c>
      <c r="B286" s="42">
        <v>16</v>
      </c>
      <c r="C286" s="42" t="s">
        <v>72</v>
      </c>
      <c r="D286" s="42">
        <v>10</v>
      </c>
    </row>
    <row r="287" spans="1:4" hidden="1">
      <c r="A287" s="42" t="s">
        <v>2002</v>
      </c>
      <c r="B287" s="42">
        <v>16</v>
      </c>
      <c r="C287" s="42" t="s">
        <v>72</v>
      </c>
      <c r="D287" s="42">
        <v>40</v>
      </c>
    </row>
    <row r="288" spans="1:4" hidden="1">
      <c r="A288" s="42" t="s">
        <v>817</v>
      </c>
      <c r="B288" s="42">
        <v>16</v>
      </c>
      <c r="C288" s="42" t="s">
        <v>72</v>
      </c>
      <c r="D288" s="42">
        <v>5</v>
      </c>
    </row>
    <row r="289" spans="1:4" hidden="1">
      <c r="A289" s="42" t="s">
        <v>2009</v>
      </c>
      <c r="B289" s="42">
        <v>16</v>
      </c>
      <c r="C289" s="42" t="s">
        <v>72</v>
      </c>
      <c r="D289" s="42">
        <v>30</v>
      </c>
    </row>
    <row r="290" spans="1:4" hidden="1">
      <c r="A290" s="42" t="s">
        <v>818</v>
      </c>
      <c r="B290" s="42">
        <v>16</v>
      </c>
      <c r="C290" s="42" t="s">
        <v>72</v>
      </c>
      <c r="D290" s="42">
        <v>7</v>
      </c>
    </row>
    <row r="291" spans="1:4" hidden="1">
      <c r="A291" s="42" t="s">
        <v>827</v>
      </c>
      <c r="B291" s="42">
        <v>16</v>
      </c>
      <c r="C291" s="42" t="s">
        <v>72</v>
      </c>
      <c r="D291" s="42">
        <v>20</v>
      </c>
    </row>
    <row r="292" spans="1:4" hidden="1">
      <c r="A292" s="42" t="s">
        <v>2062</v>
      </c>
      <c r="B292" s="42">
        <v>16</v>
      </c>
      <c r="C292" s="42" t="s">
        <v>72</v>
      </c>
      <c r="D292" s="42">
        <v>30</v>
      </c>
    </row>
    <row r="293" spans="1:4" hidden="1">
      <c r="A293" s="42" t="s">
        <v>2071</v>
      </c>
      <c r="B293" s="42">
        <v>16</v>
      </c>
      <c r="C293" s="42" t="s">
        <v>72</v>
      </c>
      <c r="D293" s="42">
        <v>20</v>
      </c>
    </row>
    <row r="294" spans="1:4" hidden="1">
      <c r="A294" s="42" t="s">
        <v>838</v>
      </c>
      <c r="B294" s="42">
        <v>16</v>
      </c>
      <c r="C294" s="42" t="s">
        <v>72</v>
      </c>
      <c r="D294" s="42">
        <v>10</v>
      </c>
    </row>
    <row r="295" spans="1:4" hidden="1">
      <c r="A295" s="42" t="s">
        <v>845</v>
      </c>
      <c r="B295" s="42">
        <v>16</v>
      </c>
      <c r="C295" s="42" t="s">
        <v>72</v>
      </c>
      <c r="D295" s="42">
        <v>38</v>
      </c>
    </row>
    <row r="296" spans="1:4" hidden="1">
      <c r="A296" s="42" t="s">
        <v>908</v>
      </c>
      <c r="B296" s="42">
        <v>16</v>
      </c>
      <c r="C296" s="42" t="s">
        <v>72</v>
      </c>
      <c r="D296" s="42">
        <v>2</v>
      </c>
    </row>
    <row r="297" spans="1:4" hidden="1">
      <c r="A297" s="42" t="s">
        <v>960</v>
      </c>
      <c r="B297" s="42">
        <v>16</v>
      </c>
      <c r="C297" s="42" t="s">
        <v>72</v>
      </c>
      <c r="D297" s="42">
        <v>100</v>
      </c>
    </row>
    <row r="298" spans="1:4" hidden="1">
      <c r="A298" s="42" t="s">
        <v>961</v>
      </c>
      <c r="B298" s="42">
        <v>16</v>
      </c>
      <c r="C298" s="42" t="s">
        <v>72</v>
      </c>
      <c r="D298" s="42">
        <v>50</v>
      </c>
    </row>
    <row r="299" spans="1:4" hidden="1">
      <c r="A299" s="42" t="s">
        <v>5</v>
      </c>
      <c r="B299" s="42">
        <v>16</v>
      </c>
      <c r="C299" s="42" t="s">
        <v>72</v>
      </c>
      <c r="D299" s="42">
        <v>20</v>
      </c>
    </row>
    <row r="300" spans="1:4" hidden="1">
      <c r="A300" s="42" t="s">
        <v>996</v>
      </c>
      <c r="B300" s="42">
        <v>16</v>
      </c>
      <c r="C300" s="42" t="s">
        <v>72</v>
      </c>
      <c r="D300" s="42">
        <v>10</v>
      </c>
    </row>
    <row r="301" spans="1:4" hidden="1">
      <c r="A301" s="42" t="s">
        <v>2171</v>
      </c>
      <c r="B301" s="42">
        <v>16</v>
      </c>
      <c r="C301" s="42" t="s">
        <v>72</v>
      </c>
      <c r="D301" s="42">
        <v>10</v>
      </c>
    </row>
    <row r="302" spans="1:4" hidden="1">
      <c r="A302" s="42" t="s">
        <v>999</v>
      </c>
      <c r="B302" s="42">
        <v>16</v>
      </c>
      <c r="C302" s="42" t="s">
        <v>72</v>
      </c>
      <c r="D302" s="42">
        <v>20</v>
      </c>
    </row>
    <row r="303" spans="1:4" hidden="1">
      <c r="A303" s="42" t="s">
        <v>1015</v>
      </c>
      <c r="B303" s="42">
        <v>16</v>
      </c>
      <c r="C303" s="42" t="s">
        <v>72</v>
      </c>
      <c r="D303" s="42">
        <v>10</v>
      </c>
    </row>
    <row r="304" spans="1:4" hidden="1">
      <c r="A304" s="42" t="s">
        <v>1021</v>
      </c>
      <c r="B304" s="42">
        <v>16</v>
      </c>
      <c r="C304" s="42" t="s">
        <v>72</v>
      </c>
      <c r="D304" s="42">
        <v>3</v>
      </c>
    </row>
    <row r="305" spans="1:4" hidden="1">
      <c r="A305" s="42" t="s">
        <v>1044</v>
      </c>
      <c r="B305" s="42">
        <v>16</v>
      </c>
      <c r="C305" s="42" t="s">
        <v>72</v>
      </c>
      <c r="D305" s="42">
        <v>10</v>
      </c>
    </row>
    <row r="306" spans="1:4" hidden="1">
      <c r="A306" s="42" t="s">
        <v>1053</v>
      </c>
      <c r="B306" s="42">
        <v>16</v>
      </c>
      <c r="C306" s="42" t="s">
        <v>72</v>
      </c>
      <c r="D306" s="42">
        <v>10</v>
      </c>
    </row>
    <row r="307" spans="1:4" hidden="1">
      <c r="A307" s="42" t="s">
        <v>1069</v>
      </c>
      <c r="B307" s="42">
        <v>16</v>
      </c>
      <c r="C307" s="42" t="s">
        <v>72</v>
      </c>
      <c r="D307" s="42">
        <v>5</v>
      </c>
    </row>
    <row r="308" spans="1:4" hidden="1">
      <c r="A308" s="42" t="s">
        <v>1092</v>
      </c>
      <c r="B308" s="42">
        <v>16</v>
      </c>
      <c r="C308" s="42" t="s">
        <v>72</v>
      </c>
      <c r="D308" s="42">
        <v>5</v>
      </c>
    </row>
    <row r="309" spans="1:4" hidden="1">
      <c r="A309" s="42" t="s">
        <v>1119</v>
      </c>
      <c r="B309" s="42">
        <v>16</v>
      </c>
      <c r="C309" s="42" t="s">
        <v>72</v>
      </c>
      <c r="D309" s="42">
        <v>10</v>
      </c>
    </row>
    <row r="310" spans="1:4" hidden="1">
      <c r="A310" s="42" t="s">
        <v>2254</v>
      </c>
      <c r="B310" s="42">
        <v>16</v>
      </c>
      <c r="C310" s="42" t="s">
        <v>72</v>
      </c>
      <c r="D310" s="42">
        <v>200</v>
      </c>
    </row>
    <row r="311" spans="1:4" hidden="1">
      <c r="A311" s="42" t="s">
        <v>2286</v>
      </c>
      <c r="B311" s="42">
        <v>16</v>
      </c>
      <c r="C311" s="42" t="s">
        <v>72</v>
      </c>
      <c r="D311" s="42">
        <v>800</v>
      </c>
    </row>
    <row r="312" spans="1:4" hidden="1">
      <c r="A312" s="42" t="s">
        <v>1134</v>
      </c>
      <c r="B312" s="42">
        <v>16</v>
      </c>
      <c r="C312" s="42" t="s">
        <v>72</v>
      </c>
      <c r="D312" s="42">
        <v>172</v>
      </c>
    </row>
    <row r="313" spans="1:4" hidden="1">
      <c r="A313" s="42" t="s">
        <v>1141</v>
      </c>
      <c r="B313" s="42">
        <v>16</v>
      </c>
      <c r="C313" s="42" t="s">
        <v>72</v>
      </c>
      <c r="D313" s="42">
        <v>4</v>
      </c>
    </row>
    <row r="314" spans="1:4" hidden="1">
      <c r="A314" s="42" t="s">
        <v>1142</v>
      </c>
      <c r="B314" s="42">
        <v>16</v>
      </c>
      <c r="C314" s="42" t="s">
        <v>72</v>
      </c>
      <c r="D314" s="42">
        <v>4</v>
      </c>
    </row>
    <row r="315" spans="1:4" hidden="1">
      <c r="A315" s="42" t="s">
        <v>2310</v>
      </c>
      <c r="B315" s="42">
        <v>16</v>
      </c>
      <c r="C315" s="42" t="s">
        <v>72</v>
      </c>
      <c r="D315" s="42">
        <v>23</v>
      </c>
    </row>
    <row r="316" spans="1:4" hidden="1">
      <c r="A316" s="42" t="s">
        <v>1171</v>
      </c>
      <c r="B316" s="42">
        <v>16</v>
      </c>
      <c r="C316" s="42" t="s">
        <v>72</v>
      </c>
      <c r="D316" s="42">
        <v>20</v>
      </c>
    </row>
    <row r="317" spans="1:4" hidden="1">
      <c r="A317" s="42" t="s">
        <v>1174</v>
      </c>
      <c r="B317" s="42">
        <v>16</v>
      </c>
      <c r="C317" s="42" t="s">
        <v>72</v>
      </c>
      <c r="D317" s="42">
        <v>1</v>
      </c>
    </row>
    <row r="318" spans="1:4" hidden="1">
      <c r="A318" s="42" t="s">
        <v>1175</v>
      </c>
      <c r="B318" s="42">
        <v>16</v>
      </c>
      <c r="C318" s="42" t="s">
        <v>72</v>
      </c>
      <c r="D318" s="42">
        <v>1</v>
      </c>
    </row>
    <row r="319" spans="1:4" hidden="1">
      <c r="A319" s="42" t="s">
        <v>1166</v>
      </c>
      <c r="B319" s="42">
        <v>17</v>
      </c>
      <c r="C319" s="42" t="s">
        <v>72</v>
      </c>
      <c r="D319" s="42">
        <v>2</v>
      </c>
    </row>
    <row r="320" spans="1:4" hidden="1">
      <c r="A320" s="42" t="s">
        <v>1167</v>
      </c>
      <c r="B320" s="42">
        <v>17</v>
      </c>
      <c r="C320" s="42" t="s">
        <v>72</v>
      </c>
      <c r="D320" s="42">
        <v>2</v>
      </c>
    </row>
    <row r="321" spans="1:4" hidden="1">
      <c r="A321" s="42" t="s">
        <v>1841</v>
      </c>
      <c r="B321" s="42">
        <v>23</v>
      </c>
      <c r="C321" s="42" t="s">
        <v>72</v>
      </c>
      <c r="D321" s="42">
        <v>5964</v>
      </c>
    </row>
    <row r="322" spans="1:4" hidden="1">
      <c r="A322" s="42" t="s">
        <v>1181</v>
      </c>
      <c r="B322" s="42">
        <v>23</v>
      </c>
      <c r="C322" s="42" t="s">
        <v>72</v>
      </c>
      <c r="D322" s="42">
        <v>9600</v>
      </c>
    </row>
    <row r="323" spans="1:4" hidden="1">
      <c r="A323" s="42" t="s">
        <v>188</v>
      </c>
      <c r="B323" s="42">
        <v>24</v>
      </c>
      <c r="C323" s="42" t="s">
        <v>72</v>
      </c>
      <c r="D323" s="42">
        <v>15</v>
      </c>
    </row>
    <row r="324" spans="1:4" hidden="1">
      <c r="A324" s="42" t="s">
        <v>1642</v>
      </c>
      <c r="B324" s="42">
        <v>24</v>
      </c>
      <c r="C324" s="42" t="s">
        <v>72</v>
      </c>
      <c r="D324" s="42">
        <v>13</v>
      </c>
    </row>
    <row r="325" spans="1:4" hidden="1">
      <c r="A325" s="42" t="s">
        <v>221</v>
      </c>
      <c r="B325" s="42">
        <v>24</v>
      </c>
      <c r="C325" s="42" t="s">
        <v>72</v>
      </c>
      <c r="D325" s="42">
        <v>5</v>
      </c>
    </row>
    <row r="326" spans="1:4" hidden="1">
      <c r="A326" s="42" t="s">
        <v>242</v>
      </c>
      <c r="B326" s="42">
        <v>24</v>
      </c>
      <c r="C326" s="42" t="s">
        <v>72</v>
      </c>
      <c r="D326" s="42">
        <v>2</v>
      </c>
    </row>
    <row r="327" spans="1:4" hidden="1">
      <c r="A327" s="42" t="s">
        <v>253</v>
      </c>
      <c r="B327" s="42">
        <v>24</v>
      </c>
      <c r="C327" s="42" t="s">
        <v>72</v>
      </c>
      <c r="D327" s="42">
        <v>21</v>
      </c>
    </row>
    <row r="328" spans="1:4" hidden="1">
      <c r="A328" s="42" t="s">
        <v>290</v>
      </c>
      <c r="B328" s="42">
        <v>24</v>
      </c>
      <c r="C328" s="42" t="s">
        <v>72</v>
      </c>
      <c r="D328" s="42">
        <v>20</v>
      </c>
    </row>
    <row r="329" spans="1:4" hidden="1">
      <c r="A329" s="42" t="s">
        <v>301</v>
      </c>
      <c r="B329" s="42">
        <v>24</v>
      </c>
      <c r="C329" s="42" t="s">
        <v>72</v>
      </c>
      <c r="D329" s="42">
        <v>2</v>
      </c>
    </row>
    <row r="330" spans="1:4" hidden="1">
      <c r="A330" s="42" t="s">
        <v>302</v>
      </c>
      <c r="B330" s="42">
        <v>24</v>
      </c>
      <c r="C330" s="42" t="s">
        <v>72</v>
      </c>
      <c r="D330" s="42">
        <v>2</v>
      </c>
    </row>
    <row r="331" spans="1:4" hidden="1">
      <c r="A331" s="42" t="s">
        <v>307</v>
      </c>
      <c r="B331" s="42">
        <v>24</v>
      </c>
      <c r="C331" s="42" t="s">
        <v>72</v>
      </c>
      <c r="D331" s="42">
        <v>1</v>
      </c>
    </row>
    <row r="332" spans="1:4" hidden="1">
      <c r="A332" s="42" t="s">
        <v>1667</v>
      </c>
      <c r="B332" s="42">
        <v>24</v>
      </c>
      <c r="C332" s="42" t="s">
        <v>72</v>
      </c>
      <c r="D332" s="42">
        <v>10</v>
      </c>
    </row>
    <row r="333" spans="1:4" hidden="1">
      <c r="A333" s="42" t="s">
        <v>312</v>
      </c>
      <c r="B333" s="42">
        <v>24</v>
      </c>
      <c r="C333" s="42" t="s">
        <v>72</v>
      </c>
      <c r="D333" s="42">
        <v>30</v>
      </c>
    </row>
    <row r="334" spans="1:4" hidden="1">
      <c r="A334" s="42" t="s">
        <v>323</v>
      </c>
      <c r="B334" s="42">
        <v>24</v>
      </c>
      <c r="C334" s="42" t="s">
        <v>72</v>
      </c>
      <c r="D334" s="42">
        <v>29</v>
      </c>
    </row>
    <row r="335" spans="1:4" hidden="1">
      <c r="A335" s="42" t="s">
        <v>330</v>
      </c>
      <c r="B335" s="42">
        <v>24</v>
      </c>
      <c r="C335" s="42" t="s">
        <v>72</v>
      </c>
      <c r="D335" s="42">
        <v>140</v>
      </c>
    </row>
    <row r="336" spans="1:4" hidden="1">
      <c r="A336" s="42" t="s">
        <v>356</v>
      </c>
      <c r="B336" s="42">
        <v>24</v>
      </c>
      <c r="C336" s="42" t="s">
        <v>72</v>
      </c>
      <c r="D336" s="42">
        <v>50</v>
      </c>
    </row>
    <row r="337" spans="1:4" hidden="1">
      <c r="A337" s="42" t="s">
        <v>1692</v>
      </c>
      <c r="B337" s="42">
        <v>24</v>
      </c>
      <c r="C337" s="42" t="s">
        <v>72</v>
      </c>
      <c r="D337" s="42">
        <v>2</v>
      </c>
    </row>
    <row r="338" spans="1:4" hidden="1">
      <c r="A338" s="42" t="s">
        <v>361</v>
      </c>
      <c r="B338" s="42">
        <v>24</v>
      </c>
      <c r="C338" s="42" t="s">
        <v>72</v>
      </c>
      <c r="D338" s="42">
        <v>2</v>
      </c>
    </row>
    <row r="339" spans="1:4" hidden="1">
      <c r="A339" s="42" t="s">
        <v>364</v>
      </c>
      <c r="B339" s="42">
        <v>24</v>
      </c>
      <c r="C339" s="42" t="s">
        <v>72</v>
      </c>
      <c r="D339" s="42">
        <v>130</v>
      </c>
    </row>
    <row r="340" spans="1:4" hidden="1">
      <c r="A340" s="42" t="s">
        <v>369</v>
      </c>
      <c r="B340" s="42">
        <v>24</v>
      </c>
      <c r="C340" s="42" t="s">
        <v>72</v>
      </c>
      <c r="D340" s="42">
        <v>30</v>
      </c>
    </row>
    <row r="341" spans="1:4" hidden="1">
      <c r="A341" s="42" t="s">
        <v>406</v>
      </c>
      <c r="B341" s="42">
        <v>24</v>
      </c>
      <c r="C341" s="42" t="s">
        <v>72</v>
      </c>
      <c r="D341" s="42">
        <v>3</v>
      </c>
    </row>
    <row r="342" spans="1:4" hidden="1">
      <c r="A342" s="42" t="s">
        <v>1713</v>
      </c>
      <c r="B342" s="42">
        <v>24</v>
      </c>
      <c r="C342" s="42" t="s">
        <v>72</v>
      </c>
      <c r="D342" s="42">
        <v>9</v>
      </c>
    </row>
    <row r="343" spans="1:4" hidden="1">
      <c r="A343" s="42" t="s">
        <v>1716</v>
      </c>
      <c r="B343" s="42">
        <v>24</v>
      </c>
      <c r="C343" s="42" t="s">
        <v>72</v>
      </c>
      <c r="D343" s="42">
        <v>10</v>
      </c>
    </row>
    <row r="344" spans="1:4" hidden="1">
      <c r="A344" s="42" t="s">
        <v>1717</v>
      </c>
      <c r="B344" s="42">
        <v>24</v>
      </c>
      <c r="C344" s="42" t="s">
        <v>72</v>
      </c>
      <c r="D344" s="42">
        <v>100</v>
      </c>
    </row>
    <row r="345" spans="1:4" hidden="1">
      <c r="A345" s="42" t="s">
        <v>432</v>
      </c>
      <c r="B345" s="42">
        <v>24</v>
      </c>
      <c r="C345" s="42" t="s">
        <v>72</v>
      </c>
      <c r="D345" s="42">
        <v>6</v>
      </c>
    </row>
    <row r="346" spans="1:4" hidden="1">
      <c r="A346" s="42" t="s">
        <v>443</v>
      </c>
      <c r="B346" s="42">
        <v>24</v>
      </c>
      <c r="C346" s="42" t="s">
        <v>72</v>
      </c>
      <c r="D346" s="42">
        <v>20</v>
      </c>
    </row>
    <row r="347" spans="1:4" hidden="1">
      <c r="A347" s="42" t="s">
        <v>445</v>
      </c>
      <c r="B347" s="42">
        <v>24</v>
      </c>
      <c r="C347" s="42" t="s">
        <v>72</v>
      </c>
      <c r="D347" s="42">
        <v>20</v>
      </c>
    </row>
    <row r="348" spans="1:4" hidden="1">
      <c r="A348" s="42" t="s">
        <v>462</v>
      </c>
      <c r="B348" s="42">
        <v>24</v>
      </c>
      <c r="C348" s="42" t="s">
        <v>72</v>
      </c>
      <c r="D348" s="42">
        <v>2</v>
      </c>
    </row>
    <row r="349" spans="1:4" hidden="1">
      <c r="A349" s="42" t="s">
        <v>491</v>
      </c>
      <c r="B349" s="42">
        <v>24</v>
      </c>
      <c r="C349" s="42" t="s">
        <v>72</v>
      </c>
      <c r="D349" s="42">
        <v>2</v>
      </c>
    </row>
    <row r="350" spans="1:4" hidden="1">
      <c r="A350" s="42" t="s">
        <v>1737</v>
      </c>
      <c r="B350" s="42">
        <v>24</v>
      </c>
      <c r="C350" s="42" t="s">
        <v>72</v>
      </c>
      <c r="D350" s="42">
        <v>2</v>
      </c>
    </row>
    <row r="351" spans="1:4" hidden="1">
      <c r="A351" s="42" t="s">
        <v>519</v>
      </c>
      <c r="B351" s="42">
        <v>24</v>
      </c>
      <c r="C351" s="42" t="s">
        <v>72</v>
      </c>
      <c r="D351" s="42">
        <v>20</v>
      </c>
    </row>
    <row r="352" spans="1:4" hidden="1">
      <c r="A352" s="42" t="s">
        <v>1743</v>
      </c>
      <c r="B352" s="42">
        <v>24</v>
      </c>
      <c r="C352" s="42" t="s">
        <v>72</v>
      </c>
      <c r="D352" s="42">
        <v>10</v>
      </c>
    </row>
    <row r="353" spans="1:4" hidden="1">
      <c r="A353" s="42" t="s">
        <v>528</v>
      </c>
      <c r="B353" s="42">
        <v>24</v>
      </c>
      <c r="C353" s="42" t="s">
        <v>72</v>
      </c>
      <c r="D353" s="42">
        <v>54</v>
      </c>
    </row>
    <row r="354" spans="1:4" hidden="1">
      <c r="A354" s="42" t="s">
        <v>533</v>
      </c>
      <c r="B354" s="42">
        <v>24</v>
      </c>
      <c r="C354" s="42" t="s">
        <v>72</v>
      </c>
      <c r="D354" s="42">
        <v>10</v>
      </c>
    </row>
    <row r="355" spans="1:4" hidden="1">
      <c r="A355" s="42" t="s">
        <v>536</v>
      </c>
      <c r="B355" s="42">
        <v>24</v>
      </c>
      <c r="C355" s="42" t="s">
        <v>72</v>
      </c>
      <c r="D355" s="42">
        <v>50</v>
      </c>
    </row>
    <row r="356" spans="1:4" hidden="1">
      <c r="A356" s="42" t="s">
        <v>544</v>
      </c>
      <c r="B356" s="42">
        <v>24</v>
      </c>
      <c r="C356" s="42" t="s">
        <v>72</v>
      </c>
      <c r="D356" s="42">
        <v>2</v>
      </c>
    </row>
    <row r="357" spans="1:4" hidden="1">
      <c r="A357" s="42" t="s">
        <v>545</v>
      </c>
      <c r="B357" s="42">
        <v>24</v>
      </c>
      <c r="C357" s="42" t="s">
        <v>72</v>
      </c>
      <c r="D357" s="42">
        <v>2</v>
      </c>
    </row>
    <row r="358" spans="1:4" hidden="1">
      <c r="A358" s="42" t="s">
        <v>546</v>
      </c>
      <c r="B358" s="42">
        <v>24</v>
      </c>
      <c r="C358" s="42" t="s">
        <v>72</v>
      </c>
      <c r="D358" s="42">
        <v>2</v>
      </c>
    </row>
    <row r="359" spans="1:4" hidden="1">
      <c r="A359" s="42" t="s">
        <v>547</v>
      </c>
      <c r="B359" s="42">
        <v>24</v>
      </c>
      <c r="C359" s="42" t="s">
        <v>72</v>
      </c>
      <c r="D359" s="42">
        <v>2</v>
      </c>
    </row>
    <row r="360" spans="1:4" hidden="1">
      <c r="A360" s="42" t="s">
        <v>548</v>
      </c>
      <c r="B360" s="42">
        <v>24</v>
      </c>
      <c r="C360" s="42" t="s">
        <v>72</v>
      </c>
      <c r="D360" s="42">
        <v>50</v>
      </c>
    </row>
    <row r="361" spans="1:4" hidden="1">
      <c r="A361" s="42" t="s">
        <v>549</v>
      </c>
      <c r="B361" s="42">
        <v>24</v>
      </c>
      <c r="C361" s="42" t="s">
        <v>72</v>
      </c>
      <c r="D361" s="42">
        <v>5</v>
      </c>
    </row>
    <row r="362" spans="1:4" hidden="1">
      <c r="A362" s="42" t="s">
        <v>1750</v>
      </c>
      <c r="B362" s="42">
        <v>24</v>
      </c>
      <c r="C362" s="42" t="s">
        <v>72</v>
      </c>
      <c r="D362" s="42">
        <v>17</v>
      </c>
    </row>
    <row r="363" spans="1:4" hidden="1">
      <c r="A363" s="42" t="s">
        <v>1752</v>
      </c>
      <c r="B363" s="42">
        <v>24</v>
      </c>
      <c r="C363" s="42" t="s">
        <v>72</v>
      </c>
      <c r="D363" s="42">
        <v>2</v>
      </c>
    </row>
    <row r="364" spans="1:4" hidden="1">
      <c r="A364" s="42" t="s">
        <v>614</v>
      </c>
      <c r="B364" s="42">
        <v>24</v>
      </c>
      <c r="C364" s="42" t="s">
        <v>72</v>
      </c>
      <c r="D364" s="42">
        <v>40</v>
      </c>
    </row>
    <row r="365" spans="1:4" hidden="1">
      <c r="A365" s="42" t="s">
        <v>622</v>
      </c>
      <c r="B365" s="42">
        <v>24</v>
      </c>
      <c r="C365" s="42" t="s">
        <v>72</v>
      </c>
      <c r="D365" s="42">
        <v>30</v>
      </c>
    </row>
    <row r="366" spans="1:4" hidden="1">
      <c r="A366" s="42" t="s">
        <v>629</v>
      </c>
      <c r="B366" s="42">
        <v>24</v>
      </c>
      <c r="C366" s="42" t="s">
        <v>72</v>
      </c>
      <c r="D366" s="42">
        <v>2</v>
      </c>
    </row>
    <row r="367" spans="1:4" hidden="1">
      <c r="A367" s="42" t="s">
        <v>1763</v>
      </c>
      <c r="B367" s="42">
        <v>24</v>
      </c>
      <c r="C367" s="42" t="s">
        <v>72</v>
      </c>
      <c r="D367" s="42">
        <v>2</v>
      </c>
    </row>
    <row r="368" spans="1:4" hidden="1">
      <c r="A368" s="42" t="s">
        <v>648</v>
      </c>
      <c r="B368" s="42">
        <v>24</v>
      </c>
      <c r="C368" s="42" t="s">
        <v>72</v>
      </c>
      <c r="D368" s="42">
        <v>20</v>
      </c>
    </row>
    <row r="369" spans="1:4" hidden="1">
      <c r="A369" s="42" t="s">
        <v>649</v>
      </c>
      <c r="B369" s="42">
        <v>24</v>
      </c>
      <c r="C369" s="42" t="s">
        <v>72</v>
      </c>
      <c r="D369" s="42">
        <v>20</v>
      </c>
    </row>
    <row r="370" spans="1:4" hidden="1">
      <c r="A370" s="42" t="s">
        <v>664</v>
      </c>
      <c r="B370" s="42">
        <v>24</v>
      </c>
      <c r="C370" s="42" t="s">
        <v>72</v>
      </c>
      <c r="D370" s="42">
        <v>10</v>
      </c>
    </row>
    <row r="371" spans="1:4" hidden="1">
      <c r="A371" s="42" t="s">
        <v>676</v>
      </c>
      <c r="B371" s="42">
        <v>24</v>
      </c>
      <c r="C371" s="42" t="s">
        <v>72</v>
      </c>
      <c r="D371" s="42">
        <v>43</v>
      </c>
    </row>
    <row r="372" spans="1:4" hidden="1">
      <c r="A372" s="42" t="s">
        <v>677</v>
      </c>
      <c r="B372" s="42">
        <v>24</v>
      </c>
      <c r="C372" s="42" t="s">
        <v>72</v>
      </c>
      <c r="D372" s="42">
        <v>43</v>
      </c>
    </row>
    <row r="373" spans="1:4" hidden="1">
      <c r="A373" s="42" t="s">
        <v>702</v>
      </c>
      <c r="B373" s="42">
        <v>24</v>
      </c>
      <c r="C373" s="42" t="s">
        <v>72</v>
      </c>
      <c r="D373" s="42">
        <v>4</v>
      </c>
    </row>
    <row r="374" spans="1:4" hidden="1">
      <c r="A374" s="42" t="s">
        <v>703</v>
      </c>
      <c r="B374" s="42">
        <v>24</v>
      </c>
      <c r="C374" s="42" t="s">
        <v>72</v>
      </c>
      <c r="D374" s="42">
        <v>10</v>
      </c>
    </row>
    <row r="375" spans="1:4" hidden="1">
      <c r="A375" s="42" t="s">
        <v>704</v>
      </c>
      <c r="B375" s="42">
        <v>24</v>
      </c>
      <c r="C375" s="42" t="s">
        <v>72</v>
      </c>
      <c r="D375" s="42">
        <v>5</v>
      </c>
    </row>
    <row r="376" spans="1:4" hidden="1">
      <c r="A376" s="42" t="s">
        <v>707</v>
      </c>
      <c r="B376" s="42">
        <v>24</v>
      </c>
      <c r="C376" s="42" t="s">
        <v>72</v>
      </c>
      <c r="D376" s="42">
        <v>5</v>
      </c>
    </row>
    <row r="377" spans="1:4" hidden="1">
      <c r="A377" s="42" t="s">
        <v>709</v>
      </c>
      <c r="B377" s="42">
        <v>24</v>
      </c>
      <c r="C377" s="42" t="s">
        <v>72</v>
      </c>
      <c r="D377" s="42">
        <v>10</v>
      </c>
    </row>
    <row r="378" spans="1:4" hidden="1">
      <c r="A378" s="42" t="s">
        <v>710</v>
      </c>
      <c r="B378" s="42">
        <v>24</v>
      </c>
      <c r="C378" s="42" t="s">
        <v>72</v>
      </c>
      <c r="D378" s="42">
        <v>5</v>
      </c>
    </row>
    <row r="379" spans="1:4" hidden="1">
      <c r="A379" s="42" t="s">
        <v>1813</v>
      </c>
      <c r="B379" s="42">
        <v>24</v>
      </c>
      <c r="C379" s="42" t="s">
        <v>72</v>
      </c>
      <c r="D379" s="42">
        <v>200</v>
      </c>
    </row>
    <row r="380" spans="1:4" hidden="1">
      <c r="A380" s="42" t="s">
        <v>729</v>
      </c>
      <c r="B380" s="42">
        <v>24</v>
      </c>
      <c r="C380" s="42" t="s">
        <v>72</v>
      </c>
      <c r="D380" s="42">
        <v>2</v>
      </c>
    </row>
    <row r="381" spans="1:4" hidden="1">
      <c r="A381" s="42" t="s">
        <v>779</v>
      </c>
      <c r="B381" s="42">
        <v>24</v>
      </c>
      <c r="C381" s="42" t="s">
        <v>72</v>
      </c>
      <c r="D381" s="42">
        <v>5</v>
      </c>
    </row>
    <row r="382" spans="1:4" hidden="1">
      <c r="A382" s="42" t="s">
        <v>781</v>
      </c>
      <c r="B382" s="42">
        <v>24</v>
      </c>
      <c r="C382" s="42" t="s">
        <v>72</v>
      </c>
      <c r="D382" s="42">
        <v>1000</v>
      </c>
    </row>
    <row r="383" spans="1:4" hidden="1">
      <c r="A383" s="42" t="s">
        <v>1879</v>
      </c>
      <c r="B383" s="42">
        <v>24</v>
      </c>
      <c r="C383" s="42" t="s">
        <v>72</v>
      </c>
      <c r="D383" s="42">
        <v>2</v>
      </c>
    </row>
    <row r="384" spans="1:4" hidden="1">
      <c r="A384" s="42" t="s">
        <v>783</v>
      </c>
      <c r="B384" s="42">
        <v>24</v>
      </c>
      <c r="C384" s="42" t="s">
        <v>72</v>
      </c>
      <c r="D384" s="42">
        <v>5</v>
      </c>
    </row>
    <row r="385" spans="1:4" hidden="1">
      <c r="A385" s="42" t="s">
        <v>1900</v>
      </c>
      <c r="B385" s="42">
        <v>24</v>
      </c>
      <c r="C385" s="42" t="s">
        <v>72</v>
      </c>
      <c r="D385" s="42">
        <v>20</v>
      </c>
    </row>
    <row r="386" spans="1:4" hidden="1">
      <c r="A386" s="42" t="s">
        <v>817</v>
      </c>
      <c r="B386" s="42">
        <v>24</v>
      </c>
      <c r="C386" s="42" t="s">
        <v>72</v>
      </c>
      <c r="D386" s="42">
        <v>12</v>
      </c>
    </row>
    <row r="387" spans="1:4" hidden="1">
      <c r="A387" s="42" t="s">
        <v>2009</v>
      </c>
      <c r="B387" s="42">
        <v>24</v>
      </c>
      <c r="C387" s="42" t="s">
        <v>72</v>
      </c>
      <c r="D387" s="42">
        <v>10</v>
      </c>
    </row>
    <row r="388" spans="1:4" hidden="1">
      <c r="A388" s="42" t="s">
        <v>2026</v>
      </c>
      <c r="B388" s="42">
        <v>24</v>
      </c>
      <c r="C388" s="42" t="s">
        <v>72</v>
      </c>
      <c r="D388" s="42">
        <v>100</v>
      </c>
    </row>
    <row r="389" spans="1:4" hidden="1">
      <c r="A389" s="42" t="s">
        <v>824</v>
      </c>
      <c r="B389" s="42">
        <v>24</v>
      </c>
      <c r="C389" s="42" t="s">
        <v>72</v>
      </c>
      <c r="D389" s="42">
        <v>1</v>
      </c>
    </row>
    <row r="390" spans="1:4" hidden="1">
      <c r="A390" s="42" t="s">
        <v>827</v>
      </c>
      <c r="B390" s="42">
        <v>24</v>
      </c>
      <c r="C390" s="42" t="s">
        <v>72</v>
      </c>
      <c r="D390" s="42">
        <v>10</v>
      </c>
    </row>
    <row r="391" spans="1:4" hidden="1">
      <c r="A391" s="42" t="s">
        <v>2136</v>
      </c>
      <c r="B391" s="42">
        <v>24</v>
      </c>
      <c r="C391" s="42" t="s">
        <v>72</v>
      </c>
      <c r="D391" s="42">
        <v>2</v>
      </c>
    </row>
    <row r="392" spans="1:4" hidden="1">
      <c r="A392" s="42" t="s">
        <v>902</v>
      </c>
      <c r="B392" s="42">
        <v>24</v>
      </c>
      <c r="C392" s="42" t="s">
        <v>72</v>
      </c>
      <c r="D392" s="42">
        <v>50</v>
      </c>
    </row>
    <row r="393" spans="1:4" hidden="1">
      <c r="A393" s="42" t="s">
        <v>2162</v>
      </c>
      <c r="B393" s="42">
        <v>24</v>
      </c>
      <c r="C393" s="42" t="s">
        <v>72</v>
      </c>
      <c r="D393" s="42">
        <v>55</v>
      </c>
    </row>
    <row r="394" spans="1:4" hidden="1">
      <c r="A394" s="42" t="s">
        <v>2164</v>
      </c>
      <c r="B394" s="42">
        <v>24</v>
      </c>
      <c r="C394" s="42" t="s">
        <v>72</v>
      </c>
      <c r="D394" s="42">
        <v>30</v>
      </c>
    </row>
    <row r="395" spans="1:4" hidden="1">
      <c r="A395" s="42" t="s">
        <v>1079</v>
      </c>
      <c r="B395" s="42">
        <v>24</v>
      </c>
      <c r="C395" s="42" t="s">
        <v>72</v>
      </c>
      <c r="D395" s="42">
        <v>230</v>
      </c>
    </row>
    <row r="396" spans="1:4" hidden="1">
      <c r="A396" s="42" t="s">
        <v>1114</v>
      </c>
      <c r="B396" s="42">
        <v>24</v>
      </c>
      <c r="C396" s="42" t="s">
        <v>72</v>
      </c>
      <c r="D396" s="42">
        <v>10</v>
      </c>
    </row>
    <row r="397" spans="1:4" hidden="1">
      <c r="A397" s="42" t="s">
        <v>2231</v>
      </c>
      <c r="B397" s="42">
        <v>24</v>
      </c>
      <c r="C397" s="42" t="s">
        <v>72</v>
      </c>
      <c r="D397" s="42">
        <v>10</v>
      </c>
    </row>
    <row r="398" spans="1:4" hidden="1">
      <c r="A398" s="42" t="s">
        <v>1116</v>
      </c>
      <c r="B398" s="42">
        <v>24</v>
      </c>
      <c r="C398" s="42" t="s">
        <v>72</v>
      </c>
      <c r="D398" s="42">
        <v>9</v>
      </c>
    </row>
    <row r="399" spans="1:4" hidden="1">
      <c r="A399" s="42" t="s">
        <v>1131</v>
      </c>
      <c r="B399" s="42">
        <v>24</v>
      </c>
      <c r="C399" s="42" t="s">
        <v>72</v>
      </c>
      <c r="D399" s="42">
        <v>100</v>
      </c>
    </row>
    <row r="400" spans="1:4" hidden="1">
      <c r="A400" s="42" t="s">
        <v>2310</v>
      </c>
      <c r="B400" s="42">
        <v>24</v>
      </c>
      <c r="C400" s="42" t="s">
        <v>72</v>
      </c>
      <c r="D400" s="42">
        <v>10</v>
      </c>
    </row>
    <row r="401" spans="1:4" hidden="1">
      <c r="A401" s="42" t="s">
        <v>1166</v>
      </c>
      <c r="B401" s="42">
        <v>24</v>
      </c>
      <c r="C401" s="42" t="s">
        <v>72</v>
      </c>
      <c r="D401" s="42">
        <v>3</v>
      </c>
    </row>
    <row r="402" spans="1:4" hidden="1">
      <c r="A402" s="42" t="s">
        <v>1167</v>
      </c>
      <c r="B402" s="42">
        <v>24</v>
      </c>
      <c r="C402" s="42" t="s">
        <v>72</v>
      </c>
      <c r="D402" s="42">
        <v>3</v>
      </c>
    </row>
    <row r="403" spans="1:4" hidden="1">
      <c r="A403" s="42" t="s">
        <v>1173</v>
      </c>
      <c r="B403" s="42">
        <v>24</v>
      </c>
      <c r="C403" s="42" t="s">
        <v>72</v>
      </c>
      <c r="D403" s="42">
        <v>1</v>
      </c>
    </row>
    <row r="404" spans="1:4" hidden="1">
      <c r="A404" s="42" t="s">
        <v>243</v>
      </c>
      <c r="B404" s="42">
        <v>24</v>
      </c>
      <c r="C404" s="42" t="s">
        <v>72</v>
      </c>
      <c r="D404" s="42">
        <v>500</v>
      </c>
    </row>
    <row r="405" spans="1:4" hidden="1">
      <c r="A405" s="42" t="s">
        <v>1180</v>
      </c>
      <c r="B405" s="42">
        <v>28</v>
      </c>
      <c r="C405" s="42" t="s">
        <v>72</v>
      </c>
      <c r="D405" s="42">
        <v>2400</v>
      </c>
    </row>
    <row r="406" spans="1:4" hidden="1">
      <c r="A406" s="42" t="s">
        <v>1180</v>
      </c>
      <c r="B406" s="42">
        <v>29</v>
      </c>
      <c r="C406" s="42" t="s">
        <v>72</v>
      </c>
      <c r="D406" s="42">
        <v>1260</v>
      </c>
    </row>
    <row r="407" spans="1:4" hidden="1">
      <c r="A407" s="42" t="s">
        <v>1181</v>
      </c>
      <c r="B407" s="42">
        <v>29</v>
      </c>
      <c r="C407" s="42" t="s">
        <v>72</v>
      </c>
      <c r="D407" s="42">
        <v>900</v>
      </c>
    </row>
    <row r="408" spans="1:4" hidden="1">
      <c r="A408" s="42" t="s">
        <v>1182</v>
      </c>
      <c r="B408" s="42">
        <v>29</v>
      </c>
      <c r="C408" s="42" t="s">
        <v>72</v>
      </c>
      <c r="D408" s="42">
        <v>120</v>
      </c>
    </row>
    <row r="409" spans="1:4" hidden="1">
      <c r="A409" s="42" t="s">
        <v>953</v>
      </c>
      <c r="B409" s="42">
        <v>29</v>
      </c>
      <c r="C409" s="42" t="s">
        <v>72</v>
      </c>
      <c r="D409" s="42">
        <v>3000</v>
      </c>
    </row>
    <row r="410" spans="1:4" hidden="1">
      <c r="A410" s="42" t="s">
        <v>367</v>
      </c>
      <c r="B410" s="42">
        <v>30</v>
      </c>
      <c r="C410" s="42" t="s">
        <v>72</v>
      </c>
      <c r="D410" s="42">
        <v>4</v>
      </c>
    </row>
    <row r="411" spans="1:4" hidden="1">
      <c r="A411" s="42" t="s">
        <v>411</v>
      </c>
      <c r="B411" s="42">
        <v>30</v>
      </c>
      <c r="C411" s="42" t="s">
        <v>72</v>
      </c>
      <c r="D411" s="42">
        <v>18</v>
      </c>
    </row>
    <row r="412" spans="1:4" hidden="1">
      <c r="A412" s="42" t="s">
        <v>420</v>
      </c>
      <c r="B412" s="42">
        <v>30</v>
      </c>
      <c r="C412" s="42" t="s">
        <v>72</v>
      </c>
      <c r="D412" s="42">
        <v>5</v>
      </c>
    </row>
    <row r="413" spans="1:4" hidden="1">
      <c r="A413" s="42" t="s">
        <v>431</v>
      </c>
      <c r="B413" s="42">
        <v>30</v>
      </c>
      <c r="C413" s="42" t="s">
        <v>72</v>
      </c>
      <c r="D413" s="42">
        <v>10</v>
      </c>
    </row>
    <row r="414" spans="1:4" hidden="1">
      <c r="A414" s="42" t="s">
        <v>1746</v>
      </c>
      <c r="B414" s="42">
        <v>30</v>
      </c>
      <c r="C414" s="42" t="s">
        <v>72</v>
      </c>
      <c r="D414" s="42">
        <v>77</v>
      </c>
    </row>
    <row r="415" spans="1:4" hidden="1">
      <c r="A415" s="42" t="s">
        <v>676</v>
      </c>
      <c r="B415" s="42">
        <v>30</v>
      </c>
      <c r="C415" s="42" t="s">
        <v>72</v>
      </c>
      <c r="D415" s="42">
        <v>20</v>
      </c>
    </row>
    <row r="416" spans="1:4" hidden="1">
      <c r="A416" s="42" t="s">
        <v>677</v>
      </c>
      <c r="B416" s="42">
        <v>30</v>
      </c>
      <c r="C416" s="42" t="s">
        <v>72</v>
      </c>
      <c r="D416" s="42">
        <v>20</v>
      </c>
    </row>
    <row r="417" spans="1:4" hidden="1">
      <c r="A417" s="42" t="s">
        <v>709</v>
      </c>
      <c r="B417" s="42">
        <v>30</v>
      </c>
      <c r="C417" s="42" t="s">
        <v>72</v>
      </c>
      <c r="D417" s="42">
        <v>50</v>
      </c>
    </row>
    <row r="418" spans="1:4" hidden="1">
      <c r="A418" s="42" t="s">
        <v>758</v>
      </c>
      <c r="B418" s="42">
        <v>30</v>
      </c>
      <c r="C418" s="42" t="s">
        <v>72</v>
      </c>
      <c r="D418" s="42">
        <v>4</v>
      </c>
    </row>
    <row r="419" spans="1:4" hidden="1">
      <c r="A419" s="42" t="s">
        <v>792</v>
      </c>
      <c r="B419" s="42">
        <v>30</v>
      </c>
      <c r="C419" s="42" t="s">
        <v>72</v>
      </c>
      <c r="D419" s="42">
        <v>38</v>
      </c>
    </row>
    <row r="420" spans="1:4" hidden="1">
      <c r="A420" s="42" t="s">
        <v>819</v>
      </c>
      <c r="B420" s="42">
        <v>30</v>
      </c>
      <c r="C420" s="42" t="s">
        <v>72</v>
      </c>
      <c r="D420" s="42">
        <v>30</v>
      </c>
    </row>
    <row r="421" spans="1:4" hidden="1">
      <c r="A421" s="42" t="s">
        <v>953</v>
      </c>
      <c r="B421" s="42">
        <v>30</v>
      </c>
      <c r="C421" s="42" t="s">
        <v>72</v>
      </c>
      <c r="D421" s="42">
        <v>2880</v>
      </c>
    </row>
    <row r="422" spans="1:4" hidden="1">
      <c r="A422" s="42" t="s">
        <v>85</v>
      </c>
      <c r="B422" s="42">
        <v>30</v>
      </c>
      <c r="C422" s="42" t="s">
        <v>72</v>
      </c>
      <c r="D422" s="42">
        <v>6</v>
      </c>
    </row>
    <row r="423" spans="1:4" hidden="1">
      <c r="A423" s="42" t="s">
        <v>1633</v>
      </c>
      <c r="B423" s="42">
        <v>30</v>
      </c>
      <c r="C423" s="42" t="s">
        <v>72</v>
      </c>
      <c r="D423" s="42">
        <v>4</v>
      </c>
    </row>
    <row r="424" spans="1:4" hidden="1">
      <c r="A424" s="42" t="s">
        <v>185</v>
      </c>
      <c r="B424" s="42">
        <v>30</v>
      </c>
      <c r="C424" s="42" t="s">
        <v>72</v>
      </c>
      <c r="D424" s="42">
        <v>539</v>
      </c>
    </row>
    <row r="425" spans="1:4" hidden="1">
      <c r="A425" s="42" t="s">
        <v>188</v>
      </c>
      <c r="B425" s="42">
        <v>30</v>
      </c>
      <c r="C425" s="42" t="s">
        <v>72</v>
      </c>
      <c r="D425" s="42">
        <v>20</v>
      </c>
    </row>
    <row r="426" spans="1:4" hidden="1">
      <c r="A426" s="42" t="s">
        <v>1640</v>
      </c>
      <c r="B426" s="42">
        <v>30</v>
      </c>
      <c r="C426" s="42" t="s">
        <v>72</v>
      </c>
      <c r="D426" s="42">
        <v>3</v>
      </c>
    </row>
    <row r="427" spans="1:4" hidden="1">
      <c r="A427" s="42" t="s">
        <v>191</v>
      </c>
      <c r="B427" s="42">
        <v>30</v>
      </c>
      <c r="C427" s="42" t="s">
        <v>72</v>
      </c>
      <c r="D427" s="42">
        <v>1</v>
      </c>
    </row>
    <row r="428" spans="1:4" hidden="1">
      <c r="A428" s="42" t="s">
        <v>192</v>
      </c>
      <c r="B428" s="42">
        <v>30</v>
      </c>
      <c r="C428" s="42" t="s">
        <v>72</v>
      </c>
      <c r="D428" s="42">
        <v>10</v>
      </c>
    </row>
    <row r="429" spans="1:4" hidden="1">
      <c r="A429" s="42" t="s">
        <v>193</v>
      </c>
      <c r="B429" s="42">
        <v>30</v>
      </c>
      <c r="C429" s="42" t="s">
        <v>72</v>
      </c>
      <c r="D429" s="42">
        <v>30</v>
      </c>
    </row>
    <row r="430" spans="1:4" hidden="1">
      <c r="A430" s="42" t="s">
        <v>1642</v>
      </c>
      <c r="B430" s="42">
        <v>30</v>
      </c>
      <c r="C430" s="42" t="s">
        <v>72</v>
      </c>
      <c r="D430" s="42">
        <v>60</v>
      </c>
    </row>
    <row r="431" spans="1:4" hidden="1">
      <c r="A431" s="42" t="s">
        <v>221</v>
      </c>
      <c r="B431" s="42">
        <v>30</v>
      </c>
      <c r="C431" s="42" t="s">
        <v>72</v>
      </c>
      <c r="D431" s="42">
        <v>10</v>
      </c>
    </row>
    <row r="432" spans="1:4" hidden="1">
      <c r="A432" s="42" t="s">
        <v>235</v>
      </c>
      <c r="B432" s="42">
        <v>30</v>
      </c>
      <c r="C432" s="42" t="s">
        <v>72</v>
      </c>
      <c r="D432" s="42">
        <v>106</v>
      </c>
    </row>
    <row r="433" spans="1:4" hidden="1">
      <c r="A433" s="42" t="s">
        <v>249</v>
      </c>
      <c r="B433" s="42">
        <v>30</v>
      </c>
      <c r="C433" s="42" t="s">
        <v>72</v>
      </c>
      <c r="D433" s="42">
        <v>200</v>
      </c>
    </row>
    <row r="434" spans="1:4" hidden="1">
      <c r="A434" s="42" t="s">
        <v>250</v>
      </c>
      <c r="B434" s="42">
        <v>30</v>
      </c>
      <c r="C434" s="42" t="s">
        <v>72</v>
      </c>
      <c r="D434" s="42">
        <v>20</v>
      </c>
    </row>
    <row r="435" spans="1:4" hidden="1">
      <c r="A435" s="42" t="s">
        <v>251</v>
      </c>
      <c r="B435" s="42">
        <v>30</v>
      </c>
      <c r="C435" s="42" t="s">
        <v>72</v>
      </c>
      <c r="D435" s="42">
        <v>3</v>
      </c>
    </row>
    <row r="436" spans="1:4" hidden="1">
      <c r="A436" s="42" t="s">
        <v>252</v>
      </c>
      <c r="B436" s="42">
        <v>30</v>
      </c>
      <c r="C436" s="42" t="s">
        <v>72</v>
      </c>
      <c r="D436" s="42">
        <v>63</v>
      </c>
    </row>
    <row r="437" spans="1:4" hidden="1">
      <c r="A437" s="42" t="s">
        <v>253</v>
      </c>
      <c r="B437" s="42">
        <v>30</v>
      </c>
      <c r="C437" s="42" t="s">
        <v>72</v>
      </c>
      <c r="D437" s="42">
        <v>7</v>
      </c>
    </row>
    <row r="438" spans="1:4" hidden="1">
      <c r="A438" s="42" t="s">
        <v>258</v>
      </c>
      <c r="B438" s="42">
        <v>30</v>
      </c>
      <c r="C438" s="42" t="s">
        <v>72</v>
      </c>
      <c r="D438" s="42">
        <v>42</v>
      </c>
    </row>
    <row r="439" spans="1:4" hidden="1">
      <c r="A439" s="42" t="s">
        <v>272</v>
      </c>
      <c r="B439" s="42">
        <v>30</v>
      </c>
      <c r="C439" s="42" t="s">
        <v>72</v>
      </c>
      <c r="D439" s="42">
        <v>50</v>
      </c>
    </row>
    <row r="440" spans="1:4" hidden="1">
      <c r="A440" s="42" t="s">
        <v>289</v>
      </c>
      <c r="B440" s="42">
        <v>30</v>
      </c>
      <c r="C440" s="42" t="s">
        <v>72</v>
      </c>
      <c r="D440" s="42">
        <v>5</v>
      </c>
    </row>
    <row r="441" spans="1:4" hidden="1">
      <c r="A441" s="42" t="s">
        <v>301</v>
      </c>
      <c r="B441" s="42">
        <v>30</v>
      </c>
      <c r="C441" s="42" t="s">
        <v>72</v>
      </c>
      <c r="D441" s="42">
        <v>6</v>
      </c>
    </row>
    <row r="442" spans="1:4" hidden="1">
      <c r="A442" s="42" t="s">
        <v>302</v>
      </c>
      <c r="B442" s="42">
        <v>30</v>
      </c>
      <c r="C442" s="42" t="s">
        <v>72</v>
      </c>
      <c r="D442" s="42">
        <v>6</v>
      </c>
    </row>
    <row r="443" spans="1:4" hidden="1">
      <c r="A443" s="42" t="s">
        <v>309</v>
      </c>
      <c r="B443" s="42">
        <v>30</v>
      </c>
      <c r="C443" s="42" t="s">
        <v>72</v>
      </c>
      <c r="D443" s="42">
        <v>10</v>
      </c>
    </row>
    <row r="444" spans="1:4" hidden="1">
      <c r="A444" s="42" t="s">
        <v>312</v>
      </c>
      <c r="B444" s="42">
        <v>30</v>
      </c>
      <c r="C444" s="42" t="s">
        <v>72</v>
      </c>
      <c r="D444" s="42">
        <v>21</v>
      </c>
    </row>
    <row r="445" spans="1:4" hidden="1">
      <c r="A445" s="42" t="s">
        <v>313</v>
      </c>
      <c r="B445" s="42">
        <v>30</v>
      </c>
      <c r="C445" s="42" t="s">
        <v>72</v>
      </c>
      <c r="D445" s="42">
        <v>200</v>
      </c>
    </row>
    <row r="446" spans="1:4" hidden="1">
      <c r="A446" s="42" t="s">
        <v>1677</v>
      </c>
      <c r="B446" s="42">
        <v>30</v>
      </c>
      <c r="C446" s="42" t="s">
        <v>72</v>
      </c>
      <c r="D446" s="42">
        <v>65</v>
      </c>
    </row>
    <row r="447" spans="1:4" hidden="1">
      <c r="A447" s="42" t="s">
        <v>323</v>
      </c>
      <c r="B447" s="42">
        <v>30</v>
      </c>
      <c r="C447" s="42" t="s">
        <v>72</v>
      </c>
      <c r="D447" s="42">
        <v>10</v>
      </c>
    </row>
    <row r="448" spans="1:4" hidden="1">
      <c r="A448" s="42" t="s">
        <v>324</v>
      </c>
      <c r="B448" s="42">
        <v>30</v>
      </c>
      <c r="C448" s="42" t="s">
        <v>72</v>
      </c>
      <c r="D448" s="42">
        <v>4</v>
      </c>
    </row>
    <row r="449" spans="1:4" hidden="1">
      <c r="A449" s="42" t="s">
        <v>330</v>
      </c>
      <c r="B449" s="42">
        <v>30</v>
      </c>
      <c r="C449" s="42" t="s">
        <v>72</v>
      </c>
      <c r="D449" s="42">
        <v>220</v>
      </c>
    </row>
    <row r="450" spans="1:4" hidden="1">
      <c r="A450" s="42" t="s">
        <v>337</v>
      </c>
      <c r="B450" s="42">
        <v>30</v>
      </c>
      <c r="C450" s="42" t="s">
        <v>72</v>
      </c>
      <c r="D450" s="42">
        <v>630</v>
      </c>
    </row>
    <row r="451" spans="1:4" hidden="1">
      <c r="A451" s="42" t="s">
        <v>345</v>
      </c>
      <c r="B451" s="42">
        <v>30</v>
      </c>
      <c r="C451" s="42" t="s">
        <v>72</v>
      </c>
      <c r="D451" s="42">
        <v>50</v>
      </c>
    </row>
    <row r="452" spans="1:4" hidden="1">
      <c r="A452" s="42" t="s">
        <v>354</v>
      </c>
      <c r="B452" s="42">
        <v>30</v>
      </c>
      <c r="C452" s="42" t="s">
        <v>72</v>
      </c>
      <c r="D452" s="42">
        <v>3</v>
      </c>
    </row>
    <row r="453" spans="1:4" hidden="1">
      <c r="A453" s="42" t="s">
        <v>361</v>
      </c>
      <c r="B453" s="42">
        <v>30</v>
      </c>
      <c r="C453" s="42" t="s">
        <v>72</v>
      </c>
      <c r="D453" s="42">
        <v>70</v>
      </c>
    </row>
    <row r="454" spans="1:4" hidden="1">
      <c r="A454" s="42" t="s">
        <v>364</v>
      </c>
      <c r="B454" s="42">
        <v>30</v>
      </c>
      <c r="C454" s="42" t="s">
        <v>72</v>
      </c>
      <c r="D454" s="42">
        <v>100</v>
      </c>
    </row>
    <row r="455" spans="1:4" hidden="1">
      <c r="A455" s="42" t="s">
        <v>367</v>
      </c>
      <c r="B455" s="42">
        <v>30</v>
      </c>
      <c r="C455" s="42" t="s">
        <v>72</v>
      </c>
      <c r="D455" s="42">
        <v>10</v>
      </c>
    </row>
    <row r="456" spans="1:4" hidden="1">
      <c r="A456" s="42" t="s">
        <v>1707</v>
      </c>
      <c r="B456" s="42">
        <v>30</v>
      </c>
      <c r="C456" s="42" t="s">
        <v>72</v>
      </c>
      <c r="D456" s="42">
        <v>417</v>
      </c>
    </row>
    <row r="457" spans="1:4" hidden="1">
      <c r="A457" s="42" t="s">
        <v>408</v>
      </c>
      <c r="B457" s="42">
        <v>30</v>
      </c>
      <c r="C457" s="42" t="s">
        <v>72</v>
      </c>
      <c r="D457" s="42">
        <v>42</v>
      </c>
    </row>
    <row r="458" spans="1:4" hidden="1">
      <c r="A458" s="42" t="s">
        <v>1713</v>
      </c>
      <c r="B458" s="42">
        <v>30</v>
      </c>
      <c r="C458" s="42" t="s">
        <v>72</v>
      </c>
      <c r="D458" s="42">
        <v>2</v>
      </c>
    </row>
    <row r="459" spans="1:4" hidden="1">
      <c r="A459" s="42" t="s">
        <v>424</v>
      </c>
      <c r="B459" s="42">
        <v>30</v>
      </c>
      <c r="C459" s="42" t="s">
        <v>72</v>
      </c>
      <c r="D459" s="42">
        <v>20</v>
      </c>
    </row>
    <row r="460" spans="1:4" hidden="1">
      <c r="A460" s="42" t="s">
        <v>425</v>
      </c>
      <c r="B460" s="42">
        <v>30</v>
      </c>
      <c r="C460" s="42" t="s">
        <v>72</v>
      </c>
      <c r="D460" s="42">
        <v>20</v>
      </c>
    </row>
    <row r="461" spans="1:4" hidden="1">
      <c r="A461" s="42" t="s">
        <v>426</v>
      </c>
      <c r="B461" s="42">
        <v>30</v>
      </c>
      <c r="C461" s="42" t="s">
        <v>72</v>
      </c>
      <c r="D461" s="42">
        <v>50</v>
      </c>
    </row>
    <row r="462" spans="1:4" hidden="1">
      <c r="A462" s="42" t="s">
        <v>431</v>
      </c>
      <c r="B462" s="42">
        <v>30</v>
      </c>
      <c r="C462" s="42" t="s">
        <v>72</v>
      </c>
      <c r="D462" s="42">
        <v>81</v>
      </c>
    </row>
    <row r="463" spans="1:4" hidden="1">
      <c r="A463" s="42" t="s">
        <v>434</v>
      </c>
      <c r="B463" s="42">
        <v>30</v>
      </c>
      <c r="C463" s="42" t="s">
        <v>72</v>
      </c>
      <c r="D463" s="42">
        <v>66</v>
      </c>
    </row>
    <row r="464" spans="1:4" hidden="1">
      <c r="A464" s="42" t="s">
        <v>435</v>
      </c>
      <c r="B464" s="42">
        <v>30</v>
      </c>
      <c r="C464" s="42" t="s">
        <v>72</v>
      </c>
      <c r="D464" s="42">
        <v>180</v>
      </c>
    </row>
    <row r="465" spans="1:4" hidden="1">
      <c r="A465" s="42" t="s">
        <v>1723</v>
      </c>
      <c r="B465" s="42">
        <v>30</v>
      </c>
      <c r="C465" s="42" t="s">
        <v>72</v>
      </c>
      <c r="D465" s="42">
        <v>350</v>
      </c>
    </row>
    <row r="466" spans="1:4" hidden="1">
      <c r="A466" s="42" t="s">
        <v>443</v>
      </c>
      <c r="B466" s="42">
        <v>30</v>
      </c>
      <c r="C466" s="42" t="s">
        <v>72</v>
      </c>
      <c r="D466" s="42">
        <v>50</v>
      </c>
    </row>
    <row r="467" spans="1:4" hidden="1">
      <c r="A467" s="42" t="s">
        <v>445</v>
      </c>
      <c r="B467" s="42">
        <v>30</v>
      </c>
      <c r="C467" s="42" t="s">
        <v>72</v>
      </c>
      <c r="D467" s="42">
        <v>50</v>
      </c>
    </row>
    <row r="468" spans="1:4" hidden="1">
      <c r="A468" s="42" t="s">
        <v>456</v>
      </c>
      <c r="B468" s="42">
        <v>30</v>
      </c>
      <c r="C468" s="42" t="s">
        <v>72</v>
      </c>
      <c r="D468" s="42">
        <v>9</v>
      </c>
    </row>
    <row r="469" spans="1:4" hidden="1">
      <c r="A469" s="42" t="s">
        <v>1728</v>
      </c>
      <c r="B469" s="42">
        <v>30</v>
      </c>
      <c r="C469" s="42" t="s">
        <v>72</v>
      </c>
      <c r="D469" s="42">
        <v>10</v>
      </c>
    </row>
    <row r="470" spans="1:4" hidden="1">
      <c r="A470" s="42" t="s">
        <v>489</v>
      </c>
      <c r="B470" s="42">
        <v>30</v>
      </c>
      <c r="C470" s="42" t="s">
        <v>72</v>
      </c>
      <c r="D470" s="42">
        <v>10</v>
      </c>
    </row>
    <row r="471" spans="1:4" hidden="1">
      <c r="A471" s="42" t="s">
        <v>491</v>
      </c>
      <c r="B471" s="42">
        <v>30</v>
      </c>
      <c r="C471" s="42" t="s">
        <v>72</v>
      </c>
      <c r="D471" s="42">
        <v>30</v>
      </c>
    </row>
    <row r="472" spans="1:4" hidden="1">
      <c r="A472" s="42" t="s">
        <v>1733</v>
      </c>
      <c r="B472" s="42">
        <v>30</v>
      </c>
      <c r="C472" s="42" t="s">
        <v>72</v>
      </c>
      <c r="D472" s="42">
        <v>10</v>
      </c>
    </row>
    <row r="473" spans="1:4" hidden="1">
      <c r="A473" s="42" t="s">
        <v>492</v>
      </c>
      <c r="B473" s="42">
        <v>30</v>
      </c>
      <c r="C473" s="42" t="s">
        <v>72</v>
      </c>
      <c r="D473" s="42">
        <v>20</v>
      </c>
    </row>
    <row r="474" spans="1:4" hidden="1">
      <c r="A474" s="42" t="s">
        <v>1734</v>
      </c>
      <c r="B474" s="42">
        <v>30</v>
      </c>
      <c r="C474" s="42" t="s">
        <v>72</v>
      </c>
      <c r="D474" s="42">
        <v>30</v>
      </c>
    </row>
    <row r="475" spans="1:4" hidden="1">
      <c r="A475" s="42" t="s">
        <v>1735</v>
      </c>
      <c r="B475" s="42">
        <v>30</v>
      </c>
      <c r="C475" s="42" t="s">
        <v>72</v>
      </c>
      <c r="D475" s="42">
        <v>33</v>
      </c>
    </row>
    <row r="476" spans="1:4" hidden="1">
      <c r="A476" s="42" t="s">
        <v>495</v>
      </c>
      <c r="B476" s="42">
        <v>30</v>
      </c>
      <c r="C476" s="42" t="s">
        <v>72</v>
      </c>
      <c r="D476" s="42">
        <v>104</v>
      </c>
    </row>
    <row r="477" spans="1:4" hidden="1">
      <c r="A477" s="42" t="s">
        <v>1736</v>
      </c>
      <c r="B477" s="42">
        <v>30</v>
      </c>
      <c r="C477" s="42" t="s">
        <v>72</v>
      </c>
      <c r="D477" s="42">
        <v>200</v>
      </c>
    </row>
    <row r="478" spans="1:4" hidden="1">
      <c r="A478" s="42" t="s">
        <v>1737</v>
      </c>
      <c r="B478" s="42">
        <v>30</v>
      </c>
      <c r="C478" s="42" t="s">
        <v>72</v>
      </c>
      <c r="D478" s="42">
        <v>20</v>
      </c>
    </row>
    <row r="479" spans="1:4" hidden="1">
      <c r="A479" s="42" t="s">
        <v>1743</v>
      </c>
      <c r="B479" s="42">
        <v>30</v>
      </c>
      <c r="C479" s="42" t="s">
        <v>72</v>
      </c>
      <c r="D479" s="42">
        <v>30</v>
      </c>
    </row>
    <row r="480" spans="1:4" hidden="1">
      <c r="A480" s="42" t="s">
        <v>520</v>
      </c>
      <c r="B480" s="42">
        <v>30</v>
      </c>
      <c r="C480" s="42" t="s">
        <v>72</v>
      </c>
      <c r="D480" s="42">
        <v>20</v>
      </c>
    </row>
    <row r="481" spans="1:4" hidden="1">
      <c r="A481" s="42" t="s">
        <v>528</v>
      </c>
      <c r="B481" s="42">
        <v>30</v>
      </c>
      <c r="C481" s="42" t="s">
        <v>72</v>
      </c>
      <c r="D481" s="42">
        <v>10</v>
      </c>
    </row>
    <row r="482" spans="1:4" hidden="1">
      <c r="A482" s="42" t="s">
        <v>529</v>
      </c>
      <c r="B482" s="42">
        <v>30</v>
      </c>
      <c r="C482" s="42" t="s">
        <v>72</v>
      </c>
      <c r="D482" s="42">
        <v>10</v>
      </c>
    </row>
    <row r="483" spans="1:4" hidden="1">
      <c r="A483" s="42" t="s">
        <v>533</v>
      </c>
      <c r="B483" s="42">
        <v>30</v>
      </c>
      <c r="C483" s="42" t="s">
        <v>72</v>
      </c>
      <c r="D483" s="42">
        <v>270</v>
      </c>
    </row>
    <row r="484" spans="1:4" hidden="1">
      <c r="A484" s="42" t="s">
        <v>534</v>
      </c>
      <c r="B484" s="42">
        <v>30</v>
      </c>
      <c r="C484" s="42" t="s">
        <v>72</v>
      </c>
      <c r="D484" s="42">
        <v>228</v>
      </c>
    </row>
    <row r="485" spans="1:4" hidden="1">
      <c r="A485" s="42" t="s">
        <v>1746</v>
      </c>
      <c r="B485" s="42">
        <v>30</v>
      </c>
      <c r="C485" s="42" t="s">
        <v>72</v>
      </c>
      <c r="D485" s="42">
        <v>310</v>
      </c>
    </row>
    <row r="486" spans="1:4" hidden="1">
      <c r="A486" s="42" t="s">
        <v>1747</v>
      </c>
      <c r="B486" s="42">
        <v>30</v>
      </c>
      <c r="C486" s="42" t="s">
        <v>72</v>
      </c>
      <c r="D486" s="42">
        <v>54</v>
      </c>
    </row>
    <row r="487" spans="1:4" hidden="1">
      <c r="A487" s="42" t="s">
        <v>544</v>
      </c>
      <c r="B487" s="42">
        <v>30</v>
      </c>
      <c r="C487" s="42" t="s">
        <v>72</v>
      </c>
      <c r="D487" s="42">
        <v>10</v>
      </c>
    </row>
    <row r="488" spans="1:4" hidden="1">
      <c r="A488" s="42" t="s">
        <v>545</v>
      </c>
      <c r="B488" s="42">
        <v>30</v>
      </c>
      <c r="C488" s="42" t="s">
        <v>72</v>
      </c>
      <c r="D488" s="42">
        <v>10</v>
      </c>
    </row>
    <row r="489" spans="1:4" hidden="1">
      <c r="A489" s="42" t="s">
        <v>546</v>
      </c>
      <c r="B489" s="42">
        <v>30</v>
      </c>
      <c r="C489" s="42" t="s">
        <v>72</v>
      </c>
      <c r="D489" s="42">
        <v>10</v>
      </c>
    </row>
    <row r="490" spans="1:4" hidden="1">
      <c r="A490" s="42" t="s">
        <v>547</v>
      </c>
      <c r="B490" s="42">
        <v>30</v>
      </c>
      <c r="C490" s="42" t="s">
        <v>72</v>
      </c>
      <c r="D490" s="42">
        <v>10</v>
      </c>
    </row>
    <row r="491" spans="1:4" hidden="1">
      <c r="A491" s="42" t="s">
        <v>549</v>
      </c>
      <c r="B491" s="42">
        <v>30</v>
      </c>
      <c r="C491" s="42" t="s">
        <v>72</v>
      </c>
      <c r="D491" s="42">
        <v>10</v>
      </c>
    </row>
    <row r="492" spans="1:4" hidden="1">
      <c r="A492" s="42" t="s">
        <v>551</v>
      </c>
      <c r="B492" s="42">
        <v>30</v>
      </c>
      <c r="C492" s="42" t="s">
        <v>72</v>
      </c>
      <c r="D492" s="42">
        <v>100</v>
      </c>
    </row>
    <row r="493" spans="1:4" hidden="1">
      <c r="A493" s="42" t="s">
        <v>1750</v>
      </c>
      <c r="B493" s="42">
        <v>30</v>
      </c>
      <c r="C493" s="42" t="s">
        <v>72</v>
      </c>
      <c r="D493" s="42">
        <v>50</v>
      </c>
    </row>
    <row r="494" spans="1:4" hidden="1">
      <c r="A494" s="42" t="s">
        <v>1751</v>
      </c>
      <c r="B494" s="42">
        <v>30</v>
      </c>
      <c r="C494" s="42" t="s">
        <v>72</v>
      </c>
      <c r="D494" s="42">
        <v>2</v>
      </c>
    </row>
    <row r="495" spans="1:4" hidden="1">
      <c r="A495" s="42" t="s">
        <v>1752</v>
      </c>
      <c r="B495" s="42">
        <v>30</v>
      </c>
      <c r="C495" s="42" t="s">
        <v>72</v>
      </c>
      <c r="D495" s="42">
        <v>50</v>
      </c>
    </row>
    <row r="496" spans="1:4" hidden="1">
      <c r="A496" s="42" t="s">
        <v>1762</v>
      </c>
      <c r="B496" s="42">
        <v>30</v>
      </c>
      <c r="C496" s="42" t="s">
        <v>72</v>
      </c>
      <c r="D496" s="42">
        <v>8</v>
      </c>
    </row>
    <row r="497" spans="1:4" hidden="1">
      <c r="A497" s="42" t="s">
        <v>629</v>
      </c>
      <c r="B497" s="42">
        <v>30</v>
      </c>
      <c r="C497" s="42" t="s">
        <v>72</v>
      </c>
      <c r="D497" s="42">
        <v>50</v>
      </c>
    </row>
    <row r="498" spans="1:4" hidden="1">
      <c r="A498" s="42" t="s">
        <v>635</v>
      </c>
      <c r="B498" s="42">
        <v>30</v>
      </c>
      <c r="C498" s="42" t="s">
        <v>72</v>
      </c>
      <c r="D498" s="42">
        <v>200</v>
      </c>
    </row>
    <row r="499" spans="1:4" hidden="1">
      <c r="A499" s="42" t="s">
        <v>642</v>
      </c>
      <c r="B499" s="42">
        <v>30</v>
      </c>
      <c r="C499" s="42" t="s">
        <v>72</v>
      </c>
      <c r="D499" s="42">
        <v>295</v>
      </c>
    </row>
    <row r="500" spans="1:4" hidden="1">
      <c r="A500" s="42" t="s">
        <v>647</v>
      </c>
      <c r="B500" s="42">
        <v>30</v>
      </c>
      <c r="C500" s="42" t="s">
        <v>72</v>
      </c>
      <c r="D500" s="42">
        <v>10</v>
      </c>
    </row>
    <row r="501" spans="1:4" hidden="1">
      <c r="A501" s="42" t="s">
        <v>648</v>
      </c>
      <c r="B501" s="42">
        <v>30</v>
      </c>
      <c r="C501" s="42" t="s">
        <v>72</v>
      </c>
      <c r="D501" s="42">
        <v>65</v>
      </c>
    </row>
    <row r="502" spans="1:4" hidden="1">
      <c r="A502" s="42" t="s">
        <v>649</v>
      </c>
      <c r="B502" s="42">
        <v>30</v>
      </c>
      <c r="C502" s="42" t="s">
        <v>72</v>
      </c>
      <c r="D502" s="42">
        <v>85</v>
      </c>
    </row>
    <row r="503" spans="1:4" hidden="1">
      <c r="A503" s="42" t="s">
        <v>1773</v>
      </c>
      <c r="B503" s="42">
        <v>30</v>
      </c>
      <c r="C503" s="42" t="s">
        <v>72</v>
      </c>
      <c r="D503" s="42">
        <v>7</v>
      </c>
    </row>
    <row r="504" spans="1:4" hidden="1">
      <c r="A504" s="42" t="s">
        <v>667</v>
      </c>
      <c r="B504" s="42">
        <v>30</v>
      </c>
      <c r="C504" s="42" t="s">
        <v>72</v>
      </c>
      <c r="D504" s="42">
        <v>20</v>
      </c>
    </row>
    <row r="505" spans="1:4" hidden="1">
      <c r="A505" s="42" t="s">
        <v>670</v>
      </c>
      <c r="B505" s="42">
        <v>30</v>
      </c>
      <c r="C505" s="42" t="s">
        <v>72</v>
      </c>
      <c r="D505" s="42">
        <v>10</v>
      </c>
    </row>
    <row r="506" spans="1:4" hidden="1">
      <c r="A506" s="42" t="s">
        <v>676</v>
      </c>
      <c r="B506" s="42">
        <v>30</v>
      </c>
      <c r="C506" s="42" t="s">
        <v>72</v>
      </c>
      <c r="D506" s="42">
        <v>20</v>
      </c>
    </row>
    <row r="507" spans="1:4" hidden="1">
      <c r="A507" s="42" t="s">
        <v>677</v>
      </c>
      <c r="B507" s="42">
        <v>30</v>
      </c>
      <c r="C507" s="42" t="s">
        <v>72</v>
      </c>
      <c r="D507" s="42">
        <v>20</v>
      </c>
    </row>
    <row r="508" spans="1:4" hidden="1">
      <c r="A508" s="42" t="s">
        <v>1782</v>
      </c>
      <c r="B508" s="42">
        <v>30</v>
      </c>
      <c r="C508" s="42" t="s">
        <v>72</v>
      </c>
      <c r="D508" s="42">
        <v>5</v>
      </c>
    </row>
    <row r="509" spans="1:4" hidden="1">
      <c r="A509" s="42" t="s">
        <v>702</v>
      </c>
      <c r="B509" s="42">
        <v>30</v>
      </c>
      <c r="C509" s="42" t="s">
        <v>72</v>
      </c>
      <c r="D509" s="42">
        <v>60</v>
      </c>
    </row>
    <row r="510" spans="1:4" hidden="1">
      <c r="A510" s="42" t="s">
        <v>703</v>
      </c>
      <c r="B510" s="42">
        <v>30</v>
      </c>
      <c r="C510" s="42" t="s">
        <v>72</v>
      </c>
      <c r="D510" s="42">
        <v>20</v>
      </c>
    </row>
    <row r="511" spans="1:4" hidden="1">
      <c r="A511" s="42" t="s">
        <v>707</v>
      </c>
      <c r="B511" s="42">
        <v>30</v>
      </c>
      <c r="C511" s="42" t="s">
        <v>72</v>
      </c>
      <c r="D511" s="42">
        <v>30</v>
      </c>
    </row>
    <row r="512" spans="1:4" hidden="1">
      <c r="A512" s="42" t="s">
        <v>709</v>
      </c>
      <c r="B512" s="42">
        <v>30</v>
      </c>
      <c r="C512" s="42" t="s">
        <v>72</v>
      </c>
      <c r="D512" s="42">
        <v>20</v>
      </c>
    </row>
    <row r="513" spans="1:4" hidden="1">
      <c r="A513" s="42" t="s">
        <v>710</v>
      </c>
      <c r="B513" s="42">
        <v>30</v>
      </c>
      <c r="C513" s="42" t="s">
        <v>72</v>
      </c>
      <c r="D513" s="42">
        <v>10</v>
      </c>
    </row>
    <row r="514" spans="1:4" hidden="1">
      <c r="A514" s="42" t="s">
        <v>712</v>
      </c>
      <c r="B514" s="42">
        <v>30</v>
      </c>
      <c r="C514" s="42" t="s">
        <v>72</v>
      </c>
      <c r="D514" s="42">
        <v>1</v>
      </c>
    </row>
    <row r="515" spans="1:4" hidden="1">
      <c r="A515" s="42" t="s">
        <v>729</v>
      </c>
      <c r="B515" s="42">
        <v>30</v>
      </c>
      <c r="C515" s="42" t="s">
        <v>72</v>
      </c>
      <c r="D515" s="42">
        <v>44</v>
      </c>
    </row>
    <row r="516" spans="1:4" hidden="1">
      <c r="A516" s="42" t="s">
        <v>730</v>
      </c>
      <c r="B516" s="42">
        <v>30</v>
      </c>
      <c r="C516" s="42" t="s">
        <v>72</v>
      </c>
      <c r="D516" s="42">
        <v>40</v>
      </c>
    </row>
    <row r="517" spans="1:4" hidden="1">
      <c r="A517" s="42" t="s">
        <v>731</v>
      </c>
      <c r="B517" s="42">
        <v>30</v>
      </c>
      <c r="C517" s="42" t="s">
        <v>72</v>
      </c>
      <c r="D517" s="42">
        <v>50</v>
      </c>
    </row>
    <row r="518" spans="1:4" hidden="1">
      <c r="A518" s="42" t="s">
        <v>732</v>
      </c>
      <c r="B518" s="42">
        <v>30</v>
      </c>
      <c r="C518" s="42" t="s">
        <v>72</v>
      </c>
      <c r="D518" s="42">
        <v>3</v>
      </c>
    </row>
    <row r="519" spans="1:4" hidden="1">
      <c r="A519" s="42" t="s">
        <v>1821</v>
      </c>
      <c r="B519" s="42">
        <v>30</v>
      </c>
      <c r="C519" s="42" t="s">
        <v>72</v>
      </c>
      <c r="D519" s="42">
        <v>6</v>
      </c>
    </row>
    <row r="520" spans="1:4" hidden="1">
      <c r="A520" s="42" t="s">
        <v>750</v>
      </c>
      <c r="B520" s="42">
        <v>30</v>
      </c>
      <c r="C520" s="42" t="s">
        <v>72</v>
      </c>
      <c r="D520" s="42">
        <v>35</v>
      </c>
    </row>
    <row r="521" spans="1:4" hidden="1">
      <c r="A521" s="42" t="s">
        <v>758</v>
      </c>
      <c r="B521" s="42">
        <v>30</v>
      </c>
      <c r="C521" s="42" t="s">
        <v>72</v>
      </c>
      <c r="D521" s="42">
        <v>1</v>
      </c>
    </row>
    <row r="522" spans="1:4" hidden="1">
      <c r="A522" s="42" t="s">
        <v>759</v>
      </c>
      <c r="B522" s="42">
        <v>30</v>
      </c>
      <c r="C522" s="42" t="s">
        <v>72</v>
      </c>
      <c r="D522" s="42">
        <v>9</v>
      </c>
    </row>
    <row r="523" spans="1:4" hidden="1">
      <c r="A523" s="42" t="s">
        <v>1840</v>
      </c>
      <c r="B523" s="42">
        <v>30</v>
      </c>
      <c r="C523" s="42" t="s">
        <v>72</v>
      </c>
      <c r="D523" s="42">
        <v>6</v>
      </c>
    </row>
    <row r="524" spans="1:4" hidden="1">
      <c r="A524" s="42" t="s">
        <v>1852</v>
      </c>
      <c r="B524" s="42">
        <v>30</v>
      </c>
      <c r="C524" s="42" t="s">
        <v>72</v>
      </c>
      <c r="D524" s="42">
        <v>10</v>
      </c>
    </row>
    <row r="525" spans="1:4" hidden="1">
      <c r="A525" s="42" t="s">
        <v>781</v>
      </c>
      <c r="B525" s="42">
        <v>30</v>
      </c>
      <c r="C525" s="42" t="s">
        <v>72</v>
      </c>
      <c r="D525" s="42">
        <v>1000</v>
      </c>
    </row>
    <row r="526" spans="1:4" hidden="1">
      <c r="A526" s="42" t="s">
        <v>2002</v>
      </c>
      <c r="B526" s="42">
        <v>30</v>
      </c>
      <c r="C526" s="42" t="s">
        <v>72</v>
      </c>
      <c r="D526" s="42">
        <v>1120</v>
      </c>
    </row>
    <row r="527" spans="1:4" hidden="1">
      <c r="A527" s="42" t="s">
        <v>817</v>
      </c>
      <c r="B527" s="42">
        <v>30</v>
      </c>
      <c r="C527" s="42" t="s">
        <v>72</v>
      </c>
      <c r="D527" s="42">
        <v>97</v>
      </c>
    </row>
    <row r="528" spans="1:4" hidden="1">
      <c r="A528" s="42" t="s">
        <v>2009</v>
      </c>
      <c r="B528" s="42">
        <v>30</v>
      </c>
      <c r="C528" s="42" t="s">
        <v>72</v>
      </c>
      <c r="D528" s="42">
        <v>150</v>
      </c>
    </row>
    <row r="529" spans="1:4" hidden="1">
      <c r="A529" s="42" t="s">
        <v>818</v>
      </c>
      <c r="B529" s="42">
        <v>30</v>
      </c>
      <c r="C529" s="42" t="s">
        <v>72</v>
      </c>
      <c r="D529" s="42">
        <v>13</v>
      </c>
    </row>
    <row r="530" spans="1:4" hidden="1">
      <c r="A530" s="42" t="s">
        <v>824</v>
      </c>
      <c r="B530" s="42">
        <v>30</v>
      </c>
      <c r="C530" s="42" t="s">
        <v>72</v>
      </c>
      <c r="D530" s="42">
        <v>2</v>
      </c>
    </row>
    <row r="531" spans="1:4" hidden="1">
      <c r="A531" s="42" t="s">
        <v>827</v>
      </c>
      <c r="B531" s="42">
        <v>30</v>
      </c>
      <c r="C531" s="42" t="s">
        <v>72</v>
      </c>
      <c r="D531" s="42">
        <v>8</v>
      </c>
    </row>
    <row r="532" spans="1:4" hidden="1">
      <c r="A532" s="42" t="s">
        <v>2062</v>
      </c>
      <c r="B532" s="42">
        <v>30</v>
      </c>
      <c r="C532" s="42" t="s">
        <v>72</v>
      </c>
      <c r="D532" s="42">
        <v>35</v>
      </c>
    </row>
    <row r="533" spans="1:4" hidden="1">
      <c r="A533" s="42" t="s">
        <v>859</v>
      </c>
      <c r="B533" s="42">
        <v>30</v>
      </c>
      <c r="C533" s="42" t="s">
        <v>72</v>
      </c>
      <c r="D533" s="42">
        <v>10</v>
      </c>
    </row>
    <row r="534" spans="1:4" hidden="1">
      <c r="A534" s="42" t="s">
        <v>873</v>
      </c>
      <c r="B534" s="42">
        <v>30</v>
      </c>
      <c r="C534" s="42" t="s">
        <v>72</v>
      </c>
      <c r="D534" s="42">
        <v>1</v>
      </c>
    </row>
    <row r="535" spans="1:4" hidden="1">
      <c r="A535" s="42" t="s">
        <v>2140</v>
      </c>
      <c r="B535" s="42">
        <v>30</v>
      </c>
      <c r="C535" s="42" t="s">
        <v>72</v>
      </c>
      <c r="D535" s="42">
        <v>5</v>
      </c>
    </row>
    <row r="536" spans="1:4" hidden="1">
      <c r="A536" s="42" t="s">
        <v>902</v>
      </c>
      <c r="B536" s="42">
        <v>30</v>
      </c>
      <c r="C536" s="42" t="s">
        <v>72</v>
      </c>
      <c r="D536" s="42">
        <v>200</v>
      </c>
    </row>
    <row r="537" spans="1:4" hidden="1">
      <c r="A537" s="42" t="s">
        <v>908</v>
      </c>
      <c r="B537" s="42">
        <v>30</v>
      </c>
      <c r="C537" s="42" t="s">
        <v>72</v>
      </c>
      <c r="D537" s="42">
        <v>4</v>
      </c>
    </row>
    <row r="538" spans="1:4" hidden="1">
      <c r="A538" s="42" t="s">
        <v>944</v>
      </c>
      <c r="B538" s="42">
        <v>30</v>
      </c>
      <c r="C538" s="42" t="s">
        <v>72</v>
      </c>
      <c r="D538" s="42">
        <v>5</v>
      </c>
    </row>
    <row r="539" spans="1:4" hidden="1">
      <c r="A539" s="42" t="s">
        <v>945</v>
      </c>
      <c r="B539" s="42">
        <v>30</v>
      </c>
      <c r="C539" s="42" t="s">
        <v>72</v>
      </c>
      <c r="D539" s="42">
        <v>20</v>
      </c>
    </row>
    <row r="540" spans="1:4" hidden="1">
      <c r="A540" s="42" t="s">
        <v>947</v>
      </c>
      <c r="B540" s="42">
        <v>30</v>
      </c>
      <c r="C540" s="42" t="s">
        <v>72</v>
      </c>
      <c r="D540" s="42">
        <v>1</v>
      </c>
    </row>
    <row r="541" spans="1:4" hidden="1">
      <c r="A541" s="42" t="s">
        <v>961</v>
      </c>
      <c r="B541" s="42">
        <v>30</v>
      </c>
      <c r="C541" s="42" t="s">
        <v>72</v>
      </c>
      <c r="D541" s="42">
        <v>50</v>
      </c>
    </row>
    <row r="542" spans="1:4" hidden="1">
      <c r="A542" s="42" t="s">
        <v>965</v>
      </c>
      <c r="B542" s="42">
        <v>30</v>
      </c>
      <c r="C542" s="42" t="s">
        <v>72</v>
      </c>
      <c r="D542" s="42">
        <v>50</v>
      </c>
    </row>
    <row r="543" spans="1:4" hidden="1">
      <c r="A543" s="42" t="s">
        <v>972</v>
      </c>
      <c r="B543" s="42">
        <v>30</v>
      </c>
      <c r="C543" s="42" t="s">
        <v>72</v>
      </c>
      <c r="D543" s="42">
        <v>50</v>
      </c>
    </row>
    <row r="544" spans="1:4" hidden="1">
      <c r="A544" s="42" t="s">
        <v>974</v>
      </c>
      <c r="B544" s="42">
        <v>30</v>
      </c>
      <c r="C544" s="42" t="s">
        <v>72</v>
      </c>
      <c r="D544" s="42">
        <v>70</v>
      </c>
    </row>
    <row r="545" spans="1:4" hidden="1">
      <c r="A545" s="42" t="s">
        <v>996</v>
      </c>
      <c r="B545" s="42">
        <v>30</v>
      </c>
      <c r="C545" s="42" t="s">
        <v>72</v>
      </c>
      <c r="D545" s="42">
        <v>10</v>
      </c>
    </row>
    <row r="546" spans="1:4" hidden="1">
      <c r="A546" s="42" t="s">
        <v>2175</v>
      </c>
      <c r="B546" s="42">
        <v>30</v>
      </c>
      <c r="C546" s="42" t="s">
        <v>72</v>
      </c>
      <c r="D546" s="42">
        <v>10</v>
      </c>
    </row>
    <row r="547" spans="1:4" hidden="1">
      <c r="A547" s="42" t="s">
        <v>2178</v>
      </c>
      <c r="B547" s="42">
        <v>30</v>
      </c>
      <c r="C547" s="42" t="s">
        <v>72</v>
      </c>
      <c r="D547" s="42">
        <v>20</v>
      </c>
    </row>
    <row r="548" spans="1:4" hidden="1">
      <c r="A548" s="42" t="s">
        <v>1038</v>
      </c>
      <c r="B548" s="42">
        <v>30</v>
      </c>
      <c r="C548" s="42" t="s">
        <v>72</v>
      </c>
      <c r="D548" s="42">
        <v>20</v>
      </c>
    </row>
    <row r="549" spans="1:4" hidden="1">
      <c r="A549" s="42" t="s">
        <v>1051</v>
      </c>
      <c r="B549" s="42">
        <v>30</v>
      </c>
      <c r="C549" s="42" t="s">
        <v>72</v>
      </c>
      <c r="D549" s="42">
        <v>10</v>
      </c>
    </row>
    <row r="550" spans="1:4" hidden="1">
      <c r="A550" s="42" t="s">
        <v>1052</v>
      </c>
      <c r="B550" s="42">
        <v>30</v>
      </c>
      <c r="C550" s="42" t="s">
        <v>72</v>
      </c>
      <c r="D550" s="42">
        <v>5</v>
      </c>
    </row>
    <row r="551" spans="1:4" hidden="1">
      <c r="A551" s="42" t="s">
        <v>1067</v>
      </c>
      <c r="B551" s="42">
        <v>30</v>
      </c>
      <c r="C551" s="42" t="s">
        <v>72</v>
      </c>
      <c r="D551" s="42">
        <v>2</v>
      </c>
    </row>
    <row r="552" spans="1:4" hidden="1">
      <c r="A552" s="42" t="s">
        <v>1069</v>
      </c>
      <c r="B552" s="42">
        <v>30</v>
      </c>
      <c r="C552" s="42" t="s">
        <v>72</v>
      </c>
      <c r="D552" s="42">
        <v>2</v>
      </c>
    </row>
    <row r="553" spans="1:4" hidden="1">
      <c r="A553" s="42" t="s">
        <v>85</v>
      </c>
      <c r="B553" s="42">
        <v>30</v>
      </c>
      <c r="C553" s="42" t="s">
        <v>72</v>
      </c>
      <c r="D553" s="42">
        <v>10</v>
      </c>
    </row>
    <row r="554" spans="1:4" hidden="1">
      <c r="A554" s="42" t="s">
        <v>1075</v>
      </c>
      <c r="B554" s="42">
        <v>30</v>
      </c>
      <c r="C554" s="42" t="s">
        <v>72</v>
      </c>
      <c r="D554" s="42">
        <v>6</v>
      </c>
    </row>
    <row r="555" spans="1:4" hidden="1">
      <c r="A555" s="42" t="s">
        <v>1076</v>
      </c>
      <c r="B555" s="42">
        <v>30</v>
      </c>
      <c r="C555" s="42" t="s">
        <v>72</v>
      </c>
      <c r="D555" s="42">
        <v>56</v>
      </c>
    </row>
    <row r="556" spans="1:4" hidden="1">
      <c r="A556" s="42" t="s">
        <v>1083</v>
      </c>
      <c r="B556" s="42">
        <v>30</v>
      </c>
      <c r="C556" s="42" t="s">
        <v>72</v>
      </c>
      <c r="D556" s="42">
        <v>1</v>
      </c>
    </row>
    <row r="557" spans="1:4" hidden="1">
      <c r="A557" s="42" t="s">
        <v>1096</v>
      </c>
      <c r="B557" s="42">
        <v>30</v>
      </c>
      <c r="C557" s="42" t="s">
        <v>72</v>
      </c>
      <c r="D557" s="42">
        <v>3</v>
      </c>
    </row>
    <row r="558" spans="1:4" hidden="1">
      <c r="A558" s="42" t="s">
        <v>2232</v>
      </c>
      <c r="B558" s="42">
        <v>30</v>
      </c>
      <c r="C558" s="42" t="s">
        <v>72</v>
      </c>
      <c r="D558" s="42">
        <v>50</v>
      </c>
    </row>
    <row r="559" spans="1:4" hidden="1">
      <c r="A559" s="42" t="s">
        <v>2233</v>
      </c>
      <c r="B559" s="42">
        <v>30</v>
      </c>
      <c r="C559" s="42" t="s">
        <v>72</v>
      </c>
      <c r="D559" s="42">
        <v>30</v>
      </c>
    </row>
    <row r="560" spans="1:4" hidden="1">
      <c r="A560" s="42" t="s">
        <v>1116</v>
      </c>
      <c r="B560" s="42">
        <v>30</v>
      </c>
      <c r="C560" s="42" t="s">
        <v>72</v>
      </c>
      <c r="D560" s="42">
        <v>5</v>
      </c>
    </row>
    <row r="561" spans="1:4" hidden="1">
      <c r="A561" s="42" t="s">
        <v>1119</v>
      </c>
      <c r="B561" s="42">
        <v>30</v>
      </c>
      <c r="C561" s="42" t="s">
        <v>72</v>
      </c>
      <c r="D561" s="42">
        <v>90</v>
      </c>
    </row>
    <row r="562" spans="1:4" hidden="1">
      <c r="A562" s="42" t="s">
        <v>2254</v>
      </c>
      <c r="B562" s="42">
        <v>30</v>
      </c>
      <c r="C562" s="42" t="s">
        <v>72</v>
      </c>
      <c r="D562" s="42">
        <v>10</v>
      </c>
    </row>
    <row r="563" spans="1:4" hidden="1">
      <c r="A563" s="42" t="s">
        <v>1134</v>
      </c>
      <c r="B563" s="42">
        <v>30</v>
      </c>
      <c r="C563" s="42" t="s">
        <v>72</v>
      </c>
      <c r="D563" s="42">
        <v>17</v>
      </c>
    </row>
    <row r="564" spans="1:4" hidden="1">
      <c r="A564" s="42" t="s">
        <v>2308</v>
      </c>
      <c r="B564" s="42">
        <v>30</v>
      </c>
      <c r="C564" s="42" t="s">
        <v>72</v>
      </c>
      <c r="D564" s="42">
        <v>5</v>
      </c>
    </row>
    <row r="565" spans="1:4" hidden="1">
      <c r="A565" s="42" t="s">
        <v>1171</v>
      </c>
      <c r="B565" s="42">
        <v>30</v>
      </c>
      <c r="C565" s="42" t="s">
        <v>72</v>
      </c>
      <c r="D565" s="42">
        <v>28</v>
      </c>
    </row>
    <row r="566" spans="1:4" hidden="1">
      <c r="A566" s="42" t="s">
        <v>1841</v>
      </c>
      <c r="B566" s="42">
        <v>30</v>
      </c>
      <c r="C566" s="42" t="s">
        <v>72</v>
      </c>
      <c r="D566" s="42">
        <v>4080</v>
      </c>
    </row>
    <row r="567" spans="1:4" hidden="1">
      <c r="A567" s="42" t="s">
        <v>1180</v>
      </c>
      <c r="B567" s="42">
        <v>30</v>
      </c>
      <c r="C567" s="42" t="s">
        <v>72</v>
      </c>
      <c r="D567" s="42">
        <v>9000</v>
      </c>
    </row>
    <row r="568" spans="1:4" hidden="1">
      <c r="A568" s="42" t="s">
        <v>1181</v>
      </c>
      <c r="B568" s="42">
        <v>30</v>
      </c>
      <c r="C568" s="42" t="s">
        <v>72</v>
      </c>
      <c r="D568" s="42">
        <v>4800</v>
      </c>
    </row>
    <row r="569" spans="1:4" hidden="1">
      <c r="A569" s="42" t="s">
        <v>1182</v>
      </c>
      <c r="B569" s="42">
        <v>30</v>
      </c>
      <c r="C569" s="42" t="s">
        <v>72</v>
      </c>
      <c r="D569" s="42">
        <v>3000</v>
      </c>
    </row>
    <row r="570" spans="1:4" hidden="1">
      <c r="A570" s="42" t="s">
        <v>1841</v>
      </c>
      <c r="B570" s="42">
        <v>30</v>
      </c>
      <c r="C570" s="42" t="s">
        <v>72</v>
      </c>
      <c r="D570" s="42">
        <v>10320</v>
      </c>
    </row>
    <row r="571" spans="1:4" hidden="1">
      <c r="A571" s="42" t="s">
        <v>729</v>
      </c>
      <c r="B571" s="42">
        <v>30</v>
      </c>
      <c r="C571" s="42" t="s">
        <v>72</v>
      </c>
      <c r="D571" s="42">
        <v>1</v>
      </c>
    </row>
    <row r="572" spans="1:4" hidden="1">
      <c r="A572" s="42" t="s">
        <v>1180</v>
      </c>
      <c r="B572" s="42">
        <v>31</v>
      </c>
      <c r="C572" s="42" t="s">
        <v>72</v>
      </c>
      <c r="D572" s="42">
        <v>1704</v>
      </c>
    </row>
    <row r="573" spans="1:4" hidden="1">
      <c r="A573" s="42" t="s">
        <v>1181</v>
      </c>
      <c r="B573" s="42">
        <v>31</v>
      </c>
      <c r="C573" s="42" t="s">
        <v>72</v>
      </c>
      <c r="D573" s="42">
        <v>2088</v>
      </c>
    </row>
    <row r="574" spans="1:4" hidden="1">
      <c r="A574" s="42" t="s">
        <v>1182</v>
      </c>
      <c r="B574" s="42">
        <v>31</v>
      </c>
      <c r="C574" s="42" t="s">
        <v>72</v>
      </c>
      <c r="D574" s="42">
        <v>180</v>
      </c>
    </row>
    <row r="575" spans="1:4" hidden="1">
      <c r="A575" s="42" t="s">
        <v>1180</v>
      </c>
      <c r="B575" s="42">
        <v>31</v>
      </c>
      <c r="C575" s="42" t="s">
        <v>72</v>
      </c>
      <c r="D575" s="42">
        <v>300</v>
      </c>
    </row>
    <row r="576" spans="1:4" hidden="1">
      <c r="A576" s="42" t="s">
        <v>1181</v>
      </c>
      <c r="B576" s="42">
        <v>31</v>
      </c>
      <c r="C576" s="42" t="s">
        <v>72</v>
      </c>
      <c r="D576" s="42">
        <v>1200</v>
      </c>
    </row>
    <row r="577" spans="1:4" hidden="1">
      <c r="A577" s="42" t="s">
        <v>1182</v>
      </c>
      <c r="B577" s="42">
        <v>31</v>
      </c>
      <c r="C577" s="42" t="s">
        <v>72</v>
      </c>
      <c r="D577" s="42">
        <v>600</v>
      </c>
    </row>
    <row r="578" spans="1:4" hidden="1">
      <c r="A578" s="42" t="s">
        <v>185</v>
      </c>
      <c r="B578" s="42">
        <v>0</v>
      </c>
      <c r="C578" s="42" t="s">
        <v>72</v>
      </c>
      <c r="D578" s="42">
        <v>127</v>
      </c>
    </row>
    <row r="579" spans="1:4" hidden="1">
      <c r="A579" s="42" t="s">
        <v>188</v>
      </c>
      <c r="B579" s="42">
        <v>0</v>
      </c>
      <c r="C579" s="42" t="s">
        <v>72</v>
      </c>
      <c r="D579" s="42">
        <v>10</v>
      </c>
    </row>
    <row r="580" spans="1:4" hidden="1">
      <c r="A580" s="42" t="s">
        <v>1640</v>
      </c>
      <c r="B580" s="42">
        <v>0</v>
      </c>
      <c r="C580" s="42" t="s">
        <v>72</v>
      </c>
      <c r="D580" s="42">
        <v>64</v>
      </c>
    </row>
    <row r="581" spans="1:4" hidden="1">
      <c r="A581" s="42" t="s">
        <v>191</v>
      </c>
      <c r="B581" s="42">
        <v>0</v>
      </c>
      <c r="C581" s="42" t="s">
        <v>72</v>
      </c>
      <c r="D581" s="42">
        <v>8</v>
      </c>
    </row>
    <row r="582" spans="1:4" hidden="1">
      <c r="A582" s="42" t="s">
        <v>192</v>
      </c>
      <c r="B582" s="42">
        <v>0</v>
      </c>
      <c r="C582" s="42" t="s">
        <v>72</v>
      </c>
      <c r="D582" s="42">
        <v>8</v>
      </c>
    </row>
    <row r="583" spans="1:4" hidden="1">
      <c r="A583" s="42" t="s">
        <v>193</v>
      </c>
      <c r="B583" s="42">
        <v>0</v>
      </c>
      <c r="C583" s="42" t="s">
        <v>72</v>
      </c>
      <c r="D583" s="42">
        <v>250</v>
      </c>
    </row>
    <row r="584" spans="1:4" hidden="1">
      <c r="A584" s="42" t="s">
        <v>1642</v>
      </c>
      <c r="B584" s="42">
        <v>0</v>
      </c>
      <c r="C584" s="42" t="s">
        <v>72</v>
      </c>
      <c r="D584" s="42">
        <v>242</v>
      </c>
    </row>
    <row r="585" spans="1:4" hidden="1">
      <c r="A585" s="42" t="s">
        <v>217</v>
      </c>
      <c r="B585" s="42">
        <v>0</v>
      </c>
      <c r="C585" s="42" t="s">
        <v>72</v>
      </c>
      <c r="D585" s="42">
        <v>149</v>
      </c>
    </row>
    <row r="586" spans="1:4" hidden="1">
      <c r="A586" s="42" t="s">
        <v>221</v>
      </c>
      <c r="B586" s="42">
        <v>0</v>
      </c>
      <c r="C586" s="42" t="s">
        <v>72</v>
      </c>
      <c r="D586" s="42">
        <v>10</v>
      </c>
    </row>
    <row r="587" spans="1:4" hidden="1">
      <c r="A587" s="42" t="s">
        <v>222</v>
      </c>
      <c r="B587" s="42">
        <v>0</v>
      </c>
      <c r="C587" s="42" t="s">
        <v>72</v>
      </c>
      <c r="D587" s="42">
        <v>15</v>
      </c>
    </row>
    <row r="588" spans="1:4" hidden="1">
      <c r="A588" s="42" t="s">
        <v>235</v>
      </c>
      <c r="B588" s="42">
        <v>0</v>
      </c>
      <c r="C588" s="42" t="s">
        <v>72</v>
      </c>
      <c r="D588" s="42">
        <v>20</v>
      </c>
    </row>
    <row r="589" spans="1:4" hidden="1">
      <c r="A589" s="42" t="s">
        <v>1653</v>
      </c>
      <c r="B589" s="42">
        <v>0</v>
      </c>
      <c r="C589" s="42" t="s">
        <v>72</v>
      </c>
      <c r="D589" s="42">
        <v>20</v>
      </c>
    </row>
    <row r="590" spans="1:4" hidden="1">
      <c r="A590" s="42" t="s">
        <v>243</v>
      </c>
      <c r="B590" s="42">
        <v>0</v>
      </c>
      <c r="C590" s="42" t="s">
        <v>72</v>
      </c>
      <c r="D590" s="42">
        <v>530</v>
      </c>
    </row>
    <row r="591" spans="1:4" hidden="1">
      <c r="A591" s="42" t="s">
        <v>249</v>
      </c>
      <c r="B591" s="42">
        <v>0</v>
      </c>
      <c r="C591" s="42" t="s">
        <v>72</v>
      </c>
      <c r="D591" s="42">
        <v>120</v>
      </c>
    </row>
    <row r="592" spans="1:4" hidden="1">
      <c r="A592" s="42" t="s">
        <v>252</v>
      </c>
      <c r="B592" s="42">
        <v>0</v>
      </c>
      <c r="C592" s="42" t="s">
        <v>72</v>
      </c>
      <c r="D592" s="42">
        <v>3</v>
      </c>
    </row>
    <row r="593" spans="1:4" hidden="1">
      <c r="A593" s="42" t="s">
        <v>253</v>
      </c>
      <c r="B593" s="42">
        <v>0</v>
      </c>
      <c r="C593" s="42" t="s">
        <v>72</v>
      </c>
      <c r="D593" s="42">
        <v>185</v>
      </c>
    </row>
    <row r="594" spans="1:4" hidden="1">
      <c r="A594" s="42" t="s">
        <v>258</v>
      </c>
      <c r="B594" s="42">
        <v>0</v>
      </c>
      <c r="C594" s="42" t="s">
        <v>72</v>
      </c>
      <c r="D594" s="42">
        <v>1</v>
      </c>
    </row>
    <row r="595" spans="1:4" hidden="1">
      <c r="A595" s="42" t="s">
        <v>259</v>
      </c>
      <c r="B595" s="42">
        <v>0</v>
      </c>
      <c r="C595" s="42" t="s">
        <v>72</v>
      </c>
      <c r="D595" s="42">
        <v>400</v>
      </c>
    </row>
    <row r="596" spans="1:4" hidden="1">
      <c r="A596" s="42" t="s">
        <v>289</v>
      </c>
      <c r="B596" s="42">
        <v>0</v>
      </c>
      <c r="C596" s="42" t="s">
        <v>72</v>
      </c>
      <c r="D596" s="42">
        <v>8</v>
      </c>
    </row>
    <row r="597" spans="1:4" hidden="1">
      <c r="A597" s="42" t="s">
        <v>290</v>
      </c>
      <c r="B597" s="42">
        <v>0</v>
      </c>
      <c r="C597" s="42" t="s">
        <v>72</v>
      </c>
      <c r="D597" s="42">
        <v>25</v>
      </c>
    </row>
    <row r="598" spans="1:4" hidden="1">
      <c r="A598" s="42" t="s">
        <v>301</v>
      </c>
      <c r="B598" s="42">
        <v>0</v>
      </c>
      <c r="C598" s="42" t="s">
        <v>72</v>
      </c>
      <c r="D598" s="42">
        <v>53</v>
      </c>
    </row>
    <row r="599" spans="1:4" hidden="1">
      <c r="A599" s="42" t="s">
        <v>302</v>
      </c>
      <c r="B599" s="42">
        <v>0</v>
      </c>
      <c r="C599" s="42" t="s">
        <v>72</v>
      </c>
      <c r="D599" s="42">
        <v>21</v>
      </c>
    </row>
    <row r="600" spans="1:4" hidden="1">
      <c r="A600" s="42" t="s">
        <v>304</v>
      </c>
      <c r="B600" s="42">
        <v>0</v>
      </c>
      <c r="C600" s="42" t="s">
        <v>72</v>
      </c>
      <c r="D600" s="42">
        <v>54</v>
      </c>
    </row>
    <row r="601" spans="1:4" hidden="1">
      <c r="A601" s="42" t="s">
        <v>307</v>
      </c>
      <c r="B601" s="42">
        <v>0</v>
      </c>
      <c r="C601" s="42" t="s">
        <v>72</v>
      </c>
      <c r="D601" s="42">
        <v>3</v>
      </c>
    </row>
    <row r="602" spans="1:4" hidden="1">
      <c r="A602" s="42" t="s">
        <v>309</v>
      </c>
      <c r="B602" s="42">
        <v>0</v>
      </c>
      <c r="C602" s="42" t="s">
        <v>72</v>
      </c>
      <c r="D602" s="42">
        <v>3</v>
      </c>
    </row>
    <row r="603" spans="1:4" hidden="1">
      <c r="A603" s="42" t="s">
        <v>1667</v>
      </c>
      <c r="B603" s="42">
        <v>0</v>
      </c>
      <c r="C603" s="42" t="s">
        <v>72</v>
      </c>
      <c r="D603" s="42">
        <v>160</v>
      </c>
    </row>
    <row r="604" spans="1:4" hidden="1">
      <c r="A604" s="42" t="s">
        <v>312</v>
      </c>
      <c r="B604" s="42">
        <v>0</v>
      </c>
      <c r="C604" s="42" t="s">
        <v>72</v>
      </c>
      <c r="D604" s="42">
        <v>140</v>
      </c>
    </row>
    <row r="605" spans="1:4" hidden="1">
      <c r="A605" s="42" t="s">
        <v>313</v>
      </c>
      <c r="B605" s="42">
        <v>0</v>
      </c>
      <c r="C605" s="42" t="s">
        <v>72</v>
      </c>
      <c r="D605" s="42">
        <v>290</v>
      </c>
    </row>
    <row r="606" spans="1:4" hidden="1">
      <c r="A606" s="42" t="s">
        <v>1677</v>
      </c>
      <c r="B606" s="42">
        <v>0</v>
      </c>
      <c r="C606" s="42" t="s">
        <v>72</v>
      </c>
      <c r="D606" s="42">
        <v>129</v>
      </c>
    </row>
    <row r="607" spans="1:4" hidden="1">
      <c r="A607" s="42" t="s">
        <v>323</v>
      </c>
      <c r="B607" s="42">
        <v>0</v>
      </c>
      <c r="C607" s="42" t="s">
        <v>72</v>
      </c>
      <c r="D607" s="42">
        <v>32</v>
      </c>
    </row>
    <row r="608" spans="1:4" hidden="1">
      <c r="A608" s="42" t="s">
        <v>324</v>
      </c>
      <c r="B608" s="42">
        <v>0</v>
      </c>
      <c r="C608" s="42" t="s">
        <v>72</v>
      </c>
      <c r="D608" s="42">
        <v>2</v>
      </c>
    </row>
    <row r="609" spans="1:4" hidden="1">
      <c r="A609" s="42" t="s">
        <v>325</v>
      </c>
      <c r="B609" s="42">
        <v>0</v>
      </c>
      <c r="C609" s="42" t="s">
        <v>72</v>
      </c>
      <c r="D609" s="42">
        <v>9</v>
      </c>
    </row>
    <row r="610" spans="1:4" hidden="1">
      <c r="A610" s="42" t="s">
        <v>326</v>
      </c>
      <c r="B610" s="42">
        <v>0</v>
      </c>
      <c r="C610" s="42" t="s">
        <v>72</v>
      </c>
      <c r="D610" s="42">
        <v>4</v>
      </c>
    </row>
    <row r="611" spans="1:4" hidden="1">
      <c r="A611" s="42" t="s">
        <v>330</v>
      </c>
      <c r="B611" s="42">
        <v>0</v>
      </c>
      <c r="C611" s="42" t="s">
        <v>72</v>
      </c>
      <c r="D611" s="42">
        <v>489</v>
      </c>
    </row>
    <row r="612" spans="1:4" hidden="1">
      <c r="A612" s="42" t="s">
        <v>334</v>
      </c>
      <c r="B612" s="42">
        <v>0</v>
      </c>
      <c r="C612" s="42" t="s">
        <v>72</v>
      </c>
      <c r="D612" s="42">
        <v>3</v>
      </c>
    </row>
    <row r="613" spans="1:4" hidden="1">
      <c r="A613" s="42" t="s">
        <v>337</v>
      </c>
      <c r="B613" s="42">
        <v>0</v>
      </c>
      <c r="C613" s="42" t="s">
        <v>72</v>
      </c>
      <c r="D613" s="42">
        <v>60</v>
      </c>
    </row>
    <row r="614" spans="1:4" hidden="1">
      <c r="A614" s="42" t="s">
        <v>342</v>
      </c>
      <c r="B614" s="42">
        <v>0</v>
      </c>
      <c r="C614" s="42" t="s">
        <v>72</v>
      </c>
      <c r="D614" s="42">
        <v>7</v>
      </c>
    </row>
    <row r="615" spans="1:4" hidden="1">
      <c r="A615" s="42" t="s">
        <v>1682</v>
      </c>
      <c r="B615" s="42">
        <v>0</v>
      </c>
      <c r="C615" s="42" t="s">
        <v>72</v>
      </c>
      <c r="D615" s="42">
        <v>5</v>
      </c>
    </row>
    <row r="616" spans="1:4" hidden="1">
      <c r="A616" s="42" t="s">
        <v>345</v>
      </c>
      <c r="B616" s="42">
        <v>0</v>
      </c>
      <c r="C616" s="42" t="s">
        <v>72</v>
      </c>
      <c r="D616" s="42">
        <v>80</v>
      </c>
    </row>
    <row r="617" spans="1:4" hidden="1">
      <c r="A617" s="42" t="s">
        <v>348</v>
      </c>
      <c r="B617" s="42">
        <v>0</v>
      </c>
      <c r="C617" s="42" t="s">
        <v>72</v>
      </c>
      <c r="D617" s="42">
        <v>5</v>
      </c>
    </row>
    <row r="618" spans="1:4" hidden="1">
      <c r="A618" s="42" t="s">
        <v>352</v>
      </c>
      <c r="B618" s="42">
        <v>0</v>
      </c>
      <c r="C618" s="42" t="s">
        <v>72</v>
      </c>
      <c r="D618" s="42">
        <v>3</v>
      </c>
    </row>
    <row r="619" spans="1:4" hidden="1">
      <c r="A619" s="42" t="s">
        <v>353</v>
      </c>
      <c r="B619" s="42">
        <v>0</v>
      </c>
      <c r="C619" s="42" t="s">
        <v>72</v>
      </c>
      <c r="D619" s="42">
        <v>17</v>
      </c>
    </row>
    <row r="620" spans="1:4" hidden="1">
      <c r="A620" s="42" t="s">
        <v>354</v>
      </c>
      <c r="B620" s="42">
        <v>0</v>
      </c>
      <c r="C620" s="42" t="s">
        <v>72</v>
      </c>
      <c r="D620" s="42">
        <v>231</v>
      </c>
    </row>
    <row r="621" spans="1:4" hidden="1">
      <c r="A621" s="42" t="s">
        <v>355</v>
      </c>
      <c r="B621" s="42">
        <v>0</v>
      </c>
      <c r="C621" s="42" t="s">
        <v>72</v>
      </c>
      <c r="D621" s="42">
        <v>3</v>
      </c>
    </row>
    <row r="622" spans="1:4" hidden="1">
      <c r="A622" s="42" t="s">
        <v>356</v>
      </c>
      <c r="B622" s="42">
        <v>0</v>
      </c>
      <c r="C622" s="42" t="s">
        <v>72</v>
      </c>
      <c r="D622" s="42">
        <v>23</v>
      </c>
    </row>
    <row r="623" spans="1:4" hidden="1">
      <c r="A623" s="42" t="s">
        <v>357</v>
      </c>
      <c r="B623" s="42">
        <v>0</v>
      </c>
      <c r="C623" s="42" t="s">
        <v>72</v>
      </c>
      <c r="D623" s="42">
        <v>3</v>
      </c>
    </row>
    <row r="624" spans="1:4" hidden="1">
      <c r="A624" s="42" t="s">
        <v>358</v>
      </c>
      <c r="B624" s="42">
        <v>0</v>
      </c>
      <c r="C624" s="42" t="s">
        <v>72</v>
      </c>
      <c r="D624" s="42">
        <v>6</v>
      </c>
    </row>
    <row r="625" spans="1:4" hidden="1">
      <c r="A625" s="42" t="s">
        <v>360</v>
      </c>
      <c r="B625" s="42">
        <v>0</v>
      </c>
      <c r="C625" s="42" t="s">
        <v>72</v>
      </c>
      <c r="D625" s="42">
        <v>47</v>
      </c>
    </row>
    <row r="626" spans="1:4" hidden="1">
      <c r="A626" s="42" t="s">
        <v>1692</v>
      </c>
      <c r="B626" s="42">
        <v>0</v>
      </c>
      <c r="C626" s="42" t="s">
        <v>72</v>
      </c>
      <c r="D626" s="42">
        <v>47</v>
      </c>
    </row>
    <row r="627" spans="1:4" hidden="1">
      <c r="A627" s="42" t="s">
        <v>361</v>
      </c>
      <c r="B627" s="42">
        <v>0</v>
      </c>
      <c r="C627" s="42" t="s">
        <v>72</v>
      </c>
      <c r="D627" s="42">
        <v>55</v>
      </c>
    </row>
    <row r="628" spans="1:4" hidden="1">
      <c r="A628" s="42" t="s">
        <v>364</v>
      </c>
      <c r="B628" s="42">
        <v>0</v>
      </c>
      <c r="C628" s="42" t="s">
        <v>72</v>
      </c>
      <c r="D628" s="42">
        <v>63</v>
      </c>
    </row>
    <row r="629" spans="1:4" hidden="1">
      <c r="A629" s="42" t="s">
        <v>371</v>
      </c>
      <c r="B629" s="42">
        <v>0</v>
      </c>
      <c r="C629" s="42" t="s">
        <v>72</v>
      </c>
      <c r="D629" s="42">
        <v>94</v>
      </c>
    </row>
    <row r="630" spans="1:4" hidden="1">
      <c r="A630" s="42" t="s">
        <v>373</v>
      </c>
      <c r="B630" s="42">
        <v>0</v>
      </c>
      <c r="C630" s="42" t="s">
        <v>72</v>
      </c>
      <c r="D630" s="42">
        <v>130</v>
      </c>
    </row>
    <row r="631" spans="1:4" hidden="1">
      <c r="A631" s="42" t="s">
        <v>377</v>
      </c>
      <c r="B631" s="42">
        <v>0</v>
      </c>
      <c r="C631" s="42" t="s">
        <v>72</v>
      </c>
      <c r="D631" s="42">
        <v>2</v>
      </c>
    </row>
    <row r="632" spans="1:4" hidden="1">
      <c r="A632" s="42" t="s">
        <v>381</v>
      </c>
      <c r="B632" s="42">
        <v>0</v>
      </c>
      <c r="C632" s="42" t="s">
        <v>72</v>
      </c>
      <c r="D632" s="42">
        <v>2</v>
      </c>
    </row>
    <row r="633" spans="1:4" hidden="1">
      <c r="A633" s="42" t="s">
        <v>385</v>
      </c>
      <c r="B633" s="42">
        <v>0</v>
      </c>
      <c r="C633" s="42" t="s">
        <v>72</v>
      </c>
      <c r="D633" s="42">
        <v>70</v>
      </c>
    </row>
    <row r="634" spans="1:4" hidden="1">
      <c r="A634" s="42" t="s">
        <v>389</v>
      </c>
      <c r="B634" s="42">
        <v>0</v>
      </c>
      <c r="C634" s="42" t="s">
        <v>72</v>
      </c>
      <c r="D634" s="42">
        <v>3</v>
      </c>
    </row>
    <row r="635" spans="1:4" hidden="1">
      <c r="A635" s="42" t="s">
        <v>393</v>
      </c>
      <c r="B635" s="42">
        <v>0</v>
      </c>
      <c r="C635" s="42" t="s">
        <v>72</v>
      </c>
      <c r="D635" s="42">
        <v>500</v>
      </c>
    </row>
    <row r="636" spans="1:4" hidden="1">
      <c r="A636" s="42" t="s">
        <v>1707</v>
      </c>
      <c r="B636" s="42">
        <v>0</v>
      </c>
      <c r="C636" s="42" t="s">
        <v>72</v>
      </c>
      <c r="D636" s="42">
        <v>375</v>
      </c>
    </row>
    <row r="637" spans="1:4" hidden="1">
      <c r="A637" s="42" t="s">
        <v>1713</v>
      </c>
      <c r="B637" s="42">
        <v>0</v>
      </c>
      <c r="C637" s="42" t="s">
        <v>72</v>
      </c>
      <c r="D637" s="42">
        <v>44</v>
      </c>
    </row>
    <row r="638" spans="1:4" hidden="1">
      <c r="A638" s="42" t="s">
        <v>411</v>
      </c>
      <c r="B638" s="42">
        <v>0</v>
      </c>
      <c r="C638" s="42" t="s">
        <v>72</v>
      </c>
      <c r="D638" s="42">
        <v>32</v>
      </c>
    </row>
    <row r="639" spans="1:4" hidden="1">
      <c r="A639" s="42" t="s">
        <v>1716</v>
      </c>
      <c r="B639" s="42">
        <v>0</v>
      </c>
      <c r="C639" s="42" t="s">
        <v>72</v>
      </c>
      <c r="D639" s="42">
        <v>200</v>
      </c>
    </row>
    <row r="640" spans="1:4" hidden="1">
      <c r="A640" s="42" t="s">
        <v>417</v>
      </c>
      <c r="B640" s="42">
        <v>0</v>
      </c>
      <c r="C640" s="42" t="s">
        <v>72</v>
      </c>
      <c r="D640" s="42">
        <v>500</v>
      </c>
    </row>
    <row r="641" spans="1:4" hidden="1">
      <c r="A641" s="42" t="s">
        <v>420</v>
      </c>
      <c r="B641" s="42">
        <v>0</v>
      </c>
      <c r="C641" s="42" t="s">
        <v>72</v>
      </c>
      <c r="D641" s="42">
        <v>18</v>
      </c>
    </row>
    <row r="642" spans="1:4" hidden="1">
      <c r="A642" s="42" t="s">
        <v>422</v>
      </c>
      <c r="B642" s="42">
        <v>0</v>
      </c>
      <c r="C642" s="42" t="s">
        <v>72</v>
      </c>
      <c r="D642" s="42">
        <v>8</v>
      </c>
    </row>
    <row r="643" spans="1:4" hidden="1">
      <c r="A643" s="42" t="s">
        <v>425</v>
      </c>
      <c r="B643" s="42">
        <v>0</v>
      </c>
      <c r="C643" s="42" t="s">
        <v>72</v>
      </c>
      <c r="D643" s="42">
        <v>59</v>
      </c>
    </row>
    <row r="644" spans="1:4" hidden="1">
      <c r="A644" s="42" t="s">
        <v>427</v>
      </c>
      <c r="B644" s="42">
        <v>0</v>
      </c>
      <c r="C644" s="42" t="s">
        <v>72</v>
      </c>
      <c r="D644" s="42">
        <v>30</v>
      </c>
    </row>
    <row r="645" spans="1:4" hidden="1">
      <c r="A645" s="42" t="s">
        <v>431</v>
      </c>
      <c r="B645" s="42">
        <v>0</v>
      </c>
      <c r="C645" s="42" t="s">
        <v>72</v>
      </c>
      <c r="D645" s="42">
        <v>51</v>
      </c>
    </row>
    <row r="646" spans="1:4" hidden="1">
      <c r="A646" s="42" t="s">
        <v>432</v>
      </c>
      <c r="B646" s="42">
        <v>0</v>
      </c>
      <c r="C646" s="42" t="s">
        <v>72</v>
      </c>
      <c r="D646" s="42">
        <v>3</v>
      </c>
    </row>
    <row r="647" spans="1:4" hidden="1">
      <c r="A647" s="42" t="s">
        <v>433</v>
      </c>
      <c r="B647" s="42">
        <v>0</v>
      </c>
      <c r="C647" s="42" t="s">
        <v>72</v>
      </c>
      <c r="D647" s="42">
        <v>625</v>
      </c>
    </row>
    <row r="648" spans="1:4" hidden="1">
      <c r="A648" s="42" t="s">
        <v>434</v>
      </c>
      <c r="B648" s="42">
        <v>0</v>
      </c>
      <c r="C648" s="42" t="s">
        <v>72</v>
      </c>
      <c r="D648" s="42">
        <v>290</v>
      </c>
    </row>
    <row r="649" spans="1:4" hidden="1">
      <c r="A649" s="42" t="s">
        <v>435</v>
      </c>
      <c r="B649" s="42">
        <v>0</v>
      </c>
      <c r="C649" s="42" t="s">
        <v>72</v>
      </c>
      <c r="D649" s="42">
        <v>250</v>
      </c>
    </row>
    <row r="650" spans="1:4" hidden="1">
      <c r="A650" s="42" t="s">
        <v>1723</v>
      </c>
      <c r="B650" s="42">
        <v>0</v>
      </c>
      <c r="C650" s="42" t="s">
        <v>72</v>
      </c>
      <c r="D650" s="42">
        <v>515</v>
      </c>
    </row>
    <row r="651" spans="1:4" hidden="1">
      <c r="A651" s="42" t="s">
        <v>437</v>
      </c>
      <c r="B651" s="42">
        <v>0</v>
      </c>
      <c r="C651" s="42" t="s">
        <v>72</v>
      </c>
      <c r="D651" s="42">
        <v>15</v>
      </c>
    </row>
    <row r="652" spans="1:4" hidden="1">
      <c r="A652" s="42" t="s">
        <v>441</v>
      </c>
      <c r="B652" s="42">
        <v>0</v>
      </c>
      <c r="C652" s="42" t="s">
        <v>72</v>
      </c>
      <c r="D652" s="42">
        <v>10</v>
      </c>
    </row>
    <row r="653" spans="1:4" hidden="1">
      <c r="A653" s="42" t="s">
        <v>442</v>
      </c>
      <c r="B653" s="42">
        <v>0</v>
      </c>
      <c r="C653" s="42" t="s">
        <v>72</v>
      </c>
      <c r="D653" s="42">
        <v>200</v>
      </c>
    </row>
    <row r="654" spans="1:4" hidden="1">
      <c r="A654" s="42" t="s">
        <v>443</v>
      </c>
      <c r="B654" s="42">
        <v>0</v>
      </c>
      <c r="C654" s="42" t="s">
        <v>72</v>
      </c>
      <c r="D654" s="42">
        <v>320</v>
      </c>
    </row>
    <row r="655" spans="1:4" hidden="1">
      <c r="A655" s="42" t="s">
        <v>444</v>
      </c>
      <c r="B655" s="42">
        <v>0</v>
      </c>
      <c r="C655" s="42" t="s">
        <v>72</v>
      </c>
      <c r="D655" s="42">
        <v>200</v>
      </c>
    </row>
    <row r="656" spans="1:4" hidden="1">
      <c r="A656" s="42" t="s">
        <v>445</v>
      </c>
      <c r="B656" s="42">
        <v>0</v>
      </c>
      <c r="C656" s="42" t="s">
        <v>72</v>
      </c>
      <c r="D656" s="42">
        <v>320</v>
      </c>
    </row>
    <row r="657" spans="1:4" hidden="1">
      <c r="A657" s="42" t="s">
        <v>456</v>
      </c>
      <c r="B657" s="42">
        <v>0</v>
      </c>
      <c r="C657" s="42" t="s">
        <v>72</v>
      </c>
      <c r="D657" s="42">
        <v>14</v>
      </c>
    </row>
    <row r="658" spans="1:4" hidden="1">
      <c r="A658" s="42" t="s">
        <v>462</v>
      </c>
      <c r="B658" s="42">
        <v>0</v>
      </c>
      <c r="C658" s="42" t="s">
        <v>72</v>
      </c>
      <c r="D658" s="42">
        <v>22</v>
      </c>
    </row>
    <row r="659" spans="1:4" hidden="1">
      <c r="A659" s="42" t="s">
        <v>467</v>
      </c>
      <c r="B659" s="42">
        <v>0</v>
      </c>
      <c r="C659" s="42" t="s">
        <v>72</v>
      </c>
      <c r="D659" s="42">
        <v>2500</v>
      </c>
    </row>
    <row r="660" spans="1:4" hidden="1">
      <c r="A660" s="42" t="s">
        <v>1728</v>
      </c>
      <c r="B660" s="42">
        <v>0</v>
      </c>
      <c r="C660" s="42" t="s">
        <v>72</v>
      </c>
      <c r="D660" s="42">
        <v>40</v>
      </c>
    </row>
    <row r="661" spans="1:4" hidden="1">
      <c r="A661" s="42" t="s">
        <v>480</v>
      </c>
      <c r="B661" s="42">
        <v>0</v>
      </c>
      <c r="C661" s="42" t="s">
        <v>72</v>
      </c>
      <c r="D661" s="42">
        <v>40</v>
      </c>
    </row>
    <row r="662" spans="1:4" hidden="1">
      <c r="A662" s="42" t="s">
        <v>489</v>
      </c>
      <c r="B662" s="42">
        <v>0</v>
      </c>
      <c r="C662" s="42" t="s">
        <v>72</v>
      </c>
      <c r="D662" s="42">
        <v>5</v>
      </c>
    </row>
    <row r="663" spans="1:4" hidden="1">
      <c r="A663" s="42" t="s">
        <v>491</v>
      </c>
      <c r="B663" s="42">
        <v>0</v>
      </c>
      <c r="C663" s="42" t="s">
        <v>72</v>
      </c>
      <c r="D663" s="42">
        <v>35</v>
      </c>
    </row>
    <row r="664" spans="1:4" hidden="1">
      <c r="A664" s="42" t="s">
        <v>1733</v>
      </c>
      <c r="B664" s="42">
        <v>0</v>
      </c>
      <c r="C664" s="42" t="s">
        <v>72</v>
      </c>
      <c r="D664" s="42">
        <v>3</v>
      </c>
    </row>
    <row r="665" spans="1:4" hidden="1">
      <c r="A665" s="42" t="s">
        <v>492</v>
      </c>
      <c r="B665" s="42">
        <v>0</v>
      </c>
      <c r="C665" s="42" t="s">
        <v>72</v>
      </c>
      <c r="D665" s="42">
        <v>98</v>
      </c>
    </row>
    <row r="666" spans="1:4" hidden="1">
      <c r="A666" s="42" t="s">
        <v>493</v>
      </c>
      <c r="B666" s="42">
        <v>0</v>
      </c>
      <c r="C666" s="42" t="s">
        <v>72</v>
      </c>
      <c r="D666" s="42">
        <v>90</v>
      </c>
    </row>
    <row r="667" spans="1:4" hidden="1">
      <c r="A667" s="42" t="s">
        <v>1734</v>
      </c>
      <c r="B667" s="42">
        <v>0</v>
      </c>
      <c r="C667" s="42" t="s">
        <v>72</v>
      </c>
      <c r="D667" s="42">
        <v>3</v>
      </c>
    </row>
    <row r="668" spans="1:4" hidden="1">
      <c r="A668" s="42" t="s">
        <v>1735</v>
      </c>
      <c r="B668" s="42">
        <v>0</v>
      </c>
      <c r="C668" s="42" t="s">
        <v>72</v>
      </c>
      <c r="D668" s="42">
        <v>2</v>
      </c>
    </row>
    <row r="669" spans="1:4" hidden="1">
      <c r="A669" s="42" t="s">
        <v>495</v>
      </c>
      <c r="B669" s="42">
        <v>0</v>
      </c>
      <c r="C669" s="42" t="s">
        <v>72</v>
      </c>
      <c r="D669" s="42">
        <v>720</v>
      </c>
    </row>
    <row r="670" spans="1:4" hidden="1">
      <c r="A670" s="42" t="s">
        <v>1736</v>
      </c>
      <c r="B670" s="42">
        <v>0</v>
      </c>
      <c r="C670" s="42" t="s">
        <v>72</v>
      </c>
      <c r="D670" s="42">
        <v>10</v>
      </c>
    </row>
    <row r="671" spans="1:4" hidden="1">
      <c r="A671" s="42" t="s">
        <v>1737</v>
      </c>
      <c r="B671" s="42">
        <v>0</v>
      </c>
      <c r="C671" s="42" t="s">
        <v>72</v>
      </c>
      <c r="D671" s="42">
        <v>402</v>
      </c>
    </row>
    <row r="672" spans="1:4" hidden="1">
      <c r="A672" s="42" t="s">
        <v>517</v>
      </c>
      <c r="B672" s="42">
        <v>0</v>
      </c>
      <c r="C672" s="42" t="s">
        <v>72</v>
      </c>
      <c r="D672" s="42">
        <v>5</v>
      </c>
    </row>
    <row r="673" spans="1:4" hidden="1">
      <c r="A673" s="42" t="s">
        <v>518</v>
      </c>
      <c r="B673" s="42">
        <v>0</v>
      </c>
      <c r="C673" s="42" t="s">
        <v>72</v>
      </c>
      <c r="D673" s="42">
        <v>8</v>
      </c>
    </row>
    <row r="674" spans="1:4" hidden="1">
      <c r="A674" s="42" t="s">
        <v>520</v>
      </c>
      <c r="B674" s="42">
        <v>0</v>
      </c>
      <c r="C674" s="42" t="s">
        <v>72</v>
      </c>
      <c r="D674" s="42">
        <v>109</v>
      </c>
    </row>
    <row r="675" spans="1:4" hidden="1">
      <c r="A675" s="42" t="s">
        <v>523</v>
      </c>
      <c r="B675" s="42">
        <v>0</v>
      </c>
      <c r="C675" s="42" t="s">
        <v>72</v>
      </c>
      <c r="D675" s="42">
        <v>5</v>
      </c>
    </row>
    <row r="676" spans="1:4" hidden="1">
      <c r="A676" s="42" t="s">
        <v>524</v>
      </c>
      <c r="B676" s="42">
        <v>0</v>
      </c>
      <c r="C676" s="42" t="s">
        <v>72</v>
      </c>
      <c r="D676" s="42">
        <v>50</v>
      </c>
    </row>
    <row r="677" spans="1:4" hidden="1">
      <c r="A677" s="42" t="s">
        <v>528</v>
      </c>
      <c r="B677" s="42">
        <v>0</v>
      </c>
      <c r="C677" s="42" t="s">
        <v>72</v>
      </c>
      <c r="D677" s="42">
        <v>225</v>
      </c>
    </row>
    <row r="678" spans="1:4" hidden="1">
      <c r="A678" s="42" t="s">
        <v>529</v>
      </c>
      <c r="B678" s="42">
        <v>0</v>
      </c>
      <c r="C678" s="42" t="s">
        <v>72</v>
      </c>
      <c r="D678" s="42">
        <v>10</v>
      </c>
    </row>
    <row r="679" spans="1:4" hidden="1">
      <c r="A679" s="42" t="s">
        <v>530</v>
      </c>
      <c r="B679" s="42">
        <v>0</v>
      </c>
      <c r="C679" s="42" t="s">
        <v>72</v>
      </c>
      <c r="D679" s="42">
        <v>100</v>
      </c>
    </row>
    <row r="680" spans="1:4" hidden="1">
      <c r="A680" s="42" t="s">
        <v>533</v>
      </c>
      <c r="B680" s="42">
        <v>0</v>
      </c>
      <c r="C680" s="42" t="s">
        <v>72</v>
      </c>
      <c r="D680" s="42">
        <v>770</v>
      </c>
    </row>
    <row r="681" spans="1:4" hidden="1">
      <c r="A681" s="42" t="s">
        <v>534</v>
      </c>
      <c r="B681" s="42">
        <v>0</v>
      </c>
      <c r="C681" s="42" t="s">
        <v>72</v>
      </c>
      <c r="D681" s="42">
        <v>170</v>
      </c>
    </row>
    <row r="682" spans="1:4" hidden="1">
      <c r="A682" s="42" t="s">
        <v>1746</v>
      </c>
      <c r="B682" s="42">
        <v>0</v>
      </c>
      <c r="C682" s="42" t="s">
        <v>72</v>
      </c>
      <c r="D682" s="42">
        <v>8</v>
      </c>
    </row>
    <row r="683" spans="1:4" hidden="1">
      <c r="A683" s="42" t="s">
        <v>1747</v>
      </c>
      <c r="B683" s="42">
        <v>0</v>
      </c>
      <c r="C683" s="42" t="s">
        <v>72</v>
      </c>
      <c r="D683" s="42">
        <v>110</v>
      </c>
    </row>
    <row r="684" spans="1:4" hidden="1">
      <c r="A684" s="42" t="s">
        <v>541</v>
      </c>
      <c r="B684" s="42">
        <v>0</v>
      </c>
      <c r="C684" s="42" t="s">
        <v>72</v>
      </c>
      <c r="D684" s="42">
        <v>30</v>
      </c>
    </row>
    <row r="685" spans="1:4" hidden="1">
      <c r="A685" s="42" t="s">
        <v>542</v>
      </c>
      <c r="B685" s="42">
        <v>0</v>
      </c>
      <c r="C685" s="42" t="s">
        <v>72</v>
      </c>
      <c r="D685" s="42">
        <v>40</v>
      </c>
    </row>
    <row r="686" spans="1:4" hidden="1">
      <c r="A686" s="42" t="s">
        <v>1749</v>
      </c>
      <c r="B686" s="42">
        <v>0</v>
      </c>
      <c r="C686" s="42" t="s">
        <v>72</v>
      </c>
      <c r="D686" s="42">
        <v>2</v>
      </c>
    </row>
    <row r="687" spans="1:4" hidden="1">
      <c r="A687" s="42" t="s">
        <v>544</v>
      </c>
      <c r="B687" s="42">
        <v>0</v>
      </c>
      <c r="C687" s="42" t="s">
        <v>72</v>
      </c>
      <c r="D687" s="42">
        <v>40</v>
      </c>
    </row>
    <row r="688" spans="1:4" hidden="1">
      <c r="A688" s="42" t="s">
        <v>545</v>
      </c>
      <c r="B688" s="42">
        <v>0</v>
      </c>
      <c r="C688" s="42" t="s">
        <v>72</v>
      </c>
      <c r="D688" s="42">
        <v>40</v>
      </c>
    </row>
    <row r="689" spans="1:4" hidden="1">
      <c r="A689" s="42" t="s">
        <v>546</v>
      </c>
      <c r="B689" s="42">
        <v>0</v>
      </c>
      <c r="C689" s="42" t="s">
        <v>72</v>
      </c>
      <c r="D689" s="42">
        <v>40</v>
      </c>
    </row>
    <row r="690" spans="1:4" hidden="1">
      <c r="A690" s="42" t="s">
        <v>547</v>
      </c>
      <c r="B690" s="42">
        <v>0</v>
      </c>
      <c r="C690" s="42" t="s">
        <v>72</v>
      </c>
      <c r="D690" s="42">
        <v>40</v>
      </c>
    </row>
    <row r="691" spans="1:4" hidden="1">
      <c r="A691" s="42" t="s">
        <v>548</v>
      </c>
      <c r="B691" s="42">
        <v>0</v>
      </c>
      <c r="C691" s="42" t="s">
        <v>72</v>
      </c>
      <c r="D691" s="42">
        <v>2</v>
      </c>
    </row>
    <row r="692" spans="1:4" hidden="1">
      <c r="A692" s="42" t="s">
        <v>549</v>
      </c>
      <c r="B692" s="42">
        <v>0</v>
      </c>
      <c r="C692" s="42" t="s">
        <v>72</v>
      </c>
      <c r="D692" s="42">
        <v>7</v>
      </c>
    </row>
    <row r="693" spans="1:4" hidden="1">
      <c r="A693" s="42" t="s">
        <v>550</v>
      </c>
      <c r="B693" s="42">
        <v>0</v>
      </c>
      <c r="C693" s="42" t="s">
        <v>72</v>
      </c>
      <c r="D693" s="42">
        <v>20</v>
      </c>
    </row>
    <row r="694" spans="1:4" hidden="1">
      <c r="A694" s="42" t="s">
        <v>551</v>
      </c>
      <c r="B694" s="42">
        <v>0</v>
      </c>
      <c r="C694" s="42" t="s">
        <v>72</v>
      </c>
      <c r="D694" s="42">
        <v>70</v>
      </c>
    </row>
    <row r="695" spans="1:4" hidden="1">
      <c r="A695" s="42" t="s">
        <v>552</v>
      </c>
      <c r="B695" s="42">
        <v>0</v>
      </c>
      <c r="C695" s="42" t="s">
        <v>72</v>
      </c>
      <c r="D695" s="42">
        <v>3</v>
      </c>
    </row>
    <row r="696" spans="1:4" hidden="1">
      <c r="A696" s="42" t="s">
        <v>1750</v>
      </c>
      <c r="B696" s="42">
        <v>0</v>
      </c>
      <c r="C696" s="42" t="s">
        <v>72</v>
      </c>
      <c r="D696" s="42">
        <v>64</v>
      </c>
    </row>
    <row r="697" spans="1:4" hidden="1">
      <c r="A697" s="42" t="s">
        <v>555</v>
      </c>
      <c r="B697" s="42">
        <v>0</v>
      </c>
      <c r="C697" s="42" t="s">
        <v>72</v>
      </c>
      <c r="D697" s="42">
        <v>23</v>
      </c>
    </row>
    <row r="698" spans="1:4" hidden="1">
      <c r="A698" s="42" t="s">
        <v>561</v>
      </c>
      <c r="B698" s="42">
        <v>0</v>
      </c>
      <c r="C698" s="42" t="s">
        <v>72</v>
      </c>
      <c r="D698" s="42">
        <v>10</v>
      </c>
    </row>
    <row r="699" spans="1:4" hidden="1">
      <c r="A699" s="42" t="s">
        <v>563</v>
      </c>
      <c r="B699" s="42">
        <v>0</v>
      </c>
      <c r="C699" s="42" t="s">
        <v>72</v>
      </c>
      <c r="D699" s="42">
        <v>2</v>
      </c>
    </row>
    <row r="700" spans="1:4" hidden="1">
      <c r="A700" s="42" t="s">
        <v>565</v>
      </c>
      <c r="B700" s="42">
        <v>0</v>
      </c>
      <c r="C700" s="42" t="s">
        <v>72</v>
      </c>
      <c r="D700" s="42">
        <v>3</v>
      </c>
    </row>
    <row r="701" spans="1:4" hidden="1">
      <c r="A701" s="42" t="s">
        <v>566</v>
      </c>
      <c r="B701" s="42">
        <v>0</v>
      </c>
      <c r="C701" s="42" t="s">
        <v>72</v>
      </c>
      <c r="D701" s="42">
        <v>415</v>
      </c>
    </row>
    <row r="702" spans="1:4" hidden="1">
      <c r="A702" s="42" t="s">
        <v>1751</v>
      </c>
      <c r="B702" s="42">
        <v>0</v>
      </c>
      <c r="C702" s="42" t="s">
        <v>72</v>
      </c>
      <c r="D702" s="42">
        <v>10</v>
      </c>
    </row>
    <row r="703" spans="1:4" hidden="1">
      <c r="A703" s="42" t="s">
        <v>1752</v>
      </c>
      <c r="B703" s="42">
        <v>0</v>
      </c>
      <c r="C703" s="42" t="s">
        <v>72</v>
      </c>
      <c r="D703" s="42">
        <v>41</v>
      </c>
    </row>
    <row r="704" spans="1:4" hidden="1">
      <c r="A704" s="42" t="s">
        <v>1755</v>
      </c>
      <c r="B704" s="42">
        <v>0</v>
      </c>
      <c r="C704" s="42" t="s">
        <v>72</v>
      </c>
      <c r="D704" s="42">
        <v>25</v>
      </c>
    </row>
    <row r="705" spans="1:4" hidden="1">
      <c r="A705" s="42" t="s">
        <v>567</v>
      </c>
      <c r="B705" s="42">
        <v>0</v>
      </c>
      <c r="C705" s="42" t="s">
        <v>72</v>
      </c>
      <c r="D705" s="42">
        <v>25</v>
      </c>
    </row>
    <row r="706" spans="1:4" hidden="1">
      <c r="A706" s="42" t="s">
        <v>608</v>
      </c>
      <c r="B706" s="42">
        <v>0</v>
      </c>
      <c r="C706" s="42" t="s">
        <v>72</v>
      </c>
      <c r="D706" s="42">
        <v>100</v>
      </c>
    </row>
    <row r="707" spans="1:4" hidden="1">
      <c r="A707" s="42" t="s">
        <v>609</v>
      </c>
      <c r="B707" s="42">
        <v>0</v>
      </c>
      <c r="C707" s="42" t="s">
        <v>72</v>
      </c>
      <c r="D707" s="42">
        <v>41</v>
      </c>
    </row>
    <row r="708" spans="1:4" hidden="1">
      <c r="A708" s="42" t="s">
        <v>610</v>
      </c>
      <c r="B708" s="42">
        <v>0</v>
      </c>
      <c r="C708" s="42" t="s">
        <v>72</v>
      </c>
      <c r="D708" s="42">
        <v>763</v>
      </c>
    </row>
    <row r="709" spans="1:4" hidden="1">
      <c r="A709" s="42" t="s">
        <v>1759</v>
      </c>
      <c r="B709" s="42">
        <v>0</v>
      </c>
      <c r="C709" s="42" t="s">
        <v>72</v>
      </c>
      <c r="D709" s="42">
        <v>3</v>
      </c>
    </row>
    <row r="710" spans="1:4" hidden="1">
      <c r="A710" s="42" t="s">
        <v>616</v>
      </c>
      <c r="B710" s="42">
        <v>0</v>
      </c>
      <c r="C710" s="42" t="s">
        <v>72</v>
      </c>
      <c r="D710" s="42">
        <v>125</v>
      </c>
    </row>
    <row r="711" spans="1:4" hidden="1">
      <c r="A711" s="42" t="s">
        <v>617</v>
      </c>
      <c r="B711" s="42">
        <v>0</v>
      </c>
      <c r="C711" s="42" t="s">
        <v>72</v>
      </c>
      <c r="D711" s="42">
        <v>163</v>
      </c>
    </row>
    <row r="712" spans="1:4" hidden="1">
      <c r="A712" s="42" t="s">
        <v>618</v>
      </c>
      <c r="B712" s="42">
        <v>0</v>
      </c>
      <c r="C712" s="42" t="s">
        <v>72</v>
      </c>
      <c r="D712" s="42">
        <v>5</v>
      </c>
    </row>
    <row r="713" spans="1:4" hidden="1">
      <c r="A713" s="42" t="s">
        <v>622</v>
      </c>
      <c r="B713" s="42">
        <v>0</v>
      </c>
      <c r="C713" s="42" t="s">
        <v>72</v>
      </c>
      <c r="D713" s="42">
        <v>85</v>
      </c>
    </row>
    <row r="714" spans="1:4" hidden="1">
      <c r="A714" s="42" t="s">
        <v>1762</v>
      </c>
      <c r="B714" s="42">
        <v>0</v>
      </c>
      <c r="C714" s="42" t="s">
        <v>72</v>
      </c>
      <c r="D714" s="42">
        <v>19</v>
      </c>
    </row>
    <row r="715" spans="1:4" hidden="1">
      <c r="A715" s="42" t="s">
        <v>629</v>
      </c>
      <c r="B715" s="42">
        <v>0</v>
      </c>
      <c r="C715" s="42" t="s">
        <v>72</v>
      </c>
      <c r="D715" s="42">
        <v>23</v>
      </c>
    </row>
    <row r="716" spans="1:4" hidden="1">
      <c r="A716" s="42" t="s">
        <v>1763</v>
      </c>
      <c r="B716" s="42">
        <v>0</v>
      </c>
      <c r="C716" s="42" t="s">
        <v>72</v>
      </c>
      <c r="D716" s="42">
        <v>63</v>
      </c>
    </row>
    <row r="717" spans="1:4" hidden="1">
      <c r="A717" s="42" t="s">
        <v>1764</v>
      </c>
      <c r="B717" s="42">
        <v>0</v>
      </c>
      <c r="C717" s="42" t="s">
        <v>72</v>
      </c>
      <c r="D717" s="42">
        <v>170</v>
      </c>
    </row>
    <row r="718" spans="1:4" hidden="1">
      <c r="A718" s="42" t="s">
        <v>1765</v>
      </c>
      <c r="B718" s="42">
        <v>0</v>
      </c>
      <c r="C718" s="42" t="s">
        <v>72</v>
      </c>
      <c r="D718" s="42">
        <v>570</v>
      </c>
    </row>
    <row r="719" spans="1:4" hidden="1">
      <c r="A719" s="42" t="s">
        <v>1766</v>
      </c>
      <c r="B719" s="42">
        <v>0</v>
      </c>
      <c r="C719" s="42" t="s">
        <v>72</v>
      </c>
      <c r="D719" s="42">
        <v>360</v>
      </c>
    </row>
    <row r="720" spans="1:4" hidden="1">
      <c r="A720" s="42" t="s">
        <v>634</v>
      </c>
      <c r="B720" s="42">
        <v>0</v>
      </c>
      <c r="C720" s="42" t="s">
        <v>72</v>
      </c>
      <c r="D720" s="42">
        <v>10</v>
      </c>
    </row>
    <row r="721" spans="1:4" hidden="1">
      <c r="A721" s="42" t="s">
        <v>635</v>
      </c>
      <c r="B721" s="42">
        <v>0</v>
      </c>
      <c r="C721" s="42" t="s">
        <v>72</v>
      </c>
      <c r="D721" s="42">
        <v>110</v>
      </c>
    </row>
    <row r="722" spans="1:4" hidden="1">
      <c r="A722" s="42" t="s">
        <v>638</v>
      </c>
      <c r="B722" s="42">
        <v>0</v>
      </c>
      <c r="C722" s="42" t="s">
        <v>72</v>
      </c>
      <c r="D722" s="42">
        <v>70</v>
      </c>
    </row>
    <row r="723" spans="1:4" hidden="1">
      <c r="A723" s="42" t="s">
        <v>639</v>
      </c>
      <c r="B723" s="42">
        <v>0</v>
      </c>
      <c r="C723" s="42" t="s">
        <v>72</v>
      </c>
      <c r="D723" s="42">
        <v>65</v>
      </c>
    </row>
    <row r="724" spans="1:4" hidden="1">
      <c r="A724" s="42" t="s">
        <v>640</v>
      </c>
      <c r="B724" s="42">
        <v>0</v>
      </c>
      <c r="C724" s="42" t="s">
        <v>72</v>
      </c>
      <c r="D724" s="42">
        <v>375</v>
      </c>
    </row>
    <row r="725" spans="1:4" hidden="1">
      <c r="A725" s="42" t="s">
        <v>1199</v>
      </c>
      <c r="B725" s="42">
        <v>0</v>
      </c>
      <c r="C725" s="42" t="s">
        <v>72</v>
      </c>
      <c r="D725" s="42">
        <v>10</v>
      </c>
    </row>
    <row r="726" spans="1:4" hidden="1">
      <c r="A726" s="42" t="s">
        <v>1767</v>
      </c>
      <c r="B726" s="42">
        <v>0</v>
      </c>
      <c r="C726" s="42" t="s">
        <v>72</v>
      </c>
      <c r="D726" s="42">
        <v>10</v>
      </c>
    </row>
    <row r="727" spans="1:4" hidden="1">
      <c r="A727" s="42" t="s">
        <v>641</v>
      </c>
      <c r="B727" s="42">
        <v>0</v>
      </c>
      <c r="C727" s="42" t="s">
        <v>72</v>
      </c>
      <c r="D727" s="42">
        <v>1200</v>
      </c>
    </row>
    <row r="728" spans="1:4" hidden="1">
      <c r="A728" s="42" t="s">
        <v>642</v>
      </c>
      <c r="B728" s="42">
        <v>0</v>
      </c>
      <c r="C728" s="42" t="s">
        <v>72</v>
      </c>
      <c r="D728" s="42">
        <v>240</v>
      </c>
    </row>
    <row r="729" spans="1:4" hidden="1">
      <c r="A729" s="42" t="s">
        <v>643</v>
      </c>
      <c r="B729" s="42">
        <v>0</v>
      </c>
      <c r="C729" s="42" t="s">
        <v>72</v>
      </c>
      <c r="D729" s="42">
        <v>10</v>
      </c>
    </row>
    <row r="730" spans="1:4" hidden="1">
      <c r="A730" s="42" t="s">
        <v>644</v>
      </c>
      <c r="B730" s="42">
        <v>0</v>
      </c>
      <c r="C730" s="42" t="s">
        <v>72</v>
      </c>
      <c r="D730" s="42">
        <v>10</v>
      </c>
    </row>
    <row r="731" spans="1:4" hidden="1">
      <c r="A731" s="42" t="s">
        <v>653</v>
      </c>
      <c r="B731" s="42">
        <v>0</v>
      </c>
      <c r="C731" s="42" t="s">
        <v>72</v>
      </c>
      <c r="D731" s="42">
        <v>10</v>
      </c>
    </row>
    <row r="732" spans="1:4" hidden="1">
      <c r="A732" s="42" t="s">
        <v>654</v>
      </c>
      <c r="B732" s="42">
        <v>0</v>
      </c>
      <c r="C732" s="42" t="s">
        <v>72</v>
      </c>
      <c r="D732" s="42">
        <v>10</v>
      </c>
    </row>
    <row r="733" spans="1:4" hidden="1">
      <c r="A733" s="42" t="s">
        <v>656</v>
      </c>
      <c r="B733" s="42">
        <v>0</v>
      </c>
      <c r="C733" s="42" t="s">
        <v>72</v>
      </c>
      <c r="D733" s="42">
        <v>80</v>
      </c>
    </row>
    <row r="734" spans="1:4" hidden="1">
      <c r="A734" s="42" t="s">
        <v>657</v>
      </c>
      <c r="B734" s="42">
        <v>0</v>
      </c>
      <c r="C734" s="42" t="s">
        <v>72</v>
      </c>
      <c r="D734" s="42">
        <v>10</v>
      </c>
    </row>
    <row r="735" spans="1:4" hidden="1">
      <c r="A735" s="42" t="s">
        <v>662</v>
      </c>
      <c r="B735" s="42">
        <v>0</v>
      </c>
      <c r="C735" s="42" t="s">
        <v>72</v>
      </c>
      <c r="D735" s="42">
        <v>60</v>
      </c>
    </row>
    <row r="736" spans="1:4" hidden="1">
      <c r="A736" s="42" t="s">
        <v>1773</v>
      </c>
      <c r="B736" s="42">
        <v>0</v>
      </c>
      <c r="C736" s="42" t="s">
        <v>72</v>
      </c>
      <c r="D736" s="42">
        <v>700</v>
      </c>
    </row>
    <row r="737" spans="1:4" hidden="1">
      <c r="A737" s="42" t="s">
        <v>665</v>
      </c>
      <c r="B737" s="42">
        <v>0</v>
      </c>
      <c r="C737" s="42" t="s">
        <v>72</v>
      </c>
      <c r="D737" s="42">
        <v>10</v>
      </c>
    </row>
    <row r="738" spans="1:4" hidden="1">
      <c r="A738" s="42" t="s">
        <v>669</v>
      </c>
      <c r="B738" s="42">
        <v>0</v>
      </c>
      <c r="C738" s="42" t="s">
        <v>72</v>
      </c>
      <c r="D738" s="42">
        <v>38</v>
      </c>
    </row>
    <row r="739" spans="1:4" hidden="1">
      <c r="A739" s="42" t="s">
        <v>670</v>
      </c>
      <c r="B739" s="42">
        <v>0</v>
      </c>
      <c r="C739" s="42" t="s">
        <v>72</v>
      </c>
      <c r="D739" s="42">
        <v>10</v>
      </c>
    </row>
    <row r="740" spans="1:4" hidden="1">
      <c r="A740" s="42" t="s">
        <v>674</v>
      </c>
      <c r="B740" s="42">
        <v>0</v>
      </c>
      <c r="C740" s="42" t="s">
        <v>72</v>
      </c>
      <c r="D740" s="42">
        <v>4</v>
      </c>
    </row>
    <row r="741" spans="1:4" hidden="1">
      <c r="A741" s="42" t="s">
        <v>676</v>
      </c>
      <c r="B741" s="42">
        <v>0</v>
      </c>
      <c r="C741" s="42" t="s">
        <v>72</v>
      </c>
      <c r="D741" s="42">
        <v>394</v>
      </c>
    </row>
    <row r="742" spans="1:4" hidden="1">
      <c r="A742" s="42" t="s">
        <v>677</v>
      </c>
      <c r="B742" s="42">
        <v>0</v>
      </c>
      <c r="C742" s="42" t="s">
        <v>72</v>
      </c>
      <c r="D742" s="42">
        <v>382</v>
      </c>
    </row>
    <row r="743" spans="1:4" hidden="1">
      <c r="A743" s="42" t="s">
        <v>1782</v>
      </c>
      <c r="B743" s="42">
        <v>0</v>
      </c>
      <c r="C743" s="42" t="s">
        <v>72</v>
      </c>
      <c r="D743" s="42">
        <v>36</v>
      </c>
    </row>
    <row r="744" spans="1:4" hidden="1">
      <c r="A744" s="42" t="s">
        <v>702</v>
      </c>
      <c r="B744" s="42">
        <v>0</v>
      </c>
      <c r="C744" s="42" t="s">
        <v>72</v>
      </c>
      <c r="D744" s="42">
        <v>20</v>
      </c>
    </row>
    <row r="745" spans="1:4" hidden="1">
      <c r="A745" s="42" t="s">
        <v>703</v>
      </c>
      <c r="B745" s="42">
        <v>0</v>
      </c>
      <c r="C745" s="42" t="s">
        <v>72</v>
      </c>
      <c r="D745" s="42">
        <v>95</v>
      </c>
    </row>
    <row r="746" spans="1:4" hidden="1">
      <c r="A746" s="42" t="s">
        <v>704</v>
      </c>
      <c r="B746" s="42">
        <v>0</v>
      </c>
      <c r="C746" s="42" t="s">
        <v>72</v>
      </c>
      <c r="D746" s="42">
        <v>10</v>
      </c>
    </row>
    <row r="747" spans="1:4" hidden="1">
      <c r="A747" s="42" t="s">
        <v>707</v>
      </c>
      <c r="B747" s="42">
        <v>0</v>
      </c>
      <c r="C747" s="42" t="s">
        <v>72</v>
      </c>
      <c r="D747" s="42">
        <v>105</v>
      </c>
    </row>
    <row r="748" spans="1:4" hidden="1">
      <c r="A748" s="42" t="s">
        <v>709</v>
      </c>
      <c r="B748" s="42">
        <v>0</v>
      </c>
      <c r="C748" s="42" t="s">
        <v>72</v>
      </c>
      <c r="D748" s="42">
        <v>162</v>
      </c>
    </row>
    <row r="749" spans="1:4" hidden="1">
      <c r="A749" s="42" t="s">
        <v>710</v>
      </c>
      <c r="B749" s="42">
        <v>0</v>
      </c>
      <c r="C749" s="42" t="s">
        <v>72</v>
      </c>
      <c r="D749" s="42">
        <v>57</v>
      </c>
    </row>
    <row r="750" spans="1:4" hidden="1">
      <c r="A750" s="42" t="s">
        <v>1785</v>
      </c>
      <c r="B750" s="42">
        <v>0</v>
      </c>
      <c r="C750" s="42" t="s">
        <v>72</v>
      </c>
      <c r="D750" s="42">
        <v>11</v>
      </c>
    </row>
    <row r="751" spans="1:4" hidden="1">
      <c r="A751" s="42" t="s">
        <v>1788</v>
      </c>
      <c r="B751" s="42">
        <v>0</v>
      </c>
      <c r="C751" s="42" t="s">
        <v>72</v>
      </c>
      <c r="D751" s="42">
        <v>20</v>
      </c>
    </row>
    <row r="752" spans="1:4" hidden="1">
      <c r="A752" s="42" t="s">
        <v>712</v>
      </c>
      <c r="B752" s="42">
        <v>0</v>
      </c>
      <c r="C752" s="42" t="s">
        <v>72</v>
      </c>
      <c r="D752" s="42">
        <v>84</v>
      </c>
    </row>
    <row r="753" spans="1:4" hidden="1">
      <c r="A753" s="42" t="s">
        <v>1790</v>
      </c>
      <c r="B753" s="42">
        <v>0</v>
      </c>
      <c r="C753" s="42" t="s">
        <v>72</v>
      </c>
      <c r="D753" s="42">
        <v>69</v>
      </c>
    </row>
    <row r="754" spans="1:4" hidden="1">
      <c r="A754" s="42" t="s">
        <v>1791</v>
      </c>
      <c r="B754" s="42">
        <v>0</v>
      </c>
      <c r="C754" s="42" t="s">
        <v>72</v>
      </c>
      <c r="D754" s="42">
        <v>10</v>
      </c>
    </row>
    <row r="755" spans="1:4" hidden="1">
      <c r="A755" s="42" t="s">
        <v>1799</v>
      </c>
      <c r="B755" s="42">
        <v>0</v>
      </c>
      <c r="C755" s="42" t="s">
        <v>72</v>
      </c>
      <c r="D755" s="42">
        <v>1449</v>
      </c>
    </row>
    <row r="756" spans="1:4" hidden="1">
      <c r="A756" s="42" t="s">
        <v>715</v>
      </c>
      <c r="B756" s="42">
        <v>0</v>
      </c>
      <c r="C756" s="42" t="s">
        <v>72</v>
      </c>
      <c r="D756" s="42">
        <v>2</v>
      </c>
    </row>
    <row r="757" spans="1:4" hidden="1">
      <c r="A757" s="42" t="s">
        <v>716</v>
      </c>
      <c r="B757" s="42">
        <v>0</v>
      </c>
      <c r="C757" s="42" t="s">
        <v>72</v>
      </c>
      <c r="D757" s="42">
        <v>4</v>
      </c>
    </row>
    <row r="758" spans="1:4" hidden="1">
      <c r="A758" s="42" t="s">
        <v>717</v>
      </c>
      <c r="B758" s="42">
        <v>0</v>
      </c>
      <c r="C758" s="42" t="s">
        <v>72</v>
      </c>
      <c r="D758" s="42">
        <v>5</v>
      </c>
    </row>
    <row r="759" spans="1:4" hidden="1">
      <c r="A759" s="42" t="s">
        <v>718</v>
      </c>
      <c r="B759" s="42">
        <v>0</v>
      </c>
      <c r="C759" s="42" t="s">
        <v>72</v>
      </c>
      <c r="D759" s="42">
        <v>880</v>
      </c>
    </row>
    <row r="760" spans="1:4" hidden="1">
      <c r="A760" s="42" t="s">
        <v>1810</v>
      </c>
      <c r="B760" s="42">
        <v>0</v>
      </c>
      <c r="C760" s="42" t="s">
        <v>72</v>
      </c>
      <c r="D760" s="42">
        <v>25</v>
      </c>
    </row>
    <row r="761" spans="1:4" hidden="1">
      <c r="A761" s="42" t="s">
        <v>1813</v>
      </c>
      <c r="B761" s="42">
        <v>0</v>
      </c>
      <c r="C761" s="42" t="s">
        <v>72</v>
      </c>
      <c r="D761" s="42">
        <v>50</v>
      </c>
    </row>
    <row r="762" spans="1:4" hidden="1">
      <c r="A762" s="42" t="s">
        <v>722</v>
      </c>
      <c r="B762" s="42">
        <v>0</v>
      </c>
      <c r="C762" s="42" t="s">
        <v>72</v>
      </c>
      <c r="D762" s="42">
        <v>3</v>
      </c>
    </row>
    <row r="763" spans="1:4" hidden="1">
      <c r="A763" s="42" t="s">
        <v>730</v>
      </c>
      <c r="B763" s="42">
        <v>0</v>
      </c>
      <c r="C763" s="42" t="s">
        <v>72</v>
      </c>
      <c r="D763" s="42">
        <v>20</v>
      </c>
    </row>
    <row r="764" spans="1:4" hidden="1">
      <c r="A764" s="42" t="s">
        <v>731</v>
      </c>
      <c r="B764" s="42">
        <v>0</v>
      </c>
      <c r="C764" s="42" t="s">
        <v>72</v>
      </c>
      <c r="D764" s="42">
        <v>59</v>
      </c>
    </row>
    <row r="765" spans="1:4" hidden="1">
      <c r="A765" s="42" t="s">
        <v>740</v>
      </c>
      <c r="B765" s="42">
        <v>0</v>
      </c>
      <c r="C765" s="42" t="s">
        <v>72</v>
      </c>
      <c r="D765" s="42">
        <v>150</v>
      </c>
    </row>
    <row r="766" spans="1:4" hidden="1">
      <c r="A766" s="42" t="s">
        <v>1821</v>
      </c>
      <c r="B766" s="42">
        <v>0</v>
      </c>
      <c r="C766" s="42" t="s">
        <v>72</v>
      </c>
      <c r="D766" s="42">
        <v>10</v>
      </c>
    </row>
    <row r="767" spans="1:4" hidden="1">
      <c r="A767" s="42" t="s">
        <v>746</v>
      </c>
      <c r="B767" s="42">
        <v>0</v>
      </c>
      <c r="C767" s="42" t="s">
        <v>72</v>
      </c>
      <c r="D767" s="42">
        <v>22</v>
      </c>
    </row>
    <row r="768" spans="1:4" hidden="1">
      <c r="A768" s="42" t="s">
        <v>750</v>
      </c>
      <c r="B768" s="42">
        <v>0</v>
      </c>
      <c r="C768" s="42" t="s">
        <v>72</v>
      </c>
      <c r="D768" s="42">
        <v>3</v>
      </c>
    </row>
    <row r="769" spans="1:4" hidden="1">
      <c r="A769" s="42" t="s">
        <v>752</v>
      </c>
      <c r="B769" s="42">
        <v>0</v>
      </c>
      <c r="C769" s="42" t="s">
        <v>72</v>
      </c>
      <c r="D769" s="42">
        <v>10</v>
      </c>
    </row>
    <row r="770" spans="1:4" hidden="1">
      <c r="A770" s="42" t="s">
        <v>755</v>
      </c>
      <c r="B770" s="42">
        <v>0</v>
      </c>
      <c r="C770" s="42" t="s">
        <v>72</v>
      </c>
      <c r="D770" s="42">
        <v>10</v>
      </c>
    </row>
    <row r="771" spans="1:4" hidden="1">
      <c r="A771" s="42" t="s">
        <v>758</v>
      </c>
      <c r="B771" s="42">
        <v>0</v>
      </c>
      <c r="C771" s="42" t="s">
        <v>72</v>
      </c>
      <c r="D771" s="42">
        <v>100</v>
      </c>
    </row>
    <row r="772" spans="1:4" hidden="1">
      <c r="A772" s="42" t="s">
        <v>759</v>
      </c>
      <c r="B772" s="42">
        <v>0</v>
      </c>
      <c r="C772" s="42" t="s">
        <v>72</v>
      </c>
      <c r="D772" s="42">
        <v>30</v>
      </c>
    </row>
    <row r="773" spans="1:4" hidden="1">
      <c r="A773" s="42" t="s">
        <v>760</v>
      </c>
      <c r="B773" s="42">
        <v>0</v>
      </c>
      <c r="C773" s="42" t="s">
        <v>72</v>
      </c>
      <c r="D773" s="42">
        <v>70</v>
      </c>
    </row>
    <row r="774" spans="1:4" hidden="1">
      <c r="A774" s="42" t="s">
        <v>1824</v>
      </c>
      <c r="B774" s="42">
        <v>0</v>
      </c>
      <c r="C774" s="42" t="s">
        <v>72</v>
      </c>
      <c r="D774" s="42">
        <v>20</v>
      </c>
    </row>
    <row r="775" spans="1:4" hidden="1">
      <c r="A775" s="42" t="s">
        <v>1827</v>
      </c>
      <c r="B775" s="42">
        <v>0</v>
      </c>
      <c r="C775" s="42" t="s">
        <v>72</v>
      </c>
      <c r="D775" s="42">
        <v>20</v>
      </c>
    </row>
    <row r="776" spans="1:4" hidden="1">
      <c r="A776" s="42" t="s">
        <v>1831</v>
      </c>
      <c r="B776" s="42">
        <v>0</v>
      </c>
      <c r="C776" s="42" t="s">
        <v>72</v>
      </c>
      <c r="D776" s="42">
        <v>4</v>
      </c>
    </row>
    <row r="777" spans="1:4" hidden="1">
      <c r="A777" s="42" t="s">
        <v>771</v>
      </c>
      <c r="B777" s="42">
        <v>0</v>
      </c>
      <c r="C777" s="42" t="s">
        <v>72</v>
      </c>
      <c r="D777" s="42">
        <v>40</v>
      </c>
    </row>
    <row r="778" spans="1:4" hidden="1">
      <c r="A778" s="42" t="s">
        <v>777</v>
      </c>
      <c r="B778" s="42">
        <v>0</v>
      </c>
      <c r="C778" s="42" t="s">
        <v>72</v>
      </c>
      <c r="D778" s="42">
        <v>63</v>
      </c>
    </row>
    <row r="779" spans="1:4" hidden="1">
      <c r="A779" s="42" t="s">
        <v>1840</v>
      </c>
      <c r="B779" s="42">
        <v>0</v>
      </c>
      <c r="C779" s="42" t="s">
        <v>72</v>
      </c>
      <c r="D779" s="42">
        <v>218</v>
      </c>
    </row>
    <row r="780" spans="1:4" hidden="1">
      <c r="A780" s="42" t="s">
        <v>1198</v>
      </c>
      <c r="B780" s="42">
        <v>0</v>
      </c>
      <c r="C780" s="42" t="s">
        <v>72</v>
      </c>
      <c r="D780" s="42">
        <v>1800</v>
      </c>
    </row>
    <row r="781" spans="1:4" hidden="1">
      <c r="A781" s="42" t="s">
        <v>1841</v>
      </c>
      <c r="B781" s="42">
        <v>0</v>
      </c>
      <c r="C781" s="42" t="s">
        <v>72</v>
      </c>
      <c r="D781" s="42">
        <v>22836</v>
      </c>
    </row>
    <row r="782" spans="1:4" hidden="1">
      <c r="A782" s="42" t="s">
        <v>1848</v>
      </c>
      <c r="B782" s="42">
        <v>0</v>
      </c>
      <c r="C782" s="42" t="s">
        <v>72</v>
      </c>
      <c r="D782" s="42">
        <v>2</v>
      </c>
    </row>
    <row r="783" spans="1:4" hidden="1">
      <c r="A783" s="42" t="s">
        <v>1852</v>
      </c>
      <c r="B783" s="42">
        <v>0</v>
      </c>
      <c r="C783" s="42" t="s">
        <v>72</v>
      </c>
      <c r="D783" s="42">
        <v>90</v>
      </c>
    </row>
    <row r="784" spans="1:4" hidden="1">
      <c r="A784" s="42" t="s">
        <v>779</v>
      </c>
      <c r="B784" s="42">
        <v>0</v>
      </c>
      <c r="C784" s="42" t="s">
        <v>72</v>
      </c>
      <c r="D784" s="42">
        <v>5</v>
      </c>
    </row>
    <row r="785" spans="1:4" hidden="1">
      <c r="A785" s="42" t="s">
        <v>1875</v>
      </c>
      <c r="B785" s="42">
        <v>0</v>
      </c>
      <c r="C785" s="42" t="s">
        <v>72</v>
      </c>
      <c r="D785" s="42">
        <v>1548</v>
      </c>
    </row>
    <row r="786" spans="1:4" hidden="1">
      <c r="A786" s="42" t="s">
        <v>781</v>
      </c>
      <c r="B786" s="42">
        <v>0</v>
      </c>
      <c r="C786" s="42" t="s">
        <v>72</v>
      </c>
      <c r="D786" s="42">
        <v>4016</v>
      </c>
    </row>
    <row r="787" spans="1:4" hidden="1">
      <c r="A787" s="42" t="s">
        <v>1878</v>
      </c>
      <c r="B787" s="42">
        <v>0</v>
      </c>
      <c r="C787" s="42" t="s">
        <v>72</v>
      </c>
      <c r="D787" s="42">
        <v>2</v>
      </c>
    </row>
    <row r="788" spans="1:4" hidden="1">
      <c r="A788" s="42" t="s">
        <v>1881</v>
      </c>
      <c r="B788" s="42">
        <v>0</v>
      </c>
      <c r="C788" s="42" t="s">
        <v>72</v>
      </c>
      <c r="D788" s="42">
        <v>3</v>
      </c>
    </row>
    <row r="789" spans="1:4" hidden="1">
      <c r="A789" s="42" t="s">
        <v>783</v>
      </c>
      <c r="B789" s="42">
        <v>0</v>
      </c>
      <c r="C789" s="42" t="s">
        <v>72</v>
      </c>
      <c r="D789" s="42">
        <v>20</v>
      </c>
    </row>
    <row r="790" spans="1:4" hidden="1">
      <c r="A790" s="42" t="s">
        <v>1887</v>
      </c>
      <c r="B790" s="42">
        <v>0</v>
      </c>
      <c r="C790" s="42" t="s">
        <v>72</v>
      </c>
      <c r="D790" s="42">
        <v>24</v>
      </c>
    </row>
    <row r="791" spans="1:4" hidden="1">
      <c r="A791" s="42" t="s">
        <v>1895</v>
      </c>
      <c r="B791" s="42">
        <v>0</v>
      </c>
      <c r="C791" s="42" t="s">
        <v>72</v>
      </c>
      <c r="D791" s="42">
        <v>15</v>
      </c>
    </row>
    <row r="792" spans="1:4" hidden="1">
      <c r="A792" s="42" t="s">
        <v>1900</v>
      </c>
      <c r="B792" s="42">
        <v>0</v>
      </c>
      <c r="C792" s="42" t="s">
        <v>72</v>
      </c>
      <c r="D792" s="42">
        <v>40</v>
      </c>
    </row>
    <row r="793" spans="1:4" hidden="1">
      <c r="A793" s="42" t="s">
        <v>786</v>
      </c>
      <c r="B793" s="42">
        <v>0</v>
      </c>
      <c r="C793" s="42" t="s">
        <v>72</v>
      </c>
      <c r="D793" s="42">
        <v>5</v>
      </c>
    </row>
    <row r="794" spans="1:4" hidden="1">
      <c r="A794" s="42" t="s">
        <v>1921</v>
      </c>
      <c r="B794" s="42">
        <v>0</v>
      </c>
      <c r="C794" s="42" t="s">
        <v>72</v>
      </c>
      <c r="D794" s="42">
        <v>10</v>
      </c>
    </row>
    <row r="795" spans="1:4" hidden="1">
      <c r="A795" s="42" t="s">
        <v>1966</v>
      </c>
      <c r="B795" s="42">
        <v>0</v>
      </c>
      <c r="C795" s="42" t="s">
        <v>72</v>
      </c>
      <c r="D795" s="42">
        <v>140</v>
      </c>
    </row>
    <row r="796" spans="1:4" hidden="1">
      <c r="A796" s="42" t="s">
        <v>792</v>
      </c>
      <c r="B796" s="42">
        <v>0</v>
      </c>
      <c r="C796" s="42" t="s">
        <v>72</v>
      </c>
      <c r="D796" s="42">
        <v>25</v>
      </c>
    </row>
    <row r="797" spans="1:4" hidden="1">
      <c r="A797" s="42" t="s">
        <v>795</v>
      </c>
      <c r="B797" s="42">
        <v>0</v>
      </c>
      <c r="C797" s="42" t="s">
        <v>72</v>
      </c>
      <c r="D797" s="42">
        <v>100</v>
      </c>
    </row>
    <row r="798" spans="1:4" hidden="1">
      <c r="A798" s="42" t="s">
        <v>815</v>
      </c>
      <c r="B798" s="42">
        <v>0</v>
      </c>
      <c r="C798" s="42" t="s">
        <v>72</v>
      </c>
      <c r="D798" s="42">
        <v>30</v>
      </c>
    </row>
    <row r="799" spans="1:4" hidden="1">
      <c r="A799" s="42" t="s">
        <v>2002</v>
      </c>
      <c r="B799" s="42">
        <v>0</v>
      </c>
      <c r="C799" s="42" t="s">
        <v>72</v>
      </c>
      <c r="D799" s="42">
        <v>500</v>
      </c>
    </row>
    <row r="800" spans="1:4" hidden="1">
      <c r="A800" s="42" t="s">
        <v>817</v>
      </c>
      <c r="B800" s="42">
        <v>0</v>
      </c>
      <c r="C800" s="42" t="s">
        <v>72</v>
      </c>
      <c r="D800" s="42">
        <v>27</v>
      </c>
    </row>
    <row r="801" spans="1:4" hidden="1">
      <c r="A801" s="42" t="s">
        <v>2009</v>
      </c>
      <c r="B801" s="42">
        <v>0</v>
      </c>
      <c r="C801" s="42" t="s">
        <v>72</v>
      </c>
      <c r="D801" s="42">
        <v>1170</v>
      </c>
    </row>
    <row r="802" spans="1:4" hidden="1">
      <c r="A802" s="42" t="s">
        <v>818</v>
      </c>
      <c r="B802" s="42">
        <v>0</v>
      </c>
      <c r="C802" s="42" t="s">
        <v>72</v>
      </c>
      <c r="D802" s="42">
        <v>6</v>
      </c>
    </row>
    <row r="803" spans="1:4" hidden="1">
      <c r="A803" s="42" t="s">
        <v>819</v>
      </c>
      <c r="B803" s="42">
        <v>0</v>
      </c>
      <c r="C803" s="42" t="s">
        <v>72</v>
      </c>
      <c r="D803" s="42">
        <v>145</v>
      </c>
    </row>
    <row r="804" spans="1:4" hidden="1">
      <c r="A804" s="42" t="s">
        <v>2026</v>
      </c>
      <c r="B804" s="42">
        <v>0</v>
      </c>
      <c r="C804" s="42" t="s">
        <v>72</v>
      </c>
      <c r="D804" s="42">
        <v>220</v>
      </c>
    </row>
    <row r="805" spans="1:4" hidden="1">
      <c r="A805" s="42" t="s">
        <v>2027</v>
      </c>
      <c r="B805" s="42">
        <v>0</v>
      </c>
      <c r="C805" s="42" t="s">
        <v>72</v>
      </c>
      <c r="D805" s="42">
        <v>3</v>
      </c>
    </row>
    <row r="806" spans="1:4" hidden="1">
      <c r="A806" s="42" t="s">
        <v>827</v>
      </c>
      <c r="B806" s="42">
        <v>0</v>
      </c>
      <c r="C806" s="42" t="s">
        <v>72</v>
      </c>
      <c r="D806" s="42">
        <v>100</v>
      </c>
    </row>
    <row r="807" spans="1:4" hidden="1">
      <c r="A807" s="42" t="s">
        <v>2062</v>
      </c>
      <c r="B807" s="42">
        <v>0</v>
      </c>
      <c r="C807" s="42" t="s">
        <v>72</v>
      </c>
      <c r="D807" s="42">
        <v>125</v>
      </c>
    </row>
    <row r="808" spans="1:4" hidden="1">
      <c r="A808" s="42" t="s">
        <v>834</v>
      </c>
      <c r="B808" s="42">
        <v>0</v>
      </c>
      <c r="C808" s="42" t="s">
        <v>72</v>
      </c>
      <c r="D808" s="42">
        <v>1</v>
      </c>
    </row>
    <row r="809" spans="1:4" hidden="1">
      <c r="A809" s="42" t="s">
        <v>837</v>
      </c>
      <c r="B809" s="42">
        <v>0</v>
      </c>
      <c r="C809" s="42" t="s">
        <v>72</v>
      </c>
      <c r="D809" s="42">
        <v>140</v>
      </c>
    </row>
    <row r="810" spans="1:4" hidden="1">
      <c r="A810" s="42" t="s">
        <v>838</v>
      </c>
      <c r="B810" s="42">
        <v>0</v>
      </c>
      <c r="C810" s="42" t="s">
        <v>72</v>
      </c>
      <c r="D810" s="42">
        <v>50</v>
      </c>
    </row>
    <row r="811" spans="1:4" hidden="1">
      <c r="A811" s="42" t="s">
        <v>839</v>
      </c>
      <c r="B811" s="42">
        <v>0</v>
      </c>
      <c r="C811" s="42" t="s">
        <v>72</v>
      </c>
      <c r="D811" s="42">
        <v>500</v>
      </c>
    </row>
    <row r="812" spans="1:4" hidden="1">
      <c r="A812" s="42" t="s">
        <v>842</v>
      </c>
      <c r="B812" s="42">
        <v>0</v>
      </c>
      <c r="C812" s="42" t="s">
        <v>72</v>
      </c>
      <c r="D812" s="42">
        <v>1</v>
      </c>
    </row>
    <row r="813" spans="1:4" hidden="1">
      <c r="A813" s="42" t="s">
        <v>2089</v>
      </c>
      <c r="B813" s="42">
        <v>0</v>
      </c>
      <c r="C813" s="42" t="s">
        <v>72</v>
      </c>
      <c r="D813" s="42">
        <v>10</v>
      </c>
    </row>
    <row r="814" spans="1:4" hidden="1">
      <c r="A814" s="42" t="s">
        <v>859</v>
      </c>
      <c r="B814" s="42">
        <v>0</v>
      </c>
      <c r="C814" s="42" t="s">
        <v>72</v>
      </c>
      <c r="D814" s="42">
        <v>10</v>
      </c>
    </row>
    <row r="815" spans="1:4" hidden="1">
      <c r="A815" s="42" t="s">
        <v>2112</v>
      </c>
      <c r="B815" s="42">
        <v>0</v>
      </c>
      <c r="C815" s="42" t="s">
        <v>72</v>
      </c>
      <c r="D815" s="42">
        <v>15</v>
      </c>
    </row>
    <row r="816" spans="1:4" hidden="1">
      <c r="A816" s="42" t="s">
        <v>871</v>
      </c>
      <c r="B816" s="42">
        <v>0</v>
      </c>
      <c r="C816" s="42" t="s">
        <v>72</v>
      </c>
      <c r="D816" s="42">
        <v>20</v>
      </c>
    </row>
    <row r="817" spans="1:4" hidden="1">
      <c r="A817" s="42" t="s">
        <v>873</v>
      </c>
      <c r="B817" s="42">
        <v>0</v>
      </c>
      <c r="C817" s="42" t="s">
        <v>72</v>
      </c>
      <c r="D817" s="42">
        <v>5</v>
      </c>
    </row>
    <row r="818" spans="1:4" hidden="1">
      <c r="A818" s="42" t="s">
        <v>2136</v>
      </c>
      <c r="B818" s="42">
        <v>0</v>
      </c>
      <c r="C818" s="42" t="s">
        <v>72</v>
      </c>
      <c r="D818" s="42">
        <v>83</v>
      </c>
    </row>
    <row r="819" spans="1:4" hidden="1">
      <c r="A819" s="42" t="s">
        <v>2140</v>
      </c>
      <c r="B819" s="42">
        <v>0</v>
      </c>
      <c r="C819" s="42" t="s">
        <v>72</v>
      </c>
      <c r="D819" s="42">
        <v>4</v>
      </c>
    </row>
    <row r="820" spans="1:4" hidden="1">
      <c r="A820" s="42" t="s">
        <v>890</v>
      </c>
      <c r="B820" s="42">
        <v>0</v>
      </c>
      <c r="C820" s="42" t="s">
        <v>72</v>
      </c>
      <c r="D820" s="42">
        <v>15</v>
      </c>
    </row>
    <row r="821" spans="1:4" hidden="1">
      <c r="A821" s="42" t="s">
        <v>891</v>
      </c>
      <c r="B821" s="42">
        <v>0</v>
      </c>
      <c r="C821" s="42" t="s">
        <v>72</v>
      </c>
      <c r="D821" s="42">
        <v>15</v>
      </c>
    </row>
    <row r="822" spans="1:4" hidden="1">
      <c r="A822" s="42" t="s">
        <v>902</v>
      </c>
      <c r="B822" s="42">
        <v>0</v>
      </c>
      <c r="C822" s="42" t="s">
        <v>72</v>
      </c>
      <c r="D822" s="42">
        <v>50</v>
      </c>
    </row>
    <row r="823" spans="1:4" hidden="1">
      <c r="A823" s="42" t="s">
        <v>908</v>
      </c>
      <c r="B823" s="42">
        <v>0</v>
      </c>
      <c r="C823" s="42" t="s">
        <v>72</v>
      </c>
      <c r="D823" s="42">
        <v>5</v>
      </c>
    </row>
    <row r="824" spans="1:4" hidden="1">
      <c r="A824" s="42" t="s">
        <v>943</v>
      </c>
      <c r="B824" s="42">
        <v>0</v>
      </c>
      <c r="C824" s="42" t="s">
        <v>72</v>
      </c>
      <c r="D824" s="42">
        <v>10</v>
      </c>
    </row>
    <row r="825" spans="1:4" hidden="1">
      <c r="A825" s="42" t="s">
        <v>946</v>
      </c>
      <c r="B825" s="42">
        <v>0</v>
      </c>
      <c r="C825" s="42" t="s">
        <v>72</v>
      </c>
      <c r="D825" s="42">
        <v>4</v>
      </c>
    </row>
    <row r="826" spans="1:4" hidden="1">
      <c r="A826" s="42" t="s">
        <v>947</v>
      </c>
      <c r="B826" s="42">
        <v>0</v>
      </c>
      <c r="C826" s="42" t="s">
        <v>72</v>
      </c>
      <c r="D826" s="42">
        <v>20</v>
      </c>
    </row>
    <row r="827" spans="1:4" hidden="1">
      <c r="A827" s="42" t="s">
        <v>953</v>
      </c>
      <c r="B827" s="42">
        <v>0</v>
      </c>
      <c r="C827" s="42" t="s">
        <v>72</v>
      </c>
      <c r="D827" s="42">
        <v>27256</v>
      </c>
    </row>
    <row r="828" spans="1:4" hidden="1">
      <c r="A828" s="42" t="s">
        <v>954</v>
      </c>
      <c r="B828" s="42">
        <v>0</v>
      </c>
      <c r="C828" s="42" t="s">
        <v>72</v>
      </c>
      <c r="D828" s="42">
        <v>3</v>
      </c>
    </row>
    <row r="829" spans="1:4" hidden="1">
      <c r="A829" s="42" t="s">
        <v>957</v>
      </c>
      <c r="B829" s="42">
        <v>0</v>
      </c>
      <c r="C829" s="42" t="s">
        <v>72</v>
      </c>
      <c r="D829" s="42">
        <v>100</v>
      </c>
    </row>
    <row r="830" spans="1:4" hidden="1">
      <c r="A830" s="42" t="s">
        <v>961</v>
      </c>
      <c r="B830" s="42">
        <v>0</v>
      </c>
      <c r="C830" s="42" t="s">
        <v>72</v>
      </c>
      <c r="D830" s="42">
        <v>28</v>
      </c>
    </row>
    <row r="831" spans="1:4" hidden="1">
      <c r="A831" s="42" t="s">
        <v>963</v>
      </c>
      <c r="B831" s="42">
        <v>0</v>
      </c>
      <c r="C831" s="42" t="s">
        <v>72</v>
      </c>
      <c r="D831" s="42">
        <v>100</v>
      </c>
    </row>
    <row r="832" spans="1:4" hidden="1">
      <c r="A832" s="42" t="s">
        <v>964</v>
      </c>
      <c r="B832" s="42">
        <v>0</v>
      </c>
      <c r="C832" s="42" t="s">
        <v>72</v>
      </c>
      <c r="D832" s="42">
        <v>100</v>
      </c>
    </row>
    <row r="833" spans="1:4" hidden="1">
      <c r="A833" s="42" t="s">
        <v>965</v>
      </c>
      <c r="B833" s="42">
        <v>0</v>
      </c>
      <c r="C833" s="42" t="s">
        <v>72</v>
      </c>
      <c r="D833" s="42">
        <v>133</v>
      </c>
    </row>
    <row r="834" spans="1:4" hidden="1">
      <c r="A834" s="42" t="s">
        <v>966</v>
      </c>
      <c r="B834" s="42">
        <v>0</v>
      </c>
      <c r="C834" s="42" t="s">
        <v>72</v>
      </c>
      <c r="D834" s="42">
        <v>8</v>
      </c>
    </row>
    <row r="835" spans="1:4" hidden="1">
      <c r="A835" s="42" t="s">
        <v>972</v>
      </c>
      <c r="B835" s="42">
        <v>0</v>
      </c>
      <c r="C835" s="42" t="s">
        <v>72</v>
      </c>
      <c r="D835" s="42">
        <v>210</v>
      </c>
    </row>
    <row r="836" spans="1:4" hidden="1">
      <c r="A836" s="42" t="s">
        <v>974</v>
      </c>
      <c r="B836" s="42">
        <v>0</v>
      </c>
      <c r="C836" s="42" t="s">
        <v>72</v>
      </c>
      <c r="D836" s="42">
        <v>605</v>
      </c>
    </row>
    <row r="837" spans="1:4" hidden="1">
      <c r="A837" s="42" t="s">
        <v>5</v>
      </c>
      <c r="B837" s="42">
        <v>0</v>
      </c>
      <c r="C837" s="42" t="s">
        <v>72</v>
      </c>
      <c r="D837" s="42">
        <v>15</v>
      </c>
    </row>
    <row r="838" spans="1:4" hidden="1">
      <c r="A838" s="42" t="s">
        <v>999</v>
      </c>
      <c r="B838" s="42">
        <v>0</v>
      </c>
      <c r="C838" s="42" t="s">
        <v>72</v>
      </c>
      <c r="D838" s="42">
        <v>2</v>
      </c>
    </row>
    <row r="839" spans="1:4" hidden="1">
      <c r="A839" s="42" t="s">
        <v>1000</v>
      </c>
      <c r="B839" s="42">
        <v>0</v>
      </c>
      <c r="C839" s="42" t="s">
        <v>72</v>
      </c>
      <c r="D839" s="42">
        <v>2</v>
      </c>
    </row>
    <row r="840" spans="1:4" hidden="1">
      <c r="A840" s="42" t="s">
        <v>1012</v>
      </c>
      <c r="B840" s="42">
        <v>0</v>
      </c>
      <c r="C840" s="42" t="s">
        <v>72</v>
      </c>
      <c r="D840" s="42">
        <v>50</v>
      </c>
    </row>
    <row r="841" spans="1:4" hidden="1">
      <c r="A841" s="42" t="s">
        <v>1021</v>
      </c>
      <c r="B841" s="42">
        <v>0</v>
      </c>
      <c r="C841" s="42" t="s">
        <v>72</v>
      </c>
      <c r="D841" s="42">
        <v>5</v>
      </c>
    </row>
    <row r="842" spans="1:4" hidden="1">
      <c r="A842" s="42" t="s">
        <v>1028</v>
      </c>
      <c r="B842" s="42">
        <v>0</v>
      </c>
      <c r="C842" s="42" t="s">
        <v>72</v>
      </c>
      <c r="D842" s="42">
        <v>1</v>
      </c>
    </row>
    <row r="843" spans="1:4" hidden="1">
      <c r="A843" s="42" t="s">
        <v>1029</v>
      </c>
      <c r="B843" s="42">
        <v>0</v>
      </c>
      <c r="C843" s="42" t="s">
        <v>72</v>
      </c>
      <c r="D843" s="42">
        <v>6</v>
      </c>
    </row>
    <row r="844" spans="1:4" hidden="1">
      <c r="A844" s="42" t="s">
        <v>1031</v>
      </c>
      <c r="B844" s="42">
        <v>0</v>
      </c>
      <c r="C844" s="42" t="s">
        <v>72</v>
      </c>
      <c r="D844" s="42">
        <v>10</v>
      </c>
    </row>
    <row r="845" spans="1:4" hidden="1">
      <c r="A845" s="42" t="s">
        <v>1032</v>
      </c>
      <c r="B845" s="42">
        <v>0</v>
      </c>
      <c r="C845" s="42" t="s">
        <v>72</v>
      </c>
      <c r="D845" s="42">
        <v>35</v>
      </c>
    </row>
    <row r="846" spans="1:4" hidden="1">
      <c r="A846" s="42" t="s">
        <v>2213</v>
      </c>
      <c r="B846" s="42">
        <v>0</v>
      </c>
      <c r="C846" s="42" t="s">
        <v>72</v>
      </c>
      <c r="D846" s="42">
        <v>10</v>
      </c>
    </row>
    <row r="847" spans="1:4" hidden="1">
      <c r="A847" s="42" t="s">
        <v>1044</v>
      </c>
      <c r="B847" s="42">
        <v>0</v>
      </c>
      <c r="C847" s="42" t="s">
        <v>72</v>
      </c>
      <c r="D847" s="42">
        <v>5</v>
      </c>
    </row>
    <row r="848" spans="1:4" hidden="1">
      <c r="A848" s="42" t="s">
        <v>1051</v>
      </c>
      <c r="B848" s="42">
        <v>0</v>
      </c>
      <c r="C848" s="42" t="s">
        <v>72</v>
      </c>
      <c r="D848" s="42">
        <v>75</v>
      </c>
    </row>
    <row r="849" spans="1:4" hidden="1">
      <c r="A849" s="42" t="s">
        <v>1052</v>
      </c>
      <c r="B849" s="42">
        <v>0</v>
      </c>
      <c r="C849" s="42" t="s">
        <v>72</v>
      </c>
      <c r="D849" s="42">
        <v>25</v>
      </c>
    </row>
    <row r="850" spans="1:4" hidden="1">
      <c r="A850" s="42" t="s">
        <v>1053</v>
      </c>
      <c r="B850" s="42">
        <v>0</v>
      </c>
      <c r="C850" s="42" t="s">
        <v>72</v>
      </c>
      <c r="D850" s="42">
        <v>5</v>
      </c>
    </row>
    <row r="851" spans="1:4" hidden="1">
      <c r="A851" s="42" t="s">
        <v>1069</v>
      </c>
      <c r="B851" s="42">
        <v>0</v>
      </c>
      <c r="C851" s="42" t="s">
        <v>72</v>
      </c>
      <c r="D851" s="42">
        <v>10</v>
      </c>
    </row>
    <row r="852" spans="1:4" hidden="1">
      <c r="A852" s="42" t="s">
        <v>85</v>
      </c>
      <c r="B852" s="42">
        <v>0</v>
      </c>
      <c r="C852" s="42" t="s">
        <v>72</v>
      </c>
      <c r="D852" s="42">
        <v>36</v>
      </c>
    </row>
    <row r="853" spans="1:4" hidden="1">
      <c r="A853" s="42" t="s">
        <v>1076</v>
      </c>
      <c r="B853" s="42">
        <v>0</v>
      </c>
      <c r="C853" s="42" t="s">
        <v>72</v>
      </c>
      <c r="D853" s="42">
        <v>10</v>
      </c>
    </row>
    <row r="854" spans="1:4" hidden="1">
      <c r="A854" s="42" t="s">
        <v>1079</v>
      </c>
      <c r="B854" s="42">
        <v>0</v>
      </c>
      <c r="C854" s="42" t="s">
        <v>72</v>
      </c>
      <c r="D854" s="42">
        <v>2946</v>
      </c>
    </row>
    <row r="855" spans="1:4" hidden="1">
      <c r="A855" s="42" t="s">
        <v>1083</v>
      </c>
      <c r="B855" s="42">
        <v>0</v>
      </c>
      <c r="C855" s="42" t="s">
        <v>72</v>
      </c>
      <c r="D855" s="42">
        <v>2</v>
      </c>
    </row>
    <row r="856" spans="1:4" hidden="1">
      <c r="A856" s="42" t="s">
        <v>1084</v>
      </c>
      <c r="B856" s="42">
        <v>0</v>
      </c>
      <c r="C856" s="42" t="s">
        <v>72</v>
      </c>
      <c r="D856" s="42">
        <v>10</v>
      </c>
    </row>
    <row r="857" spans="1:4" hidden="1">
      <c r="A857" s="42" t="s">
        <v>1094</v>
      </c>
      <c r="B857" s="42">
        <v>0</v>
      </c>
      <c r="C857" s="42" t="s">
        <v>72</v>
      </c>
      <c r="D857" s="42">
        <v>10</v>
      </c>
    </row>
    <row r="858" spans="1:4" hidden="1">
      <c r="A858" s="42" t="s">
        <v>2232</v>
      </c>
      <c r="B858" s="42">
        <v>0</v>
      </c>
      <c r="C858" s="42" t="s">
        <v>72</v>
      </c>
      <c r="D858" s="42">
        <v>30</v>
      </c>
    </row>
    <row r="859" spans="1:4" hidden="1">
      <c r="A859" s="42" t="s">
        <v>2244</v>
      </c>
      <c r="B859" s="42">
        <v>0</v>
      </c>
      <c r="C859" s="42" t="s">
        <v>72</v>
      </c>
      <c r="D859" s="42">
        <v>20</v>
      </c>
    </row>
    <row r="860" spans="1:4" hidden="1">
      <c r="A860" s="42" t="s">
        <v>1119</v>
      </c>
      <c r="B860" s="42">
        <v>0</v>
      </c>
      <c r="C860" s="42" t="s">
        <v>72</v>
      </c>
      <c r="D860" s="42">
        <v>15</v>
      </c>
    </row>
    <row r="861" spans="1:4" hidden="1">
      <c r="A861" s="42" t="s">
        <v>1123</v>
      </c>
      <c r="B861" s="42">
        <v>0</v>
      </c>
      <c r="C861" s="42" t="s">
        <v>72</v>
      </c>
      <c r="D861" s="42">
        <v>30</v>
      </c>
    </row>
    <row r="862" spans="1:4" hidden="1">
      <c r="A862" s="42" t="s">
        <v>2254</v>
      </c>
      <c r="B862" s="42">
        <v>0</v>
      </c>
      <c r="C862" s="42" t="s">
        <v>72</v>
      </c>
      <c r="D862" s="42">
        <v>214</v>
      </c>
    </row>
    <row r="863" spans="1:4" hidden="1">
      <c r="A863" s="42" t="s">
        <v>2286</v>
      </c>
      <c r="B863" s="42">
        <v>0</v>
      </c>
      <c r="C863" s="42" t="s">
        <v>72</v>
      </c>
      <c r="D863" s="42">
        <v>200</v>
      </c>
    </row>
    <row r="864" spans="1:4" hidden="1">
      <c r="A864" s="42" t="s">
        <v>1124</v>
      </c>
      <c r="B864" s="42">
        <v>0</v>
      </c>
      <c r="C864" s="42" t="s">
        <v>72</v>
      </c>
      <c r="D864" s="42">
        <v>20</v>
      </c>
    </row>
    <row r="865" spans="1:4" hidden="1">
      <c r="A865" s="42" t="s">
        <v>1128</v>
      </c>
      <c r="B865" s="42">
        <v>0</v>
      </c>
      <c r="C865" s="42" t="s">
        <v>72</v>
      </c>
      <c r="D865" s="42">
        <v>98</v>
      </c>
    </row>
    <row r="866" spans="1:4" hidden="1">
      <c r="A866" s="42" t="s">
        <v>1129</v>
      </c>
      <c r="B866" s="42">
        <v>0</v>
      </c>
      <c r="C866" s="42" t="s">
        <v>72</v>
      </c>
      <c r="D866" s="42">
        <v>50</v>
      </c>
    </row>
    <row r="867" spans="1:4" hidden="1">
      <c r="A867" s="42" t="s">
        <v>1130</v>
      </c>
      <c r="B867" s="42">
        <v>0</v>
      </c>
      <c r="C867" s="42" t="s">
        <v>72</v>
      </c>
      <c r="D867" s="42">
        <v>174</v>
      </c>
    </row>
    <row r="868" spans="1:4" hidden="1">
      <c r="A868" s="42" t="s">
        <v>1131</v>
      </c>
      <c r="B868" s="42">
        <v>0</v>
      </c>
      <c r="C868" s="42" t="s">
        <v>72</v>
      </c>
      <c r="D868" s="42">
        <v>100</v>
      </c>
    </row>
    <row r="869" spans="1:4" hidden="1">
      <c r="A869" s="42" t="s">
        <v>2298</v>
      </c>
      <c r="B869" s="42">
        <v>0</v>
      </c>
      <c r="C869" s="42" t="s">
        <v>72</v>
      </c>
      <c r="D869" s="42">
        <v>90</v>
      </c>
    </row>
    <row r="870" spans="1:4" hidden="1">
      <c r="A870" s="42" t="s">
        <v>1138</v>
      </c>
      <c r="B870" s="42">
        <v>0</v>
      </c>
      <c r="C870" s="42" t="s">
        <v>72</v>
      </c>
      <c r="D870" s="42">
        <v>10</v>
      </c>
    </row>
    <row r="871" spans="1:4" hidden="1">
      <c r="A871" s="42" t="s">
        <v>1139</v>
      </c>
      <c r="B871" s="42">
        <v>0</v>
      </c>
      <c r="C871" s="42" t="s">
        <v>72</v>
      </c>
      <c r="D871" s="42">
        <v>10</v>
      </c>
    </row>
    <row r="872" spans="1:4" hidden="1">
      <c r="A872" s="42" t="s">
        <v>2308</v>
      </c>
      <c r="B872" s="42">
        <v>0</v>
      </c>
      <c r="C872" s="42" t="s">
        <v>72</v>
      </c>
      <c r="D872" s="42">
        <v>20</v>
      </c>
    </row>
    <row r="873" spans="1:4" hidden="1">
      <c r="A873" s="42" t="s">
        <v>2310</v>
      </c>
      <c r="B873" s="42">
        <v>0</v>
      </c>
      <c r="C873" s="42" t="s">
        <v>72</v>
      </c>
      <c r="D873" s="42">
        <v>138</v>
      </c>
    </row>
    <row r="874" spans="1:4" hidden="1">
      <c r="A874" s="42" t="s">
        <v>1168</v>
      </c>
      <c r="B874" s="42">
        <v>0</v>
      </c>
      <c r="C874" s="42" t="s">
        <v>72</v>
      </c>
      <c r="D874" s="42">
        <v>1</v>
      </c>
    </row>
    <row r="875" spans="1:4" hidden="1">
      <c r="A875" s="42" t="s">
        <v>1169</v>
      </c>
      <c r="B875" s="42">
        <v>0</v>
      </c>
      <c r="C875" s="42" t="s">
        <v>72</v>
      </c>
      <c r="D875" s="42">
        <v>4</v>
      </c>
    </row>
    <row r="876" spans="1:4" hidden="1">
      <c r="A876" s="42" t="s">
        <v>1171</v>
      </c>
      <c r="B876" s="42">
        <v>0</v>
      </c>
      <c r="C876" s="42" t="s">
        <v>72</v>
      </c>
      <c r="D876" s="42">
        <v>55</v>
      </c>
    </row>
    <row r="877" spans="1:4" hidden="1">
      <c r="A877" s="42" t="s">
        <v>1173</v>
      </c>
      <c r="B877" s="42">
        <v>0</v>
      </c>
      <c r="C877" s="42" t="s">
        <v>72</v>
      </c>
      <c r="D877" s="42">
        <v>203</v>
      </c>
    </row>
    <row r="878" spans="1:4" hidden="1">
      <c r="A878" s="42" t="s">
        <v>1174</v>
      </c>
      <c r="B878" s="42">
        <v>0</v>
      </c>
      <c r="C878" s="42" t="s">
        <v>72</v>
      </c>
      <c r="D878" s="42">
        <v>214</v>
      </c>
    </row>
    <row r="879" spans="1:4" hidden="1">
      <c r="A879" s="42" t="s">
        <v>1175</v>
      </c>
      <c r="B879" s="42">
        <v>0</v>
      </c>
      <c r="C879" s="42" t="s">
        <v>72</v>
      </c>
      <c r="D879" s="42">
        <v>206</v>
      </c>
    </row>
    <row r="880" spans="1:4" hidden="1">
      <c r="A880" s="42" t="s">
        <v>1180</v>
      </c>
      <c r="B880" s="42">
        <v>0</v>
      </c>
      <c r="C880" s="42" t="s">
        <v>72</v>
      </c>
      <c r="D880" s="42">
        <v>42324</v>
      </c>
    </row>
    <row r="881" spans="1:4" hidden="1">
      <c r="A881" s="42" t="s">
        <v>1181</v>
      </c>
      <c r="B881" s="42">
        <v>0</v>
      </c>
      <c r="C881" s="42" t="s">
        <v>72</v>
      </c>
      <c r="D881" s="42">
        <v>12864</v>
      </c>
    </row>
    <row r="882" spans="1:4" hidden="1">
      <c r="A882" s="42" t="s">
        <v>1182</v>
      </c>
      <c r="B882" s="42">
        <v>0</v>
      </c>
      <c r="C882" s="42" t="s">
        <v>72</v>
      </c>
      <c r="D882" s="42">
        <v>2760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J398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13" sqref="C13"/>
    </sheetView>
  </sheetViews>
  <sheetFormatPr defaultRowHeight="12"/>
  <cols>
    <col min="1" max="1" width="10" style="1" bestFit="1" customWidth="1"/>
    <col min="2" max="2" width="15.7109375" style="1" customWidth="1"/>
    <col min="3" max="3" width="45.5703125" style="1" customWidth="1"/>
    <col min="4" max="4" width="7.140625" style="1" bestFit="1" customWidth="1"/>
    <col min="5" max="13" width="4.140625" style="1" customWidth="1"/>
    <col min="14" max="16" width="5" style="1" bestFit="1" customWidth="1"/>
    <col min="17" max="17" width="5.28515625" style="1" bestFit="1" customWidth="1"/>
    <col min="18" max="22" width="5" style="1" bestFit="1" customWidth="1"/>
    <col min="23" max="23" width="5.28515625" style="1" bestFit="1" customWidth="1"/>
    <col min="24" max="29" width="5" style="1" bestFit="1" customWidth="1"/>
    <col min="30" max="32" width="5" style="1" customWidth="1"/>
    <col min="33" max="33" width="5.28515625" style="1" customWidth="1"/>
    <col min="34" max="35" width="5" style="1" customWidth="1"/>
    <col min="36" max="36" width="6.85546875" style="1" bestFit="1" customWidth="1"/>
    <col min="37" max="16384" width="9.140625" style="1"/>
  </cols>
  <sheetData>
    <row r="1" spans="1:36" ht="27" thickBot="1">
      <c r="A1" s="54" t="s">
        <v>73</v>
      </c>
      <c r="B1" s="54"/>
      <c r="C1" s="12"/>
      <c r="E1" s="56" t="s">
        <v>75</v>
      </c>
      <c r="F1" s="56"/>
      <c r="G1" s="56"/>
      <c r="H1" s="56"/>
      <c r="I1" s="56"/>
      <c r="J1" s="13" t="s">
        <v>71</v>
      </c>
      <c r="K1" s="14" t="s">
        <v>68</v>
      </c>
      <c r="L1" s="15" t="s">
        <v>70</v>
      </c>
      <c r="M1" s="16" t="s">
        <v>72</v>
      </c>
      <c r="N1" s="17" t="s">
        <v>69</v>
      </c>
    </row>
    <row r="2" spans="1:36" ht="12.75" thickTop="1"/>
    <row r="3" spans="1:36" ht="12.75" customHeight="1">
      <c r="E3" s="7" t="str">
        <f>MID(CHOOSE(WEEKDAY(DATE(MasterSheet!$B1,MasterSheet!$A1,Table_ExternalData_1[[#Headers],[1]])),"Sunday","Monday","Tuesday","Wednesday","Thursday","Friday","Saturday"),1,3)</f>
        <v>Wed</v>
      </c>
      <c r="F3" s="7" t="str">
        <f>MID(CHOOSE(WEEKDAY(DATE(MasterSheet!$B1,MasterSheet!$A1,Table_ExternalData_1[[#Headers],[2]])),"Sunday","Monday","Tuesday","Wednesday","Thursday","Friday","Saturday"),1,3)</f>
        <v>Thu</v>
      </c>
      <c r="G3" s="7" t="str">
        <f>MID(CHOOSE(WEEKDAY(DATE(MasterSheet!$B1,MasterSheet!$A1,Table_ExternalData_1[[#Headers],[3]])),"Sunday","Monday","Tuesday","Wednesday","Thursday","Friday","Saturday"),1,3)</f>
        <v>Fri</v>
      </c>
      <c r="H3" s="7" t="str">
        <f>MID(CHOOSE(WEEKDAY(DATE(MasterSheet!$B1,MasterSheet!$A1,Table_ExternalData_1[[#Headers],[4]])),"Sunday","Monday","Tuesday","Wednesday","Thursday","Friday","Saturday"),1,3)</f>
        <v>Sat</v>
      </c>
      <c r="I3" s="7" t="str">
        <f>MID(CHOOSE(WEEKDAY(DATE(MasterSheet!$B1,MasterSheet!$A1,Table_ExternalData_1[[#Headers],[5]])),"Sunday","Monday","Tuesday","Wednesday","Thursday","Friday","Saturday"),1,3)</f>
        <v>Sun</v>
      </c>
      <c r="J3" s="7" t="str">
        <f>MID(CHOOSE(WEEKDAY(DATE(MasterSheet!$B1,MasterSheet!$A1,Table_ExternalData_1[[#Headers],[6]])),"Sunday","Monday","Tuesday","Wednesday","Thursday","Friday","Saturday"),1,3)</f>
        <v>Mon</v>
      </c>
      <c r="K3" s="7" t="str">
        <f>MID(CHOOSE(WEEKDAY(DATE(MasterSheet!$B1,MasterSheet!$A1,Table_ExternalData_1[[#Headers],[7]])),"Sunday","Monday","Tuesday","Wednesday","Thursday","Friday","Saturday"),1,3)</f>
        <v>Tue</v>
      </c>
      <c r="L3" s="7" t="str">
        <f>MID(CHOOSE(WEEKDAY(DATE(MasterSheet!$B1,MasterSheet!$A1,Table_ExternalData_1[[#Headers],[8]])),"Sunday","Monday","Tuesday","Wednesday","Thursday","Friday","Saturday"),1,3)</f>
        <v>Wed</v>
      </c>
      <c r="M3" s="7" t="str">
        <f>MID(CHOOSE(WEEKDAY(DATE(MasterSheet!$B1,MasterSheet!$A1,Table_ExternalData_1[[#Headers],[9]])),"Sunday","Monday","Tuesday","Wednesday","Thursday","Friday","Saturday"),1,3)</f>
        <v>Thu</v>
      </c>
      <c r="N3" s="7" t="str">
        <f>MID(CHOOSE(WEEKDAY(DATE(MasterSheet!$B1,MasterSheet!$A1,Table_ExternalData_1[[#Headers],[10]])),"Sunday","Monday","Tuesday","Wednesday","Thursday","Friday","Saturday"),1,3)</f>
        <v>Fri</v>
      </c>
      <c r="O3" s="7" t="str">
        <f>MID(CHOOSE(WEEKDAY(DATE(MasterSheet!$B1,MasterSheet!$A1,Table_ExternalData_1[[#Headers],[11]])),"Sunday","Monday","Tuesday","Wednesday","Thursday","Friday","Saturday"),1,3)</f>
        <v>Sat</v>
      </c>
      <c r="P3" s="7" t="str">
        <f>MID(CHOOSE(WEEKDAY(DATE(MasterSheet!$B1,MasterSheet!$A1,Table_ExternalData_1[[#Headers],[12]])),"Sunday","Monday","Tuesday","Wednesday","Thursday","Friday","Saturday"),1,3)</f>
        <v>Sun</v>
      </c>
      <c r="Q3" s="7" t="str">
        <f>MID(CHOOSE(WEEKDAY(DATE(MasterSheet!$B1,MasterSheet!$A1,Table_ExternalData_1[[#Headers],[13]])),"Sunday","Monday","Tuesday","Wednesday","Thursday","Friday","Saturday"),1,3)</f>
        <v>Mon</v>
      </c>
      <c r="R3" s="7" t="str">
        <f>MID(CHOOSE(WEEKDAY(DATE(MasterSheet!$B1,MasterSheet!$A1,Table_ExternalData_1[[#Headers],[14]])),"Sunday","Monday","Tuesday","Wednesday","Thursday","Friday","Saturday"),1,3)</f>
        <v>Tue</v>
      </c>
      <c r="S3" s="7" t="str">
        <f>MID(CHOOSE(WEEKDAY(DATE(MasterSheet!$B1,MasterSheet!$A1,Table_ExternalData_1[[#Headers],[15]])),"Sunday","Monday","Tuesday","Wednesday","Thursday","Friday","Saturday"),1,3)</f>
        <v>Wed</v>
      </c>
      <c r="T3" s="7" t="str">
        <f>MID(CHOOSE(WEEKDAY(DATE(MasterSheet!$B1,MasterSheet!$A1,Table_ExternalData_1[[#Headers],[16]])),"Sunday","Monday","Tuesday","Wednesday","Thursday","Friday","Saturday"),1,3)</f>
        <v>Thu</v>
      </c>
      <c r="U3" s="7" t="str">
        <f>MID(CHOOSE(WEEKDAY(DATE(MasterSheet!$B1,MasterSheet!$A1,Table_ExternalData_1[[#Headers],[17]])),"Sunday","Monday","Tuesday","Wednesday","Thursday","Friday","Saturday"),1,3)</f>
        <v>Fri</v>
      </c>
      <c r="V3" s="7" t="str">
        <f>MID(CHOOSE(WEEKDAY(DATE(MasterSheet!$B1,MasterSheet!$A1,Table_ExternalData_1[[#Headers],[18]])),"Sunday","Monday","Tuesday","Wednesday","Thursday","Friday","Saturday"),1,3)</f>
        <v>Sat</v>
      </c>
      <c r="W3" s="7" t="str">
        <f>MID(CHOOSE(WEEKDAY(DATE(MasterSheet!$B1,MasterSheet!$A1,Table_ExternalData_1[[#Headers],[19]])),"Sunday","Monday","Tuesday","Wednesday","Thursday","Friday","Saturday"),1,3)</f>
        <v>Sun</v>
      </c>
      <c r="X3" s="7" t="str">
        <f>MID(CHOOSE(WEEKDAY(DATE(MasterSheet!$B1,MasterSheet!$A1,Table_ExternalData_1[[#Headers],[20]])),"Sunday","Monday","Tuesday","Wednesday","Thursday","Friday","Saturday"),1,3)</f>
        <v>Mon</v>
      </c>
      <c r="Y3" s="7" t="str">
        <f>MID(CHOOSE(WEEKDAY(DATE(MasterSheet!$B1,MasterSheet!$A1,Table_ExternalData_1[[#Headers],[21]])),"Sunday","Monday","Tuesday","Wednesday","Thursday","Friday","Saturday"),1,3)</f>
        <v>Tue</v>
      </c>
      <c r="Z3" s="7" t="str">
        <f>MID(CHOOSE(WEEKDAY(DATE(MasterSheet!$B1,MasterSheet!$A1,Table_ExternalData_1[[#Headers],[22]])),"Sunday","Monday","Tuesday","Wednesday","Thursday","Friday","Saturday"),1,3)</f>
        <v>Wed</v>
      </c>
      <c r="AA3" s="7" t="str">
        <f>MID(CHOOSE(WEEKDAY(DATE(MasterSheet!$B1,MasterSheet!$A1,Table_ExternalData_1[[#Headers],[23]])),"Sunday","Monday","Tuesday","Wednesday","Thursday","Friday","Saturday"),1,3)</f>
        <v>Thu</v>
      </c>
      <c r="AB3" s="7" t="str">
        <f>MID(CHOOSE(WEEKDAY(DATE(MasterSheet!$B1,MasterSheet!$A1,Table_ExternalData_1[[#Headers],[24]])),"Sunday","Monday","Tuesday","Wednesday","Thursday","Friday","Saturday"),1,3)</f>
        <v>Fri</v>
      </c>
      <c r="AC3" s="7" t="str">
        <f>MID(CHOOSE(WEEKDAY(DATE(MasterSheet!$B1,MasterSheet!$A1,Table_ExternalData_1[[#Headers],[25]])),"Sunday","Monday","Tuesday","Wednesday","Thursday","Friday","Saturday"),1,3)</f>
        <v>Sat</v>
      </c>
      <c r="AD3" s="7" t="str">
        <f>MID(CHOOSE(WEEKDAY(DATE(MasterSheet!$B1,MasterSheet!$A1,Table_ExternalData_1[[#Headers],[26]])),"Sunday","Monday","Tuesday","Wednesday","Thursday","Friday","Saturday"),1,3)</f>
        <v>Sun</v>
      </c>
      <c r="AE3" s="7" t="str">
        <f>MID(CHOOSE(WEEKDAY(DATE(MasterSheet!$B1,MasterSheet!$A1,Table_ExternalData_1[[#Headers],[27]])),"Sunday","Monday","Tuesday","Wednesday","Thursday","Friday","Saturday"),1,3)</f>
        <v>Mon</v>
      </c>
      <c r="AF3" s="7" t="str">
        <f>MID(CHOOSE(WEEKDAY(DATE(MasterSheet!$B1,MasterSheet!$A1,Table_ExternalData_1[[#Headers],[28]])),"Sunday","Monday","Tuesday","Wednesday","Thursday","Friday","Saturday"),1,3)</f>
        <v>Tue</v>
      </c>
      <c r="AG3" s="7" t="str">
        <f>MID(CHOOSE(WEEKDAY(DATE(MasterSheet!$B1,MasterSheet!$A1,Table_ExternalData_1[[#Headers],[29]])),"Sunday","Monday","Tuesday","Wednesday","Thursday","Friday","Saturday"),1,3)</f>
        <v>Wed</v>
      </c>
      <c r="AH3" s="7" t="str">
        <f>MID(CHOOSE(WEEKDAY(DATE(MasterSheet!$B1,MasterSheet!$A1,Table_ExternalData_1[[#Headers],[30]])),"Sunday","Monday","Tuesday","Wednesday","Thursday","Friday","Saturday"),1,3)</f>
        <v>Thu</v>
      </c>
      <c r="AI3" s="7" t="str">
        <f>MID(CHOOSE(WEEKDAY(DATE(MasterSheet!$B1,MasterSheet!$A1,Table_ExternalData_1[[#Headers],[31]])),"Sunday","Monday","Tuesday","Wednesday","Thursday","Friday","Saturday"),1,3)</f>
        <v>Fri</v>
      </c>
    </row>
    <row r="4" spans="1:36">
      <c r="A4" s="1" t="s">
        <v>2</v>
      </c>
      <c r="B4" s="1" t="s">
        <v>8</v>
      </c>
      <c r="C4" s="1" t="s">
        <v>9</v>
      </c>
      <c r="D4" s="1" t="s">
        <v>67</v>
      </c>
      <c r="E4" s="1" t="s">
        <v>19</v>
      </c>
      <c r="F4" s="1" t="s">
        <v>20</v>
      </c>
      <c r="G4" s="1" t="s">
        <v>21</v>
      </c>
      <c r="H4" s="1" t="s">
        <v>22</v>
      </c>
      <c r="I4" s="1" t="s">
        <v>23</v>
      </c>
      <c r="J4" s="1" t="s">
        <v>24</v>
      </c>
      <c r="K4" s="1" t="s">
        <v>25</v>
      </c>
      <c r="L4" s="1" t="s">
        <v>26</v>
      </c>
      <c r="M4" s="1" t="s">
        <v>27</v>
      </c>
      <c r="N4" s="1" t="s">
        <v>28</v>
      </c>
      <c r="O4" s="1" t="s">
        <v>29</v>
      </c>
      <c r="P4" s="1" t="s">
        <v>30</v>
      </c>
      <c r="Q4" s="1" t="s">
        <v>31</v>
      </c>
      <c r="R4" s="1" t="s">
        <v>32</v>
      </c>
      <c r="S4" s="1" t="s">
        <v>33</v>
      </c>
      <c r="T4" s="1" t="s">
        <v>34</v>
      </c>
      <c r="U4" s="1" t="s">
        <v>35</v>
      </c>
      <c r="V4" s="1" t="s">
        <v>36</v>
      </c>
      <c r="W4" s="1" t="s">
        <v>37</v>
      </c>
      <c r="X4" s="1" t="s">
        <v>38</v>
      </c>
      <c r="Y4" s="1" t="s">
        <v>39</v>
      </c>
      <c r="Z4" s="1" t="s">
        <v>40</v>
      </c>
      <c r="AA4" s="1" t="s">
        <v>41</v>
      </c>
      <c r="AB4" s="1" t="s">
        <v>42</v>
      </c>
      <c r="AC4" s="1" t="s">
        <v>43</v>
      </c>
      <c r="AD4" s="1" t="s">
        <v>44</v>
      </c>
      <c r="AE4" s="1" t="s">
        <v>45</v>
      </c>
      <c r="AF4" s="1" t="s">
        <v>46</v>
      </c>
      <c r="AG4" s="1" t="s">
        <v>47</v>
      </c>
      <c r="AH4" s="1" t="s">
        <v>48</v>
      </c>
      <c r="AI4" s="1" t="s">
        <v>49</v>
      </c>
      <c r="AJ4" s="1" t="s">
        <v>14</v>
      </c>
    </row>
    <row r="5" spans="1:36">
      <c r="A5" s="1" t="s">
        <v>1633</v>
      </c>
      <c r="B5" s="1" t="s">
        <v>2424</v>
      </c>
      <c r="C5" s="1" t="s">
        <v>2425</v>
      </c>
      <c r="D5" s="11" t="s">
        <v>72</v>
      </c>
      <c r="E5" s="10">
        <f>SUMIFS(IsQList,IsIList,Table_ExternalData_15[[#This Row],[item_key]],IsITypeList,Table_ExternalData_15[[#This Row],[IType]],IsDList,Table_ExternalData_15[[#Headers],[1]])</f>
        <v>0</v>
      </c>
      <c r="F5" s="10">
        <f>SUMIFS(IsQList,IsIList,Table_ExternalData_15[[#This Row],[item_key]],IsITypeList,Table_ExternalData_15[[#This Row],[IType]],IsDList,Table_ExternalData_15[[#Headers],[2]])</f>
        <v>0</v>
      </c>
      <c r="G5" s="10">
        <f>SUMIFS(IsQList,IsIList,Table_ExternalData_15[[#This Row],[item_key]],IsITypeList,Table_ExternalData_15[[#This Row],[IType]],IsDList,Table_ExternalData_15[[#Headers],[3]])</f>
        <v>0</v>
      </c>
      <c r="H5" s="10">
        <f>SUMIFS(IsQList,IsIList,Table_ExternalData_15[[#This Row],[item_key]],IsITypeList,Table_ExternalData_15[[#This Row],[IType]],IsDList,Table_ExternalData_15[[#Headers],[4]])</f>
        <v>0</v>
      </c>
      <c r="I5" s="10">
        <f>SUMIFS(IsQList,IsIList,Table_ExternalData_15[[#This Row],[item_key]],IsITypeList,Table_ExternalData_15[[#This Row],[IType]],IsDList,Table_ExternalData_15[[#Headers],[5]])</f>
        <v>0</v>
      </c>
      <c r="J5" s="10">
        <f>SUMIFS(IsQList,IsIList,Table_ExternalData_15[[#This Row],[item_key]],IsITypeList,Table_ExternalData_15[[#This Row],[IType]],IsDList,Table_ExternalData_15[[#Headers],[6]])</f>
        <v>0</v>
      </c>
      <c r="K5" s="10">
        <f>SUMIFS(IsQList,IsIList,Table_ExternalData_15[[#This Row],[item_key]],IsITypeList,Table_ExternalData_15[[#This Row],[IType]],IsDList,Table_ExternalData_15[[#Headers],[7]])</f>
        <v>0</v>
      </c>
      <c r="L5" s="10">
        <f>SUMIFS(IsQList,IsIList,Table_ExternalData_15[[#This Row],[item_key]],IsITypeList,Table_ExternalData_15[[#This Row],[IType]],IsDList,Table_ExternalData_15[[#Headers],[8]])</f>
        <v>0</v>
      </c>
      <c r="M5" s="10">
        <f>SUMIFS(IsQList,IsIList,Table_ExternalData_15[[#This Row],[item_key]],IsITypeList,Table_ExternalData_15[[#This Row],[IType]],IsDList,Table_ExternalData_15[[#Headers],[9]])</f>
        <v>0</v>
      </c>
      <c r="N5" s="10">
        <f>SUMIFS(IsQList,IsIList,Table_ExternalData_15[[#This Row],[item_key]],IsITypeList,Table_ExternalData_15[[#This Row],[IType]],IsDList,Table_ExternalData_15[[#Headers],[10]])</f>
        <v>0</v>
      </c>
      <c r="O5" s="10">
        <f>SUMIFS(IsQList,IsIList,Table_ExternalData_15[[#This Row],[item_key]],IsITypeList,Table_ExternalData_15[[#This Row],[IType]],IsDList,Table_ExternalData_15[[#Headers],[11]])</f>
        <v>0</v>
      </c>
      <c r="P5" s="10">
        <f>SUMIFS(IsQList,IsIList,Table_ExternalData_15[[#This Row],[item_key]],IsITypeList,Table_ExternalData_15[[#This Row],[IType]],IsDList,Table_ExternalData_15[[#Headers],[12]])</f>
        <v>0</v>
      </c>
      <c r="Q5" s="10">
        <f>SUMIFS(IsQList,IsIList,Table_ExternalData_15[[#This Row],[item_key]],IsITypeList,Table_ExternalData_15[[#This Row],[IType]],IsDList,Table_ExternalData_15[[#Headers],[13]])</f>
        <v>0</v>
      </c>
      <c r="R5" s="10">
        <f>SUMIFS(IsQList,IsIList,Table_ExternalData_15[[#This Row],[item_key]],IsITypeList,Table_ExternalData_15[[#This Row],[IType]],IsDList,Table_ExternalData_15[[#Headers],[14]])</f>
        <v>0</v>
      </c>
      <c r="S5" s="10">
        <f>SUMIFS(IsQList,IsIList,Table_ExternalData_15[[#This Row],[item_key]],IsITypeList,Table_ExternalData_15[[#This Row],[IType]],IsDList,Table_ExternalData_15[[#Headers],[15]])</f>
        <v>0</v>
      </c>
      <c r="T5" s="10">
        <f>SUMIFS(IsQList,IsIList,Table_ExternalData_15[[#This Row],[item_key]],IsITypeList,Table_ExternalData_15[[#This Row],[IType]],IsDList,Table_ExternalData_15[[#Headers],[16]])</f>
        <v>4</v>
      </c>
      <c r="U5" s="10">
        <f>SUMIFS(IsQList,IsIList,Table_ExternalData_15[[#This Row],[item_key]],IsITypeList,Table_ExternalData_15[[#This Row],[IType]],IsDList,Table_ExternalData_15[[#Headers],[17]])</f>
        <v>0</v>
      </c>
      <c r="V5" s="10">
        <f>SUMIFS(IsQList,IsIList,Table_ExternalData_15[[#This Row],[item_key]],IsITypeList,Table_ExternalData_15[[#This Row],[IType]],IsDList,Table_ExternalData_15[[#Headers],[18]])</f>
        <v>0</v>
      </c>
      <c r="W5" s="10">
        <f>SUMIFS(IsQList,IsIList,Table_ExternalData_15[[#This Row],[item_key]],IsITypeList,Table_ExternalData_15[[#This Row],[IType]],IsDList,Table_ExternalData_15[[#Headers],[19]])</f>
        <v>0</v>
      </c>
      <c r="X5" s="10">
        <f>SUMIFS(IsQList,IsIList,Table_ExternalData_15[[#This Row],[item_key]],IsITypeList,Table_ExternalData_15[[#This Row],[IType]],IsDList,Table_ExternalData_15[[#Headers],[20]])</f>
        <v>0</v>
      </c>
      <c r="Y5" s="10">
        <f>SUMIFS(IsQList,IsIList,Table_ExternalData_15[[#This Row],[item_key]],IsITypeList,Table_ExternalData_15[[#This Row],[IType]],IsDList,Table_ExternalData_15[[#Headers],[21]])</f>
        <v>0</v>
      </c>
      <c r="Z5" s="10">
        <f>SUMIFS(IsQList,IsIList,Table_ExternalData_15[[#This Row],[item_key]],IsITypeList,Table_ExternalData_15[[#This Row],[IType]],IsDList,Table_ExternalData_15[[#Headers],[22]])</f>
        <v>0</v>
      </c>
      <c r="AA5" s="10">
        <f>SUMIFS(IsQList,IsIList,Table_ExternalData_15[[#This Row],[item_key]],IsITypeList,Table_ExternalData_15[[#This Row],[IType]],IsDList,Table_ExternalData_15[[#Headers],[23]])</f>
        <v>0</v>
      </c>
      <c r="AB5" s="10">
        <f>SUMIFS(IsQList,IsIList,Table_ExternalData_15[[#This Row],[item_key]],IsITypeList,Table_ExternalData_15[[#This Row],[IType]],IsDList,Table_ExternalData_15[[#Headers],[24]])</f>
        <v>0</v>
      </c>
      <c r="AC5" s="10">
        <f>SUMIFS(IsQList,IsIList,Table_ExternalData_15[[#This Row],[item_key]],IsITypeList,Table_ExternalData_15[[#This Row],[IType]],IsDList,Table_ExternalData_15[[#Headers],[25]])</f>
        <v>0</v>
      </c>
      <c r="AD5" s="10">
        <f>SUMIFS(IsQList,IsIList,Table_ExternalData_15[[#This Row],[item_key]],IsITypeList,Table_ExternalData_15[[#This Row],[IType]],IsDList,Table_ExternalData_15[[#Headers],[26]])</f>
        <v>0</v>
      </c>
      <c r="AE5" s="10">
        <f>SUMIFS(IsQList,IsIList,Table_ExternalData_15[[#This Row],[item_key]],IsITypeList,Table_ExternalData_15[[#This Row],[IType]],IsDList,Table_ExternalData_15[[#Headers],[27]])</f>
        <v>0</v>
      </c>
      <c r="AF5" s="10">
        <f>SUMIFS(IsQList,IsIList,Table_ExternalData_15[[#This Row],[item_key]],IsITypeList,Table_ExternalData_15[[#This Row],[IType]],IsDList,Table_ExternalData_15[[#Headers],[28]])</f>
        <v>0</v>
      </c>
      <c r="AG5" s="10">
        <f>SUMIFS(IsQList,IsIList,Table_ExternalData_15[[#This Row],[item_key]],IsITypeList,Table_ExternalData_15[[#This Row],[IType]],IsDList,Table_ExternalData_15[[#Headers],[29]])</f>
        <v>0</v>
      </c>
      <c r="AH5" s="10">
        <f>SUMIFS(IsQList,IsIList,Table_ExternalData_15[[#This Row],[item_key]],IsITypeList,Table_ExternalData_15[[#This Row],[IType]],IsDList,Table_ExternalData_15[[#Headers],[30]])</f>
        <v>4</v>
      </c>
      <c r="AI5" s="10">
        <f>SUMIFS(IsQList,IsIList,Table_ExternalData_15[[#This Row],[item_key]],IsITypeList,Table_ExternalData_15[[#This Row],[IType]],IsDList,Table_ExternalData_15[[#Headers],[31]])</f>
        <v>0</v>
      </c>
      <c r="AJ5" s="10">
        <f>SUM(Table_ExternalData_15[[#This Row],[1]:[31]])</f>
        <v>8</v>
      </c>
    </row>
    <row r="6" spans="1:36">
      <c r="A6" s="1" t="s">
        <v>1637</v>
      </c>
      <c r="B6" s="1" t="s">
        <v>2426</v>
      </c>
      <c r="C6" s="1" t="s">
        <v>2427</v>
      </c>
      <c r="D6" s="11" t="s">
        <v>72</v>
      </c>
      <c r="E6" s="10">
        <f>SUMIFS(IsQList,IsIList,Table_ExternalData_15[[#This Row],[item_key]],IsITypeList,Table_ExternalData_15[[#This Row],[IType]],IsDList,Table_ExternalData_15[[#Headers],[1]])</f>
        <v>0</v>
      </c>
      <c r="F6" s="10">
        <f>SUMIFS(IsQList,IsIList,Table_ExternalData_15[[#This Row],[item_key]],IsITypeList,Table_ExternalData_15[[#This Row],[IType]],IsDList,Table_ExternalData_15[[#Headers],[2]])</f>
        <v>0</v>
      </c>
      <c r="G6" s="10">
        <f>SUMIFS(IsQList,IsIList,Table_ExternalData_15[[#This Row],[item_key]],IsITypeList,Table_ExternalData_15[[#This Row],[IType]],IsDList,Table_ExternalData_15[[#Headers],[3]])</f>
        <v>0</v>
      </c>
      <c r="H6" s="10">
        <f>SUMIFS(IsQList,IsIList,Table_ExternalData_15[[#This Row],[item_key]],IsITypeList,Table_ExternalData_15[[#This Row],[IType]],IsDList,Table_ExternalData_15[[#Headers],[4]])</f>
        <v>0</v>
      </c>
      <c r="I6" s="10">
        <f>SUMIFS(IsQList,IsIList,Table_ExternalData_15[[#This Row],[item_key]],IsITypeList,Table_ExternalData_15[[#This Row],[IType]],IsDList,Table_ExternalData_15[[#Headers],[5]])</f>
        <v>0</v>
      </c>
      <c r="J6" s="10">
        <f>SUMIFS(IsQList,IsIList,Table_ExternalData_15[[#This Row],[item_key]],IsITypeList,Table_ExternalData_15[[#This Row],[IType]],IsDList,Table_ExternalData_15[[#Headers],[6]])</f>
        <v>0</v>
      </c>
      <c r="K6" s="10">
        <f>SUMIFS(IsQList,IsIList,Table_ExternalData_15[[#This Row],[item_key]],IsITypeList,Table_ExternalData_15[[#This Row],[IType]],IsDList,Table_ExternalData_15[[#Headers],[7]])</f>
        <v>0</v>
      </c>
      <c r="L6" s="10">
        <f>SUMIFS(IsQList,IsIList,Table_ExternalData_15[[#This Row],[item_key]],IsITypeList,Table_ExternalData_15[[#This Row],[IType]],IsDList,Table_ExternalData_15[[#Headers],[8]])</f>
        <v>0</v>
      </c>
      <c r="M6" s="10">
        <f>SUMIFS(IsQList,IsIList,Table_ExternalData_15[[#This Row],[item_key]],IsITypeList,Table_ExternalData_15[[#This Row],[IType]],IsDList,Table_ExternalData_15[[#Headers],[9]])</f>
        <v>0</v>
      </c>
      <c r="N6" s="10">
        <f>SUMIFS(IsQList,IsIList,Table_ExternalData_15[[#This Row],[item_key]],IsITypeList,Table_ExternalData_15[[#This Row],[IType]],IsDList,Table_ExternalData_15[[#Headers],[10]])</f>
        <v>0</v>
      </c>
      <c r="O6" s="10">
        <f>SUMIFS(IsQList,IsIList,Table_ExternalData_15[[#This Row],[item_key]],IsITypeList,Table_ExternalData_15[[#This Row],[IType]],IsDList,Table_ExternalData_15[[#Headers],[11]])</f>
        <v>0</v>
      </c>
      <c r="P6" s="10">
        <f>SUMIFS(IsQList,IsIList,Table_ExternalData_15[[#This Row],[item_key]],IsITypeList,Table_ExternalData_15[[#This Row],[IType]],IsDList,Table_ExternalData_15[[#Headers],[12]])</f>
        <v>0</v>
      </c>
      <c r="Q6" s="10">
        <f>SUMIFS(IsQList,IsIList,Table_ExternalData_15[[#This Row],[item_key]],IsITypeList,Table_ExternalData_15[[#This Row],[IType]],IsDList,Table_ExternalData_15[[#Headers],[13]])</f>
        <v>0</v>
      </c>
      <c r="R6" s="10">
        <f>SUMIFS(IsQList,IsIList,Table_ExternalData_15[[#This Row],[item_key]],IsITypeList,Table_ExternalData_15[[#This Row],[IType]],IsDList,Table_ExternalData_15[[#Headers],[14]])</f>
        <v>0</v>
      </c>
      <c r="S6" s="10">
        <f>SUMIFS(IsQList,IsIList,Table_ExternalData_15[[#This Row],[item_key]],IsITypeList,Table_ExternalData_15[[#This Row],[IType]],IsDList,Table_ExternalData_15[[#Headers],[15]])</f>
        <v>0</v>
      </c>
      <c r="T6" s="10">
        <f>SUMIFS(IsQList,IsIList,Table_ExternalData_15[[#This Row],[item_key]],IsITypeList,Table_ExternalData_15[[#This Row],[IType]],IsDList,Table_ExternalData_15[[#Headers],[16]])</f>
        <v>1</v>
      </c>
      <c r="U6" s="10">
        <f>SUMIFS(IsQList,IsIList,Table_ExternalData_15[[#This Row],[item_key]],IsITypeList,Table_ExternalData_15[[#This Row],[IType]],IsDList,Table_ExternalData_15[[#Headers],[17]])</f>
        <v>0</v>
      </c>
      <c r="V6" s="10">
        <f>SUMIFS(IsQList,IsIList,Table_ExternalData_15[[#This Row],[item_key]],IsITypeList,Table_ExternalData_15[[#This Row],[IType]],IsDList,Table_ExternalData_15[[#Headers],[18]])</f>
        <v>0</v>
      </c>
      <c r="W6" s="10">
        <f>SUMIFS(IsQList,IsIList,Table_ExternalData_15[[#This Row],[item_key]],IsITypeList,Table_ExternalData_15[[#This Row],[IType]],IsDList,Table_ExternalData_15[[#Headers],[19]])</f>
        <v>0</v>
      </c>
      <c r="X6" s="10">
        <f>SUMIFS(IsQList,IsIList,Table_ExternalData_15[[#This Row],[item_key]],IsITypeList,Table_ExternalData_15[[#This Row],[IType]],IsDList,Table_ExternalData_15[[#Headers],[20]])</f>
        <v>0</v>
      </c>
      <c r="Y6" s="10">
        <f>SUMIFS(IsQList,IsIList,Table_ExternalData_15[[#This Row],[item_key]],IsITypeList,Table_ExternalData_15[[#This Row],[IType]],IsDList,Table_ExternalData_15[[#Headers],[21]])</f>
        <v>0</v>
      </c>
      <c r="Z6" s="10">
        <f>SUMIFS(IsQList,IsIList,Table_ExternalData_15[[#This Row],[item_key]],IsITypeList,Table_ExternalData_15[[#This Row],[IType]],IsDList,Table_ExternalData_15[[#Headers],[22]])</f>
        <v>0</v>
      </c>
      <c r="AA6" s="10">
        <f>SUMIFS(IsQList,IsIList,Table_ExternalData_15[[#This Row],[item_key]],IsITypeList,Table_ExternalData_15[[#This Row],[IType]],IsDList,Table_ExternalData_15[[#Headers],[23]])</f>
        <v>0</v>
      </c>
      <c r="AB6" s="10">
        <f>SUMIFS(IsQList,IsIList,Table_ExternalData_15[[#This Row],[item_key]],IsITypeList,Table_ExternalData_15[[#This Row],[IType]],IsDList,Table_ExternalData_15[[#Headers],[24]])</f>
        <v>0</v>
      </c>
      <c r="AC6" s="10">
        <f>SUMIFS(IsQList,IsIList,Table_ExternalData_15[[#This Row],[item_key]],IsITypeList,Table_ExternalData_15[[#This Row],[IType]],IsDList,Table_ExternalData_15[[#Headers],[25]])</f>
        <v>0</v>
      </c>
      <c r="AD6" s="10">
        <f>SUMIFS(IsQList,IsIList,Table_ExternalData_15[[#This Row],[item_key]],IsITypeList,Table_ExternalData_15[[#This Row],[IType]],IsDList,Table_ExternalData_15[[#Headers],[26]])</f>
        <v>0</v>
      </c>
      <c r="AE6" s="10">
        <f>SUMIFS(IsQList,IsIList,Table_ExternalData_15[[#This Row],[item_key]],IsITypeList,Table_ExternalData_15[[#This Row],[IType]],IsDList,Table_ExternalData_15[[#Headers],[27]])</f>
        <v>0</v>
      </c>
      <c r="AF6" s="10">
        <f>SUMIFS(IsQList,IsIList,Table_ExternalData_15[[#This Row],[item_key]],IsITypeList,Table_ExternalData_15[[#This Row],[IType]],IsDList,Table_ExternalData_15[[#Headers],[28]])</f>
        <v>0</v>
      </c>
      <c r="AG6" s="10">
        <f>SUMIFS(IsQList,IsIList,Table_ExternalData_15[[#This Row],[item_key]],IsITypeList,Table_ExternalData_15[[#This Row],[IType]],IsDList,Table_ExternalData_15[[#Headers],[29]])</f>
        <v>0</v>
      </c>
      <c r="AH6" s="10">
        <f>SUMIFS(IsQList,IsIList,Table_ExternalData_15[[#This Row],[item_key]],IsITypeList,Table_ExternalData_15[[#This Row],[IType]],IsDList,Table_ExternalData_15[[#Headers],[30]])</f>
        <v>0</v>
      </c>
      <c r="AI6" s="10">
        <f>SUMIFS(IsQList,IsIList,Table_ExternalData_15[[#This Row],[item_key]],IsITypeList,Table_ExternalData_15[[#This Row],[IType]],IsDList,Table_ExternalData_15[[#Headers],[31]])</f>
        <v>0</v>
      </c>
      <c r="AJ6" s="10">
        <f>SUM(Table_ExternalData_15[[#This Row],[1]:[31]])</f>
        <v>1</v>
      </c>
    </row>
    <row r="7" spans="1:36">
      <c r="A7" s="35" t="s">
        <v>185</v>
      </c>
      <c r="B7" s="35" t="s">
        <v>2428</v>
      </c>
      <c r="C7" s="35" t="s">
        <v>2429</v>
      </c>
      <c r="D7" s="36" t="s">
        <v>72</v>
      </c>
      <c r="E7" s="37">
        <f>SUMIFS(IsQList,IsIList,Table_ExternalData_15[[#This Row],[item_key]],IsITypeList,Table_ExternalData_15[[#This Row],[IType]],IsDList,Table_ExternalData_15[[#Headers],[1]])</f>
        <v>0</v>
      </c>
      <c r="F7" s="37">
        <f>SUMIFS(IsQList,IsIList,Table_ExternalData_15[[#This Row],[item_key]],IsITypeList,Table_ExternalData_15[[#This Row],[IType]],IsDList,Table_ExternalData_15[[#Headers],[2]])</f>
        <v>0</v>
      </c>
      <c r="G7" s="37">
        <f>SUMIFS(IsQList,IsIList,Table_ExternalData_15[[#This Row],[item_key]],IsITypeList,Table_ExternalData_15[[#This Row],[IType]],IsDList,Table_ExternalData_15[[#Headers],[3]])</f>
        <v>0</v>
      </c>
      <c r="H7" s="37">
        <f>SUMIFS(IsQList,IsIList,Table_ExternalData_15[[#This Row],[item_key]],IsITypeList,Table_ExternalData_15[[#This Row],[IType]],IsDList,Table_ExternalData_15[[#Headers],[4]])</f>
        <v>0</v>
      </c>
      <c r="I7" s="37">
        <f>SUMIFS(IsQList,IsIList,Table_ExternalData_15[[#This Row],[item_key]],IsITypeList,Table_ExternalData_15[[#This Row],[IType]],IsDList,Table_ExternalData_15[[#Headers],[5]])</f>
        <v>0</v>
      </c>
      <c r="J7" s="37">
        <f>SUMIFS(IsQList,IsIList,Table_ExternalData_15[[#This Row],[item_key]],IsITypeList,Table_ExternalData_15[[#This Row],[IType]],IsDList,Table_ExternalData_15[[#Headers],[6]])</f>
        <v>10</v>
      </c>
      <c r="K7" s="37">
        <f>SUMIFS(IsQList,IsIList,Table_ExternalData_15[[#This Row],[item_key]],IsITypeList,Table_ExternalData_15[[#This Row],[IType]],IsDList,Table_ExternalData_15[[#Headers],[7]])</f>
        <v>0</v>
      </c>
      <c r="L7" s="37">
        <f>SUMIFS(IsQList,IsIList,Table_ExternalData_15[[#This Row],[item_key]],IsITypeList,Table_ExternalData_15[[#This Row],[IType]],IsDList,Table_ExternalData_15[[#Headers],[8]])</f>
        <v>0</v>
      </c>
      <c r="M7" s="37">
        <f>SUMIFS(IsQList,IsIList,Table_ExternalData_15[[#This Row],[item_key]],IsITypeList,Table_ExternalData_15[[#This Row],[IType]],IsDList,Table_ExternalData_15[[#Headers],[9]])</f>
        <v>0</v>
      </c>
      <c r="N7" s="37">
        <f>SUMIFS(IsQList,IsIList,Table_ExternalData_15[[#This Row],[item_key]],IsITypeList,Table_ExternalData_15[[#This Row],[IType]],IsDList,Table_ExternalData_15[[#Headers],[10]])</f>
        <v>0</v>
      </c>
      <c r="O7" s="37">
        <f>SUMIFS(IsQList,IsIList,Table_ExternalData_15[[#This Row],[item_key]],IsITypeList,Table_ExternalData_15[[#This Row],[IType]],IsDList,Table_ExternalData_15[[#Headers],[11]])</f>
        <v>0</v>
      </c>
      <c r="P7" s="37">
        <f>SUMIFS(IsQList,IsIList,Table_ExternalData_15[[#This Row],[item_key]],IsITypeList,Table_ExternalData_15[[#This Row],[IType]],IsDList,Table_ExternalData_15[[#Headers],[12]])</f>
        <v>0</v>
      </c>
      <c r="Q7" s="37">
        <f>SUMIFS(IsQList,IsIList,Table_ExternalData_15[[#This Row],[item_key]],IsITypeList,Table_ExternalData_15[[#This Row],[IType]],IsDList,Table_ExternalData_15[[#Headers],[13]])</f>
        <v>0</v>
      </c>
      <c r="R7" s="37">
        <f>SUMIFS(IsQList,IsIList,Table_ExternalData_15[[#This Row],[item_key]],IsITypeList,Table_ExternalData_15[[#This Row],[IType]],IsDList,Table_ExternalData_15[[#Headers],[14]])</f>
        <v>0</v>
      </c>
      <c r="S7" s="37">
        <f>SUMIFS(IsQList,IsIList,Table_ExternalData_15[[#This Row],[item_key]],IsITypeList,Table_ExternalData_15[[#This Row],[IType]],IsDList,Table_ExternalData_15[[#Headers],[15]])</f>
        <v>0</v>
      </c>
      <c r="T7" s="37">
        <f>SUMIFS(IsQList,IsIList,Table_ExternalData_15[[#This Row],[item_key]],IsITypeList,Table_ExternalData_15[[#This Row],[IType]],IsDList,Table_ExternalData_15[[#Headers],[16]])</f>
        <v>10</v>
      </c>
      <c r="U7" s="37">
        <f>SUMIFS(IsQList,IsIList,Table_ExternalData_15[[#This Row],[item_key]],IsITypeList,Table_ExternalData_15[[#This Row],[IType]],IsDList,Table_ExternalData_15[[#Headers],[17]])</f>
        <v>0</v>
      </c>
      <c r="V7" s="37">
        <f>SUMIFS(IsQList,IsIList,Table_ExternalData_15[[#This Row],[item_key]],IsITypeList,Table_ExternalData_15[[#This Row],[IType]],IsDList,Table_ExternalData_15[[#Headers],[18]])</f>
        <v>0</v>
      </c>
      <c r="W7" s="37">
        <f>SUMIFS(IsQList,IsIList,Table_ExternalData_15[[#This Row],[item_key]],IsITypeList,Table_ExternalData_15[[#This Row],[IType]],IsDList,Table_ExternalData_15[[#Headers],[19]])</f>
        <v>0</v>
      </c>
      <c r="X7" s="37">
        <f>SUMIFS(IsQList,IsIList,Table_ExternalData_15[[#This Row],[item_key]],IsITypeList,Table_ExternalData_15[[#This Row],[IType]],IsDList,Table_ExternalData_15[[#Headers],[20]])</f>
        <v>0</v>
      </c>
      <c r="Y7" s="37">
        <f>SUMIFS(IsQList,IsIList,Table_ExternalData_15[[#This Row],[item_key]],IsITypeList,Table_ExternalData_15[[#This Row],[IType]],IsDList,Table_ExternalData_15[[#Headers],[21]])</f>
        <v>0</v>
      </c>
      <c r="Z7" s="37">
        <f>SUMIFS(IsQList,IsIList,Table_ExternalData_15[[#This Row],[item_key]],IsITypeList,Table_ExternalData_15[[#This Row],[IType]],IsDList,Table_ExternalData_15[[#Headers],[22]])</f>
        <v>0</v>
      </c>
      <c r="AA7" s="37">
        <f>SUMIFS(IsQList,IsIList,Table_ExternalData_15[[#This Row],[item_key]],IsITypeList,Table_ExternalData_15[[#This Row],[IType]],IsDList,Table_ExternalData_15[[#Headers],[23]])</f>
        <v>0</v>
      </c>
      <c r="AB7" s="37">
        <f>SUMIFS(IsQList,IsIList,Table_ExternalData_15[[#This Row],[item_key]],IsITypeList,Table_ExternalData_15[[#This Row],[IType]],IsDList,Table_ExternalData_15[[#Headers],[24]])</f>
        <v>0</v>
      </c>
      <c r="AC7" s="37">
        <f>SUMIFS(IsQList,IsIList,Table_ExternalData_15[[#This Row],[item_key]],IsITypeList,Table_ExternalData_15[[#This Row],[IType]],IsDList,Table_ExternalData_15[[#Headers],[25]])</f>
        <v>0</v>
      </c>
      <c r="AD7" s="37">
        <f>SUMIFS(IsQList,IsIList,Table_ExternalData_15[[#This Row],[item_key]],IsITypeList,Table_ExternalData_15[[#This Row],[IType]],IsDList,Table_ExternalData_15[[#Headers],[26]])</f>
        <v>0</v>
      </c>
      <c r="AE7" s="37">
        <f>SUMIFS(IsQList,IsIList,Table_ExternalData_15[[#This Row],[item_key]],IsITypeList,Table_ExternalData_15[[#This Row],[IType]],IsDList,Table_ExternalData_15[[#Headers],[27]])</f>
        <v>0</v>
      </c>
      <c r="AF7" s="37">
        <f>SUMIFS(IsQList,IsIList,Table_ExternalData_15[[#This Row],[item_key]],IsITypeList,Table_ExternalData_15[[#This Row],[IType]],IsDList,Table_ExternalData_15[[#Headers],[28]])</f>
        <v>0</v>
      </c>
      <c r="AG7" s="37">
        <f>SUMIFS(IsQList,IsIList,Table_ExternalData_15[[#This Row],[item_key]],IsITypeList,Table_ExternalData_15[[#This Row],[IType]],IsDList,Table_ExternalData_15[[#Headers],[29]])</f>
        <v>0</v>
      </c>
      <c r="AH7" s="37">
        <f>SUMIFS(IsQList,IsIList,Table_ExternalData_15[[#This Row],[item_key]],IsITypeList,Table_ExternalData_15[[#This Row],[IType]],IsDList,Table_ExternalData_15[[#Headers],[30]])</f>
        <v>539</v>
      </c>
      <c r="AI7" s="37">
        <f>SUMIFS(IsQList,IsIList,Table_ExternalData_15[[#This Row],[item_key]],IsITypeList,Table_ExternalData_15[[#This Row],[IType]],IsDList,Table_ExternalData_15[[#Headers],[31]])</f>
        <v>0</v>
      </c>
      <c r="AJ7" s="37">
        <f>SUM(Table_ExternalData_15[[#This Row],[1]:[31]])</f>
        <v>559</v>
      </c>
    </row>
    <row r="8" spans="1:36">
      <c r="A8" s="35" t="s">
        <v>188</v>
      </c>
      <c r="B8" s="35" t="s">
        <v>1201</v>
      </c>
      <c r="C8" s="35" t="s">
        <v>1202</v>
      </c>
      <c r="D8" s="36" t="s">
        <v>72</v>
      </c>
      <c r="E8" s="37">
        <f>SUMIFS(IsQList,IsIList,Table_ExternalData_15[[#This Row],[item_key]],IsITypeList,Table_ExternalData_15[[#This Row],[IType]],IsDList,Table_ExternalData_15[[#Headers],[1]])</f>
        <v>0</v>
      </c>
      <c r="F8" s="37">
        <f>SUMIFS(IsQList,IsIList,Table_ExternalData_15[[#This Row],[item_key]],IsITypeList,Table_ExternalData_15[[#This Row],[IType]],IsDList,Table_ExternalData_15[[#Headers],[2]])</f>
        <v>0</v>
      </c>
      <c r="G8" s="37">
        <f>SUMIFS(IsQList,IsIList,Table_ExternalData_15[[#This Row],[item_key]],IsITypeList,Table_ExternalData_15[[#This Row],[IType]],IsDList,Table_ExternalData_15[[#Headers],[3]])</f>
        <v>0</v>
      </c>
      <c r="H8" s="37">
        <f>SUMIFS(IsQList,IsIList,Table_ExternalData_15[[#This Row],[item_key]],IsITypeList,Table_ExternalData_15[[#This Row],[IType]],IsDList,Table_ExternalData_15[[#Headers],[4]])</f>
        <v>0</v>
      </c>
      <c r="I8" s="37">
        <f>SUMIFS(IsQList,IsIList,Table_ExternalData_15[[#This Row],[item_key]],IsITypeList,Table_ExternalData_15[[#This Row],[IType]],IsDList,Table_ExternalData_15[[#Headers],[5]])</f>
        <v>0</v>
      </c>
      <c r="J8" s="37">
        <f>SUMIFS(IsQList,IsIList,Table_ExternalData_15[[#This Row],[item_key]],IsITypeList,Table_ExternalData_15[[#This Row],[IType]],IsDList,Table_ExternalData_15[[#Headers],[6]])</f>
        <v>0</v>
      </c>
      <c r="K8" s="37">
        <f>SUMIFS(IsQList,IsIList,Table_ExternalData_15[[#This Row],[item_key]],IsITypeList,Table_ExternalData_15[[#This Row],[IType]],IsDList,Table_ExternalData_15[[#Headers],[7]])</f>
        <v>0</v>
      </c>
      <c r="L8" s="37">
        <f>SUMIFS(IsQList,IsIList,Table_ExternalData_15[[#This Row],[item_key]],IsITypeList,Table_ExternalData_15[[#This Row],[IType]],IsDList,Table_ExternalData_15[[#Headers],[8]])</f>
        <v>0</v>
      </c>
      <c r="M8" s="37">
        <f>SUMIFS(IsQList,IsIList,Table_ExternalData_15[[#This Row],[item_key]],IsITypeList,Table_ExternalData_15[[#This Row],[IType]],IsDList,Table_ExternalData_15[[#Headers],[9]])</f>
        <v>0</v>
      </c>
      <c r="N8" s="37">
        <f>SUMIFS(IsQList,IsIList,Table_ExternalData_15[[#This Row],[item_key]],IsITypeList,Table_ExternalData_15[[#This Row],[IType]],IsDList,Table_ExternalData_15[[#Headers],[10]])</f>
        <v>0</v>
      </c>
      <c r="O8" s="37">
        <f>SUMIFS(IsQList,IsIList,Table_ExternalData_15[[#This Row],[item_key]],IsITypeList,Table_ExternalData_15[[#This Row],[IType]],IsDList,Table_ExternalData_15[[#Headers],[11]])</f>
        <v>0</v>
      </c>
      <c r="P8" s="37">
        <f>SUMIFS(IsQList,IsIList,Table_ExternalData_15[[#This Row],[item_key]],IsITypeList,Table_ExternalData_15[[#This Row],[IType]],IsDList,Table_ExternalData_15[[#Headers],[12]])</f>
        <v>0</v>
      </c>
      <c r="Q8" s="37">
        <f>SUMIFS(IsQList,IsIList,Table_ExternalData_15[[#This Row],[item_key]],IsITypeList,Table_ExternalData_15[[#This Row],[IType]],IsDList,Table_ExternalData_15[[#Headers],[13]])</f>
        <v>0</v>
      </c>
      <c r="R8" s="37">
        <f>SUMIFS(IsQList,IsIList,Table_ExternalData_15[[#This Row],[item_key]],IsITypeList,Table_ExternalData_15[[#This Row],[IType]],IsDList,Table_ExternalData_15[[#Headers],[14]])</f>
        <v>0</v>
      </c>
      <c r="S8" s="37">
        <f>SUMIFS(IsQList,IsIList,Table_ExternalData_15[[#This Row],[item_key]],IsITypeList,Table_ExternalData_15[[#This Row],[IType]],IsDList,Table_ExternalData_15[[#Headers],[15]])</f>
        <v>0</v>
      </c>
      <c r="T8" s="37">
        <f>SUMIFS(IsQList,IsIList,Table_ExternalData_15[[#This Row],[item_key]],IsITypeList,Table_ExternalData_15[[#This Row],[IType]],IsDList,Table_ExternalData_15[[#Headers],[16]])</f>
        <v>0</v>
      </c>
      <c r="U8" s="37">
        <f>SUMIFS(IsQList,IsIList,Table_ExternalData_15[[#This Row],[item_key]],IsITypeList,Table_ExternalData_15[[#This Row],[IType]],IsDList,Table_ExternalData_15[[#Headers],[17]])</f>
        <v>0</v>
      </c>
      <c r="V8" s="37">
        <f>SUMIFS(IsQList,IsIList,Table_ExternalData_15[[#This Row],[item_key]],IsITypeList,Table_ExternalData_15[[#This Row],[IType]],IsDList,Table_ExternalData_15[[#Headers],[18]])</f>
        <v>0</v>
      </c>
      <c r="W8" s="37">
        <f>SUMIFS(IsQList,IsIList,Table_ExternalData_15[[#This Row],[item_key]],IsITypeList,Table_ExternalData_15[[#This Row],[IType]],IsDList,Table_ExternalData_15[[#Headers],[19]])</f>
        <v>0</v>
      </c>
      <c r="X8" s="37">
        <f>SUMIFS(IsQList,IsIList,Table_ExternalData_15[[#This Row],[item_key]],IsITypeList,Table_ExternalData_15[[#This Row],[IType]],IsDList,Table_ExternalData_15[[#Headers],[20]])</f>
        <v>0</v>
      </c>
      <c r="Y8" s="37">
        <f>SUMIFS(IsQList,IsIList,Table_ExternalData_15[[#This Row],[item_key]],IsITypeList,Table_ExternalData_15[[#This Row],[IType]],IsDList,Table_ExternalData_15[[#Headers],[21]])</f>
        <v>0</v>
      </c>
      <c r="Z8" s="37">
        <f>SUMIFS(IsQList,IsIList,Table_ExternalData_15[[#This Row],[item_key]],IsITypeList,Table_ExternalData_15[[#This Row],[IType]],IsDList,Table_ExternalData_15[[#Headers],[22]])</f>
        <v>0</v>
      </c>
      <c r="AA8" s="37">
        <f>SUMIFS(IsQList,IsIList,Table_ExternalData_15[[#This Row],[item_key]],IsITypeList,Table_ExternalData_15[[#This Row],[IType]],IsDList,Table_ExternalData_15[[#Headers],[23]])</f>
        <v>0</v>
      </c>
      <c r="AB8" s="37">
        <f>SUMIFS(IsQList,IsIList,Table_ExternalData_15[[#This Row],[item_key]],IsITypeList,Table_ExternalData_15[[#This Row],[IType]],IsDList,Table_ExternalData_15[[#Headers],[24]])</f>
        <v>15</v>
      </c>
      <c r="AC8" s="37">
        <f>SUMIFS(IsQList,IsIList,Table_ExternalData_15[[#This Row],[item_key]],IsITypeList,Table_ExternalData_15[[#This Row],[IType]],IsDList,Table_ExternalData_15[[#Headers],[25]])</f>
        <v>0</v>
      </c>
      <c r="AD8" s="37">
        <f>SUMIFS(IsQList,IsIList,Table_ExternalData_15[[#This Row],[item_key]],IsITypeList,Table_ExternalData_15[[#This Row],[IType]],IsDList,Table_ExternalData_15[[#Headers],[26]])</f>
        <v>0</v>
      </c>
      <c r="AE8" s="37">
        <f>SUMIFS(IsQList,IsIList,Table_ExternalData_15[[#This Row],[item_key]],IsITypeList,Table_ExternalData_15[[#This Row],[IType]],IsDList,Table_ExternalData_15[[#Headers],[27]])</f>
        <v>0</v>
      </c>
      <c r="AF8" s="37">
        <f>SUMIFS(IsQList,IsIList,Table_ExternalData_15[[#This Row],[item_key]],IsITypeList,Table_ExternalData_15[[#This Row],[IType]],IsDList,Table_ExternalData_15[[#Headers],[28]])</f>
        <v>0</v>
      </c>
      <c r="AG8" s="37">
        <f>SUMIFS(IsQList,IsIList,Table_ExternalData_15[[#This Row],[item_key]],IsITypeList,Table_ExternalData_15[[#This Row],[IType]],IsDList,Table_ExternalData_15[[#Headers],[29]])</f>
        <v>0</v>
      </c>
      <c r="AH8" s="37">
        <f>SUMIFS(IsQList,IsIList,Table_ExternalData_15[[#This Row],[item_key]],IsITypeList,Table_ExternalData_15[[#This Row],[IType]],IsDList,Table_ExternalData_15[[#Headers],[30]])</f>
        <v>20</v>
      </c>
      <c r="AI8" s="37">
        <f>SUMIFS(IsQList,IsIList,Table_ExternalData_15[[#This Row],[item_key]],IsITypeList,Table_ExternalData_15[[#This Row],[IType]],IsDList,Table_ExternalData_15[[#Headers],[31]])</f>
        <v>0</v>
      </c>
      <c r="AJ8" s="37">
        <f>SUM(Table_ExternalData_15[[#This Row],[1]:[31]])</f>
        <v>35</v>
      </c>
    </row>
    <row r="9" spans="1:36">
      <c r="A9" s="35" t="s">
        <v>1640</v>
      </c>
      <c r="B9" s="35" t="s">
        <v>2432</v>
      </c>
      <c r="C9" s="35" t="s">
        <v>2433</v>
      </c>
      <c r="D9" s="36" t="s">
        <v>72</v>
      </c>
      <c r="E9" s="37">
        <f>SUMIFS(IsQList,IsIList,Table_ExternalData_15[[#This Row],[item_key]],IsITypeList,Table_ExternalData_15[[#This Row],[IType]],IsDList,Table_ExternalData_15[[#Headers],[1]])</f>
        <v>0</v>
      </c>
      <c r="F9" s="37">
        <f>SUMIFS(IsQList,IsIList,Table_ExternalData_15[[#This Row],[item_key]],IsITypeList,Table_ExternalData_15[[#This Row],[IType]],IsDList,Table_ExternalData_15[[#Headers],[2]])</f>
        <v>0</v>
      </c>
      <c r="G9" s="37">
        <f>SUMIFS(IsQList,IsIList,Table_ExternalData_15[[#This Row],[item_key]],IsITypeList,Table_ExternalData_15[[#This Row],[IType]],IsDList,Table_ExternalData_15[[#Headers],[3]])</f>
        <v>0</v>
      </c>
      <c r="H9" s="37">
        <f>SUMIFS(IsQList,IsIList,Table_ExternalData_15[[#This Row],[item_key]],IsITypeList,Table_ExternalData_15[[#This Row],[IType]],IsDList,Table_ExternalData_15[[#Headers],[4]])</f>
        <v>0</v>
      </c>
      <c r="I9" s="37">
        <f>SUMIFS(IsQList,IsIList,Table_ExternalData_15[[#This Row],[item_key]],IsITypeList,Table_ExternalData_15[[#This Row],[IType]],IsDList,Table_ExternalData_15[[#Headers],[5]])</f>
        <v>0</v>
      </c>
      <c r="J9" s="37">
        <f>SUMIFS(IsQList,IsIList,Table_ExternalData_15[[#This Row],[item_key]],IsITypeList,Table_ExternalData_15[[#This Row],[IType]],IsDList,Table_ExternalData_15[[#Headers],[6]])</f>
        <v>1</v>
      </c>
      <c r="K9" s="37">
        <f>SUMIFS(IsQList,IsIList,Table_ExternalData_15[[#This Row],[item_key]],IsITypeList,Table_ExternalData_15[[#This Row],[IType]],IsDList,Table_ExternalData_15[[#Headers],[7]])</f>
        <v>0</v>
      </c>
      <c r="L9" s="37">
        <f>SUMIFS(IsQList,IsIList,Table_ExternalData_15[[#This Row],[item_key]],IsITypeList,Table_ExternalData_15[[#This Row],[IType]],IsDList,Table_ExternalData_15[[#Headers],[8]])</f>
        <v>0</v>
      </c>
      <c r="M9" s="37">
        <f>SUMIFS(IsQList,IsIList,Table_ExternalData_15[[#This Row],[item_key]],IsITypeList,Table_ExternalData_15[[#This Row],[IType]],IsDList,Table_ExternalData_15[[#Headers],[9]])</f>
        <v>0</v>
      </c>
      <c r="N9" s="37">
        <f>SUMIFS(IsQList,IsIList,Table_ExternalData_15[[#This Row],[item_key]],IsITypeList,Table_ExternalData_15[[#This Row],[IType]],IsDList,Table_ExternalData_15[[#Headers],[10]])</f>
        <v>0</v>
      </c>
      <c r="O9" s="37">
        <f>SUMIFS(IsQList,IsIList,Table_ExternalData_15[[#This Row],[item_key]],IsITypeList,Table_ExternalData_15[[#This Row],[IType]],IsDList,Table_ExternalData_15[[#Headers],[11]])</f>
        <v>0</v>
      </c>
      <c r="P9" s="37">
        <f>SUMIFS(IsQList,IsIList,Table_ExternalData_15[[#This Row],[item_key]],IsITypeList,Table_ExternalData_15[[#This Row],[IType]],IsDList,Table_ExternalData_15[[#Headers],[12]])</f>
        <v>0</v>
      </c>
      <c r="Q9" s="37">
        <f>SUMIFS(IsQList,IsIList,Table_ExternalData_15[[#This Row],[item_key]],IsITypeList,Table_ExternalData_15[[#This Row],[IType]],IsDList,Table_ExternalData_15[[#Headers],[13]])</f>
        <v>0</v>
      </c>
      <c r="R9" s="37">
        <f>SUMIFS(IsQList,IsIList,Table_ExternalData_15[[#This Row],[item_key]],IsITypeList,Table_ExternalData_15[[#This Row],[IType]],IsDList,Table_ExternalData_15[[#Headers],[14]])</f>
        <v>0</v>
      </c>
      <c r="S9" s="37">
        <f>SUMIFS(IsQList,IsIList,Table_ExternalData_15[[#This Row],[item_key]],IsITypeList,Table_ExternalData_15[[#This Row],[IType]],IsDList,Table_ExternalData_15[[#Headers],[15]])</f>
        <v>0</v>
      </c>
      <c r="T9" s="37">
        <f>SUMIFS(IsQList,IsIList,Table_ExternalData_15[[#This Row],[item_key]],IsITypeList,Table_ExternalData_15[[#This Row],[IType]],IsDList,Table_ExternalData_15[[#Headers],[16]])</f>
        <v>2</v>
      </c>
      <c r="U9" s="37">
        <f>SUMIFS(IsQList,IsIList,Table_ExternalData_15[[#This Row],[item_key]],IsITypeList,Table_ExternalData_15[[#This Row],[IType]],IsDList,Table_ExternalData_15[[#Headers],[17]])</f>
        <v>0</v>
      </c>
      <c r="V9" s="37">
        <f>SUMIFS(IsQList,IsIList,Table_ExternalData_15[[#This Row],[item_key]],IsITypeList,Table_ExternalData_15[[#This Row],[IType]],IsDList,Table_ExternalData_15[[#Headers],[18]])</f>
        <v>0</v>
      </c>
      <c r="W9" s="37">
        <f>SUMIFS(IsQList,IsIList,Table_ExternalData_15[[#This Row],[item_key]],IsITypeList,Table_ExternalData_15[[#This Row],[IType]],IsDList,Table_ExternalData_15[[#Headers],[19]])</f>
        <v>0</v>
      </c>
      <c r="X9" s="37">
        <f>SUMIFS(IsQList,IsIList,Table_ExternalData_15[[#This Row],[item_key]],IsITypeList,Table_ExternalData_15[[#This Row],[IType]],IsDList,Table_ExternalData_15[[#Headers],[20]])</f>
        <v>0</v>
      </c>
      <c r="Y9" s="37">
        <f>SUMIFS(IsQList,IsIList,Table_ExternalData_15[[#This Row],[item_key]],IsITypeList,Table_ExternalData_15[[#This Row],[IType]],IsDList,Table_ExternalData_15[[#Headers],[21]])</f>
        <v>0</v>
      </c>
      <c r="Z9" s="37">
        <f>SUMIFS(IsQList,IsIList,Table_ExternalData_15[[#This Row],[item_key]],IsITypeList,Table_ExternalData_15[[#This Row],[IType]],IsDList,Table_ExternalData_15[[#Headers],[22]])</f>
        <v>0</v>
      </c>
      <c r="AA9" s="37">
        <f>SUMIFS(IsQList,IsIList,Table_ExternalData_15[[#This Row],[item_key]],IsITypeList,Table_ExternalData_15[[#This Row],[IType]],IsDList,Table_ExternalData_15[[#Headers],[23]])</f>
        <v>0</v>
      </c>
      <c r="AB9" s="37">
        <f>SUMIFS(IsQList,IsIList,Table_ExternalData_15[[#This Row],[item_key]],IsITypeList,Table_ExternalData_15[[#This Row],[IType]],IsDList,Table_ExternalData_15[[#Headers],[24]])</f>
        <v>0</v>
      </c>
      <c r="AC9" s="37">
        <f>SUMIFS(IsQList,IsIList,Table_ExternalData_15[[#This Row],[item_key]],IsITypeList,Table_ExternalData_15[[#This Row],[IType]],IsDList,Table_ExternalData_15[[#Headers],[25]])</f>
        <v>0</v>
      </c>
      <c r="AD9" s="37">
        <f>SUMIFS(IsQList,IsIList,Table_ExternalData_15[[#This Row],[item_key]],IsITypeList,Table_ExternalData_15[[#This Row],[IType]],IsDList,Table_ExternalData_15[[#Headers],[26]])</f>
        <v>0</v>
      </c>
      <c r="AE9" s="37">
        <f>SUMIFS(IsQList,IsIList,Table_ExternalData_15[[#This Row],[item_key]],IsITypeList,Table_ExternalData_15[[#This Row],[IType]],IsDList,Table_ExternalData_15[[#Headers],[27]])</f>
        <v>0</v>
      </c>
      <c r="AF9" s="37">
        <f>SUMIFS(IsQList,IsIList,Table_ExternalData_15[[#This Row],[item_key]],IsITypeList,Table_ExternalData_15[[#This Row],[IType]],IsDList,Table_ExternalData_15[[#Headers],[28]])</f>
        <v>0</v>
      </c>
      <c r="AG9" s="37">
        <f>SUMIFS(IsQList,IsIList,Table_ExternalData_15[[#This Row],[item_key]],IsITypeList,Table_ExternalData_15[[#This Row],[IType]],IsDList,Table_ExternalData_15[[#Headers],[29]])</f>
        <v>0</v>
      </c>
      <c r="AH9" s="37">
        <f>SUMIFS(IsQList,IsIList,Table_ExternalData_15[[#This Row],[item_key]],IsITypeList,Table_ExternalData_15[[#This Row],[IType]],IsDList,Table_ExternalData_15[[#Headers],[30]])</f>
        <v>3</v>
      </c>
      <c r="AI9" s="37">
        <f>SUMIFS(IsQList,IsIList,Table_ExternalData_15[[#This Row],[item_key]],IsITypeList,Table_ExternalData_15[[#This Row],[IType]],IsDList,Table_ExternalData_15[[#Headers],[31]])</f>
        <v>0</v>
      </c>
      <c r="AJ9" s="37">
        <f>SUM(Table_ExternalData_15[[#This Row],[1]:[31]])</f>
        <v>6</v>
      </c>
    </row>
    <row r="10" spans="1:36">
      <c r="A10" s="35" t="s">
        <v>191</v>
      </c>
      <c r="B10" s="35" t="s">
        <v>1203</v>
      </c>
      <c r="C10" s="35" t="s">
        <v>1204</v>
      </c>
      <c r="D10" s="36" t="s">
        <v>72</v>
      </c>
      <c r="E10" s="37">
        <f>SUMIFS(IsQList,IsIList,Table_ExternalData_15[[#This Row],[item_key]],IsITypeList,Table_ExternalData_15[[#This Row],[IType]],IsDList,Table_ExternalData_15[[#Headers],[1]])</f>
        <v>0</v>
      </c>
      <c r="F10" s="37">
        <f>SUMIFS(IsQList,IsIList,Table_ExternalData_15[[#This Row],[item_key]],IsITypeList,Table_ExternalData_15[[#This Row],[IType]],IsDList,Table_ExternalData_15[[#Headers],[2]])</f>
        <v>0</v>
      </c>
      <c r="G10" s="37">
        <f>SUMIFS(IsQList,IsIList,Table_ExternalData_15[[#This Row],[item_key]],IsITypeList,Table_ExternalData_15[[#This Row],[IType]],IsDList,Table_ExternalData_15[[#Headers],[3]])</f>
        <v>0</v>
      </c>
      <c r="H10" s="37">
        <f>SUMIFS(IsQList,IsIList,Table_ExternalData_15[[#This Row],[item_key]],IsITypeList,Table_ExternalData_15[[#This Row],[IType]],IsDList,Table_ExternalData_15[[#Headers],[4]])</f>
        <v>0</v>
      </c>
      <c r="I10" s="37">
        <f>SUMIFS(IsQList,IsIList,Table_ExternalData_15[[#This Row],[item_key]],IsITypeList,Table_ExternalData_15[[#This Row],[IType]],IsDList,Table_ExternalData_15[[#Headers],[5]])</f>
        <v>0</v>
      </c>
      <c r="J10" s="37">
        <f>SUMIFS(IsQList,IsIList,Table_ExternalData_15[[#This Row],[item_key]],IsITypeList,Table_ExternalData_15[[#This Row],[IType]],IsDList,Table_ExternalData_15[[#Headers],[6]])</f>
        <v>10</v>
      </c>
      <c r="K10" s="37">
        <f>SUMIFS(IsQList,IsIList,Table_ExternalData_15[[#This Row],[item_key]],IsITypeList,Table_ExternalData_15[[#This Row],[IType]],IsDList,Table_ExternalData_15[[#Headers],[7]])</f>
        <v>0</v>
      </c>
      <c r="L10" s="37">
        <f>SUMIFS(IsQList,IsIList,Table_ExternalData_15[[#This Row],[item_key]],IsITypeList,Table_ExternalData_15[[#This Row],[IType]],IsDList,Table_ExternalData_15[[#Headers],[8]])</f>
        <v>0</v>
      </c>
      <c r="M10" s="37">
        <f>SUMIFS(IsQList,IsIList,Table_ExternalData_15[[#This Row],[item_key]],IsITypeList,Table_ExternalData_15[[#This Row],[IType]],IsDList,Table_ExternalData_15[[#Headers],[9]])</f>
        <v>0</v>
      </c>
      <c r="N10" s="37">
        <f>SUMIFS(IsQList,IsIList,Table_ExternalData_15[[#This Row],[item_key]],IsITypeList,Table_ExternalData_15[[#This Row],[IType]],IsDList,Table_ExternalData_15[[#Headers],[10]])</f>
        <v>0</v>
      </c>
      <c r="O10" s="37">
        <f>SUMIFS(IsQList,IsIList,Table_ExternalData_15[[#This Row],[item_key]],IsITypeList,Table_ExternalData_15[[#This Row],[IType]],IsDList,Table_ExternalData_15[[#Headers],[11]])</f>
        <v>0</v>
      </c>
      <c r="P10" s="37">
        <f>SUMIFS(IsQList,IsIList,Table_ExternalData_15[[#This Row],[item_key]],IsITypeList,Table_ExternalData_15[[#This Row],[IType]],IsDList,Table_ExternalData_15[[#Headers],[12]])</f>
        <v>0</v>
      </c>
      <c r="Q10" s="37">
        <f>SUMIFS(IsQList,IsIList,Table_ExternalData_15[[#This Row],[item_key]],IsITypeList,Table_ExternalData_15[[#This Row],[IType]],IsDList,Table_ExternalData_15[[#Headers],[13]])</f>
        <v>0</v>
      </c>
      <c r="R10" s="37">
        <f>SUMIFS(IsQList,IsIList,Table_ExternalData_15[[#This Row],[item_key]],IsITypeList,Table_ExternalData_15[[#This Row],[IType]],IsDList,Table_ExternalData_15[[#Headers],[14]])</f>
        <v>0</v>
      </c>
      <c r="S10" s="37">
        <f>SUMIFS(IsQList,IsIList,Table_ExternalData_15[[#This Row],[item_key]],IsITypeList,Table_ExternalData_15[[#This Row],[IType]],IsDList,Table_ExternalData_15[[#Headers],[15]])</f>
        <v>0</v>
      </c>
      <c r="T10" s="37">
        <f>SUMIFS(IsQList,IsIList,Table_ExternalData_15[[#This Row],[item_key]],IsITypeList,Table_ExternalData_15[[#This Row],[IType]],IsDList,Table_ExternalData_15[[#Headers],[16]])</f>
        <v>0</v>
      </c>
      <c r="U10" s="37">
        <f>SUMIFS(IsQList,IsIList,Table_ExternalData_15[[#This Row],[item_key]],IsITypeList,Table_ExternalData_15[[#This Row],[IType]],IsDList,Table_ExternalData_15[[#Headers],[17]])</f>
        <v>0</v>
      </c>
      <c r="V10" s="37">
        <f>SUMIFS(IsQList,IsIList,Table_ExternalData_15[[#This Row],[item_key]],IsITypeList,Table_ExternalData_15[[#This Row],[IType]],IsDList,Table_ExternalData_15[[#Headers],[18]])</f>
        <v>0</v>
      </c>
      <c r="W10" s="37">
        <f>SUMIFS(IsQList,IsIList,Table_ExternalData_15[[#This Row],[item_key]],IsITypeList,Table_ExternalData_15[[#This Row],[IType]],IsDList,Table_ExternalData_15[[#Headers],[19]])</f>
        <v>0</v>
      </c>
      <c r="X10" s="37">
        <f>SUMIFS(IsQList,IsIList,Table_ExternalData_15[[#This Row],[item_key]],IsITypeList,Table_ExternalData_15[[#This Row],[IType]],IsDList,Table_ExternalData_15[[#Headers],[20]])</f>
        <v>0</v>
      </c>
      <c r="Y10" s="37">
        <f>SUMIFS(IsQList,IsIList,Table_ExternalData_15[[#This Row],[item_key]],IsITypeList,Table_ExternalData_15[[#This Row],[IType]],IsDList,Table_ExternalData_15[[#Headers],[21]])</f>
        <v>0</v>
      </c>
      <c r="Z10" s="37">
        <f>SUMIFS(IsQList,IsIList,Table_ExternalData_15[[#This Row],[item_key]],IsITypeList,Table_ExternalData_15[[#This Row],[IType]],IsDList,Table_ExternalData_15[[#Headers],[22]])</f>
        <v>0</v>
      </c>
      <c r="AA10" s="37">
        <f>SUMIFS(IsQList,IsIList,Table_ExternalData_15[[#This Row],[item_key]],IsITypeList,Table_ExternalData_15[[#This Row],[IType]],IsDList,Table_ExternalData_15[[#Headers],[23]])</f>
        <v>0</v>
      </c>
      <c r="AB10" s="37">
        <f>SUMIFS(IsQList,IsIList,Table_ExternalData_15[[#This Row],[item_key]],IsITypeList,Table_ExternalData_15[[#This Row],[IType]],IsDList,Table_ExternalData_15[[#Headers],[24]])</f>
        <v>0</v>
      </c>
      <c r="AC10" s="37">
        <f>SUMIFS(IsQList,IsIList,Table_ExternalData_15[[#This Row],[item_key]],IsITypeList,Table_ExternalData_15[[#This Row],[IType]],IsDList,Table_ExternalData_15[[#Headers],[25]])</f>
        <v>0</v>
      </c>
      <c r="AD10" s="37">
        <f>SUMIFS(IsQList,IsIList,Table_ExternalData_15[[#This Row],[item_key]],IsITypeList,Table_ExternalData_15[[#This Row],[IType]],IsDList,Table_ExternalData_15[[#Headers],[26]])</f>
        <v>0</v>
      </c>
      <c r="AE10" s="37">
        <f>SUMIFS(IsQList,IsIList,Table_ExternalData_15[[#This Row],[item_key]],IsITypeList,Table_ExternalData_15[[#This Row],[IType]],IsDList,Table_ExternalData_15[[#Headers],[27]])</f>
        <v>0</v>
      </c>
      <c r="AF10" s="37">
        <f>SUMIFS(IsQList,IsIList,Table_ExternalData_15[[#This Row],[item_key]],IsITypeList,Table_ExternalData_15[[#This Row],[IType]],IsDList,Table_ExternalData_15[[#Headers],[28]])</f>
        <v>0</v>
      </c>
      <c r="AG10" s="37">
        <f>SUMIFS(IsQList,IsIList,Table_ExternalData_15[[#This Row],[item_key]],IsITypeList,Table_ExternalData_15[[#This Row],[IType]],IsDList,Table_ExternalData_15[[#Headers],[29]])</f>
        <v>0</v>
      </c>
      <c r="AH10" s="37">
        <f>SUMIFS(IsQList,IsIList,Table_ExternalData_15[[#This Row],[item_key]],IsITypeList,Table_ExternalData_15[[#This Row],[IType]],IsDList,Table_ExternalData_15[[#Headers],[30]])</f>
        <v>1</v>
      </c>
      <c r="AI10" s="37">
        <f>SUMIFS(IsQList,IsIList,Table_ExternalData_15[[#This Row],[item_key]],IsITypeList,Table_ExternalData_15[[#This Row],[IType]],IsDList,Table_ExternalData_15[[#Headers],[31]])</f>
        <v>0</v>
      </c>
      <c r="AJ10" s="37">
        <f>SUM(Table_ExternalData_15[[#This Row],[1]:[31]])</f>
        <v>11</v>
      </c>
    </row>
    <row r="11" spans="1:36">
      <c r="A11" s="35" t="s">
        <v>192</v>
      </c>
      <c r="B11" s="35" t="s">
        <v>1205</v>
      </c>
      <c r="C11" s="35" t="s">
        <v>1206</v>
      </c>
      <c r="D11" s="36" t="s">
        <v>72</v>
      </c>
      <c r="E11" s="37">
        <f>SUMIFS(IsQList,IsIList,Table_ExternalData_15[[#This Row],[item_key]],IsITypeList,Table_ExternalData_15[[#This Row],[IType]],IsDList,Table_ExternalData_15[[#Headers],[1]])</f>
        <v>0</v>
      </c>
      <c r="F11" s="37">
        <f>SUMIFS(IsQList,IsIList,Table_ExternalData_15[[#This Row],[item_key]],IsITypeList,Table_ExternalData_15[[#This Row],[IType]],IsDList,Table_ExternalData_15[[#Headers],[2]])</f>
        <v>0</v>
      </c>
      <c r="G11" s="37">
        <f>SUMIFS(IsQList,IsIList,Table_ExternalData_15[[#This Row],[item_key]],IsITypeList,Table_ExternalData_15[[#This Row],[IType]],IsDList,Table_ExternalData_15[[#Headers],[3]])</f>
        <v>0</v>
      </c>
      <c r="H11" s="37">
        <f>SUMIFS(IsQList,IsIList,Table_ExternalData_15[[#This Row],[item_key]],IsITypeList,Table_ExternalData_15[[#This Row],[IType]],IsDList,Table_ExternalData_15[[#Headers],[4]])</f>
        <v>0</v>
      </c>
      <c r="I11" s="37">
        <f>SUMIFS(IsQList,IsIList,Table_ExternalData_15[[#This Row],[item_key]],IsITypeList,Table_ExternalData_15[[#This Row],[IType]],IsDList,Table_ExternalData_15[[#Headers],[5]])</f>
        <v>0</v>
      </c>
      <c r="J11" s="37">
        <f>SUMIFS(IsQList,IsIList,Table_ExternalData_15[[#This Row],[item_key]],IsITypeList,Table_ExternalData_15[[#This Row],[IType]],IsDList,Table_ExternalData_15[[#Headers],[6]])</f>
        <v>0</v>
      </c>
      <c r="K11" s="37">
        <f>SUMIFS(IsQList,IsIList,Table_ExternalData_15[[#This Row],[item_key]],IsITypeList,Table_ExternalData_15[[#This Row],[IType]],IsDList,Table_ExternalData_15[[#Headers],[7]])</f>
        <v>0</v>
      </c>
      <c r="L11" s="37">
        <f>SUMIFS(IsQList,IsIList,Table_ExternalData_15[[#This Row],[item_key]],IsITypeList,Table_ExternalData_15[[#This Row],[IType]],IsDList,Table_ExternalData_15[[#Headers],[8]])</f>
        <v>0</v>
      </c>
      <c r="M11" s="37">
        <f>SUMIFS(IsQList,IsIList,Table_ExternalData_15[[#This Row],[item_key]],IsITypeList,Table_ExternalData_15[[#This Row],[IType]],IsDList,Table_ExternalData_15[[#Headers],[9]])</f>
        <v>0</v>
      </c>
      <c r="N11" s="37">
        <f>SUMIFS(IsQList,IsIList,Table_ExternalData_15[[#This Row],[item_key]],IsITypeList,Table_ExternalData_15[[#This Row],[IType]],IsDList,Table_ExternalData_15[[#Headers],[10]])</f>
        <v>0</v>
      </c>
      <c r="O11" s="37">
        <f>SUMIFS(IsQList,IsIList,Table_ExternalData_15[[#This Row],[item_key]],IsITypeList,Table_ExternalData_15[[#This Row],[IType]],IsDList,Table_ExternalData_15[[#Headers],[11]])</f>
        <v>0</v>
      </c>
      <c r="P11" s="37">
        <f>SUMIFS(IsQList,IsIList,Table_ExternalData_15[[#This Row],[item_key]],IsITypeList,Table_ExternalData_15[[#This Row],[IType]],IsDList,Table_ExternalData_15[[#Headers],[12]])</f>
        <v>0</v>
      </c>
      <c r="Q11" s="37">
        <f>SUMIFS(IsQList,IsIList,Table_ExternalData_15[[#This Row],[item_key]],IsITypeList,Table_ExternalData_15[[#This Row],[IType]],IsDList,Table_ExternalData_15[[#Headers],[13]])</f>
        <v>0</v>
      </c>
      <c r="R11" s="37">
        <f>SUMIFS(IsQList,IsIList,Table_ExternalData_15[[#This Row],[item_key]],IsITypeList,Table_ExternalData_15[[#This Row],[IType]],IsDList,Table_ExternalData_15[[#Headers],[14]])</f>
        <v>0</v>
      </c>
      <c r="S11" s="37">
        <f>SUMIFS(IsQList,IsIList,Table_ExternalData_15[[#This Row],[item_key]],IsITypeList,Table_ExternalData_15[[#This Row],[IType]],IsDList,Table_ExternalData_15[[#Headers],[15]])</f>
        <v>0</v>
      </c>
      <c r="T11" s="37">
        <f>SUMIFS(IsQList,IsIList,Table_ExternalData_15[[#This Row],[item_key]],IsITypeList,Table_ExternalData_15[[#This Row],[IType]],IsDList,Table_ExternalData_15[[#Headers],[16]])</f>
        <v>0</v>
      </c>
      <c r="U11" s="37">
        <f>SUMIFS(IsQList,IsIList,Table_ExternalData_15[[#This Row],[item_key]],IsITypeList,Table_ExternalData_15[[#This Row],[IType]],IsDList,Table_ExternalData_15[[#Headers],[17]])</f>
        <v>0</v>
      </c>
      <c r="V11" s="37">
        <f>SUMIFS(IsQList,IsIList,Table_ExternalData_15[[#This Row],[item_key]],IsITypeList,Table_ExternalData_15[[#This Row],[IType]],IsDList,Table_ExternalData_15[[#Headers],[18]])</f>
        <v>0</v>
      </c>
      <c r="W11" s="37">
        <f>SUMIFS(IsQList,IsIList,Table_ExternalData_15[[#This Row],[item_key]],IsITypeList,Table_ExternalData_15[[#This Row],[IType]],IsDList,Table_ExternalData_15[[#Headers],[19]])</f>
        <v>0</v>
      </c>
      <c r="X11" s="37">
        <f>SUMIFS(IsQList,IsIList,Table_ExternalData_15[[#This Row],[item_key]],IsITypeList,Table_ExternalData_15[[#This Row],[IType]],IsDList,Table_ExternalData_15[[#Headers],[20]])</f>
        <v>0</v>
      </c>
      <c r="Y11" s="37">
        <f>SUMIFS(IsQList,IsIList,Table_ExternalData_15[[#This Row],[item_key]],IsITypeList,Table_ExternalData_15[[#This Row],[IType]],IsDList,Table_ExternalData_15[[#Headers],[21]])</f>
        <v>0</v>
      </c>
      <c r="Z11" s="37">
        <f>SUMIFS(IsQList,IsIList,Table_ExternalData_15[[#This Row],[item_key]],IsITypeList,Table_ExternalData_15[[#This Row],[IType]],IsDList,Table_ExternalData_15[[#Headers],[22]])</f>
        <v>0</v>
      </c>
      <c r="AA11" s="37">
        <f>SUMIFS(IsQList,IsIList,Table_ExternalData_15[[#This Row],[item_key]],IsITypeList,Table_ExternalData_15[[#This Row],[IType]],IsDList,Table_ExternalData_15[[#Headers],[23]])</f>
        <v>0</v>
      </c>
      <c r="AB11" s="37">
        <f>SUMIFS(IsQList,IsIList,Table_ExternalData_15[[#This Row],[item_key]],IsITypeList,Table_ExternalData_15[[#This Row],[IType]],IsDList,Table_ExternalData_15[[#Headers],[24]])</f>
        <v>0</v>
      </c>
      <c r="AC11" s="37">
        <f>SUMIFS(IsQList,IsIList,Table_ExternalData_15[[#This Row],[item_key]],IsITypeList,Table_ExternalData_15[[#This Row],[IType]],IsDList,Table_ExternalData_15[[#Headers],[25]])</f>
        <v>0</v>
      </c>
      <c r="AD11" s="37">
        <f>SUMIFS(IsQList,IsIList,Table_ExternalData_15[[#This Row],[item_key]],IsITypeList,Table_ExternalData_15[[#This Row],[IType]],IsDList,Table_ExternalData_15[[#Headers],[26]])</f>
        <v>0</v>
      </c>
      <c r="AE11" s="37">
        <f>SUMIFS(IsQList,IsIList,Table_ExternalData_15[[#This Row],[item_key]],IsITypeList,Table_ExternalData_15[[#This Row],[IType]],IsDList,Table_ExternalData_15[[#Headers],[27]])</f>
        <v>0</v>
      </c>
      <c r="AF11" s="37">
        <f>SUMIFS(IsQList,IsIList,Table_ExternalData_15[[#This Row],[item_key]],IsITypeList,Table_ExternalData_15[[#This Row],[IType]],IsDList,Table_ExternalData_15[[#Headers],[28]])</f>
        <v>0</v>
      </c>
      <c r="AG11" s="37">
        <f>SUMIFS(IsQList,IsIList,Table_ExternalData_15[[#This Row],[item_key]],IsITypeList,Table_ExternalData_15[[#This Row],[IType]],IsDList,Table_ExternalData_15[[#Headers],[29]])</f>
        <v>0</v>
      </c>
      <c r="AH11" s="37">
        <f>SUMIFS(IsQList,IsIList,Table_ExternalData_15[[#This Row],[item_key]],IsITypeList,Table_ExternalData_15[[#This Row],[IType]],IsDList,Table_ExternalData_15[[#Headers],[30]])</f>
        <v>10</v>
      </c>
      <c r="AI11" s="37">
        <f>SUMIFS(IsQList,IsIList,Table_ExternalData_15[[#This Row],[item_key]],IsITypeList,Table_ExternalData_15[[#This Row],[IType]],IsDList,Table_ExternalData_15[[#Headers],[31]])</f>
        <v>0</v>
      </c>
      <c r="AJ11" s="37">
        <f>SUM(Table_ExternalData_15[[#This Row],[1]:[31]])</f>
        <v>10</v>
      </c>
    </row>
    <row r="12" spans="1:36">
      <c r="A12" s="35" t="s">
        <v>193</v>
      </c>
      <c r="B12" s="35" t="s">
        <v>2434</v>
      </c>
      <c r="C12" s="35" t="s">
        <v>2435</v>
      </c>
      <c r="D12" s="36" t="s">
        <v>72</v>
      </c>
      <c r="E12" s="37">
        <f>SUMIFS(IsQList,IsIList,Table_ExternalData_15[[#This Row],[item_key]],IsITypeList,Table_ExternalData_15[[#This Row],[IType]],IsDList,Table_ExternalData_15[[#Headers],[1]])</f>
        <v>0</v>
      </c>
      <c r="F12" s="37">
        <f>SUMIFS(IsQList,IsIList,Table_ExternalData_15[[#This Row],[item_key]],IsITypeList,Table_ExternalData_15[[#This Row],[IType]],IsDList,Table_ExternalData_15[[#Headers],[2]])</f>
        <v>0</v>
      </c>
      <c r="G12" s="37">
        <f>SUMIFS(IsQList,IsIList,Table_ExternalData_15[[#This Row],[item_key]],IsITypeList,Table_ExternalData_15[[#This Row],[IType]],IsDList,Table_ExternalData_15[[#Headers],[3]])</f>
        <v>0</v>
      </c>
      <c r="H12" s="37">
        <f>SUMIFS(IsQList,IsIList,Table_ExternalData_15[[#This Row],[item_key]],IsITypeList,Table_ExternalData_15[[#This Row],[IType]],IsDList,Table_ExternalData_15[[#Headers],[4]])</f>
        <v>0</v>
      </c>
      <c r="I12" s="37">
        <f>SUMIFS(IsQList,IsIList,Table_ExternalData_15[[#This Row],[item_key]],IsITypeList,Table_ExternalData_15[[#This Row],[IType]],IsDList,Table_ExternalData_15[[#Headers],[5]])</f>
        <v>0</v>
      </c>
      <c r="J12" s="37">
        <f>SUMIFS(IsQList,IsIList,Table_ExternalData_15[[#This Row],[item_key]],IsITypeList,Table_ExternalData_15[[#This Row],[IType]],IsDList,Table_ExternalData_15[[#Headers],[6]])</f>
        <v>0</v>
      </c>
      <c r="K12" s="37">
        <f>SUMIFS(IsQList,IsIList,Table_ExternalData_15[[#This Row],[item_key]],IsITypeList,Table_ExternalData_15[[#This Row],[IType]],IsDList,Table_ExternalData_15[[#Headers],[7]])</f>
        <v>0</v>
      </c>
      <c r="L12" s="37">
        <f>SUMIFS(IsQList,IsIList,Table_ExternalData_15[[#This Row],[item_key]],IsITypeList,Table_ExternalData_15[[#This Row],[IType]],IsDList,Table_ExternalData_15[[#Headers],[8]])</f>
        <v>0</v>
      </c>
      <c r="M12" s="37">
        <f>SUMIFS(IsQList,IsIList,Table_ExternalData_15[[#This Row],[item_key]],IsITypeList,Table_ExternalData_15[[#This Row],[IType]],IsDList,Table_ExternalData_15[[#Headers],[9]])</f>
        <v>0</v>
      </c>
      <c r="N12" s="37">
        <f>SUMIFS(IsQList,IsIList,Table_ExternalData_15[[#This Row],[item_key]],IsITypeList,Table_ExternalData_15[[#This Row],[IType]],IsDList,Table_ExternalData_15[[#Headers],[10]])</f>
        <v>0</v>
      </c>
      <c r="O12" s="37">
        <f>SUMIFS(IsQList,IsIList,Table_ExternalData_15[[#This Row],[item_key]],IsITypeList,Table_ExternalData_15[[#This Row],[IType]],IsDList,Table_ExternalData_15[[#Headers],[11]])</f>
        <v>0</v>
      </c>
      <c r="P12" s="37">
        <f>SUMIFS(IsQList,IsIList,Table_ExternalData_15[[#This Row],[item_key]],IsITypeList,Table_ExternalData_15[[#This Row],[IType]],IsDList,Table_ExternalData_15[[#Headers],[12]])</f>
        <v>0</v>
      </c>
      <c r="Q12" s="37">
        <f>SUMIFS(IsQList,IsIList,Table_ExternalData_15[[#This Row],[item_key]],IsITypeList,Table_ExternalData_15[[#This Row],[IType]],IsDList,Table_ExternalData_15[[#Headers],[13]])</f>
        <v>0</v>
      </c>
      <c r="R12" s="37">
        <f>SUMIFS(IsQList,IsIList,Table_ExternalData_15[[#This Row],[item_key]],IsITypeList,Table_ExternalData_15[[#This Row],[IType]],IsDList,Table_ExternalData_15[[#Headers],[14]])</f>
        <v>0</v>
      </c>
      <c r="S12" s="37">
        <f>SUMIFS(IsQList,IsIList,Table_ExternalData_15[[#This Row],[item_key]],IsITypeList,Table_ExternalData_15[[#This Row],[IType]],IsDList,Table_ExternalData_15[[#Headers],[15]])</f>
        <v>0</v>
      </c>
      <c r="T12" s="37">
        <f>SUMIFS(IsQList,IsIList,Table_ExternalData_15[[#This Row],[item_key]],IsITypeList,Table_ExternalData_15[[#This Row],[IType]],IsDList,Table_ExternalData_15[[#Headers],[16]])</f>
        <v>0</v>
      </c>
      <c r="U12" s="37">
        <f>SUMIFS(IsQList,IsIList,Table_ExternalData_15[[#This Row],[item_key]],IsITypeList,Table_ExternalData_15[[#This Row],[IType]],IsDList,Table_ExternalData_15[[#Headers],[17]])</f>
        <v>0</v>
      </c>
      <c r="V12" s="37">
        <f>SUMIFS(IsQList,IsIList,Table_ExternalData_15[[#This Row],[item_key]],IsITypeList,Table_ExternalData_15[[#This Row],[IType]],IsDList,Table_ExternalData_15[[#Headers],[18]])</f>
        <v>0</v>
      </c>
      <c r="W12" s="37">
        <f>SUMIFS(IsQList,IsIList,Table_ExternalData_15[[#This Row],[item_key]],IsITypeList,Table_ExternalData_15[[#This Row],[IType]],IsDList,Table_ExternalData_15[[#Headers],[19]])</f>
        <v>0</v>
      </c>
      <c r="X12" s="37">
        <f>SUMIFS(IsQList,IsIList,Table_ExternalData_15[[#This Row],[item_key]],IsITypeList,Table_ExternalData_15[[#This Row],[IType]],IsDList,Table_ExternalData_15[[#Headers],[20]])</f>
        <v>0</v>
      </c>
      <c r="Y12" s="37">
        <f>SUMIFS(IsQList,IsIList,Table_ExternalData_15[[#This Row],[item_key]],IsITypeList,Table_ExternalData_15[[#This Row],[IType]],IsDList,Table_ExternalData_15[[#Headers],[21]])</f>
        <v>0</v>
      </c>
      <c r="Z12" s="37">
        <f>SUMIFS(IsQList,IsIList,Table_ExternalData_15[[#This Row],[item_key]],IsITypeList,Table_ExternalData_15[[#This Row],[IType]],IsDList,Table_ExternalData_15[[#Headers],[22]])</f>
        <v>0</v>
      </c>
      <c r="AA12" s="37">
        <f>SUMIFS(IsQList,IsIList,Table_ExternalData_15[[#This Row],[item_key]],IsITypeList,Table_ExternalData_15[[#This Row],[IType]],IsDList,Table_ExternalData_15[[#Headers],[23]])</f>
        <v>0</v>
      </c>
      <c r="AB12" s="37">
        <f>SUMIFS(IsQList,IsIList,Table_ExternalData_15[[#This Row],[item_key]],IsITypeList,Table_ExternalData_15[[#This Row],[IType]],IsDList,Table_ExternalData_15[[#Headers],[24]])</f>
        <v>0</v>
      </c>
      <c r="AC12" s="37">
        <f>SUMIFS(IsQList,IsIList,Table_ExternalData_15[[#This Row],[item_key]],IsITypeList,Table_ExternalData_15[[#This Row],[IType]],IsDList,Table_ExternalData_15[[#Headers],[25]])</f>
        <v>0</v>
      </c>
      <c r="AD12" s="37">
        <f>SUMIFS(IsQList,IsIList,Table_ExternalData_15[[#This Row],[item_key]],IsITypeList,Table_ExternalData_15[[#This Row],[IType]],IsDList,Table_ExternalData_15[[#Headers],[26]])</f>
        <v>0</v>
      </c>
      <c r="AE12" s="37">
        <f>SUMIFS(IsQList,IsIList,Table_ExternalData_15[[#This Row],[item_key]],IsITypeList,Table_ExternalData_15[[#This Row],[IType]],IsDList,Table_ExternalData_15[[#Headers],[27]])</f>
        <v>0</v>
      </c>
      <c r="AF12" s="37">
        <f>SUMIFS(IsQList,IsIList,Table_ExternalData_15[[#This Row],[item_key]],IsITypeList,Table_ExternalData_15[[#This Row],[IType]],IsDList,Table_ExternalData_15[[#Headers],[28]])</f>
        <v>0</v>
      </c>
      <c r="AG12" s="37">
        <f>SUMIFS(IsQList,IsIList,Table_ExternalData_15[[#This Row],[item_key]],IsITypeList,Table_ExternalData_15[[#This Row],[IType]],IsDList,Table_ExternalData_15[[#Headers],[29]])</f>
        <v>0</v>
      </c>
      <c r="AH12" s="37">
        <f>SUMIFS(IsQList,IsIList,Table_ExternalData_15[[#This Row],[item_key]],IsITypeList,Table_ExternalData_15[[#This Row],[IType]],IsDList,Table_ExternalData_15[[#Headers],[30]])</f>
        <v>30</v>
      </c>
      <c r="AI12" s="37">
        <f>SUMIFS(IsQList,IsIList,Table_ExternalData_15[[#This Row],[item_key]],IsITypeList,Table_ExternalData_15[[#This Row],[IType]],IsDList,Table_ExternalData_15[[#Headers],[31]])</f>
        <v>0</v>
      </c>
      <c r="AJ12" s="37">
        <f>SUM(Table_ExternalData_15[[#This Row],[1]:[31]])</f>
        <v>30</v>
      </c>
    </row>
    <row r="13" spans="1:36">
      <c r="A13" s="35" t="s">
        <v>1642</v>
      </c>
      <c r="B13" s="35" t="s">
        <v>2436</v>
      </c>
      <c r="C13" s="35" t="s">
        <v>2437</v>
      </c>
      <c r="D13" s="36" t="s">
        <v>72</v>
      </c>
      <c r="E13" s="37">
        <f>SUMIFS(IsQList,IsIList,Table_ExternalData_15[[#This Row],[item_key]],IsITypeList,Table_ExternalData_15[[#This Row],[IType]],IsDList,Table_ExternalData_15[[#Headers],[1]])</f>
        <v>0</v>
      </c>
      <c r="F13" s="37">
        <f>SUMIFS(IsQList,IsIList,Table_ExternalData_15[[#This Row],[item_key]],IsITypeList,Table_ExternalData_15[[#This Row],[IType]],IsDList,Table_ExternalData_15[[#Headers],[2]])</f>
        <v>0</v>
      </c>
      <c r="G13" s="37">
        <f>SUMIFS(IsQList,IsIList,Table_ExternalData_15[[#This Row],[item_key]],IsITypeList,Table_ExternalData_15[[#This Row],[IType]],IsDList,Table_ExternalData_15[[#Headers],[3]])</f>
        <v>0</v>
      </c>
      <c r="H13" s="37">
        <f>SUMIFS(IsQList,IsIList,Table_ExternalData_15[[#This Row],[item_key]],IsITypeList,Table_ExternalData_15[[#This Row],[IType]],IsDList,Table_ExternalData_15[[#Headers],[4]])</f>
        <v>0</v>
      </c>
      <c r="I13" s="37">
        <f>SUMIFS(IsQList,IsIList,Table_ExternalData_15[[#This Row],[item_key]],IsITypeList,Table_ExternalData_15[[#This Row],[IType]],IsDList,Table_ExternalData_15[[#Headers],[5]])</f>
        <v>0</v>
      </c>
      <c r="J13" s="37">
        <f>SUMIFS(IsQList,IsIList,Table_ExternalData_15[[#This Row],[item_key]],IsITypeList,Table_ExternalData_15[[#This Row],[IType]],IsDList,Table_ExternalData_15[[#Headers],[6]])</f>
        <v>0</v>
      </c>
      <c r="K13" s="37">
        <f>SUMIFS(IsQList,IsIList,Table_ExternalData_15[[#This Row],[item_key]],IsITypeList,Table_ExternalData_15[[#This Row],[IType]],IsDList,Table_ExternalData_15[[#Headers],[7]])</f>
        <v>0</v>
      </c>
      <c r="L13" s="37">
        <f>SUMIFS(IsQList,IsIList,Table_ExternalData_15[[#This Row],[item_key]],IsITypeList,Table_ExternalData_15[[#This Row],[IType]],IsDList,Table_ExternalData_15[[#Headers],[8]])</f>
        <v>0</v>
      </c>
      <c r="M13" s="37">
        <f>SUMIFS(IsQList,IsIList,Table_ExternalData_15[[#This Row],[item_key]],IsITypeList,Table_ExternalData_15[[#This Row],[IType]],IsDList,Table_ExternalData_15[[#Headers],[9]])</f>
        <v>0</v>
      </c>
      <c r="N13" s="37">
        <f>SUMIFS(IsQList,IsIList,Table_ExternalData_15[[#This Row],[item_key]],IsITypeList,Table_ExternalData_15[[#This Row],[IType]],IsDList,Table_ExternalData_15[[#Headers],[10]])</f>
        <v>0</v>
      </c>
      <c r="O13" s="37">
        <f>SUMIFS(IsQList,IsIList,Table_ExternalData_15[[#This Row],[item_key]],IsITypeList,Table_ExternalData_15[[#This Row],[IType]],IsDList,Table_ExternalData_15[[#Headers],[11]])</f>
        <v>0</v>
      </c>
      <c r="P13" s="37">
        <f>SUMIFS(IsQList,IsIList,Table_ExternalData_15[[#This Row],[item_key]],IsITypeList,Table_ExternalData_15[[#This Row],[IType]],IsDList,Table_ExternalData_15[[#Headers],[12]])</f>
        <v>0</v>
      </c>
      <c r="Q13" s="37">
        <f>SUMIFS(IsQList,IsIList,Table_ExternalData_15[[#This Row],[item_key]],IsITypeList,Table_ExternalData_15[[#This Row],[IType]],IsDList,Table_ExternalData_15[[#Headers],[13]])</f>
        <v>0</v>
      </c>
      <c r="R13" s="37">
        <f>SUMIFS(IsQList,IsIList,Table_ExternalData_15[[#This Row],[item_key]],IsITypeList,Table_ExternalData_15[[#This Row],[IType]],IsDList,Table_ExternalData_15[[#Headers],[14]])</f>
        <v>0</v>
      </c>
      <c r="S13" s="37">
        <f>SUMIFS(IsQList,IsIList,Table_ExternalData_15[[#This Row],[item_key]],IsITypeList,Table_ExternalData_15[[#This Row],[IType]],IsDList,Table_ExternalData_15[[#Headers],[15]])</f>
        <v>0</v>
      </c>
      <c r="T13" s="37">
        <f>SUMIFS(IsQList,IsIList,Table_ExternalData_15[[#This Row],[item_key]],IsITypeList,Table_ExternalData_15[[#This Row],[IType]],IsDList,Table_ExternalData_15[[#Headers],[16]])</f>
        <v>0</v>
      </c>
      <c r="U13" s="37">
        <f>SUMIFS(IsQList,IsIList,Table_ExternalData_15[[#This Row],[item_key]],IsITypeList,Table_ExternalData_15[[#This Row],[IType]],IsDList,Table_ExternalData_15[[#Headers],[17]])</f>
        <v>0</v>
      </c>
      <c r="V13" s="37">
        <f>SUMIFS(IsQList,IsIList,Table_ExternalData_15[[#This Row],[item_key]],IsITypeList,Table_ExternalData_15[[#This Row],[IType]],IsDList,Table_ExternalData_15[[#Headers],[18]])</f>
        <v>0</v>
      </c>
      <c r="W13" s="37">
        <f>SUMIFS(IsQList,IsIList,Table_ExternalData_15[[#This Row],[item_key]],IsITypeList,Table_ExternalData_15[[#This Row],[IType]],IsDList,Table_ExternalData_15[[#Headers],[19]])</f>
        <v>0</v>
      </c>
      <c r="X13" s="37">
        <f>SUMIFS(IsQList,IsIList,Table_ExternalData_15[[#This Row],[item_key]],IsITypeList,Table_ExternalData_15[[#This Row],[IType]],IsDList,Table_ExternalData_15[[#Headers],[20]])</f>
        <v>0</v>
      </c>
      <c r="Y13" s="37">
        <f>SUMIFS(IsQList,IsIList,Table_ExternalData_15[[#This Row],[item_key]],IsITypeList,Table_ExternalData_15[[#This Row],[IType]],IsDList,Table_ExternalData_15[[#Headers],[21]])</f>
        <v>0</v>
      </c>
      <c r="Z13" s="37">
        <f>SUMIFS(IsQList,IsIList,Table_ExternalData_15[[#This Row],[item_key]],IsITypeList,Table_ExternalData_15[[#This Row],[IType]],IsDList,Table_ExternalData_15[[#Headers],[22]])</f>
        <v>0</v>
      </c>
      <c r="AA13" s="37">
        <f>SUMIFS(IsQList,IsIList,Table_ExternalData_15[[#This Row],[item_key]],IsITypeList,Table_ExternalData_15[[#This Row],[IType]],IsDList,Table_ExternalData_15[[#Headers],[23]])</f>
        <v>0</v>
      </c>
      <c r="AB13" s="37">
        <f>SUMIFS(IsQList,IsIList,Table_ExternalData_15[[#This Row],[item_key]],IsITypeList,Table_ExternalData_15[[#This Row],[IType]],IsDList,Table_ExternalData_15[[#Headers],[24]])</f>
        <v>13</v>
      </c>
      <c r="AC13" s="37">
        <f>SUMIFS(IsQList,IsIList,Table_ExternalData_15[[#This Row],[item_key]],IsITypeList,Table_ExternalData_15[[#This Row],[IType]],IsDList,Table_ExternalData_15[[#Headers],[25]])</f>
        <v>0</v>
      </c>
      <c r="AD13" s="37">
        <f>SUMIFS(IsQList,IsIList,Table_ExternalData_15[[#This Row],[item_key]],IsITypeList,Table_ExternalData_15[[#This Row],[IType]],IsDList,Table_ExternalData_15[[#Headers],[26]])</f>
        <v>0</v>
      </c>
      <c r="AE13" s="37">
        <f>SUMIFS(IsQList,IsIList,Table_ExternalData_15[[#This Row],[item_key]],IsITypeList,Table_ExternalData_15[[#This Row],[IType]],IsDList,Table_ExternalData_15[[#Headers],[27]])</f>
        <v>0</v>
      </c>
      <c r="AF13" s="37">
        <f>SUMIFS(IsQList,IsIList,Table_ExternalData_15[[#This Row],[item_key]],IsITypeList,Table_ExternalData_15[[#This Row],[IType]],IsDList,Table_ExternalData_15[[#Headers],[28]])</f>
        <v>0</v>
      </c>
      <c r="AG13" s="37">
        <f>SUMIFS(IsQList,IsIList,Table_ExternalData_15[[#This Row],[item_key]],IsITypeList,Table_ExternalData_15[[#This Row],[IType]],IsDList,Table_ExternalData_15[[#Headers],[29]])</f>
        <v>0</v>
      </c>
      <c r="AH13" s="37">
        <f>SUMIFS(IsQList,IsIList,Table_ExternalData_15[[#This Row],[item_key]],IsITypeList,Table_ExternalData_15[[#This Row],[IType]],IsDList,Table_ExternalData_15[[#Headers],[30]])</f>
        <v>60</v>
      </c>
      <c r="AI13" s="37">
        <f>SUMIFS(IsQList,IsIList,Table_ExternalData_15[[#This Row],[item_key]],IsITypeList,Table_ExternalData_15[[#This Row],[IType]],IsDList,Table_ExternalData_15[[#Headers],[31]])</f>
        <v>0</v>
      </c>
      <c r="AJ13" s="37">
        <f>SUM(Table_ExternalData_15[[#This Row],[1]:[31]])</f>
        <v>73</v>
      </c>
    </row>
    <row r="14" spans="1:36">
      <c r="A14" s="35" t="s">
        <v>217</v>
      </c>
      <c r="B14" s="35" t="s">
        <v>2438</v>
      </c>
      <c r="C14" s="35" t="s">
        <v>2439</v>
      </c>
      <c r="D14" s="36" t="s">
        <v>72</v>
      </c>
      <c r="E14" s="37">
        <f>SUMIFS(IsQList,IsIList,Table_ExternalData_15[[#This Row],[item_key]],IsITypeList,Table_ExternalData_15[[#This Row],[IType]],IsDList,Table_ExternalData_15[[#Headers],[1]])</f>
        <v>0</v>
      </c>
      <c r="F14" s="37">
        <f>SUMIFS(IsQList,IsIList,Table_ExternalData_15[[#This Row],[item_key]],IsITypeList,Table_ExternalData_15[[#This Row],[IType]],IsDList,Table_ExternalData_15[[#Headers],[2]])</f>
        <v>0</v>
      </c>
      <c r="G14" s="37">
        <f>SUMIFS(IsQList,IsIList,Table_ExternalData_15[[#This Row],[item_key]],IsITypeList,Table_ExternalData_15[[#This Row],[IType]],IsDList,Table_ExternalData_15[[#Headers],[3]])</f>
        <v>0</v>
      </c>
      <c r="H14" s="37">
        <f>SUMIFS(IsQList,IsIList,Table_ExternalData_15[[#This Row],[item_key]],IsITypeList,Table_ExternalData_15[[#This Row],[IType]],IsDList,Table_ExternalData_15[[#Headers],[4]])</f>
        <v>0</v>
      </c>
      <c r="I14" s="37">
        <f>SUMIFS(IsQList,IsIList,Table_ExternalData_15[[#This Row],[item_key]],IsITypeList,Table_ExternalData_15[[#This Row],[IType]],IsDList,Table_ExternalData_15[[#Headers],[5]])</f>
        <v>0</v>
      </c>
      <c r="J14" s="37">
        <f>SUMIFS(IsQList,IsIList,Table_ExternalData_15[[#This Row],[item_key]],IsITypeList,Table_ExternalData_15[[#This Row],[IType]],IsDList,Table_ExternalData_15[[#Headers],[6]])</f>
        <v>0</v>
      </c>
      <c r="K14" s="37">
        <f>SUMIFS(IsQList,IsIList,Table_ExternalData_15[[#This Row],[item_key]],IsITypeList,Table_ExternalData_15[[#This Row],[IType]],IsDList,Table_ExternalData_15[[#Headers],[7]])</f>
        <v>0</v>
      </c>
      <c r="L14" s="37">
        <f>SUMIFS(IsQList,IsIList,Table_ExternalData_15[[#This Row],[item_key]],IsITypeList,Table_ExternalData_15[[#This Row],[IType]],IsDList,Table_ExternalData_15[[#Headers],[8]])</f>
        <v>0</v>
      </c>
      <c r="M14" s="37">
        <f>SUMIFS(IsQList,IsIList,Table_ExternalData_15[[#This Row],[item_key]],IsITypeList,Table_ExternalData_15[[#This Row],[IType]],IsDList,Table_ExternalData_15[[#Headers],[9]])</f>
        <v>0</v>
      </c>
      <c r="N14" s="37">
        <f>SUMIFS(IsQList,IsIList,Table_ExternalData_15[[#This Row],[item_key]],IsITypeList,Table_ExternalData_15[[#This Row],[IType]],IsDList,Table_ExternalData_15[[#Headers],[10]])</f>
        <v>0</v>
      </c>
      <c r="O14" s="37">
        <f>SUMIFS(IsQList,IsIList,Table_ExternalData_15[[#This Row],[item_key]],IsITypeList,Table_ExternalData_15[[#This Row],[IType]],IsDList,Table_ExternalData_15[[#Headers],[11]])</f>
        <v>0</v>
      </c>
      <c r="P14" s="37">
        <f>SUMIFS(IsQList,IsIList,Table_ExternalData_15[[#This Row],[item_key]],IsITypeList,Table_ExternalData_15[[#This Row],[IType]],IsDList,Table_ExternalData_15[[#Headers],[12]])</f>
        <v>0</v>
      </c>
      <c r="Q14" s="37">
        <f>SUMIFS(IsQList,IsIList,Table_ExternalData_15[[#This Row],[item_key]],IsITypeList,Table_ExternalData_15[[#This Row],[IType]],IsDList,Table_ExternalData_15[[#Headers],[13]])</f>
        <v>0</v>
      </c>
      <c r="R14" s="37">
        <f>SUMIFS(IsQList,IsIList,Table_ExternalData_15[[#This Row],[item_key]],IsITypeList,Table_ExternalData_15[[#This Row],[IType]],IsDList,Table_ExternalData_15[[#Headers],[14]])</f>
        <v>0</v>
      </c>
      <c r="S14" s="37">
        <f>SUMIFS(IsQList,IsIList,Table_ExternalData_15[[#This Row],[item_key]],IsITypeList,Table_ExternalData_15[[#This Row],[IType]],IsDList,Table_ExternalData_15[[#Headers],[15]])</f>
        <v>0</v>
      </c>
      <c r="T14" s="37">
        <f>SUMIFS(IsQList,IsIList,Table_ExternalData_15[[#This Row],[item_key]],IsITypeList,Table_ExternalData_15[[#This Row],[IType]],IsDList,Table_ExternalData_15[[#Headers],[16]])</f>
        <v>0</v>
      </c>
      <c r="U14" s="37">
        <f>SUMIFS(IsQList,IsIList,Table_ExternalData_15[[#This Row],[item_key]],IsITypeList,Table_ExternalData_15[[#This Row],[IType]],IsDList,Table_ExternalData_15[[#Headers],[17]])</f>
        <v>0</v>
      </c>
      <c r="V14" s="37">
        <f>SUMIFS(IsQList,IsIList,Table_ExternalData_15[[#This Row],[item_key]],IsITypeList,Table_ExternalData_15[[#This Row],[IType]],IsDList,Table_ExternalData_15[[#Headers],[18]])</f>
        <v>0</v>
      </c>
      <c r="W14" s="37">
        <f>SUMIFS(IsQList,IsIList,Table_ExternalData_15[[#This Row],[item_key]],IsITypeList,Table_ExternalData_15[[#This Row],[IType]],IsDList,Table_ExternalData_15[[#Headers],[19]])</f>
        <v>0</v>
      </c>
      <c r="X14" s="37">
        <f>SUMIFS(IsQList,IsIList,Table_ExternalData_15[[#This Row],[item_key]],IsITypeList,Table_ExternalData_15[[#This Row],[IType]],IsDList,Table_ExternalData_15[[#Headers],[20]])</f>
        <v>0</v>
      </c>
      <c r="Y14" s="37">
        <f>SUMIFS(IsQList,IsIList,Table_ExternalData_15[[#This Row],[item_key]],IsITypeList,Table_ExternalData_15[[#This Row],[IType]],IsDList,Table_ExternalData_15[[#Headers],[21]])</f>
        <v>0</v>
      </c>
      <c r="Z14" s="37">
        <f>SUMIFS(IsQList,IsIList,Table_ExternalData_15[[#This Row],[item_key]],IsITypeList,Table_ExternalData_15[[#This Row],[IType]],IsDList,Table_ExternalData_15[[#Headers],[22]])</f>
        <v>0</v>
      </c>
      <c r="AA14" s="37">
        <f>SUMIFS(IsQList,IsIList,Table_ExternalData_15[[#This Row],[item_key]],IsITypeList,Table_ExternalData_15[[#This Row],[IType]],IsDList,Table_ExternalData_15[[#Headers],[23]])</f>
        <v>0</v>
      </c>
      <c r="AB14" s="37">
        <f>SUMIFS(IsQList,IsIList,Table_ExternalData_15[[#This Row],[item_key]],IsITypeList,Table_ExternalData_15[[#This Row],[IType]],IsDList,Table_ExternalData_15[[#Headers],[24]])</f>
        <v>0</v>
      </c>
      <c r="AC14" s="37">
        <f>SUMIFS(IsQList,IsIList,Table_ExternalData_15[[#This Row],[item_key]],IsITypeList,Table_ExternalData_15[[#This Row],[IType]],IsDList,Table_ExternalData_15[[#Headers],[25]])</f>
        <v>0</v>
      </c>
      <c r="AD14" s="37">
        <f>SUMIFS(IsQList,IsIList,Table_ExternalData_15[[#This Row],[item_key]],IsITypeList,Table_ExternalData_15[[#This Row],[IType]],IsDList,Table_ExternalData_15[[#Headers],[26]])</f>
        <v>0</v>
      </c>
      <c r="AE14" s="37">
        <f>SUMIFS(IsQList,IsIList,Table_ExternalData_15[[#This Row],[item_key]],IsITypeList,Table_ExternalData_15[[#This Row],[IType]],IsDList,Table_ExternalData_15[[#Headers],[27]])</f>
        <v>0</v>
      </c>
      <c r="AF14" s="37">
        <f>SUMIFS(IsQList,IsIList,Table_ExternalData_15[[#This Row],[item_key]],IsITypeList,Table_ExternalData_15[[#This Row],[IType]],IsDList,Table_ExternalData_15[[#Headers],[28]])</f>
        <v>0</v>
      </c>
      <c r="AG14" s="37">
        <f>SUMIFS(IsQList,IsIList,Table_ExternalData_15[[#This Row],[item_key]],IsITypeList,Table_ExternalData_15[[#This Row],[IType]],IsDList,Table_ExternalData_15[[#Headers],[29]])</f>
        <v>0</v>
      </c>
      <c r="AH14" s="37">
        <f>SUMIFS(IsQList,IsIList,Table_ExternalData_15[[#This Row],[item_key]],IsITypeList,Table_ExternalData_15[[#This Row],[IType]],IsDList,Table_ExternalData_15[[#Headers],[30]])</f>
        <v>0</v>
      </c>
      <c r="AI14" s="37">
        <f>SUMIFS(IsQList,IsIList,Table_ExternalData_15[[#This Row],[item_key]],IsITypeList,Table_ExternalData_15[[#This Row],[IType]],IsDList,Table_ExternalData_15[[#Headers],[31]])</f>
        <v>0</v>
      </c>
      <c r="AJ14" s="37">
        <f>SUM(Table_ExternalData_15[[#This Row],[1]:[31]])</f>
        <v>0</v>
      </c>
    </row>
    <row r="15" spans="1:36">
      <c r="A15" s="35" t="s">
        <v>1646</v>
      </c>
      <c r="B15" s="35" t="s">
        <v>2440</v>
      </c>
      <c r="C15" s="35" t="s">
        <v>2441</v>
      </c>
      <c r="D15" s="36" t="s">
        <v>72</v>
      </c>
      <c r="E15" s="37">
        <f>SUMIFS(IsQList,IsIList,Table_ExternalData_15[[#This Row],[item_key]],IsITypeList,Table_ExternalData_15[[#This Row],[IType]],IsDList,Table_ExternalData_15[[#Headers],[1]])</f>
        <v>0</v>
      </c>
      <c r="F15" s="37">
        <f>SUMIFS(IsQList,IsIList,Table_ExternalData_15[[#This Row],[item_key]],IsITypeList,Table_ExternalData_15[[#This Row],[IType]],IsDList,Table_ExternalData_15[[#Headers],[2]])</f>
        <v>0</v>
      </c>
      <c r="G15" s="37">
        <f>SUMIFS(IsQList,IsIList,Table_ExternalData_15[[#This Row],[item_key]],IsITypeList,Table_ExternalData_15[[#This Row],[IType]],IsDList,Table_ExternalData_15[[#Headers],[3]])</f>
        <v>0</v>
      </c>
      <c r="H15" s="37">
        <f>SUMIFS(IsQList,IsIList,Table_ExternalData_15[[#This Row],[item_key]],IsITypeList,Table_ExternalData_15[[#This Row],[IType]],IsDList,Table_ExternalData_15[[#Headers],[4]])</f>
        <v>0</v>
      </c>
      <c r="I15" s="37">
        <f>SUMIFS(IsQList,IsIList,Table_ExternalData_15[[#This Row],[item_key]],IsITypeList,Table_ExternalData_15[[#This Row],[IType]],IsDList,Table_ExternalData_15[[#Headers],[5]])</f>
        <v>0</v>
      </c>
      <c r="J15" s="37">
        <f>SUMIFS(IsQList,IsIList,Table_ExternalData_15[[#This Row],[item_key]],IsITypeList,Table_ExternalData_15[[#This Row],[IType]],IsDList,Table_ExternalData_15[[#Headers],[6]])</f>
        <v>5</v>
      </c>
      <c r="K15" s="37">
        <f>SUMIFS(IsQList,IsIList,Table_ExternalData_15[[#This Row],[item_key]],IsITypeList,Table_ExternalData_15[[#This Row],[IType]],IsDList,Table_ExternalData_15[[#Headers],[7]])</f>
        <v>0</v>
      </c>
      <c r="L15" s="37">
        <f>SUMIFS(IsQList,IsIList,Table_ExternalData_15[[#This Row],[item_key]],IsITypeList,Table_ExternalData_15[[#This Row],[IType]],IsDList,Table_ExternalData_15[[#Headers],[8]])</f>
        <v>0</v>
      </c>
      <c r="M15" s="37">
        <f>SUMIFS(IsQList,IsIList,Table_ExternalData_15[[#This Row],[item_key]],IsITypeList,Table_ExternalData_15[[#This Row],[IType]],IsDList,Table_ExternalData_15[[#Headers],[9]])</f>
        <v>0</v>
      </c>
      <c r="N15" s="37">
        <f>SUMIFS(IsQList,IsIList,Table_ExternalData_15[[#This Row],[item_key]],IsITypeList,Table_ExternalData_15[[#This Row],[IType]],IsDList,Table_ExternalData_15[[#Headers],[10]])</f>
        <v>0</v>
      </c>
      <c r="O15" s="37">
        <f>SUMIFS(IsQList,IsIList,Table_ExternalData_15[[#This Row],[item_key]],IsITypeList,Table_ExternalData_15[[#This Row],[IType]],IsDList,Table_ExternalData_15[[#Headers],[11]])</f>
        <v>0</v>
      </c>
      <c r="P15" s="37">
        <f>SUMIFS(IsQList,IsIList,Table_ExternalData_15[[#This Row],[item_key]],IsITypeList,Table_ExternalData_15[[#This Row],[IType]],IsDList,Table_ExternalData_15[[#Headers],[12]])</f>
        <v>0</v>
      </c>
      <c r="Q15" s="37">
        <f>SUMIFS(IsQList,IsIList,Table_ExternalData_15[[#This Row],[item_key]],IsITypeList,Table_ExternalData_15[[#This Row],[IType]],IsDList,Table_ExternalData_15[[#Headers],[13]])</f>
        <v>0</v>
      </c>
      <c r="R15" s="37">
        <f>SUMIFS(IsQList,IsIList,Table_ExternalData_15[[#This Row],[item_key]],IsITypeList,Table_ExternalData_15[[#This Row],[IType]],IsDList,Table_ExternalData_15[[#Headers],[14]])</f>
        <v>0</v>
      </c>
      <c r="S15" s="37">
        <f>SUMIFS(IsQList,IsIList,Table_ExternalData_15[[#This Row],[item_key]],IsITypeList,Table_ExternalData_15[[#This Row],[IType]],IsDList,Table_ExternalData_15[[#Headers],[15]])</f>
        <v>0</v>
      </c>
      <c r="T15" s="37">
        <f>SUMIFS(IsQList,IsIList,Table_ExternalData_15[[#This Row],[item_key]],IsITypeList,Table_ExternalData_15[[#This Row],[IType]],IsDList,Table_ExternalData_15[[#Headers],[16]])</f>
        <v>0</v>
      </c>
      <c r="U15" s="37">
        <f>SUMIFS(IsQList,IsIList,Table_ExternalData_15[[#This Row],[item_key]],IsITypeList,Table_ExternalData_15[[#This Row],[IType]],IsDList,Table_ExternalData_15[[#Headers],[17]])</f>
        <v>0</v>
      </c>
      <c r="V15" s="37">
        <f>SUMIFS(IsQList,IsIList,Table_ExternalData_15[[#This Row],[item_key]],IsITypeList,Table_ExternalData_15[[#This Row],[IType]],IsDList,Table_ExternalData_15[[#Headers],[18]])</f>
        <v>0</v>
      </c>
      <c r="W15" s="37">
        <f>SUMIFS(IsQList,IsIList,Table_ExternalData_15[[#This Row],[item_key]],IsITypeList,Table_ExternalData_15[[#This Row],[IType]],IsDList,Table_ExternalData_15[[#Headers],[19]])</f>
        <v>0</v>
      </c>
      <c r="X15" s="37">
        <f>SUMIFS(IsQList,IsIList,Table_ExternalData_15[[#This Row],[item_key]],IsITypeList,Table_ExternalData_15[[#This Row],[IType]],IsDList,Table_ExternalData_15[[#Headers],[20]])</f>
        <v>0</v>
      </c>
      <c r="Y15" s="37">
        <f>SUMIFS(IsQList,IsIList,Table_ExternalData_15[[#This Row],[item_key]],IsITypeList,Table_ExternalData_15[[#This Row],[IType]],IsDList,Table_ExternalData_15[[#Headers],[21]])</f>
        <v>0</v>
      </c>
      <c r="Z15" s="37">
        <f>SUMIFS(IsQList,IsIList,Table_ExternalData_15[[#This Row],[item_key]],IsITypeList,Table_ExternalData_15[[#This Row],[IType]],IsDList,Table_ExternalData_15[[#Headers],[22]])</f>
        <v>0</v>
      </c>
      <c r="AA15" s="37">
        <f>SUMIFS(IsQList,IsIList,Table_ExternalData_15[[#This Row],[item_key]],IsITypeList,Table_ExternalData_15[[#This Row],[IType]],IsDList,Table_ExternalData_15[[#Headers],[23]])</f>
        <v>0</v>
      </c>
      <c r="AB15" s="37">
        <f>SUMIFS(IsQList,IsIList,Table_ExternalData_15[[#This Row],[item_key]],IsITypeList,Table_ExternalData_15[[#This Row],[IType]],IsDList,Table_ExternalData_15[[#Headers],[24]])</f>
        <v>0</v>
      </c>
      <c r="AC15" s="37">
        <f>SUMIFS(IsQList,IsIList,Table_ExternalData_15[[#This Row],[item_key]],IsITypeList,Table_ExternalData_15[[#This Row],[IType]],IsDList,Table_ExternalData_15[[#Headers],[25]])</f>
        <v>0</v>
      </c>
      <c r="AD15" s="37">
        <f>SUMIFS(IsQList,IsIList,Table_ExternalData_15[[#This Row],[item_key]],IsITypeList,Table_ExternalData_15[[#This Row],[IType]],IsDList,Table_ExternalData_15[[#Headers],[26]])</f>
        <v>0</v>
      </c>
      <c r="AE15" s="37">
        <f>SUMIFS(IsQList,IsIList,Table_ExternalData_15[[#This Row],[item_key]],IsITypeList,Table_ExternalData_15[[#This Row],[IType]],IsDList,Table_ExternalData_15[[#Headers],[27]])</f>
        <v>0</v>
      </c>
      <c r="AF15" s="37">
        <f>SUMIFS(IsQList,IsIList,Table_ExternalData_15[[#This Row],[item_key]],IsITypeList,Table_ExternalData_15[[#This Row],[IType]],IsDList,Table_ExternalData_15[[#Headers],[28]])</f>
        <v>0</v>
      </c>
      <c r="AG15" s="37">
        <f>SUMIFS(IsQList,IsIList,Table_ExternalData_15[[#This Row],[item_key]],IsITypeList,Table_ExternalData_15[[#This Row],[IType]],IsDList,Table_ExternalData_15[[#Headers],[29]])</f>
        <v>0</v>
      </c>
      <c r="AH15" s="37">
        <f>SUMIFS(IsQList,IsIList,Table_ExternalData_15[[#This Row],[item_key]],IsITypeList,Table_ExternalData_15[[#This Row],[IType]],IsDList,Table_ExternalData_15[[#Headers],[30]])</f>
        <v>0</v>
      </c>
      <c r="AI15" s="37">
        <f>SUMIFS(IsQList,IsIList,Table_ExternalData_15[[#This Row],[item_key]],IsITypeList,Table_ExternalData_15[[#This Row],[IType]],IsDList,Table_ExternalData_15[[#Headers],[31]])</f>
        <v>0</v>
      </c>
      <c r="AJ15" s="37">
        <f>SUM(Table_ExternalData_15[[#This Row],[1]:[31]])</f>
        <v>5</v>
      </c>
    </row>
    <row r="16" spans="1:36">
      <c r="A16" s="35" t="s">
        <v>221</v>
      </c>
      <c r="B16" s="35" t="s">
        <v>1207</v>
      </c>
      <c r="C16" s="35" t="s">
        <v>1208</v>
      </c>
      <c r="D16" s="36" t="s">
        <v>72</v>
      </c>
      <c r="E16" s="37">
        <f>SUMIFS(IsQList,IsIList,Table_ExternalData_15[[#This Row],[item_key]],IsITypeList,Table_ExternalData_15[[#This Row],[IType]],IsDList,Table_ExternalData_15[[#Headers],[1]])</f>
        <v>0</v>
      </c>
      <c r="F16" s="37">
        <f>SUMIFS(IsQList,IsIList,Table_ExternalData_15[[#This Row],[item_key]],IsITypeList,Table_ExternalData_15[[#This Row],[IType]],IsDList,Table_ExternalData_15[[#Headers],[2]])</f>
        <v>0</v>
      </c>
      <c r="G16" s="37">
        <f>SUMIFS(IsQList,IsIList,Table_ExternalData_15[[#This Row],[item_key]],IsITypeList,Table_ExternalData_15[[#This Row],[IType]],IsDList,Table_ExternalData_15[[#Headers],[3]])</f>
        <v>0</v>
      </c>
      <c r="H16" s="37">
        <f>SUMIFS(IsQList,IsIList,Table_ExternalData_15[[#This Row],[item_key]],IsITypeList,Table_ExternalData_15[[#This Row],[IType]],IsDList,Table_ExternalData_15[[#Headers],[4]])</f>
        <v>0</v>
      </c>
      <c r="I16" s="37">
        <f>SUMIFS(IsQList,IsIList,Table_ExternalData_15[[#This Row],[item_key]],IsITypeList,Table_ExternalData_15[[#This Row],[IType]],IsDList,Table_ExternalData_15[[#Headers],[5]])</f>
        <v>0</v>
      </c>
      <c r="J16" s="37">
        <f>SUMIFS(IsQList,IsIList,Table_ExternalData_15[[#This Row],[item_key]],IsITypeList,Table_ExternalData_15[[#This Row],[IType]],IsDList,Table_ExternalData_15[[#Headers],[6]])</f>
        <v>5</v>
      </c>
      <c r="K16" s="37">
        <f>SUMIFS(IsQList,IsIList,Table_ExternalData_15[[#This Row],[item_key]],IsITypeList,Table_ExternalData_15[[#This Row],[IType]],IsDList,Table_ExternalData_15[[#Headers],[7]])</f>
        <v>0</v>
      </c>
      <c r="L16" s="37">
        <f>SUMIFS(IsQList,IsIList,Table_ExternalData_15[[#This Row],[item_key]],IsITypeList,Table_ExternalData_15[[#This Row],[IType]],IsDList,Table_ExternalData_15[[#Headers],[8]])</f>
        <v>0</v>
      </c>
      <c r="M16" s="37">
        <f>SUMIFS(IsQList,IsIList,Table_ExternalData_15[[#This Row],[item_key]],IsITypeList,Table_ExternalData_15[[#This Row],[IType]],IsDList,Table_ExternalData_15[[#Headers],[9]])</f>
        <v>0</v>
      </c>
      <c r="N16" s="37">
        <f>SUMIFS(IsQList,IsIList,Table_ExternalData_15[[#This Row],[item_key]],IsITypeList,Table_ExternalData_15[[#This Row],[IType]],IsDList,Table_ExternalData_15[[#Headers],[10]])</f>
        <v>0</v>
      </c>
      <c r="O16" s="37">
        <f>SUMIFS(IsQList,IsIList,Table_ExternalData_15[[#This Row],[item_key]],IsITypeList,Table_ExternalData_15[[#This Row],[IType]],IsDList,Table_ExternalData_15[[#Headers],[11]])</f>
        <v>0</v>
      </c>
      <c r="P16" s="37">
        <f>SUMIFS(IsQList,IsIList,Table_ExternalData_15[[#This Row],[item_key]],IsITypeList,Table_ExternalData_15[[#This Row],[IType]],IsDList,Table_ExternalData_15[[#Headers],[12]])</f>
        <v>0</v>
      </c>
      <c r="Q16" s="37">
        <f>SUMIFS(IsQList,IsIList,Table_ExternalData_15[[#This Row],[item_key]],IsITypeList,Table_ExternalData_15[[#This Row],[IType]],IsDList,Table_ExternalData_15[[#Headers],[13]])</f>
        <v>0</v>
      </c>
      <c r="R16" s="37">
        <f>SUMIFS(IsQList,IsIList,Table_ExternalData_15[[#This Row],[item_key]],IsITypeList,Table_ExternalData_15[[#This Row],[IType]],IsDList,Table_ExternalData_15[[#Headers],[14]])</f>
        <v>0</v>
      </c>
      <c r="S16" s="37">
        <f>SUMIFS(IsQList,IsIList,Table_ExternalData_15[[#This Row],[item_key]],IsITypeList,Table_ExternalData_15[[#This Row],[IType]],IsDList,Table_ExternalData_15[[#Headers],[15]])</f>
        <v>0</v>
      </c>
      <c r="T16" s="37">
        <f>SUMIFS(IsQList,IsIList,Table_ExternalData_15[[#This Row],[item_key]],IsITypeList,Table_ExternalData_15[[#This Row],[IType]],IsDList,Table_ExternalData_15[[#Headers],[16]])</f>
        <v>0</v>
      </c>
      <c r="U16" s="37">
        <f>SUMIFS(IsQList,IsIList,Table_ExternalData_15[[#This Row],[item_key]],IsITypeList,Table_ExternalData_15[[#This Row],[IType]],IsDList,Table_ExternalData_15[[#Headers],[17]])</f>
        <v>0</v>
      </c>
      <c r="V16" s="37">
        <f>SUMIFS(IsQList,IsIList,Table_ExternalData_15[[#This Row],[item_key]],IsITypeList,Table_ExternalData_15[[#This Row],[IType]],IsDList,Table_ExternalData_15[[#Headers],[18]])</f>
        <v>0</v>
      </c>
      <c r="W16" s="37">
        <f>SUMIFS(IsQList,IsIList,Table_ExternalData_15[[#This Row],[item_key]],IsITypeList,Table_ExternalData_15[[#This Row],[IType]],IsDList,Table_ExternalData_15[[#Headers],[19]])</f>
        <v>0</v>
      </c>
      <c r="X16" s="37">
        <f>SUMIFS(IsQList,IsIList,Table_ExternalData_15[[#This Row],[item_key]],IsITypeList,Table_ExternalData_15[[#This Row],[IType]],IsDList,Table_ExternalData_15[[#Headers],[20]])</f>
        <v>0</v>
      </c>
      <c r="Y16" s="37">
        <f>SUMIFS(IsQList,IsIList,Table_ExternalData_15[[#This Row],[item_key]],IsITypeList,Table_ExternalData_15[[#This Row],[IType]],IsDList,Table_ExternalData_15[[#Headers],[21]])</f>
        <v>0</v>
      </c>
      <c r="Z16" s="37">
        <f>SUMIFS(IsQList,IsIList,Table_ExternalData_15[[#This Row],[item_key]],IsITypeList,Table_ExternalData_15[[#This Row],[IType]],IsDList,Table_ExternalData_15[[#Headers],[22]])</f>
        <v>0</v>
      </c>
      <c r="AA16" s="37">
        <f>SUMIFS(IsQList,IsIList,Table_ExternalData_15[[#This Row],[item_key]],IsITypeList,Table_ExternalData_15[[#This Row],[IType]],IsDList,Table_ExternalData_15[[#Headers],[23]])</f>
        <v>0</v>
      </c>
      <c r="AB16" s="37">
        <f>SUMIFS(IsQList,IsIList,Table_ExternalData_15[[#This Row],[item_key]],IsITypeList,Table_ExternalData_15[[#This Row],[IType]],IsDList,Table_ExternalData_15[[#Headers],[24]])</f>
        <v>5</v>
      </c>
      <c r="AC16" s="37">
        <f>SUMIFS(IsQList,IsIList,Table_ExternalData_15[[#This Row],[item_key]],IsITypeList,Table_ExternalData_15[[#This Row],[IType]],IsDList,Table_ExternalData_15[[#Headers],[25]])</f>
        <v>0</v>
      </c>
      <c r="AD16" s="37">
        <f>SUMIFS(IsQList,IsIList,Table_ExternalData_15[[#This Row],[item_key]],IsITypeList,Table_ExternalData_15[[#This Row],[IType]],IsDList,Table_ExternalData_15[[#Headers],[26]])</f>
        <v>0</v>
      </c>
      <c r="AE16" s="37">
        <f>SUMIFS(IsQList,IsIList,Table_ExternalData_15[[#This Row],[item_key]],IsITypeList,Table_ExternalData_15[[#This Row],[IType]],IsDList,Table_ExternalData_15[[#Headers],[27]])</f>
        <v>0</v>
      </c>
      <c r="AF16" s="37">
        <f>SUMIFS(IsQList,IsIList,Table_ExternalData_15[[#This Row],[item_key]],IsITypeList,Table_ExternalData_15[[#This Row],[IType]],IsDList,Table_ExternalData_15[[#Headers],[28]])</f>
        <v>0</v>
      </c>
      <c r="AG16" s="37">
        <f>SUMIFS(IsQList,IsIList,Table_ExternalData_15[[#This Row],[item_key]],IsITypeList,Table_ExternalData_15[[#This Row],[IType]],IsDList,Table_ExternalData_15[[#Headers],[29]])</f>
        <v>0</v>
      </c>
      <c r="AH16" s="37">
        <f>SUMIFS(IsQList,IsIList,Table_ExternalData_15[[#This Row],[item_key]],IsITypeList,Table_ExternalData_15[[#This Row],[IType]],IsDList,Table_ExternalData_15[[#Headers],[30]])</f>
        <v>10</v>
      </c>
      <c r="AI16" s="37">
        <f>SUMIFS(IsQList,IsIList,Table_ExternalData_15[[#This Row],[item_key]],IsITypeList,Table_ExternalData_15[[#This Row],[IType]],IsDList,Table_ExternalData_15[[#Headers],[31]])</f>
        <v>0</v>
      </c>
      <c r="AJ16" s="37">
        <f>SUM(Table_ExternalData_15[[#This Row],[1]:[31]])</f>
        <v>20</v>
      </c>
    </row>
    <row r="17" spans="1:36">
      <c r="A17" s="35" t="s">
        <v>222</v>
      </c>
      <c r="B17" s="35" t="s">
        <v>2442</v>
      </c>
      <c r="C17" s="35" t="s">
        <v>2443</v>
      </c>
      <c r="D17" s="36" t="s">
        <v>72</v>
      </c>
      <c r="E17" s="37">
        <f>SUMIFS(IsQList,IsIList,Table_ExternalData_15[[#This Row],[item_key]],IsITypeList,Table_ExternalData_15[[#This Row],[IType]],IsDList,Table_ExternalData_15[[#Headers],[1]])</f>
        <v>0</v>
      </c>
      <c r="F17" s="37">
        <f>SUMIFS(IsQList,IsIList,Table_ExternalData_15[[#This Row],[item_key]],IsITypeList,Table_ExternalData_15[[#This Row],[IType]],IsDList,Table_ExternalData_15[[#Headers],[2]])</f>
        <v>0</v>
      </c>
      <c r="G17" s="37">
        <f>SUMIFS(IsQList,IsIList,Table_ExternalData_15[[#This Row],[item_key]],IsITypeList,Table_ExternalData_15[[#This Row],[IType]],IsDList,Table_ExternalData_15[[#Headers],[3]])</f>
        <v>0</v>
      </c>
      <c r="H17" s="37">
        <f>SUMIFS(IsQList,IsIList,Table_ExternalData_15[[#This Row],[item_key]],IsITypeList,Table_ExternalData_15[[#This Row],[IType]],IsDList,Table_ExternalData_15[[#Headers],[4]])</f>
        <v>0</v>
      </c>
      <c r="I17" s="37">
        <f>SUMIFS(IsQList,IsIList,Table_ExternalData_15[[#This Row],[item_key]],IsITypeList,Table_ExternalData_15[[#This Row],[IType]],IsDList,Table_ExternalData_15[[#Headers],[5]])</f>
        <v>0</v>
      </c>
      <c r="J17" s="37">
        <f>SUMIFS(IsQList,IsIList,Table_ExternalData_15[[#This Row],[item_key]],IsITypeList,Table_ExternalData_15[[#This Row],[IType]],IsDList,Table_ExternalData_15[[#Headers],[6]])</f>
        <v>0</v>
      </c>
      <c r="K17" s="37">
        <f>SUMIFS(IsQList,IsIList,Table_ExternalData_15[[#This Row],[item_key]],IsITypeList,Table_ExternalData_15[[#This Row],[IType]],IsDList,Table_ExternalData_15[[#Headers],[7]])</f>
        <v>0</v>
      </c>
      <c r="L17" s="37">
        <f>SUMIFS(IsQList,IsIList,Table_ExternalData_15[[#This Row],[item_key]],IsITypeList,Table_ExternalData_15[[#This Row],[IType]],IsDList,Table_ExternalData_15[[#Headers],[8]])</f>
        <v>0</v>
      </c>
      <c r="M17" s="37">
        <f>SUMIFS(IsQList,IsIList,Table_ExternalData_15[[#This Row],[item_key]],IsITypeList,Table_ExternalData_15[[#This Row],[IType]],IsDList,Table_ExternalData_15[[#Headers],[9]])</f>
        <v>0</v>
      </c>
      <c r="N17" s="37">
        <f>SUMIFS(IsQList,IsIList,Table_ExternalData_15[[#This Row],[item_key]],IsITypeList,Table_ExternalData_15[[#This Row],[IType]],IsDList,Table_ExternalData_15[[#Headers],[10]])</f>
        <v>0</v>
      </c>
      <c r="O17" s="37">
        <f>SUMIFS(IsQList,IsIList,Table_ExternalData_15[[#This Row],[item_key]],IsITypeList,Table_ExternalData_15[[#This Row],[IType]],IsDList,Table_ExternalData_15[[#Headers],[11]])</f>
        <v>0</v>
      </c>
      <c r="P17" s="37">
        <f>SUMIFS(IsQList,IsIList,Table_ExternalData_15[[#This Row],[item_key]],IsITypeList,Table_ExternalData_15[[#This Row],[IType]],IsDList,Table_ExternalData_15[[#Headers],[12]])</f>
        <v>0</v>
      </c>
      <c r="Q17" s="37">
        <f>SUMIFS(IsQList,IsIList,Table_ExternalData_15[[#This Row],[item_key]],IsITypeList,Table_ExternalData_15[[#This Row],[IType]],IsDList,Table_ExternalData_15[[#Headers],[13]])</f>
        <v>0</v>
      </c>
      <c r="R17" s="37">
        <f>SUMIFS(IsQList,IsIList,Table_ExternalData_15[[#This Row],[item_key]],IsITypeList,Table_ExternalData_15[[#This Row],[IType]],IsDList,Table_ExternalData_15[[#Headers],[14]])</f>
        <v>0</v>
      </c>
      <c r="S17" s="37">
        <f>SUMIFS(IsQList,IsIList,Table_ExternalData_15[[#This Row],[item_key]],IsITypeList,Table_ExternalData_15[[#This Row],[IType]],IsDList,Table_ExternalData_15[[#Headers],[15]])</f>
        <v>0</v>
      </c>
      <c r="T17" s="37">
        <f>SUMIFS(IsQList,IsIList,Table_ExternalData_15[[#This Row],[item_key]],IsITypeList,Table_ExternalData_15[[#This Row],[IType]],IsDList,Table_ExternalData_15[[#Headers],[16]])</f>
        <v>0</v>
      </c>
      <c r="U17" s="37">
        <f>SUMIFS(IsQList,IsIList,Table_ExternalData_15[[#This Row],[item_key]],IsITypeList,Table_ExternalData_15[[#This Row],[IType]],IsDList,Table_ExternalData_15[[#Headers],[17]])</f>
        <v>0</v>
      </c>
      <c r="V17" s="37">
        <f>SUMIFS(IsQList,IsIList,Table_ExternalData_15[[#This Row],[item_key]],IsITypeList,Table_ExternalData_15[[#This Row],[IType]],IsDList,Table_ExternalData_15[[#Headers],[18]])</f>
        <v>0</v>
      </c>
      <c r="W17" s="37">
        <f>SUMIFS(IsQList,IsIList,Table_ExternalData_15[[#This Row],[item_key]],IsITypeList,Table_ExternalData_15[[#This Row],[IType]],IsDList,Table_ExternalData_15[[#Headers],[19]])</f>
        <v>0</v>
      </c>
      <c r="X17" s="37">
        <f>SUMIFS(IsQList,IsIList,Table_ExternalData_15[[#This Row],[item_key]],IsITypeList,Table_ExternalData_15[[#This Row],[IType]],IsDList,Table_ExternalData_15[[#Headers],[20]])</f>
        <v>0</v>
      </c>
      <c r="Y17" s="37">
        <f>SUMIFS(IsQList,IsIList,Table_ExternalData_15[[#This Row],[item_key]],IsITypeList,Table_ExternalData_15[[#This Row],[IType]],IsDList,Table_ExternalData_15[[#Headers],[21]])</f>
        <v>0</v>
      </c>
      <c r="Z17" s="37">
        <f>SUMIFS(IsQList,IsIList,Table_ExternalData_15[[#This Row],[item_key]],IsITypeList,Table_ExternalData_15[[#This Row],[IType]],IsDList,Table_ExternalData_15[[#Headers],[22]])</f>
        <v>0</v>
      </c>
      <c r="AA17" s="37">
        <f>SUMIFS(IsQList,IsIList,Table_ExternalData_15[[#This Row],[item_key]],IsITypeList,Table_ExternalData_15[[#This Row],[IType]],IsDList,Table_ExternalData_15[[#Headers],[23]])</f>
        <v>0</v>
      </c>
      <c r="AB17" s="37">
        <f>SUMIFS(IsQList,IsIList,Table_ExternalData_15[[#This Row],[item_key]],IsITypeList,Table_ExternalData_15[[#This Row],[IType]],IsDList,Table_ExternalData_15[[#Headers],[24]])</f>
        <v>0</v>
      </c>
      <c r="AC17" s="37">
        <f>SUMIFS(IsQList,IsIList,Table_ExternalData_15[[#This Row],[item_key]],IsITypeList,Table_ExternalData_15[[#This Row],[IType]],IsDList,Table_ExternalData_15[[#Headers],[25]])</f>
        <v>0</v>
      </c>
      <c r="AD17" s="37">
        <f>SUMIFS(IsQList,IsIList,Table_ExternalData_15[[#This Row],[item_key]],IsITypeList,Table_ExternalData_15[[#This Row],[IType]],IsDList,Table_ExternalData_15[[#Headers],[26]])</f>
        <v>0</v>
      </c>
      <c r="AE17" s="37">
        <f>SUMIFS(IsQList,IsIList,Table_ExternalData_15[[#This Row],[item_key]],IsITypeList,Table_ExternalData_15[[#This Row],[IType]],IsDList,Table_ExternalData_15[[#Headers],[27]])</f>
        <v>0</v>
      </c>
      <c r="AF17" s="37">
        <f>SUMIFS(IsQList,IsIList,Table_ExternalData_15[[#This Row],[item_key]],IsITypeList,Table_ExternalData_15[[#This Row],[IType]],IsDList,Table_ExternalData_15[[#Headers],[28]])</f>
        <v>0</v>
      </c>
      <c r="AG17" s="37">
        <f>SUMIFS(IsQList,IsIList,Table_ExternalData_15[[#This Row],[item_key]],IsITypeList,Table_ExternalData_15[[#This Row],[IType]],IsDList,Table_ExternalData_15[[#Headers],[29]])</f>
        <v>0</v>
      </c>
      <c r="AH17" s="37">
        <f>SUMIFS(IsQList,IsIList,Table_ExternalData_15[[#This Row],[item_key]],IsITypeList,Table_ExternalData_15[[#This Row],[IType]],IsDList,Table_ExternalData_15[[#Headers],[30]])</f>
        <v>0</v>
      </c>
      <c r="AI17" s="37">
        <f>SUMIFS(IsQList,IsIList,Table_ExternalData_15[[#This Row],[item_key]],IsITypeList,Table_ExternalData_15[[#This Row],[IType]],IsDList,Table_ExternalData_15[[#Headers],[31]])</f>
        <v>0</v>
      </c>
      <c r="AJ17" s="37">
        <f>SUM(Table_ExternalData_15[[#This Row],[1]:[31]])</f>
        <v>0</v>
      </c>
    </row>
    <row r="18" spans="1:36">
      <c r="A18" s="35" t="s">
        <v>235</v>
      </c>
      <c r="B18" s="35" t="s">
        <v>1210</v>
      </c>
      <c r="C18" s="35" t="s">
        <v>1209</v>
      </c>
      <c r="D18" s="36" t="s">
        <v>72</v>
      </c>
      <c r="E18" s="37">
        <f>SUMIFS(IsQList,IsIList,Table_ExternalData_15[[#This Row],[item_key]],IsITypeList,Table_ExternalData_15[[#This Row],[IType]],IsDList,Table_ExternalData_15[[#Headers],[1]])</f>
        <v>0</v>
      </c>
      <c r="F18" s="37">
        <f>SUMIFS(IsQList,IsIList,Table_ExternalData_15[[#This Row],[item_key]],IsITypeList,Table_ExternalData_15[[#This Row],[IType]],IsDList,Table_ExternalData_15[[#Headers],[2]])</f>
        <v>0</v>
      </c>
      <c r="G18" s="37">
        <f>SUMIFS(IsQList,IsIList,Table_ExternalData_15[[#This Row],[item_key]],IsITypeList,Table_ExternalData_15[[#This Row],[IType]],IsDList,Table_ExternalData_15[[#Headers],[3]])</f>
        <v>0</v>
      </c>
      <c r="H18" s="37">
        <f>SUMIFS(IsQList,IsIList,Table_ExternalData_15[[#This Row],[item_key]],IsITypeList,Table_ExternalData_15[[#This Row],[IType]],IsDList,Table_ExternalData_15[[#Headers],[4]])</f>
        <v>0</v>
      </c>
      <c r="I18" s="37">
        <f>SUMIFS(IsQList,IsIList,Table_ExternalData_15[[#This Row],[item_key]],IsITypeList,Table_ExternalData_15[[#This Row],[IType]],IsDList,Table_ExternalData_15[[#Headers],[5]])</f>
        <v>0</v>
      </c>
      <c r="J18" s="37">
        <f>SUMIFS(IsQList,IsIList,Table_ExternalData_15[[#This Row],[item_key]],IsITypeList,Table_ExternalData_15[[#This Row],[IType]],IsDList,Table_ExternalData_15[[#Headers],[6]])</f>
        <v>0</v>
      </c>
      <c r="K18" s="37">
        <f>SUMIFS(IsQList,IsIList,Table_ExternalData_15[[#This Row],[item_key]],IsITypeList,Table_ExternalData_15[[#This Row],[IType]],IsDList,Table_ExternalData_15[[#Headers],[7]])</f>
        <v>0</v>
      </c>
      <c r="L18" s="37">
        <f>SUMIFS(IsQList,IsIList,Table_ExternalData_15[[#This Row],[item_key]],IsITypeList,Table_ExternalData_15[[#This Row],[IType]],IsDList,Table_ExternalData_15[[#Headers],[8]])</f>
        <v>0</v>
      </c>
      <c r="M18" s="37">
        <f>SUMIFS(IsQList,IsIList,Table_ExternalData_15[[#This Row],[item_key]],IsITypeList,Table_ExternalData_15[[#This Row],[IType]],IsDList,Table_ExternalData_15[[#Headers],[9]])</f>
        <v>0</v>
      </c>
      <c r="N18" s="37">
        <f>SUMIFS(IsQList,IsIList,Table_ExternalData_15[[#This Row],[item_key]],IsITypeList,Table_ExternalData_15[[#This Row],[IType]],IsDList,Table_ExternalData_15[[#Headers],[10]])</f>
        <v>0</v>
      </c>
      <c r="O18" s="37">
        <f>SUMIFS(IsQList,IsIList,Table_ExternalData_15[[#This Row],[item_key]],IsITypeList,Table_ExternalData_15[[#This Row],[IType]],IsDList,Table_ExternalData_15[[#Headers],[11]])</f>
        <v>0</v>
      </c>
      <c r="P18" s="37">
        <f>SUMIFS(IsQList,IsIList,Table_ExternalData_15[[#This Row],[item_key]],IsITypeList,Table_ExternalData_15[[#This Row],[IType]],IsDList,Table_ExternalData_15[[#Headers],[12]])</f>
        <v>0</v>
      </c>
      <c r="Q18" s="37">
        <f>SUMIFS(IsQList,IsIList,Table_ExternalData_15[[#This Row],[item_key]],IsITypeList,Table_ExternalData_15[[#This Row],[IType]],IsDList,Table_ExternalData_15[[#Headers],[13]])</f>
        <v>0</v>
      </c>
      <c r="R18" s="37">
        <f>SUMIFS(IsQList,IsIList,Table_ExternalData_15[[#This Row],[item_key]],IsITypeList,Table_ExternalData_15[[#This Row],[IType]],IsDList,Table_ExternalData_15[[#Headers],[14]])</f>
        <v>0</v>
      </c>
      <c r="S18" s="37">
        <f>SUMIFS(IsQList,IsIList,Table_ExternalData_15[[#This Row],[item_key]],IsITypeList,Table_ExternalData_15[[#This Row],[IType]],IsDList,Table_ExternalData_15[[#Headers],[15]])</f>
        <v>0</v>
      </c>
      <c r="T18" s="37">
        <f>SUMIFS(IsQList,IsIList,Table_ExternalData_15[[#This Row],[item_key]],IsITypeList,Table_ExternalData_15[[#This Row],[IType]],IsDList,Table_ExternalData_15[[#Headers],[16]])</f>
        <v>0</v>
      </c>
      <c r="U18" s="37">
        <f>SUMIFS(IsQList,IsIList,Table_ExternalData_15[[#This Row],[item_key]],IsITypeList,Table_ExternalData_15[[#This Row],[IType]],IsDList,Table_ExternalData_15[[#Headers],[17]])</f>
        <v>0</v>
      </c>
      <c r="V18" s="37">
        <f>SUMIFS(IsQList,IsIList,Table_ExternalData_15[[#This Row],[item_key]],IsITypeList,Table_ExternalData_15[[#This Row],[IType]],IsDList,Table_ExternalData_15[[#Headers],[18]])</f>
        <v>0</v>
      </c>
      <c r="W18" s="37">
        <f>SUMIFS(IsQList,IsIList,Table_ExternalData_15[[#This Row],[item_key]],IsITypeList,Table_ExternalData_15[[#This Row],[IType]],IsDList,Table_ExternalData_15[[#Headers],[19]])</f>
        <v>0</v>
      </c>
      <c r="X18" s="37">
        <f>SUMIFS(IsQList,IsIList,Table_ExternalData_15[[#This Row],[item_key]],IsITypeList,Table_ExternalData_15[[#This Row],[IType]],IsDList,Table_ExternalData_15[[#Headers],[20]])</f>
        <v>0</v>
      </c>
      <c r="Y18" s="37">
        <f>SUMIFS(IsQList,IsIList,Table_ExternalData_15[[#This Row],[item_key]],IsITypeList,Table_ExternalData_15[[#This Row],[IType]],IsDList,Table_ExternalData_15[[#Headers],[21]])</f>
        <v>0</v>
      </c>
      <c r="Z18" s="37">
        <f>SUMIFS(IsQList,IsIList,Table_ExternalData_15[[#This Row],[item_key]],IsITypeList,Table_ExternalData_15[[#This Row],[IType]],IsDList,Table_ExternalData_15[[#Headers],[22]])</f>
        <v>0</v>
      </c>
      <c r="AA18" s="37">
        <f>SUMIFS(IsQList,IsIList,Table_ExternalData_15[[#This Row],[item_key]],IsITypeList,Table_ExternalData_15[[#This Row],[IType]],IsDList,Table_ExternalData_15[[#Headers],[23]])</f>
        <v>0</v>
      </c>
      <c r="AB18" s="37">
        <f>SUMIFS(IsQList,IsIList,Table_ExternalData_15[[#This Row],[item_key]],IsITypeList,Table_ExternalData_15[[#This Row],[IType]],IsDList,Table_ExternalData_15[[#Headers],[24]])</f>
        <v>0</v>
      </c>
      <c r="AC18" s="37">
        <f>SUMIFS(IsQList,IsIList,Table_ExternalData_15[[#This Row],[item_key]],IsITypeList,Table_ExternalData_15[[#This Row],[IType]],IsDList,Table_ExternalData_15[[#Headers],[25]])</f>
        <v>0</v>
      </c>
      <c r="AD18" s="37">
        <f>SUMIFS(IsQList,IsIList,Table_ExternalData_15[[#This Row],[item_key]],IsITypeList,Table_ExternalData_15[[#This Row],[IType]],IsDList,Table_ExternalData_15[[#Headers],[26]])</f>
        <v>0</v>
      </c>
      <c r="AE18" s="37">
        <f>SUMIFS(IsQList,IsIList,Table_ExternalData_15[[#This Row],[item_key]],IsITypeList,Table_ExternalData_15[[#This Row],[IType]],IsDList,Table_ExternalData_15[[#Headers],[27]])</f>
        <v>0</v>
      </c>
      <c r="AF18" s="37">
        <f>SUMIFS(IsQList,IsIList,Table_ExternalData_15[[#This Row],[item_key]],IsITypeList,Table_ExternalData_15[[#This Row],[IType]],IsDList,Table_ExternalData_15[[#Headers],[28]])</f>
        <v>0</v>
      </c>
      <c r="AG18" s="37">
        <f>SUMIFS(IsQList,IsIList,Table_ExternalData_15[[#This Row],[item_key]],IsITypeList,Table_ExternalData_15[[#This Row],[IType]],IsDList,Table_ExternalData_15[[#Headers],[29]])</f>
        <v>0</v>
      </c>
      <c r="AH18" s="37">
        <f>SUMIFS(IsQList,IsIList,Table_ExternalData_15[[#This Row],[item_key]],IsITypeList,Table_ExternalData_15[[#This Row],[IType]],IsDList,Table_ExternalData_15[[#Headers],[30]])</f>
        <v>106</v>
      </c>
      <c r="AI18" s="37">
        <f>SUMIFS(IsQList,IsIList,Table_ExternalData_15[[#This Row],[item_key]],IsITypeList,Table_ExternalData_15[[#This Row],[IType]],IsDList,Table_ExternalData_15[[#Headers],[31]])</f>
        <v>0</v>
      </c>
      <c r="AJ18" s="37">
        <f>SUM(Table_ExternalData_15[[#This Row],[1]:[31]])</f>
        <v>106</v>
      </c>
    </row>
    <row r="19" spans="1:36">
      <c r="A19" s="35" t="s">
        <v>1653</v>
      </c>
      <c r="B19" s="35" t="s">
        <v>2445</v>
      </c>
      <c r="C19" s="35" t="s">
        <v>2446</v>
      </c>
      <c r="D19" s="36" t="s">
        <v>72</v>
      </c>
      <c r="E19" s="37">
        <f>SUMIFS(IsQList,IsIList,Table_ExternalData_15[[#This Row],[item_key]],IsITypeList,Table_ExternalData_15[[#This Row],[IType]],IsDList,Table_ExternalData_15[[#Headers],[1]])</f>
        <v>0</v>
      </c>
      <c r="F19" s="37">
        <f>SUMIFS(IsQList,IsIList,Table_ExternalData_15[[#This Row],[item_key]],IsITypeList,Table_ExternalData_15[[#This Row],[IType]],IsDList,Table_ExternalData_15[[#Headers],[2]])</f>
        <v>0</v>
      </c>
      <c r="G19" s="37">
        <f>SUMIFS(IsQList,IsIList,Table_ExternalData_15[[#This Row],[item_key]],IsITypeList,Table_ExternalData_15[[#This Row],[IType]],IsDList,Table_ExternalData_15[[#Headers],[3]])</f>
        <v>0</v>
      </c>
      <c r="H19" s="37">
        <f>SUMIFS(IsQList,IsIList,Table_ExternalData_15[[#This Row],[item_key]],IsITypeList,Table_ExternalData_15[[#This Row],[IType]],IsDList,Table_ExternalData_15[[#Headers],[4]])</f>
        <v>0</v>
      </c>
      <c r="I19" s="37">
        <f>SUMIFS(IsQList,IsIList,Table_ExternalData_15[[#This Row],[item_key]],IsITypeList,Table_ExternalData_15[[#This Row],[IType]],IsDList,Table_ExternalData_15[[#Headers],[5]])</f>
        <v>0</v>
      </c>
      <c r="J19" s="37">
        <f>SUMIFS(IsQList,IsIList,Table_ExternalData_15[[#This Row],[item_key]],IsITypeList,Table_ExternalData_15[[#This Row],[IType]],IsDList,Table_ExternalData_15[[#Headers],[6]])</f>
        <v>0</v>
      </c>
      <c r="K19" s="37">
        <f>SUMIFS(IsQList,IsIList,Table_ExternalData_15[[#This Row],[item_key]],IsITypeList,Table_ExternalData_15[[#This Row],[IType]],IsDList,Table_ExternalData_15[[#Headers],[7]])</f>
        <v>0</v>
      </c>
      <c r="L19" s="37">
        <f>SUMIFS(IsQList,IsIList,Table_ExternalData_15[[#This Row],[item_key]],IsITypeList,Table_ExternalData_15[[#This Row],[IType]],IsDList,Table_ExternalData_15[[#Headers],[8]])</f>
        <v>0</v>
      </c>
      <c r="M19" s="37">
        <f>SUMIFS(IsQList,IsIList,Table_ExternalData_15[[#This Row],[item_key]],IsITypeList,Table_ExternalData_15[[#This Row],[IType]],IsDList,Table_ExternalData_15[[#Headers],[9]])</f>
        <v>0</v>
      </c>
      <c r="N19" s="37">
        <f>SUMIFS(IsQList,IsIList,Table_ExternalData_15[[#This Row],[item_key]],IsITypeList,Table_ExternalData_15[[#This Row],[IType]],IsDList,Table_ExternalData_15[[#Headers],[10]])</f>
        <v>0</v>
      </c>
      <c r="O19" s="37">
        <f>SUMIFS(IsQList,IsIList,Table_ExternalData_15[[#This Row],[item_key]],IsITypeList,Table_ExternalData_15[[#This Row],[IType]],IsDList,Table_ExternalData_15[[#Headers],[11]])</f>
        <v>0</v>
      </c>
      <c r="P19" s="37">
        <f>SUMIFS(IsQList,IsIList,Table_ExternalData_15[[#This Row],[item_key]],IsITypeList,Table_ExternalData_15[[#This Row],[IType]],IsDList,Table_ExternalData_15[[#Headers],[12]])</f>
        <v>0</v>
      </c>
      <c r="Q19" s="37">
        <f>SUMIFS(IsQList,IsIList,Table_ExternalData_15[[#This Row],[item_key]],IsITypeList,Table_ExternalData_15[[#This Row],[IType]],IsDList,Table_ExternalData_15[[#Headers],[13]])</f>
        <v>0</v>
      </c>
      <c r="R19" s="37">
        <f>SUMIFS(IsQList,IsIList,Table_ExternalData_15[[#This Row],[item_key]],IsITypeList,Table_ExternalData_15[[#This Row],[IType]],IsDList,Table_ExternalData_15[[#Headers],[14]])</f>
        <v>0</v>
      </c>
      <c r="S19" s="37">
        <f>SUMIFS(IsQList,IsIList,Table_ExternalData_15[[#This Row],[item_key]],IsITypeList,Table_ExternalData_15[[#This Row],[IType]],IsDList,Table_ExternalData_15[[#Headers],[15]])</f>
        <v>0</v>
      </c>
      <c r="T19" s="37">
        <f>SUMIFS(IsQList,IsIList,Table_ExternalData_15[[#This Row],[item_key]],IsITypeList,Table_ExternalData_15[[#This Row],[IType]],IsDList,Table_ExternalData_15[[#Headers],[16]])</f>
        <v>20</v>
      </c>
      <c r="U19" s="37">
        <f>SUMIFS(IsQList,IsIList,Table_ExternalData_15[[#This Row],[item_key]],IsITypeList,Table_ExternalData_15[[#This Row],[IType]],IsDList,Table_ExternalData_15[[#Headers],[17]])</f>
        <v>0</v>
      </c>
      <c r="V19" s="37">
        <f>SUMIFS(IsQList,IsIList,Table_ExternalData_15[[#This Row],[item_key]],IsITypeList,Table_ExternalData_15[[#This Row],[IType]],IsDList,Table_ExternalData_15[[#Headers],[18]])</f>
        <v>0</v>
      </c>
      <c r="W19" s="37">
        <f>SUMIFS(IsQList,IsIList,Table_ExternalData_15[[#This Row],[item_key]],IsITypeList,Table_ExternalData_15[[#This Row],[IType]],IsDList,Table_ExternalData_15[[#Headers],[19]])</f>
        <v>0</v>
      </c>
      <c r="X19" s="37">
        <f>SUMIFS(IsQList,IsIList,Table_ExternalData_15[[#This Row],[item_key]],IsITypeList,Table_ExternalData_15[[#This Row],[IType]],IsDList,Table_ExternalData_15[[#Headers],[20]])</f>
        <v>0</v>
      </c>
      <c r="Y19" s="37">
        <f>SUMIFS(IsQList,IsIList,Table_ExternalData_15[[#This Row],[item_key]],IsITypeList,Table_ExternalData_15[[#This Row],[IType]],IsDList,Table_ExternalData_15[[#Headers],[21]])</f>
        <v>0</v>
      </c>
      <c r="Z19" s="37">
        <f>SUMIFS(IsQList,IsIList,Table_ExternalData_15[[#This Row],[item_key]],IsITypeList,Table_ExternalData_15[[#This Row],[IType]],IsDList,Table_ExternalData_15[[#Headers],[22]])</f>
        <v>0</v>
      </c>
      <c r="AA19" s="37">
        <f>SUMIFS(IsQList,IsIList,Table_ExternalData_15[[#This Row],[item_key]],IsITypeList,Table_ExternalData_15[[#This Row],[IType]],IsDList,Table_ExternalData_15[[#Headers],[23]])</f>
        <v>0</v>
      </c>
      <c r="AB19" s="37">
        <f>SUMIFS(IsQList,IsIList,Table_ExternalData_15[[#This Row],[item_key]],IsITypeList,Table_ExternalData_15[[#This Row],[IType]],IsDList,Table_ExternalData_15[[#Headers],[24]])</f>
        <v>0</v>
      </c>
      <c r="AC19" s="37">
        <f>SUMIFS(IsQList,IsIList,Table_ExternalData_15[[#This Row],[item_key]],IsITypeList,Table_ExternalData_15[[#This Row],[IType]],IsDList,Table_ExternalData_15[[#Headers],[25]])</f>
        <v>0</v>
      </c>
      <c r="AD19" s="37">
        <f>SUMIFS(IsQList,IsIList,Table_ExternalData_15[[#This Row],[item_key]],IsITypeList,Table_ExternalData_15[[#This Row],[IType]],IsDList,Table_ExternalData_15[[#Headers],[26]])</f>
        <v>0</v>
      </c>
      <c r="AE19" s="37">
        <f>SUMIFS(IsQList,IsIList,Table_ExternalData_15[[#This Row],[item_key]],IsITypeList,Table_ExternalData_15[[#This Row],[IType]],IsDList,Table_ExternalData_15[[#Headers],[27]])</f>
        <v>0</v>
      </c>
      <c r="AF19" s="37">
        <f>SUMIFS(IsQList,IsIList,Table_ExternalData_15[[#This Row],[item_key]],IsITypeList,Table_ExternalData_15[[#This Row],[IType]],IsDList,Table_ExternalData_15[[#Headers],[28]])</f>
        <v>0</v>
      </c>
      <c r="AG19" s="37">
        <f>SUMIFS(IsQList,IsIList,Table_ExternalData_15[[#This Row],[item_key]],IsITypeList,Table_ExternalData_15[[#This Row],[IType]],IsDList,Table_ExternalData_15[[#Headers],[29]])</f>
        <v>0</v>
      </c>
      <c r="AH19" s="37">
        <f>SUMIFS(IsQList,IsIList,Table_ExternalData_15[[#This Row],[item_key]],IsITypeList,Table_ExternalData_15[[#This Row],[IType]],IsDList,Table_ExternalData_15[[#Headers],[30]])</f>
        <v>0</v>
      </c>
      <c r="AI19" s="37">
        <f>SUMIFS(IsQList,IsIList,Table_ExternalData_15[[#This Row],[item_key]],IsITypeList,Table_ExternalData_15[[#This Row],[IType]],IsDList,Table_ExternalData_15[[#Headers],[31]])</f>
        <v>0</v>
      </c>
      <c r="AJ19" s="37">
        <f>SUM(Table_ExternalData_15[[#This Row],[1]:[31]])</f>
        <v>20</v>
      </c>
    </row>
    <row r="20" spans="1:36">
      <c r="A20" s="1" t="s">
        <v>242</v>
      </c>
      <c r="B20" s="1" t="s">
        <v>1212</v>
      </c>
      <c r="C20" s="1" t="s">
        <v>1213</v>
      </c>
      <c r="D20" s="11" t="s">
        <v>72</v>
      </c>
      <c r="E20" s="10">
        <f>SUMIFS(IsQList,IsIList,Table_ExternalData_15[[#This Row],[item_key]],IsITypeList,Table_ExternalData_15[[#This Row],[IType]],IsDList,Table_ExternalData_15[[#Headers],[1]])</f>
        <v>0</v>
      </c>
      <c r="F20" s="10">
        <f>SUMIFS(IsQList,IsIList,Table_ExternalData_15[[#This Row],[item_key]],IsITypeList,Table_ExternalData_15[[#This Row],[IType]],IsDList,Table_ExternalData_15[[#Headers],[2]])</f>
        <v>0</v>
      </c>
      <c r="G20" s="10">
        <f>SUMIFS(IsQList,IsIList,Table_ExternalData_15[[#This Row],[item_key]],IsITypeList,Table_ExternalData_15[[#This Row],[IType]],IsDList,Table_ExternalData_15[[#Headers],[3]])</f>
        <v>0</v>
      </c>
      <c r="H20" s="10">
        <f>SUMIFS(IsQList,IsIList,Table_ExternalData_15[[#This Row],[item_key]],IsITypeList,Table_ExternalData_15[[#This Row],[IType]],IsDList,Table_ExternalData_15[[#Headers],[4]])</f>
        <v>0</v>
      </c>
      <c r="I20" s="10">
        <f>SUMIFS(IsQList,IsIList,Table_ExternalData_15[[#This Row],[item_key]],IsITypeList,Table_ExternalData_15[[#This Row],[IType]],IsDList,Table_ExternalData_15[[#Headers],[5]])</f>
        <v>0</v>
      </c>
      <c r="J20" s="10">
        <f>SUMIFS(IsQList,IsIList,Table_ExternalData_15[[#This Row],[item_key]],IsITypeList,Table_ExternalData_15[[#This Row],[IType]],IsDList,Table_ExternalData_15[[#Headers],[6]])</f>
        <v>0</v>
      </c>
      <c r="K20" s="10">
        <f>SUMIFS(IsQList,IsIList,Table_ExternalData_15[[#This Row],[item_key]],IsITypeList,Table_ExternalData_15[[#This Row],[IType]],IsDList,Table_ExternalData_15[[#Headers],[7]])</f>
        <v>0</v>
      </c>
      <c r="L20" s="10">
        <f>SUMIFS(IsQList,IsIList,Table_ExternalData_15[[#This Row],[item_key]],IsITypeList,Table_ExternalData_15[[#This Row],[IType]],IsDList,Table_ExternalData_15[[#Headers],[8]])</f>
        <v>0</v>
      </c>
      <c r="M20" s="10">
        <f>SUMIFS(IsQList,IsIList,Table_ExternalData_15[[#This Row],[item_key]],IsITypeList,Table_ExternalData_15[[#This Row],[IType]],IsDList,Table_ExternalData_15[[#Headers],[9]])</f>
        <v>0</v>
      </c>
      <c r="N20" s="10">
        <f>SUMIFS(IsQList,IsIList,Table_ExternalData_15[[#This Row],[item_key]],IsITypeList,Table_ExternalData_15[[#This Row],[IType]],IsDList,Table_ExternalData_15[[#Headers],[10]])</f>
        <v>10</v>
      </c>
      <c r="O20" s="10">
        <f>SUMIFS(IsQList,IsIList,Table_ExternalData_15[[#This Row],[item_key]],IsITypeList,Table_ExternalData_15[[#This Row],[IType]],IsDList,Table_ExternalData_15[[#Headers],[11]])</f>
        <v>0</v>
      </c>
      <c r="P20" s="10">
        <f>SUMIFS(IsQList,IsIList,Table_ExternalData_15[[#This Row],[item_key]],IsITypeList,Table_ExternalData_15[[#This Row],[IType]],IsDList,Table_ExternalData_15[[#Headers],[12]])</f>
        <v>0</v>
      </c>
      <c r="Q20" s="10">
        <f>SUMIFS(IsQList,IsIList,Table_ExternalData_15[[#This Row],[item_key]],IsITypeList,Table_ExternalData_15[[#This Row],[IType]],IsDList,Table_ExternalData_15[[#Headers],[13]])</f>
        <v>0</v>
      </c>
      <c r="R20" s="10">
        <f>SUMIFS(IsQList,IsIList,Table_ExternalData_15[[#This Row],[item_key]],IsITypeList,Table_ExternalData_15[[#This Row],[IType]],IsDList,Table_ExternalData_15[[#Headers],[14]])</f>
        <v>0</v>
      </c>
      <c r="S20" s="10">
        <f>SUMIFS(IsQList,IsIList,Table_ExternalData_15[[#This Row],[item_key]],IsITypeList,Table_ExternalData_15[[#This Row],[IType]],IsDList,Table_ExternalData_15[[#Headers],[15]])</f>
        <v>0</v>
      </c>
      <c r="T20" s="10">
        <f>SUMIFS(IsQList,IsIList,Table_ExternalData_15[[#This Row],[item_key]],IsITypeList,Table_ExternalData_15[[#This Row],[IType]],IsDList,Table_ExternalData_15[[#Headers],[16]])</f>
        <v>0</v>
      </c>
      <c r="U20" s="10">
        <f>SUMIFS(IsQList,IsIList,Table_ExternalData_15[[#This Row],[item_key]],IsITypeList,Table_ExternalData_15[[#This Row],[IType]],IsDList,Table_ExternalData_15[[#Headers],[17]])</f>
        <v>0</v>
      </c>
      <c r="V20" s="10">
        <f>SUMIFS(IsQList,IsIList,Table_ExternalData_15[[#This Row],[item_key]],IsITypeList,Table_ExternalData_15[[#This Row],[IType]],IsDList,Table_ExternalData_15[[#Headers],[18]])</f>
        <v>0</v>
      </c>
      <c r="W20" s="10">
        <f>SUMIFS(IsQList,IsIList,Table_ExternalData_15[[#This Row],[item_key]],IsITypeList,Table_ExternalData_15[[#This Row],[IType]],IsDList,Table_ExternalData_15[[#Headers],[19]])</f>
        <v>0</v>
      </c>
      <c r="X20" s="10">
        <f>SUMIFS(IsQList,IsIList,Table_ExternalData_15[[#This Row],[item_key]],IsITypeList,Table_ExternalData_15[[#This Row],[IType]],IsDList,Table_ExternalData_15[[#Headers],[20]])</f>
        <v>0</v>
      </c>
      <c r="Y20" s="10">
        <f>SUMIFS(IsQList,IsIList,Table_ExternalData_15[[#This Row],[item_key]],IsITypeList,Table_ExternalData_15[[#This Row],[IType]],IsDList,Table_ExternalData_15[[#Headers],[21]])</f>
        <v>0</v>
      </c>
      <c r="Z20" s="10">
        <f>SUMIFS(IsQList,IsIList,Table_ExternalData_15[[#This Row],[item_key]],IsITypeList,Table_ExternalData_15[[#This Row],[IType]],IsDList,Table_ExternalData_15[[#Headers],[22]])</f>
        <v>0</v>
      </c>
      <c r="AA20" s="10">
        <f>SUMIFS(IsQList,IsIList,Table_ExternalData_15[[#This Row],[item_key]],IsITypeList,Table_ExternalData_15[[#This Row],[IType]],IsDList,Table_ExternalData_15[[#Headers],[23]])</f>
        <v>0</v>
      </c>
      <c r="AB20" s="10">
        <f>SUMIFS(IsQList,IsIList,Table_ExternalData_15[[#This Row],[item_key]],IsITypeList,Table_ExternalData_15[[#This Row],[IType]],IsDList,Table_ExternalData_15[[#Headers],[24]])</f>
        <v>2</v>
      </c>
      <c r="AC20" s="10">
        <f>SUMIFS(IsQList,IsIList,Table_ExternalData_15[[#This Row],[item_key]],IsITypeList,Table_ExternalData_15[[#This Row],[IType]],IsDList,Table_ExternalData_15[[#Headers],[25]])</f>
        <v>0</v>
      </c>
      <c r="AD20" s="10">
        <f>SUMIFS(IsQList,IsIList,Table_ExternalData_15[[#This Row],[item_key]],IsITypeList,Table_ExternalData_15[[#This Row],[IType]],IsDList,Table_ExternalData_15[[#Headers],[26]])</f>
        <v>0</v>
      </c>
      <c r="AE20" s="10">
        <f>SUMIFS(IsQList,IsIList,Table_ExternalData_15[[#This Row],[item_key]],IsITypeList,Table_ExternalData_15[[#This Row],[IType]],IsDList,Table_ExternalData_15[[#Headers],[27]])</f>
        <v>0</v>
      </c>
      <c r="AF20" s="10">
        <f>SUMIFS(IsQList,IsIList,Table_ExternalData_15[[#This Row],[item_key]],IsITypeList,Table_ExternalData_15[[#This Row],[IType]],IsDList,Table_ExternalData_15[[#Headers],[28]])</f>
        <v>0</v>
      </c>
      <c r="AG20" s="10">
        <f>SUMIFS(IsQList,IsIList,Table_ExternalData_15[[#This Row],[item_key]],IsITypeList,Table_ExternalData_15[[#This Row],[IType]],IsDList,Table_ExternalData_15[[#Headers],[29]])</f>
        <v>0</v>
      </c>
      <c r="AH20" s="10">
        <f>SUMIFS(IsQList,IsIList,Table_ExternalData_15[[#This Row],[item_key]],IsITypeList,Table_ExternalData_15[[#This Row],[IType]],IsDList,Table_ExternalData_15[[#Headers],[30]])</f>
        <v>0</v>
      </c>
      <c r="AI20" s="10">
        <f>SUMIFS(IsQList,IsIList,Table_ExternalData_15[[#This Row],[item_key]],IsITypeList,Table_ExternalData_15[[#This Row],[IType]],IsDList,Table_ExternalData_15[[#Headers],[31]])</f>
        <v>0</v>
      </c>
      <c r="AJ20" s="10">
        <f>SUM(Table_ExternalData_15[[#This Row],[1]:[31]])</f>
        <v>12</v>
      </c>
    </row>
    <row r="21" spans="1:36">
      <c r="A21" s="1" t="s">
        <v>243</v>
      </c>
      <c r="B21" s="1" t="s">
        <v>2449</v>
      </c>
      <c r="C21" s="1" t="s">
        <v>1595</v>
      </c>
      <c r="D21" s="11" t="s">
        <v>72</v>
      </c>
      <c r="E21" s="10">
        <f>SUMIFS(IsQList,IsIList,Table_ExternalData_15[[#This Row],[item_key]],IsITypeList,Table_ExternalData_15[[#This Row],[IType]],IsDList,Table_ExternalData_15[[#Headers],[1]])</f>
        <v>0</v>
      </c>
      <c r="F21" s="10">
        <f>SUMIFS(IsQList,IsIList,Table_ExternalData_15[[#This Row],[item_key]],IsITypeList,Table_ExternalData_15[[#This Row],[IType]],IsDList,Table_ExternalData_15[[#Headers],[2]])</f>
        <v>0</v>
      </c>
      <c r="G21" s="10">
        <f>SUMIFS(IsQList,IsIList,Table_ExternalData_15[[#This Row],[item_key]],IsITypeList,Table_ExternalData_15[[#This Row],[IType]],IsDList,Table_ExternalData_15[[#Headers],[3]])</f>
        <v>0</v>
      </c>
      <c r="H21" s="10">
        <f>SUMIFS(IsQList,IsIList,Table_ExternalData_15[[#This Row],[item_key]],IsITypeList,Table_ExternalData_15[[#This Row],[IType]],IsDList,Table_ExternalData_15[[#Headers],[4]])</f>
        <v>0</v>
      </c>
      <c r="I21" s="10">
        <f>SUMIFS(IsQList,IsIList,Table_ExternalData_15[[#This Row],[item_key]],IsITypeList,Table_ExternalData_15[[#This Row],[IType]],IsDList,Table_ExternalData_15[[#Headers],[5]])</f>
        <v>0</v>
      </c>
      <c r="J21" s="10">
        <f>SUMIFS(IsQList,IsIList,Table_ExternalData_15[[#This Row],[item_key]],IsITypeList,Table_ExternalData_15[[#This Row],[IType]],IsDList,Table_ExternalData_15[[#Headers],[6]])</f>
        <v>0</v>
      </c>
      <c r="K21" s="10">
        <f>SUMIFS(IsQList,IsIList,Table_ExternalData_15[[#This Row],[item_key]],IsITypeList,Table_ExternalData_15[[#This Row],[IType]],IsDList,Table_ExternalData_15[[#Headers],[7]])</f>
        <v>0</v>
      </c>
      <c r="L21" s="10">
        <f>SUMIFS(IsQList,IsIList,Table_ExternalData_15[[#This Row],[item_key]],IsITypeList,Table_ExternalData_15[[#This Row],[IType]],IsDList,Table_ExternalData_15[[#Headers],[8]])</f>
        <v>0</v>
      </c>
      <c r="M21" s="10">
        <f>SUMIFS(IsQList,IsIList,Table_ExternalData_15[[#This Row],[item_key]],IsITypeList,Table_ExternalData_15[[#This Row],[IType]],IsDList,Table_ExternalData_15[[#Headers],[9]])</f>
        <v>0</v>
      </c>
      <c r="N21" s="10">
        <f>SUMIFS(IsQList,IsIList,Table_ExternalData_15[[#This Row],[item_key]],IsITypeList,Table_ExternalData_15[[#This Row],[IType]],IsDList,Table_ExternalData_15[[#Headers],[10]])</f>
        <v>0</v>
      </c>
      <c r="O21" s="10">
        <f>SUMIFS(IsQList,IsIList,Table_ExternalData_15[[#This Row],[item_key]],IsITypeList,Table_ExternalData_15[[#This Row],[IType]],IsDList,Table_ExternalData_15[[#Headers],[11]])</f>
        <v>0</v>
      </c>
      <c r="P21" s="10">
        <f>SUMIFS(IsQList,IsIList,Table_ExternalData_15[[#This Row],[item_key]],IsITypeList,Table_ExternalData_15[[#This Row],[IType]],IsDList,Table_ExternalData_15[[#Headers],[12]])</f>
        <v>0</v>
      </c>
      <c r="Q21" s="10">
        <f>SUMIFS(IsQList,IsIList,Table_ExternalData_15[[#This Row],[item_key]],IsITypeList,Table_ExternalData_15[[#This Row],[IType]],IsDList,Table_ExternalData_15[[#Headers],[13]])</f>
        <v>0</v>
      </c>
      <c r="R21" s="10">
        <f>SUMIFS(IsQList,IsIList,Table_ExternalData_15[[#This Row],[item_key]],IsITypeList,Table_ExternalData_15[[#This Row],[IType]],IsDList,Table_ExternalData_15[[#Headers],[14]])</f>
        <v>0</v>
      </c>
      <c r="S21" s="10">
        <f>SUMIFS(IsQList,IsIList,Table_ExternalData_15[[#This Row],[item_key]],IsITypeList,Table_ExternalData_15[[#This Row],[IType]],IsDList,Table_ExternalData_15[[#Headers],[15]])</f>
        <v>0</v>
      </c>
      <c r="T21" s="10">
        <f>SUMIFS(IsQList,IsIList,Table_ExternalData_15[[#This Row],[item_key]],IsITypeList,Table_ExternalData_15[[#This Row],[IType]],IsDList,Table_ExternalData_15[[#Headers],[16]])</f>
        <v>100</v>
      </c>
      <c r="U21" s="10">
        <f>SUMIFS(IsQList,IsIList,Table_ExternalData_15[[#This Row],[item_key]],IsITypeList,Table_ExternalData_15[[#This Row],[IType]],IsDList,Table_ExternalData_15[[#Headers],[17]])</f>
        <v>0</v>
      </c>
      <c r="V21" s="10">
        <f>SUMIFS(IsQList,IsIList,Table_ExternalData_15[[#This Row],[item_key]],IsITypeList,Table_ExternalData_15[[#This Row],[IType]],IsDList,Table_ExternalData_15[[#Headers],[18]])</f>
        <v>0</v>
      </c>
      <c r="W21" s="10">
        <f>SUMIFS(IsQList,IsIList,Table_ExternalData_15[[#This Row],[item_key]],IsITypeList,Table_ExternalData_15[[#This Row],[IType]],IsDList,Table_ExternalData_15[[#Headers],[19]])</f>
        <v>0</v>
      </c>
      <c r="X21" s="10">
        <f>SUMIFS(IsQList,IsIList,Table_ExternalData_15[[#This Row],[item_key]],IsITypeList,Table_ExternalData_15[[#This Row],[IType]],IsDList,Table_ExternalData_15[[#Headers],[20]])</f>
        <v>0</v>
      </c>
      <c r="Y21" s="10">
        <f>SUMIFS(IsQList,IsIList,Table_ExternalData_15[[#This Row],[item_key]],IsITypeList,Table_ExternalData_15[[#This Row],[IType]],IsDList,Table_ExternalData_15[[#Headers],[21]])</f>
        <v>0</v>
      </c>
      <c r="Z21" s="10">
        <f>SUMIFS(IsQList,IsIList,Table_ExternalData_15[[#This Row],[item_key]],IsITypeList,Table_ExternalData_15[[#This Row],[IType]],IsDList,Table_ExternalData_15[[#Headers],[22]])</f>
        <v>0</v>
      </c>
      <c r="AA21" s="10">
        <f>SUMIFS(IsQList,IsIList,Table_ExternalData_15[[#This Row],[item_key]],IsITypeList,Table_ExternalData_15[[#This Row],[IType]],IsDList,Table_ExternalData_15[[#Headers],[23]])</f>
        <v>0</v>
      </c>
      <c r="AB21" s="10">
        <f>SUMIFS(IsQList,IsIList,Table_ExternalData_15[[#This Row],[item_key]],IsITypeList,Table_ExternalData_15[[#This Row],[IType]],IsDList,Table_ExternalData_15[[#Headers],[24]])</f>
        <v>500</v>
      </c>
      <c r="AC21" s="10">
        <f>SUMIFS(IsQList,IsIList,Table_ExternalData_15[[#This Row],[item_key]],IsITypeList,Table_ExternalData_15[[#This Row],[IType]],IsDList,Table_ExternalData_15[[#Headers],[25]])</f>
        <v>0</v>
      </c>
      <c r="AD21" s="10">
        <f>SUMIFS(IsQList,IsIList,Table_ExternalData_15[[#This Row],[item_key]],IsITypeList,Table_ExternalData_15[[#This Row],[IType]],IsDList,Table_ExternalData_15[[#Headers],[26]])</f>
        <v>0</v>
      </c>
      <c r="AE21" s="10">
        <f>SUMIFS(IsQList,IsIList,Table_ExternalData_15[[#This Row],[item_key]],IsITypeList,Table_ExternalData_15[[#This Row],[IType]],IsDList,Table_ExternalData_15[[#Headers],[27]])</f>
        <v>0</v>
      </c>
      <c r="AF21" s="10">
        <f>SUMIFS(IsQList,IsIList,Table_ExternalData_15[[#This Row],[item_key]],IsITypeList,Table_ExternalData_15[[#This Row],[IType]],IsDList,Table_ExternalData_15[[#Headers],[28]])</f>
        <v>0</v>
      </c>
      <c r="AG21" s="10">
        <f>SUMIFS(IsQList,IsIList,Table_ExternalData_15[[#This Row],[item_key]],IsITypeList,Table_ExternalData_15[[#This Row],[IType]],IsDList,Table_ExternalData_15[[#Headers],[29]])</f>
        <v>0</v>
      </c>
      <c r="AH21" s="10">
        <f>SUMIFS(IsQList,IsIList,Table_ExternalData_15[[#This Row],[item_key]],IsITypeList,Table_ExternalData_15[[#This Row],[IType]],IsDList,Table_ExternalData_15[[#Headers],[30]])</f>
        <v>0</v>
      </c>
      <c r="AI21" s="10">
        <f>SUMIFS(IsQList,IsIList,Table_ExternalData_15[[#This Row],[item_key]],IsITypeList,Table_ExternalData_15[[#This Row],[IType]],IsDList,Table_ExternalData_15[[#Headers],[31]])</f>
        <v>0</v>
      </c>
      <c r="AJ21" s="10">
        <f>SUM(Table_ExternalData_15[[#This Row],[1]:[31]])</f>
        <v>600</v>
      </c>
    </row>
    <row r="22" spans="1:36">
      <c r="A22" s="1" t="s">
        <v>249</v>
      </c>
      <c r="B22" s="1" t="s">
        <v>1218</v>
      </c>
      <c r="C22" s="1" t="s">
        <v>1219</v>
      </c>
      <c r="D22" s="11" t="s">
        <v>72</v>
      </c>
      <c r="E22" s="10">
        <f>SUMIFS(IsQList,IsIList,Table_ExternalData_15[[#This Row],[item_key]],IsITypeList,Table_ExternalData_15[[#This Row],[IType]],IsDList,Table_ExternalData_15[[#Headers],[1]])</f>
        <v>0</v>
      </c>
      <c r="F22" s="10">
        <f>SUMIFS(IsQList,IsIList,Table_ExternalData_15[[#This Row],[item_key]],IsITypeList,Table_ExternalData_15[[#This Row],[IType]],IsDList,Table_ExternalData_15[[#Headers],[2]])</f>
        <v>0</v>
      </c>
      <c r="G22" s="10">
        <f>SUMIFS(IsQList,IsIList,Table_ExternalData_15[[#This Row],[item_key]],IsITypeList,Table_ExternalData_15[[#This Row],[IType]],IsDList,Table_ExternalData_15[[#Headers],[3]])</f>
        <v>0</v>
      </c>
      <c r="H22" s="10">
        <f>SUMIFS(IsQList,IsIList,Table_ExternalData_15[[#This Row],[item_key]],IsITypeList,Table_ExternalData_15[[#This Row],[IType]],IsDList,Table_ExternalData_15[[#Headers],[4]])</f>
        <v>0</v>
      </c>
      <c r="I22" s="10">
        <f>SUMIFS(IsQList,IsIList,Table_ExternalData_15[[#This Row],[item_key]],IsITypeList,Table_ExternalData_15[[#This Row],[IType]],IsDList,Table_ExternalData_15[[#Headers],[5]])</f>
        <v>0</v>
      </c>
      <c r="J22" s="10">
        <f>SUMIFS(IsQList,IsIList,Table_ExternalData_15[[#This Row],[item_key]],IsITypeList,Table_ExternalData_15[[#This Row],[IType]],IsDList,Table_ExternalData_15[[#Headers],[6]])</f>
        <v>0</v>
      </c>
      <c r="K22" s="10">
        <f>SUMIFS(IsQList,IsIList,Table_ExternalData_15[[#This Row],[item_key]],IsITypeList,Table_ExternalData_15[[#This Row],[IType]],IsDList,Table_ExternalData_15[[#Headers],[7]])</f>
        <v>0</v>
      </c>
      <c r="L22" s="10">
        <f>SUMIFS(IsQList,IsIList,Table_ExternalData_15[[#This Row],[item_key]],IsITypeList,Table_ExternalData_15[[#This Row],[IType]],IsDList,Table_ExternalData_15[[#Headers],[8]])</f>
        <v>0</v>
      </c>
      <c r="M22" s="10">
        <f>SUMIFS(IsQList,IsIList,Table_ExternalData_15[[#This Row],[item_key]],IsITypeList,Table_ExternalData_15[[#This Row],[IType]],IsDList,Table_ExternalData_15[[#Headers],[9]])</f>
        <v>0</v>
      </c>
      <c r="N22" s="10">
        <f>SUMIFS(IsQList,IsIList,Table_ExternalData_15[[#This Row],[item_key]],IsITypeList,Table_ExternalData_15[[#This Row],[IType]],IsDList,Table_ExternalData_15[[#Headers],[10]])</f>
        <v>0</v>
      </c>
      <c r="O22" s="10">
        <f>SUMIFS(IsQList,IsIList,Table_ExternalData_15[[#This Row],[item_key]],IsITypeList,Table_ExternalData_15[[#This Row],[IType]],IsDList,Table_ExternalData_15[[#Headers],[11]])</f>
        <v>0</v>
      </c>
      <c r="P22" s="10">
        <f>SUMIFS(IsQList,IsIList,Table_ExternalData_15[[#This Row],[item_key]],IsITypeList,Table_ExternalData_15[[#This Row],[IType]],IsDList,Table_ExternalData_15[[#Headers],[12]])</f>
        <v>0</v>
      </c>
      <c r="Q22" s="10">
        <f>SUMIFS(IsQList,IsIList,Table_ExternalData_15[[#This Row],[item_key]],IsITypeList,Table_ExternalData_15[[#This Row],[IType]],IsDList,Table_ExternalData_15[[#Headers],[13]])</f>
        <v>0</v>
      </c>
      <c r="R22" s="10">
        <f>SUMIFS(IsQList,IsIList,Table_ExternalData_15[[#This Row],[item_key]],IsITypeList,Table_ExternalData_15[[#This Row],[IType]],IsDList,Table_ExternalData_15[[#Headers],[14]])</f>
        <v>0</v>
      </c>
      <c r="S22" s="10">
        <f>SUMIFS(IsQList,IsIList,Table_ExternalData_15[[#This Row],[item_key]],IsITypeList,Table_ExternalData_15[[#This Row],[IType]],IsDList,Table_ExternalData_15[[#Headers],[15]])</f>
        <v>0</v>
      </c>
      <c r="T22" s="10">
        <f>SUMIFS(IsQList,IsIList,Table_ExternalData_15[[#This Row],[item_key]],IsITypeList,Table_ExternalData_15[[#This Row],[IType]],IsDList,Table_ExternalData_15[[#Headers],[16]])</f>
        <v>0</v>
      </c>
      <c r="U22" s="10">
        <f>SUMIFS(IsQList,IsIList,Table_ExternalData_15[[#This Row],[item_key]],IsITypeList,Table_ExternalData_15[[#This Row],[IType]],IsDList,Table_ExternalData_15[[#Headers],[17]])</f>
        <v>0</v>
      </c>
      <c r="V22" s="10">
        <f>SUMIFS(IsQList,IsIList,Table_ExternalData_15[[#This Row],[item_key]],IsITypeList,Table_ExternalData_15[[#This Row],[IType]],IsDList,Table_ExternalData_15[[#Headers],[18]])</f>
        <v>0</v>
      </c>
      <c r="W22" s="10">
        <f>SUMIFS(IsQList,IsIList,Table_ExternalData_15[[#This Row],[item_key]],IsITypeList,Table_ExternalData_15[[#This Row],[IType]],IsDList,Table_ExternalData_15[[#Headers],[19]])</f>
        <v>0</v>
      </c>
      <c r="X22" s="10">
        <f>SUMIFS(IsQList,IsIList,Table_ExternalData_15[[#This Row],[item_key]],IsITypeList,Table_ExternalData_15[[#This Row],[IType]],IsDList,Table_ExternalData_15[[#Headers],[20]])</f>
        <v>0</v>
      </c>
      <c r="Y22" s="10">
        <f>SUMIFS(IsQList,IsIList,Table_ExternalData_15[[#This Row],[item_key]],IsITypeList,Table_ExternalData_15[[#This Row],[IType]],IsDList,Table_ExternalData_15[[#Headers],[21]])</f>
        <v>0</v>
      </c>
      <c r="Z22" s="10">
        <f>SUMIFS(IsQList,IsIList,Table_ExternalData_15[[#This Row],[item_key]],IsITypeList,Table_ExternalData_15[[#This Row],[IType]],IsDList,Table_ExternalData_15[[#Headers],[22]])</f>
        <v>0</v>
      </c>
      <c r="AA22" s="10">
        <f>SUMIFS(IsQList,IsIList,Table_ExternalData_15[[#This Row],[item_key]],IsITypeList,Table_ExternalData_15[[#This Row],[IType]],IsDList,Table_ExternalData_15[[#Headers],[23]])</f>
        <v>0</v>
      </c>
      <c r="AB22" s="10">
        <f>SUMIFS(IsQList,IsIList,Table_ExternalData_15[[#This Row],[item_key]],IsITypeList,Table_ExternalData_15[[#This Row],[IType]],IsDList,Table_ExternalData_15[[#Headers],[24]])</f>
        <v>0</v>
      </c>
      <c r="AC22" s="10">
        <f>SUMIFS(IsQList,IsIList,Table_ExternalData_15[[#This Row],[item_key]],IsITypeList,Table_ExternalData_15[[#This Row],[IType]],IsDList,Table_ExternalData_15[[#Headers],[25]])</f>
        <v>0</v>
      </c>
      <c r="AD22" s="10">
        <f>SUMIFS(IsQList,IsIList,Table_ExternalData_15[[#This Row],[item_key]],IsITypeList,Table_ExternalData_15[[#This Row],[IType]],IsDList,Table_ExternalData_15[[#Headers],[26]])</f>
        <v>0</v>
      </c>
      <c r="AE22" s="10">
        <f>SUMIFS(IsQList,IsIList,Table_ExternalData_15[[#This Row],[item_key]],IsITypeList,Table_ExternalData_15[[#This Row],[IType]],IsDList,Table_ExternalData_15[[#Headers],[27]])</f>
        <v>0</v>
      </c>
      <c r="AF22" s="10">
        <f>SUMIFS(IsQList,IsIList,Table_ExternalData_15[[#This Row],[item_key]],IsITypeList,Table_ExternalData_15[[#This Row],[IType]],IsDList,Table_ExternalData_15[[#Headers],[28]])</f>
        <v>0</v>
      </c>
      <c r="AG22" s="10">
        <f>SUMIFS(IsQList,IsIList,Table_ExternalData_15[[#This Row],[item_key]],IsITypeList,Table_ExternalData_15[[#This Row],[IType]],IsDList,Table_ExternalData_15[[#Headers],[29]])</f>
        <v>0</v>
      </c>
      <c r="AH22" s="10">
        <f>SUMIFS(IsQList,IsIList,Table_ExternalData_15[[#This Row],[item_key]],IsITypeList,Table_ExternalData_15[[#This Row],[IType]],IsDList,Table_ExternalData_15[[#Headers],[30]])</f>
        <v>200</v>
      </c>
      <c r="AI22" s="10">
        <f>SUMIFS(IsQList,IsIList,Table_ExternalData_15[[#This Row],[item_key]],IsITypeList,Table_ExternalData_15[[#This Row],[IType]],IsDList,Table_ExternalData_15[[#Headers],[31]])</f>
        <v>0</v>
      </c>
      <c r="AJ22" s="10">
        <f>SUM(Table_ExternalData_15[[#This Row],[1]:[31]])</f>
        <v>200</v>
      </c>
    </row>
    <row r="23" spans="1:36">
      <c r="A23" s="1" t="s">
        <v>250</v>
      </c>
      <c r="B23" s="1" t="s">
        <v>1220</v>
      </c>
      <c r="C23" s="1" t="s">
        <v>1219</v>
      </c>
      <c r="D23" s="11" t="s">
        <v>72</v>
      </c>
      <c r="E23" s="10">
        <f>SUMIFS(IsQList,IsIList,Table_ExternalData_15[[#This Row],[item_key]],IsITypeList,Table_ExternalData_15[[#This Row],[IType]],IsDList,Table_ExternalData_15[[#Headers],[1]])</f>
        <v>0</v>
      </c>
      <c r="F23" s="10">
        <f>SUMIFS(IsQList,IsIList,Table_ExternalData_15[[#This Row],[item_key]],IsITypeList,Table_ExternalData_15[[#This Row],[IType]],IsDList,Table_ExternalData_15[[#Headers],[2]])</f>
        <v>0</v>
      </c>
      <c r="G23" s="10">
        <f>SUMIFS(IsQList,IsIList,Table_ExternalData_15[[#This Row],[item_key]],IsITypeList,Table_ExternalData_15[[#This Row],[IType]],IsDList,Table_ExternalData_15[[#Headers],[3]])</f>
        <v>0</v>
      </c>
      <c r="H23" s="10">
        <f>SUMIFS(IsQList,IsIList,Table_ExternalData_15[[#This Row],[item_key]],IsITypeList,Table_ExternalData_15[[#This Row],[IType]],IsDList,Table_ExternalData_15[[#Headers],[4]])</f>
        <v>0</v>
      </c>
      <c r="I23" s="10">
        <f>SUMIFS(IsQList,IsIList,Table_ExternalData_15[[#This Row],[item_key]],IsITypeList,Table_ExternalData_15[[#This Row],[IType]],IsDList,Table_ExternalData_15[[#Headers],[5]])</f>
        <v>0</v>
      </c>
      <c r="J23" s="10">
        <f>SUMIFS(IsQList,IsIList,Table_ExternalData_15[[#This Row],[item_key]],IsITypeList,Table_ExternalData_15[[#This Row],[IType]],IsDList,Table_ExternalData_15[[#Headers],[6]])</f>
        <v>10</v>
      </c>
      <c r="K23" s="10">
        <f>SUMIFS(IsQList,IsIList,Table_ExternalData_15[[#This Row],[item_key]],IsITypeList,Table_ExternalData_15[[#This Row],[IType]],IsDList,Table_ExternalData_15[[#Headers],[7]])</f>
        <v>0</v>
      </c>
      <c r="L23" s="10">
        <f>SUMIFS(IsQList,IsIList,Table_ExternalData_15[[#This Row],[item_key]],IsITypeList,Table_ExternalData_15[[#This Row],[IType]],IsDList,Table_ExternalData_15[[#Headers],[8]])</f>
        <v>0</v>
      </c>
      <c r="M23" s="10">
        <f>SUMIFS(IsQList,IsIList,Table_ExternalData_15[[#This Row],[item_key]],IsITypeList,Table_ExternalData_15[[#This Row],[IType]],IsDList,Table_ExternalData_15[[#Headers],[9]])</f>
        <v>0</v>
      </c>
      <c r="N23" s="10">
        <f>SUMIFS(IsQList,IsIList,Table_ExternalData_15[[#This Row],[item_key]],IsITypeList,Table_ExternalData_15[[#This Row],[IType]],IsDList,Table_ExternalData_15[[#Headers],[10]])</f>
        <v>0</v>
      </c>
      <c r="O23" s="10">
        <f>SUMIFS(IsQList,IsIList,Table_ExternalData_15[[#This Row],[item_key]],IsITypeList,Table_ExternalData_15[[#This Row],[IType]],IsDList,Table_ExternalData_15[[#Headers],[11]])</f>
        <v>0</v>
      </c>
      <c r="P23" s="10">
        <f>SUMIFS(IsQList,IsIList,Table_ExternalData_15[[#This Row],[item_key]],IsITypeList,Table_ExternalData_15[[#This Row],[IType]],IsDList,Table_ExternalData_15[[#Headers],[12]])</f>
        <v>0</v>
      </c>
      <c r="Q23" s="10">
        <f>SUMIFS(IsQList,IsIList,Table_ExternalData_15[[#This Row],[item_key]],IsITypeList,Table_ExternalData_15[[#This Row],[IType]],IsDList,Table_ExternalData_15[[#Headers],[13]])</f>
        <v>0</v>
      </c>
      <c r="R23" s="10">
        <f>SUMIFS(IsQList,IsIList,Table_ExternalData_15[[#This Row],[item_key]],IsITypeList,Table_ExternalData_15[[#This Row],[IType]],IsDList,Table_ExternalData_15[[#Headers],[14]])</f>
        <v>0</v>
      </c>
      <c r="S23" s="10">
        <f>SUMIFS(IsQList,IsIList,Table_ExternalData_15[[#This Row],[item_key]],IsITypeList,Table_ExternalData_15[[#This Row],[IType]],IsDList,Table_ExternalData_15[[#Headers],[15]])</f>
        <v>0</v>
      </c>
      <c r="T23" s="10">
        <f>SUMIFS(IsQList,IsIList,Table_ExternalData_15[[#This Row],[item_key]],IsITypeList,Table_ExternalData_15[[#This Row],[IType]],IsDList,Table_ExternalData_15[[#Headers],[16]])</f>
        <v>0</v>
      </c>
      <c r="U23" s="10">
        <f>SUMIFS(IsQList,IsIList,Table_ExternalData_15[[#This Row],[item_key]],IsITypeList,Table_ExternalData_15[[#This Row],[IType]],IsDList,Table_ExternalData_15[[#Headers],[17]])</f>
        <v>0</v>
      </c>
      <c r="V23" s="10">
        <f>SUMIFS(IsQList,IsIList,Table_ExternalData_15[[#This Row],[item_key]],IsITypeList,Table_ExternalData_15[[#This Row],[IType]],IsDList,Table_ExternalData_15[[#Headers],[18]])</f>
        <v>0</v>
      </c>
      <c r="W23" s="10">
        <f>SUMIFS(IsQList,IsIList,Table_ExternalData_15[[#This Row],[item_key]],IsITypeList,Table_ExternalData_15[[#This Row],[IType]],IsDList,Table_ExternalData_15[[#Headers],[19]])</f>
        <v>0</v>
      </c>
      <c r="X23" s="10">
        <f>SUMIFS(IsQList,IsIList,Table_ExternalData_15[[#This Row],[item_key]],IsITypeList,Table_ExternalData_15[[#This Row],[IType]],IsDList,Table_ExternalData_15[[#Headers],[20]])</f>
        <v>0</v>
      </c>
      <c r="Y23" s="10">
        <f>SUMIFS(IsQList,IsIList,Table_ExternalData_15[[#This Row],[item_key]],IsITypeList,Table_ExternalData_15[[#This Row],[IType]],IsDList,Table_ExternalData_15[[#Headers],[21]])</f>
        <v>0</v>
      </c>
      <c r="Z23" s="10">
        <f>SUMIFS(IsQList,IsIList,Table_ExternalData_15[[#This Row],[item_key]],IsITypeList,Table_ExternalData_15[[#This Row],[IType]],IsDList,Table_ExternalData_15[[#Headers],[22]])</f>
        <v>0</v>
      </c>
      <c r="AA23" s="10">
        <f>SUMIFS(IsQList,IsIList,Table_ExternalData_15[[#This Row],[item_key]],IsITypeList,Table_ExternalData_15[[#This Row],[IType]],IsDList,Table_ExternalData_15[[#Headers],[23]])</f>
        <v>0</v>
      </c>
      <c r="AB23" s="10">
        <f>SUMIFS(IsQList,IsIList,Table_ExternalData_15[[#This Row],[item_key]],IsITypeList,Table_ExternalData_15[[#This Row],[IType]],IsDList,Table_ExternalData_15[[#Headers],[24]])</f>
        <v>0</v>
      </c>
      <c r="AC23" s="10">
        <f>SUMIFS(IsQList,IsIList,Table_ExternalData_15[[#This Row],[item_key]],IsITypeList,Table_ExternalData_15[[#This Row],[IType]],IsDList,Table_ExternalData_15[[#Headers],[25]])</f>
        <v>0</v>
      </c>
      <c r="AD23" s="10">
        <f>SUMIFS(IsQList,IsIList,Table_ExternalData_15[[#This Row],[item_key]],IsITypeList,Table_ExternalData_15[[#This Row],[IType]],IsDList,Table_ExternalData_15[[#Headers],[26]])</f>
        <v>0</v>
      </c>
      <c r="AE23" s="10">
        <f>SUMIFS(IsQList,IsIList,Table_ExternalData_15[[#This Row],[item_key]],IsITypeList,Table_ExternalData_15[[#This Row],[IType]],IsDList,Table_ExternalData_15[[#Headers],[27]])</f>
        <v>0</v>
      </c>
      <c r="AF23" s="10">
        <f>SUMIFS(IsQList,IsIList,Table_ExternalData_15[[#This Row],[item_key]],IsITypeList,Table_ExternalData_15[[#This Row],[IType]],IsDList,Table_ExternalData_15[[#Headers],[28]])</f>
        <v>0</v>
      </c>
      <c r="AG23" s="10">
        <f>SUMIFS(IsQList,IsIList,Table_ExternalData_15[[#This Row],[item_key]],IsITypeList,Table_ExternalData_15[[#This Row],[IType]],IsDList,Table_ExternalData_15[[#Headers],[29]])</f>
        <v>0</v>
      </c>
      <c r="AH23" s="10">
        <f>SUMIFS(IsQList,IsIList,Table_ExternalData_15[[#This Row],[item_key]],IsITypeList,Table_ExternalData_15[[#This Row],[IType]],IsDList,Table_ExternalData_15[[#Headers],[30]])</f>
        <v>20</v>
      </c>
      <c r="AI23" s="10">
        <f>SUMIFS(IsQList,IsIList,Table_ExternalData_15[[#This Row],[item_key]],IsITypeList,Table_ExternalData_15[[#This Row],[IType]],IsDList,Table_ExternalData_15[[#Headers],[31]])</f>
        <v>0</v>
      </c>
      <c r="AJ23" s="10">
        <f>SUM(Table_ExternalData_15[[#This Row],[1]:[31]])</f>
        <v>30</v>
      </c>
    </row>
    <row r="24" spans="1:36">
      <c r="A24" s="1" t="s">
        <v>251</v>
      </c>
      <c r="B24" s="1" t="s">
        <v>2450</v>
      </c>
      <c r="C24" s="1" t="s">
        <v>2451</v>
      </c>
      <c r="D24" s="11" t="s">
        <v>72</v>
      </c>
      <c r="E24" s="10">
        <f>SUMIFS(IsQList,IsIList,Table_ExternalData_15[[#This Row],[item_key]],IsITypeList,Table_ExternalData_15[[#This Row],[IType]],IsDList,Table_ExternalData_15[[#Headers],[1]])</f>
        <v>0</v>
      </c>
      <c r="F24" s="10">
        <f>SUMIFS(IsQList,IsIList,Table_ExternalData_15[[#This Row],[item_key]],IsITypeList,Table_ExternalData_15[[#This Row],[IType]],IsDList,Table_ExternalData_15[[#Headers],[2]])</f>
        <v>0</v>
      </c>
      <c r="G24" s="10">
        <f>SUMIFS(IsQList,IsIList,Table_ExternalData_15[[#This Row],[item_key]],IsITypeList,Table_ExternalData_15[[#This Row],[IType]],IsDList,Table_ExternalData_15[[#Headers],[3]])</f>
        <v>0</v>
      </c>
      <c r="H24" s="10">
        <f>SUMIFS(IsQList,IsIList,Table_ExternalData_15[[#This Row],[item_key]],IsITypeList,Table_ExternalData_15[[#This Row],[IType]],IsDList,Table_ExternalData_15[[#Headers],[4]])</f>
        <v>0</v>
      </c>
      <c r="I24" s="10">
        <f>SUMIFS(IsQList,IsIList,Table_ExternalData_15[[#This Row],[item_key]],IsITypeList,Table_ExternalData_15[[#This Row],[IType]],IsDList,Table_ExternalData_15[[#Headers],[5]])</f>
        <v>0</v>
      </c>
      <c r="J24" s="10">
        <f>SUMIFS(IsQList,IsIList,Table_ExternalData_15[[#This Row],[item_key]],IsITypeList,Table_ExternalData_15[[#This Row],[IType]],IsDList,Table_ExternalData_15[[#Headers],[6]])</f>
        <v>0</v>
      </c>
      <c r="K24" s="10">
        <f>SUMIFS(IsQList,IsIList,Table_ExternalData_15[[#This Row],[item_key]],IsITypeList,Table_ExternalData_15[[#This Row],[IType]],IsDList,Table_ExternalData_15[[#Headers],[7]])</f>
        <v>0</v>
      </c>
      <c r="L24" s="10">
        <f>SUMIFS(IsQList,IsIList,Table_ExternalData_15[[#This Row],[item_key]],IsITypeList,Table_ExternalData_15[[#This Row],[IType]],IsDList,Table_ExternalData_15[[#Headers],[8]])</f>
        <v>0</v>
      </c>
      <c r="M24" s="10">
        <f>SUMIFS(IsQList,IsIList,Table_ExternalData_15[[#This Row],[item_key]],IsITypeList,Table_ExternalData_15[[#This Row],[IType]],IsDList,Table_ExternalData_15[[#Headers],[9]])</f>
        <v>0</v>
      </c>
      <c r="N24" s="10">
        <f>SUMIFS(IsQList,IsIList,Table_ExternalData_15[[#This Row],[item_key]],IsITypeList,Table_ExternalData_15[[#This Row],[IType]],IsDList,Table_ExternalData_15[[#Headers],[10]])</f>
        <v>0</v>
      </c>
      <c r="O24" s="10">
        <f>SUMIFS(IsQList,IsIList,Table_ExternalData_15[[#This Row],[item_key]],IsITypeList,Table_ExternalData_15[[#This Row],[IType]],IsDList,Table_ExternalData_15[[#Headers],[11]])</f>
        <v>0</v>
      </c>
      <c r="P24" s="10">
        <f>SUMIFS(IsQList,IsIList,Table_ExternalData_15[[#This Row],[item_key]],IsITypeList,Table_ExternalData_15[[#This Row],[IType]],IsDList,Table_ExternalData_15[[#Headers],[12]])</f>
        <v>0</v>
      </c>
      <c r="Q24" s="10">
        <f>SUMIFS(IsQList,IsIList,Table_ExternalData_15[[#This Row],[item_key]],IsITypeList,Table_ExternalData_15[[#This Row],[IType]],IsDList,Table_ExternalData_15[[#Headers],[13]])</f>
        <v>0</v>
      </c>
      <c r="R24" s="10">
        <f>SUMIFS(IsQList,IsIList,Table_ExternalData_15[[#This Row],[item_key]],IsITypeList,Table_ExternalData_15[[#This Row],[IType]],IsDList,Table_ExternalData_15[[#Headers],[14]])</f>
        <v>0</v>
      </c>
      <c r="S24" s="10">
        <f>SUMIFS(IsQList,IsIList,Table_ExternalData_15[[#This Row],[item_key]],IsITypeList,Table_ExternalData_15[[#This Row],[IType]],IsDList,Table_ExternalData_15[[#Headers],[15]])</f>
        <v>0</v>
      </c>
      <c r="T24" s="10">
        <f>SUMIFS(IsQList,IsIList,Table_ExternalData_15[[#This Row],[item_key]],IsITypeList,Table_ExternalData_15[[#This Row],[IType]],IsDList,Table_ExternalData_15[[#Headers],[16]])</f>
        <v>0</v>
      </c>
      <c r="U24" s="10">
        <f>SUMIFS(IsQList,IsIList,Table_ExternalData_15[[#This Row],[item_key]],IsITypeList,Table_ExternalData_15[[#This Row],[IType]],IsDList,Table_ExternalData_15[[#Headers],[17]])</f>
        <v>0</v>
      </c>
      <c r="V24" s="10">
        <f>SUMIFS(IsQList,IsIList,Table_ExternalData_15[[#This Row],[item_key]],IsITypeList,Table_ExternalData_15[[#This Row],[IType]],IsDList,Table_ExternalData_15[[#Headers],[18]])</f>
        <v>0</v>
      </c>
      <c r="W24" s="10">
        <f>SUMIFS(IsQList,IsIList,Table_ExternalData_15[[#This Row],[item_key]],IsITypeList,Table_ExternalData_15[[#This Row],[IType]],IsDList,Table_ExternalData_15[[#Headers],[19]])</f>
        <v>0</v>
      </c>
      <c r="X24" s="10">
        <f>SUMIFS(IsQList,IsIList,Table_ExternalData_15[[#This Row],[item_key]],IsITypeList,Table_ExternalData_15[[#This Row],[IType]],IsDList,Table_ExternalData_15[[#Headers],[20]])</f>
        <v>0</v>
      </c>
      <c r="Y24" s="10">
        <f>SUMIFS(IsQList,IsIList,Table_ExternalData_15[[#This Row],[item_key]],IsITypeList,Table_ExternalData_15[[#This Row],[IType]],IsDList,Table_ExternalData_15[[#Headers],[21]])</f>
        <v>0</v>
      </c>
      <c r="Z24" s="10">
        <f>SUMIFS(IsQList,IsIList,Table_ExternalData_15[[#This Row],[item_key]],IsITypeList,Table_ExternalData_15[[#This Row],[IType]],IsDList,Table_ExternalData_15[[#Headers],[22]])</f>
        <v>0</v>
      </c>
      <c r="AA24" s="10">
        <f>SUMIFS(IsQList,IsIList,Table_ExternalData_15[[#This Row],[item_key]],IsITypeList,Table_ExternalData_15[[#This Row],[IType]],IsDList,Table_ExternalData_15[[#Headers],[23]])</f>
        <v>0</v>
      </c>
      <c r="AB24" s="10">
        <f>SUMIFS(IsQList,IsIList,Table_ExternalData_15[[#This Row],[item_key]],IsITypeList,Table_ExternalData_15[[#This Row],[IType]],IsDList,Table_ExternalData_15[[#Headers],[24]])</f>
        <v>0</v>
      </c>
      <c r="AC24" s="10">
        <f>SUMIFS(IsQList,IsIList,Table_ExternalData_15[[#This Row],[item_key]],IsITypeList,Table_ExternalData_15[[#This Row],[IType]],IsDList,Table_ExternalData_15[[#Headers],[25]])</f>
        <v>0</v>
      </c>
      <c r="AD24" s="10">
        <f>SUMIFS(IsQList,IsIList,Table_ExternalData_15[[#This Row],[item_key]],IsITypeList,Table_ExternalData_15[[#This Row],[IType]],IsDList,Table_ExternalData_15[[#Headers],[26]])</f>
        <v>0</v>
      </c>
      <c r="AE24" s="10">
        <f>SUMIFS(IsQList,IsIList,Table_ExternalData_15[[#This Row],[item_key]],IsITypeList,Table_ExternalData_15[[#This Row],[IType]],IsDList,Table_ExternalData_15[[#Headers],[27]])</f>
        <v>0</v>
      </c>
      <c r="AF24" s="10">
        <f>SUMIFS(IsQList,IsIList,Table_ExternalData_15[[#This Row],[item_key]],IsITypeList,Table_ExternalData_15[[#This Row],[IType]],IsDList,Table_ExternalData_15[[#Headers],[28]])</f>
        <v>0</v>
      </c>
      <c r="AG24" s="10">
        <f>SUMIFS(IsQList,IsIList,Table_ExternalData_15[[#This Row],[item_key]],IsITypeList,Table_ExternalData_15[[#This Row],[IType]],IsDList,Table_ExternalData_15[[#Headers],[29]])</f>
        <v>0</v>
      </c>
      <c r="AH24" s="10">
        <f>SUMIFS(IsQList,IsIList,Table_ExternalData_15[[#This Row],[item_key]],IsITypeList,Table_ExternalData_15[[#This Row],[IType]],IsDList,Table_ExternalData_15[[#Headers],[30]])</f>
        <v>3</v>
      </c>
      <c r="AI24" s="10">
        <f>SUMIFS(IsQList,IsIList,Table_ExternalData_15[[#This Row],[item_key]],IsITypeList,Table_ExternalData_15[[#This Row],[IType]],IsDList,Table_ExternalData_15[[#Headers],[31]])</f>
        <v>0</v>
      </c>
      <c r="AJ24" s="10">
        <f>SUM(Table_ExternalData_15[[#This Row],[1]:[31]])</f>
        <v>3</v>
      </c>
    </row>
    <row r="25" spans="1:36">
      <c r="A25" s="1" t="s">
        <v>252</v>
      </c>
      <c r="B25" s="1" t="s">
        <v>2367</v>
      </c>
      <c r="C25" s="1" t="s">
        <v>2368</v>
      </c>
      <c r="D25" s="11" t="s">
        <v>72</v>
      </c>
      <c r="E25" s="10">
        <f>SUMIFS(IsQList,IsIList,Table_ExternalData_15[[#This Row],[item_key]],IsITypeList,Table_ExternalData_15[[#This Row],[IType]],IsDList,Table_ExternalData_15[[#Headers],[1]])</f>
        <v>0</v>
      </c>
      <c r="F25" s="10">
        <f>SUMIFS(IsQList,IsIList,Table_ExternalData_15[[#This Row],[item_key]],IsITypeList,Table_ExternalData_15[[#This Row],[IType]],IsDList,Table_ExternalData_15[[#Headers],[2]])</f>
        <v>0</v>
      </c>
      <c r="G25" s="10">
        <f>SUMIFS(IsQList,IsIList,Table_ExternalData_15[[#This Row],[item_key]],IsITypeList,Table_ExternalData_15[[#This Row],[IType]],IsDList,Table_ExternalData_15[[#Headers],[3]])</f>
        <v>0</v>
      </c>
      <c r="H25" s="10">
        <f>SUMIFS(IsQList,IsIList,Table_ExternalData_15[[#This Row],[item_key]],IsITypeList,Table_ExternalData_15[[#This Row],[IType]],IsDList,Table_ExternalData_15[[#Headers],[4]])</f>
        <v>0</v>
      </c>
      <c r="I25" s="10">
        <f>SUMIFS(IsQList,IsIList,Table_ExternalData_15[[#This Row],[item_key]],IsITypeList,Table_ExternalData_15[[#This Row],[IType]],IsDList,Table_ExternalData_15[[#Headers],[5]])</f>
        <v>0</v>
      </c>
      <c r="J25" s="10">
        <f>SUMIFS(IsQList,IsIList,Table_ExternalData_15[[#This Row],[item_key]],IsITypeList,Table_ExternalData_15[[#This Row],[IType]],IsDList,Table_ExternalData_15[[#Headers],[6]])</f>
        <v>0</v>
      </c>
      <c r="K25" s="10">
        <f>SUMIFS(IsQList,IsIList,Table_ExternalData_15[[#This Row],[item_key]],IsITypeList,Table_ExternalData_15[[#This Row],[IType]],IsDList,Table_ExternalData_15[[#Headers],[7]])</f>
        <v>0</v>
      </c>
      <c r="L25" s="10">
        <f>SUMIFS(IsQList,IsIList,Table_ExternalData_15[[#This Row],[item_key]],IsITypeList,Table_ExternalData_15[[#This Row],[IType]],IsDList,Table_ExternalData_15[[#Headers],[8]])</f>
        <v>0</v>
      </c>
      <c r="M25" s="10">
        <f>SUMIFS(IsQList,IsIList,Table_ExternalData_15[[#This Row],[item_key]],IsITypeList,Table_ExternalData_15[[#This Row],[IType]],IsDList,Table_ExternalData_15[[#Headers],[9]])</f>
        <v>0</v>
      </c>
      <c r="N25" s="10">
        <f>SUMIFS(IsQList,IsIList,Table_ExternalData_15[[#This Row],[item_key]],IsITypeList,Table_ExternalData_15[[#This Row],[IType]],IsDList,Table_ExternalData_15[[#Headers],[10]])</f>
        <v>0</v>
      </c>
      <c r="O25" s="10">
        <f>SUMIFS(IsQList,IsIList,Table_ExternalData_15[[#This Row],[item_key]],IsITypeList,Table_ExternalData_15[[#This Row],[IType]],IsDList,Table_ExternalData_15[[#Headers],[11]])</f>
        <v>0</v>
      </c>
      <c r="P25" s="10">
        <f>SUMIFS(IsQList,IsIList,Table_ExternalData_15[[#This Row],[item_key]],IsITypeList,Table_ExternalData_15[[#This Row],[IType]],IsDList,Table_ExternalData_15[[#Headers],[12]])</f>
        <v>0</v>
      </c>
      <c r="Q25" s="10">
        <f>SUMIFS(IsQList,IsIList,Table_ExternalData_15[[#This Row],[item_key]],IsITypeList,Table_ExternalData_15[[#This Row],[IType]],IsDList,Table_ExternalData_15[[#Headers],[13]])</f>
        <v>0</v>
      </c>
      <c r="R25" s="10">
        <f>SUMIFS(IsQList,IsIList,Table_ExternalData_15[[#This Row],[item_key]],IsITypeList,Table_ExternalData_15[[#This Row],[IType]],IsDList,Table_ExternalData_15[[#Headers],[14]])</f>
        <v>0</v>
      </c>
      <c r="S25" s="10">
        <f>SUMIFS(IsQList,IsIList,Table_ExternalData_15[[#This Row],[item_key]],IsITypeList,Table_ExternalData_15[[#This Row],[IType]],IsDList,Table_ExternalData_15[[#Headers],[15]])</f>
        <v>0</v>
      </c>
      <c r="T25" s="10">
        <f>SUMIFS(IsQList,IsIList,Table_ExternalData_15[[#This Row],[item_key]],IsITypeList,Table_ExternalData_15[[#This Row],[IType]],IsDList,Table_ExternalData_15[[#Headers],[16]])</f>
        <v>0</v>
      </c>
      <c r="U25" s="10">
        <f>SUMIFS(IsQList,IsIList,Table_ExternalData_15[[#This Row],[item_key]],IsITypeList,Table_ExternalData_15[[#This Row],[IType]],IsDList,Table_ExternalData_15[[#Headers],[17]])</f>
        <v>0</v>
      </c>
      <c r="V25" s="10">
        <f>SUMIFS(IsQList,IsIList,Table_ExternalData_15[[#This Row],[item_key]],IsITypeList,Table_ExternalData_15[[#This Row],[IType]],IsDList,Table_ExternalData_15[[#Headers],[18]])</f>
        <v>0</v>
      </c>
      <c r="W25" s="10">
        <f>SUMIFS(IsQList,IsIList,Table_ExternalData_15[[#This Row],[item_key]],IsITypeList,Table_ExternalData_15[[#This Row],[IType]],IsDList,Table_ExternalData_15[[#Headers],[19]])</f>
        <v>0</v>
      </c>
      <c r="X25" s="10">
        <f>SUMIFS(IsQList,IsIList,Table_ExternalData_15[[#This Row],[item_key]],IsITypeList,Table_ExternalData_15[[#This Row],[IType]],IsDList,Table_ExternalData_15[[#Headers],[20]])</f>
        <v>0</v>
      </c>
      <c r="Y25" s="10">
        <f>SUMIFS(IsQList,IsIList,Table_ExternalData_15[[#This Row],[item_key]],IsITypeList,Table_ExternalData_15[[#This Row],[IType]],IsDList,Table_ExternalData_15[[#Headers],[21]])</f>
        <v>0</v>
      </c>
      <c r="Z25" s="10">
        <f>SUMIFS(IsQList,IsIList,Table_ExternalData_15[[#This Row],[item_key]],IsITypeList,Table_ExternalData_15[[#This Row],[IType]],IsDList,Table_ExternalData_15[[#Headers],[22]])</f>
        <v>0</v>
      </c>
      <c r="AA25" s="10">
        <f>SUMIFS(IsQList,IsIList,Table_ExternalData_15[[#This Row],[item_key]],IsITypeList,Table_ExternalData_15[[#This Row],[IType]],IsDList,Table_ExternalData_15[[#Headers],[23]])</f>
        <v>0</v>
      </c>
      <c r="AB25" s="10">
        <f>SUMIFS(IsQList,IsIList,Table_ExternalData_15[[#This Row],[item_key]],IsITypeList,Table_ExternalData_15[[#This Row],[IType]],IsDList,Table_ExternalData_15[[#Headers],[24]])</f>
        <v>0</v>
      </c>
      <c r="AC25" s="10">
        <f>SUMIFS(IsQList,IsIList,Table_ExternalData_15[[#This Row],[item_key]],IsITypeList,Table_ExternalData_15[[#This Row],[IType]],IsDList,Table_ExternalData_15[[#Headers],[25]])</f>
        <v>0</v>
      </c>
      <c r="AD25" s="10">
        <f>SUMIFS(IsQList,IsIList,Table_ExternalData_15[[#This Row],[item_key]],IsITypeList,Table_ExternalData_15[[#This Row],[IType]],IsDList,Table_ExternalData_15[[#Headers],[26]])</f>
        <v>0</v>
      </c>
      <c r="AE25" s="10">
        <f>SUMIFS(IsQList,IsIList,Table_ExternalData_15[[#This Row],[item_key]],IsITypeList,Table_ExternalData_15[[#This Row],[IType]],IsDList,Table_ExternalData_15[[#Headers],[27]])</f>
        <v>0</v>
      </c>
      <c r="AF25" s="10">
        <f>SUMIFS(IsQList,IsIList,Table_ExternalData_15[[#This Row],[item_key]],IsITypeList,Table_ExternalData_15[[#This Row],[IType]],IsDList,Table_ExternalData_15[[#Headers],[28]])</f>
        <v>0</v>
      </c>
      <c r="AG25" s="10">
        <f>SUMIFS(IsQList,IsIList,Table_ExternalData_15[[#This Row],[item_key]],IsITypeList,Table_ExternalData_15[[#This Row],[IType]],IsDList,Table_ExternalData_15[[#Headers],[29]])</f>
        <v>0</v>
      </c>
      <c r="AH25" s="10">
        <f>SUMIFS(IsQList,IsIList,Table_ExternalData_15[[#This Row],[item_key]],IsITypeList,Table_ExternalData_15[[#This Row],[IType]],IsDList,Table_ExternalData_15[[#Headers],[30]])</f>
        <v>63</v>
      </c>
      <c r="AI25" s="10">
        <f>SUMIFS(IsQList,IsIList,Table_ExternalData_15[[#This Row],[item_key]],IsITypeList,Table_ExternalData_15[[#This Row],[IType]],IsDList,Table_ExternalData_15[[#Headers],[31]])</f>
        <v>0</v>
      </c>
      <c r="AJ25" s="10">
        <f>SUM(Table_ExternalData_15[[#This Row],[1]:[31]])</f>
        <v>63</v>
      </c>
    </row>
    <row r="26" spans="1:36">
      <c r="A26" s="1" t="s">
        <v>253</v>
      </c>
      <c r="B26" s="1" t="s">
        <v>2452</v>
      </c>
      <c r="C26" s="1" t="s">
        <v>2453</v>
      </c>
      <c r="D26" s="11" t="s">
        <v>72</v>
      </c>
      <c r="E26" s="10">
        <f>SUMIFS(IsQList,IsIList,Table_ExternalData_15[[#This Row],[item_key]],IsITypeList,Table_ExternalData_15[[#This Row],[IType]],IsDList,Table_ExternalData_15[[#Headers],[1]])</f>
        <v>0</v>
      </c>
      <c r="F26" s="10">
        <f>SUMIFS(IsQList,IsIList,Table_ExternalData_15[[#This Row],[item_key]],IsITypeList,Table_ExternalData_15[[#This Row],[IType]],IsDList,Table_ExternalData_15[[#Headers],[2]])</f>
        <v>0</v>
      </c>
      <c r="G26" s="10">
        <f>SUMIFS(IsQList,IsIList,Table_ExternalData_15[[#This Row],[item_key]],IsITypeList,Table_ExternalData_15[[#This Row],[IType]],IsDList,Table_ExternalData_15[[#Headers],[3]])</f>
        <v>0</v>
      </c>
      <c r="H26" s="10">
        <f>SUMIFS(IsQList,IsIList,Table_ExternalData_15[[#This Row],[item_key]],IsITypeList,Table_ExternalData_15[[#This Row],[IType]],IsDList,Table_ExternalData_15[[#Headers],[4]])</f>
        <v>0</v>
      </c>
      <c r="I26" s="10">
        <f>SUMIFS(IsQList,IsIList,Table_ExternalData_15[[#This Row],[item_key]],IsITypeList,Table_ExternalData_15[[#This Row],[IType]],IsDList,Table_ExternalData_15[[#Headers],[5]])</f>
        <v>0</v>
      </c>
      <c r="J26" s="10">
        <f>SUMIFS(IsQList,IsIList,Table_ExternalData_15[[#This Row],[item_key]],IsITypeList,Table_ExternalData_15[[#This Row],[IType]],IsDList,Table_ExternalData_15[[#Headers],[6]])</f>
        <v>3</v>
      </c>
      <c r="K26" s="10">
        <f>SUMIFS(IsQList,IsIList,Table_ExternalData_15[[#This Row],[item_key]],IsITypeList,Table_ExternalData_15[[#This Row],[IType]],IsDList,Table_ExternalData_15[[#Headers],[7]])</f>
        <v>0</v>
      </c>
      <c r="L26" s="10">
        <f>SUMIFS(IsQList,IsIList,Table_ExternalData_15[[#This Row],[item_key]],IsITypeList,Table_ExternalData_15[[#This Row],[IType]],IsDList,Table_ExternalData_15[[#Headers],[8]])</f>
        <v>0</v>
      </c>
      <c r="M26" s="10">
        <f>SUMIFS(IsQList,IsIList,Table_ExternalData_15[[#This Row],[item_key]],IsITypeList,Table_ExternalData_15[[#This Row],[IType]],IsDList,Table_ExternalData_15[[#Headers],[9]])</f>
        <v>0</v>
      </c>
      <c r="N26" s="10">
        <f>SUMIFS(IsQList,IsIList,Table_ExternalData_15[[#This Row],[item_key]],IsITypeList,Table_ExternalData_15[[#This Row],[IType]],IsDList,Table_ExternalData_15[[#Headers],[10]])</f>
        <v>0</v>
      </c>
      <c r="O26" s="10">
        <f>SUMIFS(IsQList,IsIList,Table_ExternalData_15[[#This Row],[item_key]],IsITypeList,Table_ExternalData_15[[#This Row],[IType]],IsDList,Table_ExternalData_15[[#Headers],[11]])</f>
        <v>0</v>
      </c>
      <c r="P26" s="10">
        <f>SUMIFS(IsQList,IsIList,Table_ExternalData_15[[#This Row],[item_key]],IsITypeList,Table_ExternalData_15[[#This Row],[IType]],IsDList,Table_ExternalData_15[[#Headers],[12]])</f>
        <v>0</v>
      </c>
      <c r="Q26" s="10">
        <f>SUMIFS(IsQList,IsIList,Table_ExternalData_15[[#This Row],[item_key]],IsITypeList,Table_ExternalData_15[[#This Row],[IType]],IsDList,Table_ExternalData_15[[#Headers],[13]])</f>
        <v>0</v>
      </c>
      <c r="R26" s="10">
        <f>SUMIFS(IsQList,IsIList,Table_ExternalData_15[[#This Row],[item_key]],IsITypeList,Table_ExternalData_15[[#This Row],[IType]],IsDList,Table_ExternalData_15[[#Headers],[14]])</f>
        <v>0</v>
      </c>
      <c r="S26" s="10">
        <f>SUMIFS(IsQList,IsIList,Table_ExternalData_15[[#This Row],[item_key]],IsITypeList,Table_ExternalData_15[[#This Row],[IType]],IsDList,Table_ExternalData_15[[#Headers],[15]])</f>
        <v>0</v>
      </c>
      <c r="T26" s="10">
        <f>SUMIFS(IsQList,IsIList,Table_ExternalData_15[[#This Row],[item_key]],IsITypeList,Table_ExternalData_15[[#This Row],[IType]],IsDList,Table_ExternalData_15[[#Headers],[16]])</f>
        <v>0</v>
      </c>
      <c r="U26" s="10">
        <f>SUMIFS(IsQList,IsIList,Table_ExternalData_15[[#This Row],[item_key]],IsITypeList,Table_ExternalData_15[[#This Row],[IType]],IsDList,Table_ExternalData_15[[#Headers],[17]])</f>
        <v>0</v>
      </c>
      <c r="V26" s="10">
        <f>SUMIFS(IsQList,IsIList,Table_ExternalData_15[[#This Row],[item_key]],IsITypeList,Table_ExternalData_15[[#This Row],[IType]],IsDList,Table_ExternalData_15[[#Headers],[18]])</f>
        <v>0</v>
      </c>
      <c r="W26" s="10">
        <f>SUMIFS(IsQList,IsIList,Table_ExternalData_15[[#This Row],[item_key]],IsITypeList,Table_ExternalData_15[[#This Row],[IType]],IsDList,Table_ExternalData_15[[#Headers],[19]])</f>
        <v>0</v>
      </c>
      <c r="X26" s="10">
        <f>SUMIFS(IsQList,IsIList,Table_ExternalData_15[[#This Row],[item_key]],IsITypeList,Table_ExternalData_15[[#This Row],[IType]],IsDList,Table_ExternalData_15[[#Headers],[20]])</f>
        <v>0</v>
      </c>
      <c r="Y26" s="10">
        <f>SUMIFS(IsQList,IsIList,Table_ExternalData_15[[#This Row],[item_key]],IsITypeList,Table_ExternalData_15[[#This Row],[IType]],IsDList,Table_ExternalData_15[[#Headers],[21]])</f>
        <v>0</v>
      </c>
      <c r="Z26" s="10">
        <f>SUMIFS(IsQList,IsIList,Table_ExternalData_15[[#This Row],[item_key]],IsITypeList,Table_ExternalData_15[[#This Row],[IType]],IsDList,Table_ExternalData_15[[#Headers],[22]])</f>
        <v>0</v>
      </c>
      <c r="AA26" s="10">
        <f>SUMIFS(IsQList,IsIList,Table_ExternalData_15[[#This Row],[item_key]],IsITypeList,Table_ExternalData_15[[#This Row],[IType]],IsDList,Table_ExternalData_15[[#Headers],[23]])</f>
        <v>0</v>
      </c>
      <c r="AB26" s="10">
        <f>SUMIFS(IsQList,IsIList,Table_ExternalData_15[[#This Row],[item_key]],IsITypeList,Table_ExternalData_15[[#This Row],[IType]],IsDList,Table_ExternalData_15[[#Headers],[24]])</f>
        <v>21</v>
      </c>
      <c r="AC26" s="10">
        <f>SUMIFS(IsQList,IsIList,Table_ExternalData_15[[#This Row],[item_key]],IsITypeList,Table_ExternalData_15[[#This Row],[IType]],IsDList,Table_ExternalData_15[[#Headers],[25]])</f>
        <v>0</v>
      </c>
      <c r="AD26" s="10">
        <f>SUMIFS(IsQList,IsIList,Table_ExternalData_15[[#This Row],[item_key]],IsITypeList,Table_ExternalData_15[[#This Row],[IType]],IsDList,Table_ExternalData_15[[#Headers],[26]])</f>
        <v>0</v>
      </c>
      <c r="AE26" s="10">
        <f>SUMIFS(IsQList,IsIList,Table_ExternalData_15[[#This Row],[item_key]],IsITypeList,Table_ExternalData_15[[#This Row],[IType]],IsDList,Table_ExternalData_15[[#Headers],[27]])</f>
        <v>0</v>
      </c>
      <c r="AF26" s="10">
        <f>SUMIFS(IsQList,IsIList,Table_ExternalData_15[[#This Row],[item_key]],IsITypeList,Table_ExternalData_15[[#This Row],[IType]],IsDList,Table_ExternalData_15[[#Headers],[28]])</f>
        <v>0</v>
      </c>
      <c r="AG26" s="10">
        <f>SUMIFS(IsQList,IsIList,Table_ExternalData_15[[#This Row],[item_key]],IsITypeList,Table_ExternalData_15[[#This Row],[IType]],IsDList,Table_ExternalData_15[[#Headers],[29]])</f>
        <v>0</v>
      </c>
      <c r="AH26" s="10">
        <f>SUMIFS(IsQList,IsIList,Table_ExternalData_15[[#This Row],[item_key]],IsITypeList,Table_ExternalData_15[[#This Row],[IType]],IsDList,Table_ExternalData_15[[#Headers],[30]])</f>
        <v>7</v>
      </c>
      <c r="AI26" s="10">
        <f>SUMIFS(IsQList,IsIList,Table_ExternalData_15[[#This Row],[item_key]],IsITypeList,Table_ExternalData_15[[#This Row],[IType]],IsDList,Table_ExternalData_15[[#Headers],[31]])</f>
        <v>0</v>
      </c>
      <c r="AJ26" s="10">
        <f>SUM(Table_ExternalData_15[[#This Row],[1]:[31]])</f>
        <v>31</v>
      </c>
    </row>
    <row r="27" spans="1:36">
      <c r="A27" s="1" t="s">
        <v>258</v>
      </c>
      <c r="B27" s="1" t="s">
        <v>1221</v>
      </c>
      <c r="C27" s="1" t="s">
        <v>1222</v>
      </c>
      <c r="D27" s="11" t="s">
        <v>72</v>
      </c>
      <c r="E27" s="10">
        <f>SUMIFS(IsQList,IsIList,Table_ExternalData_15[[#This Row],[item_key]],IsITypeList,Table_ExternalData_15[[#This Row],[IType]],IsDList,Table_ExternalData_15[[#Headers],[1]])</f>
        <v>0</v>
      </c>
      <c r="F27" s="10">
        <f>SUMIFS(IsQList,IsIList,Table_ExternalData_15[[#This Row],[item_key]],IsITypeList,Table_ExternalData_15[[#This Row],[IType]],IsDList,Table_ExternalData_15[[#Headers],[2]])</f>
        <v>0</v>
      </c>
      <c r="G27" s="10">
        <f>SUMIFS(IsQList,IsIList,Table_ExternalData_15[[#This Row],[item_key]],IsITypeList,Table_ExternalData_15[[#This Row],[IType]],IsDList,Table_ExternalData_15[[#Headers],[3]])</f>
        <v>0</v>
      </c>
      <c r="H27" s="10">
        <f>SUMIFS(IsQList,IsIList,Table_ExternalData_15[[#This Row],[item_key]],IsITypeList,Table_ExternalData_15[[#This Row],[IType]],IsDList,Table_ExternalData_15[[#Headers],[4]])</f>
        <v>0</v>
      </c>
      <c r="I27" s="10">
        <f>SUMIFS(IsQList,IsIList,Table_ExternalData_15[[#This Row],[item_key]],IsITypeList,Table_ExternalData_15[[#This Row],[IType]],IsDList,Table_ExternalData_15[[#Headers],[5]])</f>
        <v>0</v>
      </c>
      <c r="J27" s="10">
        <f>SUMIFS(IsQList,IsIList,Table_ExternalData_15[[#This Row],[item_key]],IsITypeList,Table_ExternalData_15[[#This Row],[IType]],IsDList,Table_ExternalData_15[[#Headers],[6]])</f>
        <v>3</v>
      </c>
      <c r="K27" s="10">
        <f>SUMIFS(IsQList,IsIList,Table_ExternalData_15[[#This Row],[item_key]],IsITypeList,Table_ExternalData_15[[#This Row],[IType]],IsDList,Table_ExternalData_15[[#Headers],[7]])</f>
        <v>0</v>
      </c>
      <c r="L27" s="10">
        <f>SUMIFS(IsQList,IsIList,Table_ExternalData_15[[#This Row],[item_key]],IsITypeList,Table_ExternalData_15[[#This Row],[IType]],IsDList,Table_ExternalData_15[[#Headers],[8]])</f>
        <v>0</v>
      </c>
      <c r="M27" s="10">
        <f>SUMIFS(IsQList,IsIList,Table_ExternalData_15[[#This Row],[item_key]],IsITypeList,Table_ExternalData_15[[#This Row],[IType]],IsDList,Table_ExternalData_15[[#Headers],[9]])</f>
        <v>0</v>
      </c>
      <c r="N27" s="10">
        <f>SUMIFS(IsQList,IsIList,Table_ExternalData_15[[#This Row],[item_key]],IsITypeList,Table_ExternalData_15[[#This Row],[IType]],IsDList,Table_ExternalData_15[[#Headers],[10]])</f>
        <v>0</v>
      </c>
      <c r="O27" s="10">
        <f>SUMIFS(IsQList,IsIList,Table_ExternalData_15[[#This Row],[item_key]],IsITypeList,Table_ExternalData_15[[#This Row],[IType]],IsDList,Table_ExternalData_15[[#Headers],[11]])</f>
        <v>0</v>
      </c>
      <c r="P27" s="10">
        <f>SUMIFS(IsQList,IsIList,Table_ExternalData_15[[#This Row],[item_key]],IsITypeList,Table_ExternalData_15[[#This Row],[IType]],IsDList,Table_ExternalData_15[[#Headers],[12]])</f>
        <v>0</v>
      </c>
      <c r="Q27" s="10">
        <f>SUMIFS(IsQList,IsIList,Table_ExternalData_15[[#This Row],[item_key]],IsITypeList,Table_ExternalData_15[[#This Row],[IType]],IsDList,Table_ExternalData_15[[#Headers],[13]])</f>
        <v>0</v>
      </c>
      <c r="R27" s="10">
        <f>SUMIFS(IsQList,IsIList,Table_ExternalData_15[[#This Row],[item_key]],IsITypeList,Table_ExternalData_15[[#This Row],[IType]],IsDList,Table_ExternalData_15[[#Headers],[14]])</f>
        <v>0</v>
      </c>
      <c r="S27" s="10">
        <f>SUMIFS(IsQList,IsIList,Table_ExternalData_15[[#This Row],[item_key]],IsITypeList,Table_ExternalData_15[[#This Row],[IType]],IsDList,Table_ExternalData_15[[#Headers],[15]])</f>
        <v>0</v>
      </c>
      <c r="T27" s="10">
        <f>SUMIFS(IsQList,IsIList,Table_ExternalData_15[[#This Row],[item_key]],IsITypeList,Table_ExternalData_15[[#This Row],[IType]],IsDList,Table_ExternalData_15[[#Headers],[16]])</f>
        <v>20</v>
      </c>
      <c r="U27" s="10">
        <f>SUMIFS(IsQList,IsIList,Table_ExternalData_15[[#This Row],[item_key]],IsITypeList,Table_ExternalData_15[[#This Row],[IType]],IsDList,Table_ExternalData_15[[#Headers],[17]])</f>
        <v>0</v>
      </c>
      <c r="V27" s="10">
        <f>SUMIFS(IsQList,IsIList,Table_ExternalData_15[[#This Row],[item_key]],IsITypeList,Table_ExternalData_15[[#This Row],[IType]],IsDList,Table_ExternalData_15[[#Headers],[18]])</f>
        <v>0</v>
      </c>
      <c r="W27" s="10">
        <f>SUMIFS(IsQList,IsIList,Table_ExternalData_15[[#This Row],[item_key]],IsITypeList,Table_ExternalData_15[[#This Row],[IType]],IsDList,Table_ExternalData_15[[#Headers],[19]])</f>
        <v>0</v>
      </c>
      <c r="X27" s="10">
        <f>SUMIFS(IsQList,IsIList,Table_ExternalData_15[[#This Row],[item_key]],IsITypeList,Table_ExternalData_15[[#This Row],[IType]],IsDList,Table_ExternalData_15[[#Headers],[20]])</f>
        <v>0</v>
      </c>
      <c r="Y27" s="10">
        <f>SUMIFS(IsQList,IsIList,Table_ExternalData_15[[#This Row],[item_key]],IsITypeList,Table_ExternalData_15[[#This Row],[IType]],IsDList,Table_ExternalData_15[[#Headers],[21]])</f>
        <v>0</v>
      </c>
      <c r="Z27" s="10">
        <f>SUMIFS(IsQList,IsIList,Table_ExternalData_15[[#This Row],[item_key]],IsITypeList,Table_ExternalData_15[[#This Row],[IType]],IsDList,Table_ExternalData_15[[#Headers],[22]])</f>
        <v>0</v>
      </c>
      <c r="AA27" s="10">
        <f>SUMIFS(IsQList,IsIList,Table_ExternalData_15[[#This Row],[item_key]],IsITypeList,Table_ExternalData_15[[#This Row],[IType]],IsDList,Table_ExternalData_15[[#Headers],[23]])</f>
        <v>0</v>
      </c>
      <c r="AB27" s="10">
        <f>SUMIFS(IsQList,IsIList,Table_ExternalData_15[[#This Row],[item_key]],IsITypeList,Table_ExternalData_15[[#This Row],[IType]],IsDList,Table_ExternalData_15[[#Headers],[24]])</f>
        <v>0</v>
      </c>
      <c r="AC27" s="10">
        <f>SUMIFS(IsQList,IsIList,Table_ExternalData_15[[#This Row],[item_key]],IsITypeList,Table_ExternalData_15[[#This Row],[IType]],IsDList,Table_ExternalData_15[[#Headers],[25]])</f>
        <v>0</v>
      </c>
      <c r="AD27" s="10">
        <f>SUMIFS(IsQList,IsIList,Table_ExternalData_15[[#This Row],[item_key]],IsITypeList,Table_ExternalData_15[[#This Row],[IType]],IsDList,Table_ExternalData_15[[#Headers],[26]])</f>
        <v>0</v>
      </c>
      <c r="AE27" s="10">
        <f>SUMIFS(IsQList,IsIList,Table_ExternalData_15[[#This Row],[item_key]],IsITypeList,Table_ExternalData_15[[#This Row],[IType]],IsDList,Table_ExternalData_15[[#Headers],[27]])</f>
        <v>0</v>
      </c>
      <c r="AF27" s="10">
        <f>SUMIFS(IsQList,IsIList,Table_ExternalData_15[[#This Row],[item_key]],IsITypeList,Table_ExternalData_15[[#This Row],[IType]],IsDList,Table_ExternalData_15[[#Headers],[28]])</f>
        <v>0</v>
      </c>
      <c r="AG27" s="10">
        <f>SUMIFS(IsQList,IsIList,Table_ExternalData_15[[#This Row],[item_key]],IsITypeList,Table_ExternalData_15[[#This Row],[IType]],IsDList,Table_ExternalData_15[[#Headers],[29]])</f>
        <v>0</v>
      </c>
      <c r="AH27" s="10">
        <f>SUMIFS(IsQList,IsIList,Table_ExternalData_15[[#This Row],[item_key]],IsITypeList,Table_ExternalData_15[[#This Row],[IType]],IsDList,Table_ExternalData_15[[#Headers],[30]])</f>
        <v>42</v>
      </c>
      <c r="AI27" s="10">
        <f>SUMIFS(IsQList,IsIList,Table_ExternalData_15[[#This Row],[item_key]],IsITypeList,Table_ExternalData_15[[#This Row],[IType]],IsDList,Table_ExternalData_15[[#Headers],[31]])</f>
        <v>0</v>
      </c>
      <c r="AJ27" s="10">
        <f>SUM(Table_ExternalData_15[[#This Row],[1]:[31]])</f>
        <v>65</v>
      </c>
    </row>
    <row r="28" spans="1:36">
      <c r="A28" s="1" t="s">
        <v>259</v>
      </c>
      <c r="B28" s="1" t="s">
        <v>1223</v>
      </c>
      <c r="C28" s="1" t="s">
        <v>1224</v>
      </c>
      <c r="D28" s="11" t="s">
        <v>72</v>
      </c>
      <c r="E28" s="10">
        <f>SUMIFS(IsQList,IsIList,Table_ExternalData_15[[#This Row],[item_key]],IsITypeList,Table_ExternalData_15[[#This Row],[IType]],IsDList,Table_ExternalData_15[[#Headers],[1]])</f>
        <v>0</v>
      </c>
      <c r="F28" s="10">
        <f>SUMIFS(IsQList,IsIList,Table_ExternalData_15[[#This Row],[item_key]],IsITypeList,Table_ExternalData_15[[#This Row],[IType]],IsDList,Table_ExternalData_15[[#Headers],[2]])</f>
        <v>0</v>
      </c>
      <c r="G28" s="10">
        <f>SUMIFS(IsQList,IsIList,Table_ExternalData_15[[#This Row],[item_key]],IsITypeList,Table_ExternalData_15[[#This Row],[IType]],IsDList,Table_ExternalData_15[[#Headers],[3]])</f>
        <v>0</v>
      </c>
      <c r="H28" s="10">
        <f>SUMIFS(IsQList,IsIList,Table_ExternalData_15[[#This Row],[item_key]],IsITypeList,Table_ExternalData_15[[#This Row],[IType]],IsDList,Table_ExternalData_15[[#Headers],[4]])</f>
        <v>0</v>
      </c>
      <c r="I28" s="10">
        <f>SUMIFS(IsQList,IsIList,Table_ExternalData_15[[#This Row],[item_key]],IsITypeList,Table_ExternalData_15[[#This Row],[IType]],IsDList,Table_ExternalData_15[[#Headers],[5]])</f>
        <v>0</v>
      </c>
      <c r="J28" s="10">
        <f>SUMIFS(IsQList,IsIList,Table_ExternalData_15[[#This Row],[item_key]],IsITypeList,Table_ExternalData_15[[#This Row],[IType]],IsDList,Table_ExternalData_15[[#Headers],[6]])</f>
        <v>0</v>
      </c>
      <c r="K28" s="10">
        <f>SUMIFS(IsQList,IsIList,Table_ExternalData_15[[#This Row],[item_key]],IsITypeList,Table_ExternalData_15[[#This Row],[IType]],IsDList,Table_ExternalData_15[[#Headers],[7]])</f>
        <v>0</v>
      </c>
      <c r="L28" s="10">
        <f>SUMIFS(IsQList,IsIList,Table_ExternalData_15[[#This Row],[item_key]],IsITypeList,Table_ExternalData_15[[#This Row],[IType]],IsDList,Table_ExternalData_15[[#Headers],[8]])</f>
        <v>0</v>
      </c>
      <c r="M28" s="10">
        <f>SUMIFS(IsQList,IsIList,Table_ExternalData_15[[#This Row],[item_key]],IsITypeList,Table_ExternalData_15[[#This Row],[IType]],IsDList,Table_ExternalData_15[[#Headers],[9]])</f>
        <v>0</v>
      </c>
      <c r="N28" s="10">
        <f>SUMIFS(IsQList,IsIList,Table_ExternalData_15[[#This Row],[item_key]],IsITypeList,Table_ExternalData_15[[#This Row],[IType]],IsDList,Table_ExternalData_15[[#Headers],[10]])</f>
        <v>0</v>
      </c>
      <c r="O28" s="10">
        <f>SUMIFS(IsQList,IsIList,Table_ExternalData_15[[#This Row],[item_key]],IsITypeList,Table_ExternalData_15[[#This Row],[IType]],IsDList,Table_ExternalData_15[[#Headers],[11]])</f>
        <v>0</v>
      </c>
      <c r="P28" s="10">
        <f>SUMIFS(IsQList,IsIList,Table_ExternalData_15[[#This Row],[item_key]],IsITypeList,Table_ExternalData_15[[#This Row],[IType]],IsDList,Table_ExternalData_15[[#Headers],[12]])</f>
        <v>0</v>
      </c>
      <c r="Q28" s="10">
        <f>SUMIFS(IsQList,IsIList,Table_ExternalData_15[[#This Row],[item_key]],IsITypeList,Table_ExternalData_15[[#This Row],[IType]],IsDList,Table_ExternalData_15[[#Headers],[13]])</f>
        <v>0</v>
      </c>
      <c r="R28" s="10">
        <f>SUMIFS(IsQList,IsIList,Table_ExternalData_15[[#This Row],[item_key]],IsITypeList,Table_ExternalData_15[[#This Row],[IType]],IsDList,Table_ExternalData_15[[#Headers],[14]])</f>
        <v>0</v>
      </c>
      <c r="S28" s="10">
        <f>SUMIFS(IsQList,IsIList,Table_ExternalData_15[[#This Row],[item_key]],IsITypeList,Table_ExternalData_15[[#This Row],[IType]],IsDList,Table_ExternalData_15[[#Headers],[15]])</f>
        <v>0</v>
      </c>
      <c r="T28" s="10">
        <f>SUMIFS(IsQList,IsIList,Table_ExternalData_15[[#This Row],[item_key]],IsITypeList,Table_ExternalData_15[[#This Row],[IType]],IsDList,Table_ExternalData_15[[#Headers],[16]])</f>
        <v>0</v>
      </c>
      <c r="U28" s="10">
        <f>SUMIFS(IsQList,IsIList,Table_ExternalData_15[[#This Row],[item_key]],IsITypeList,Table_ExternalData_15[[#This Row],[IType]],IsDList,Table_ExternalData_15[[#Headers],[17]])</f>
        <v>0</v>
      </c>
      <c r="V28" s="10">
        <f>SUMIFS(IsQList,IsIList,Table_ExternalData_15[[#This Row],[item_key]],IsITypeList,Table_ExternalData_15[[#This Row],[IType]],IsDList,Table_ExternalData_15[[#Headers],[18]])</f>
        <v>0</v>
      </c>
      <c r="W28" s="10">
        <f>SUMIFS(IsQList,IsIList,Table_ExternalData_15[[#This Row],[item_key]],IsITypeList,Table_ExternalData_15[[#This Row],[IType]],IsDList,Table_ExternalData_15[[#Headers],[19]])</f>
        <v>0</v>
      </c>
      <c r="X28" s="10">
        <f>SUMIFS(IsQList,IsIList,Table_ExternalData_15[[#This Row],[item_key]],IsITypeList,Table_ExternalData_15[[#This Row],[IType]],IsDList,Table_ExternalData_15[[#Headers],[20]])</f>
        <v>0</v>
      </c>
      <c r="Y28" s="10">
        <f>SUMIFS(IsQList,IsIList,Table_ExternalData_15[[#This Row],[item_key]],IsITypeList,Table_ExternalData_15[[#This Row],[IType]],IsDList,Table_ExternalData_15[[#Headers],[21]])</f>
        <v>0</v>
      </c>
      <c r="Z28" s="10">
        <f>SUMIFS(IsQList,IsIList,Table_ExternalData_15[[#This Row],[item_key]],IsITypeList,Table_ExternalData_15[[#This Row],[IType]],IsDList,Table_ExternalData_15[[#Headers],[22]])</f>
        <v>0</v>
      </c>
      <c r="AA28" s="10">
        <f>SUMIFS(IsQList,IsIList,Table_ExternalData_15[[#This Row],[item_key]],IsITypeList,Table_ExternalData_15[[#This Row],[IType]],IsDList,Table_ExternalData_15[[#Headers],[23]])</f>
        <v>0</v>
      </c>
      <c r="AB28" s="10">
        <f>SUMIFS(IsQList,IsIList,Table_ExternalData_15[[#This Row],[item_key]],IsITypeList,Table_ExternalData_15[[#This Row],[IType]],IsDList,Table_ExternalData_15[[#Headers],[24]])</f>
        <v>0</v>
      </c>
      <c r="AC28" s="10">
        <f>SUMIFS(IsQList,IsIList,Table_ExternalData_15[[#This Row],[item_key]],IsITypeList,Table_ExternalData_15[[#This Row],[IType]],IsDList,Table_ExternalData_15[[#Headers],[25]])</f>
        <v>0</v>
      </c>
      <c r="AD28" s="10">
        <f>SUMIFS(IsQList,IsIList,Table_ExternalData_15[[#This Row],[item_key]],IsITypeList,Table_ExternalData_15[[#This Row],[IType]],IsDList,Table_ExternalData_15[[#Headers],[26]])</f>
        <v>0</v>
      </c>
      <c r="AE28" s="10">
        <f>SUMIFS(IsQList,IsIList,Table_ExternalData_15[[#This Row],[item_key]],IsITypeList,Table_ExternalData_15[[#This Row],[IType]],IsDList,Table_ExternalData_15[[#Headers],[27]])</f>
        <v>0</v>
      </c>
      <c r="AF28" s="10">
        <f>SUMIFS(IsQList,IsIList,Table_ExternalData_15[[#This Row],[item_key]],IsITypeList,Table_ExternalData_15[[#This Row],[IType]],IsDList,Table_ExternalData_15[[#Headers],[28]])</f>
        <v>0</v>
      </c>
      <c r="AG28" s="10">
        <f>SUMIFS(IsQList,IsIList,Table_ExternalData_15[[#This Row],[item_key]],IsITypeList,Table_ExternalData_15[[#This Row],[IType]],IsDList,Table_ExternalData_15[[#Headers],[29]])</f>
        <v>0</v>
      </c>
      <c r="AH28" s="10">
        <f>SUMIFS(IsQList,IsIList,Table_ExternalData_15[[#This Row],[item_key]],IsITypeList,Table_ExternalData_15[[#This Row],[IType]],IsDList,Table_ExternalData_15[[#Headers],[30]])</f>
        <v>0</v>
      </c>
      <c r="AI28" s="10">
        <f>SUMIFS(IsQList,IsIList,Table_ExternalData_15[[#This Row],[item_key]],IsITypeList,Table_ExternalData_15[[#This Row],[IType]],IsDList,Table_ExternalData_15[[#Headers],[31]])</f>
        <v>0</v>
      </c>
      <c r="AJ28" s="10">
        <f>SUM(Table_ExternalData_15[[#This Row],[1]:[31]])</f>
        <v>0</v>
      </c>
    </row>
    <row r="29" spans="1:36">
      <c r="A29" s="1" t="s">
        <v>272</v>
      </c>
      <c r="B29" s="1" t="s">
        <v>2454</v>
      </c>
      <c r="C29" s="1" t="s">
        <v>2455</v>
      </c>
      <c r="D29" s="11" t="s">
        <v>72</v>
      </c>
      <c r="E29" s="10">
        <f>SUMIFS(IsQList,IsIList,Table_ExternalData_15[[#This Row],[item_key]],IsITypeList,Table_ExternalData_15[[#This Row],[IType]],IsDList,Table_ExternalData_15[[#Headers],[1]])</f>
        <v>0</v>
      </c>
      <c r="F29" s="10">
        <f>SUMIFS(IsQList,IsIList,Table_ExternalData_15[[#This Row],[item_key]],IsITypeList,Table_ExternalData_15[[#This Row],[IType]],IsDList,Table_ExternalData_15[[#Headers],[2]])</f>
        <v>0</v>
      </c>
      <c r="G29" s="10">
        <f>SUMIFS(IsQList,IsIList,Table_ExternalData_15[[#This Row],[item_key]],IsITypeList,Table_ExternalData_15[[#This Row],[IType]],IsDList,Table_ExternalData_15[[#Headers],[3]])</f>
        <v>0</v>
      </c>
      <c r="H29" s="10">
        <f>SUMIFS(IsQList,IsIList,Table_ExternalData_15[[#This Row],[item_key]],IsITypeList,Table_ExternalData_15[[#This Row],[IType]],IsDList,Table_ExternalData_15[[#Headers],[4]])</f>
        <v>0</v>
      </c>
      <c r="I29" s="10">
        <f>SUMIFS(IsQList,IsIList,Table_ExternalData_15[[#This Row],[item_key]],IsITypeList,Table_ExternalData_15[[#This Row],[IType]],IsDList,Table_ExternalData_15[[#Headers],[5]])</f>
        <v>0</v>
      </c>
      <c r="J29" s="10">
        <f>SUMIFS(IsQList,IsIList,Table_ExternalData_15[[#This Row],[item_key]],IsITypeList,Table_ExternalData_15[[#This Row],[IType]],IsDList,Table_ExternalData_15[[#Headers],[6]])</f>
        <v>0</v>
      </c>
      <c r="K29" s="10">
        <f>SUMIFS(IsQList,IsIList,Table_ExternalData_15[[#This Row],[item_key]],IsITypeList,Table_ExternalData_15[[#This Row],[IType]],IsDList,Table_ExternalData_15[[#Headers],[7]])</f>
        <v>0</v>
      </c>
      <c r="L29" s="10">
        <f>SUMIFS(IsQList,IsIList,Table_ExternalData_15[[#This Row],[item_key]],IsITypeList,Table_ExternalData_15[[#This Row],[IType]],IsDList,Table_ExternalData_15[[#Headers],[8]])</f>
        <v>0</v>
      </c>
      <c r="M29" s="10">
        <f>SUMIFS(IsQList,IsIList,Table_ExternalData_15[[#This Row],[item_key]],IsITypeList,Table_ExternalData_15[[#This Row],[IType]],IsDList,Table_ExternalData_15[[#Headers],[9]])</f>
        <v>0</v>
      </c>
      <c r="N29" s="10">
        <f>SUMIFS(IsQList,IsIList,Table_ExternalData_15[[#This Row],[item_key]],IsITypeList,Table_ExternalData_15[[#This Row],[IType]],IsDList,Table_ExternalData_15[[#Headers],[10]])</f>
        <v>0</v>
      </c>
      <c r="O29" s="10">
        <f>SUMIFS(IsQList,IsIList,Table_ExternalData_15[[#This Row],[item_key]],IsITypeList,Table_ExternalData_15[[#This Row],[IType]],IsDList,Table_ExternalData_15[[#Headers],[11]])</f>
        <v>0</v>
      </c>
      <c r="P29" s="10">
        <f>SUMIFS(IsQList,IsIList,Table_ExternalData_15[[#This Row],[item_key]],IsITypeList,Table_ExternalData_15[[#This Row],[IType]],IsDList,Table_ExternalData_15[[#Headers],[12]])</f>
        <v>0</v>
      </c>
      <c r="Q29" s="10">
        <f>SUMIFS(IsQList,IsIList,Table_ExternalData_15[[#This Row],[item_key]],IsITypeList,Table_ExternalData_15[[#This Row],[IType]],IsDList,Table_ExternalData_15[[#Headers],[13]])</f>
        <v>0</v>
      </c>
      <c r="R29" s="10">
        <f>SUMIFS(IsQList,IsIList,Table_ExternalData_15[[#This Row],[item_key]],IsITypeList,Table_ExternalData_15[[#This Row],[IType]],IsDList,Table_ExternalData_15[[#Headers],[14]])</f>
        <v>0</v>
      </c>
      <c r="S29" s="10">
        <f>SUMIFS(IsQList,IsIList,Table_ExternalData_15[[#This Row],[item_key]],IsITypeList,Table_ExternalData_15[[#This Row],[IType]],IsDList,Table_ExternalData_15[[#Headers],[15]])</f>
        <v>0</v>
      </c>
      <c r="T29" s="10">
        <f>SUMIFS(IsQList,IsIList,Table_ExternalData_15[[#This Row],[item_key]],IsITypeList,Table_ExternalData_15[[#This Row],[IType]],IsDList,Table_ExternalData_15[[#Headers],[16]])</f>
        <v>0</v>
      </c>
      <c r="U29" s="10">
        <f>SUMIFS(IsQList,IsIList,Table_ExternalData_15[[#This Row],[item_key]],IsITypeList,Table_ExternalData_15[[#This Row],[IType]],IsDList,Table_ExternalData_15[[#Headers],[17]])</f>
        <v>0</v>
      </c>
      <c r="V29" s="10">
        <f>SUMIFS(IsQList,IsIList,Table_ExternalData_15[[#This Row],[item_key]],IsITypeList,Table_ExternalData_15[[#This Row],[IType]],IsDList,Table_ExternalData_15[[#Headers],[18]])</f>
        <v>0</v>
      </c>
      <c r="W29" s="10">
        <f>SUMIFS(IsQList,IsIList,Table_ExternalData_15[[#This Row],[item_key]],IsITypeList,Table_ExternalData_15[[#This Row],[IType]],IsDList,Table_ExternalData_15[[#Headers],[19]])</f>
        <v>0</v>
      </c>
      <c r="X29" s="10">
        <f>SUMIFS(IsQList,IsIList,Table_ExternalData_15[[#This Row],[item_key]],IsITypeList,Table_ExternalData_15[[#This Row],[IType]],IsDList,Table_ExternalData_15[[#Headers],[20]])</f>
        <v>0</v>
      </c>
      <c r="Y29" s="10">
        <f>SUMIFS(IsQList,IsIList,Table_ExternalData_15[[#This Row],[item_key]],IsITypeList,Table_ExternalData_15[[#This Row],[IType]],IsDList,Table_ExternalData_15[[#Headers],[21]])</f>
        <v>0</v>
      </c>
      <c r="Z29" s="10">
        <f>SUMIFS(IsQList,IsIList,Table_ExternalData_15[[#This Row],[item_key]],IsITypeList,Table_ExternalData_15[[#This Row],[IType]],IsDList,Table_ExternalData_15[[#Headers],[22]])</f>
        <v>0</v>
      </c>
      <c r="AA29" s="10">
        <f>SUMIFS(IsQList,IsIList,Table_ExternalData_15[[#This Row],[item_key]],IsITypeList,Table_ExternalData_15[[#This Row],[IType]],IsDList,Table_ExternalData_15[[#Headers],[23]])</f>
        <v>0</v>
      </c>
      <c r="AB29" s="10">
        <f>SUMIFS(IsQList,IsIList,Table_ExternalData_15[[#This Row],[item_key]],IsITypeList,Table_ExternalData_15[[#This Row],[IType]],IsDList,Table_ExternalData_15[[#Headers],[24]])</f>
        <v>0</v>
      </c>
      <c r="AC29" s="10">
        <f>SUMIFS(IsQList,IsIList,Table_ExternalData_15[[#This Row],[item_key]],IsITypeList,Table_ExternalData_15[[#This Row],[IType]],IsDList,Table_ExternalData_15[[#Headers],[25]])</f>
        <v>0</v>
      </c>
      <c r="AD29" s="10">
        <f>SUMIFS(IsQList,IsIList,Table_ExternalData_15[[#This Row],[item_key]],IsITypeList,Table_ExternalData_15[[#This Row],[IType]],IsDList,Table_ExternalData_15[[#Headers],[26]])</f>
        <v>0</v>
      </c>
      <c r="AE29" s="10">
        <f>SUMIFS(IsQList,IsIList,Table_ExternalData_15[[#This Row],[item_key]],IsITypeList,Table_ExternalData_15[[#This Row],[IType]],IsDList,Table_ExternalData_15[[#Headers],[27]])</f>
        <v>0</v>
      </c>
      <c r="AF29" s="10">
        <f>SUMIFS(IsQList,IsIList,Table_ExternalData_15[[#This Row],[item_key]],IsITypeList,Table_ExternalData_15[[#This Row],[IType]],IsDList,Table_ExternalData_15[[#Headers],[28]])</f>
        <v>0</v>
      </c>
      <c r="AG29" s="10">
        <f>SUMIFS(IsQList,IsIList,Table_ExternalData_15[[#This Row],[item_key]],IsITypeList,Table_ExternalData_15[[#This Row],[IType]],IsDList,Table_ExternalData_15[[#Headers],[29]])</f>
        <v>0</v>
      </c>
      <c r="AH29" s="10">
        <f>SUMIFS(IsQList,IsIList,Table_ExternalData_15[[#This Row],[item_key]],IsITypeList,Table_ExternalData_15[[#This Row],[IType]],IsDList,Table_ExternalData_15[[#Headers],[30]])</f>
        <v>50</v>
      </c>
      <c r="AI29" s="10">
        <f>SUMIFS(IsQList,IsIList,Table_ExternalData_15[[#This Row],[item_key]],IsITypeList,Table_ExternalData_15[[#This Row],[IType]],IsDList,Table_ExternalData_15[[#Headers],[31]])</f>
        <v>0</v>
      </c>
      <c r="AJ29" s="10">
        <f>SUM(Table_ExternalData_15[[#This Row],[1]:[31]])</f>
        <v>50</v>
      </c>
    </row>
    <row r="30" spans="1:36">
      <c r="A30" s="1" t="s">
        <v>289</v>
      </c>
      <c r="B30" s="1" t="s">
        <v>1225</v>
      </c>
      <c r="C30" s="1" t="s">
        <v>1226</v>
      </c>
      <c r="D30" s="11" t="s">
        <v>72</v>
      </c>
      <c r="E30" s="10">
        <f>SUMIFS(IsQList,IsIList,Table_ExternalData_15[[#This Row],[item_key]],IsITypeList,Table_ExternalData_15[[#This Row],[IType]],IsDList,Table_ExternalData_15[[#Headers],[1]])</f>
        <v>0</v>
      </c>
      <c r="F30" s="10">
        <f>SUMIFS(IsQList,IsIList,Table_ExternalData_15[[#This Row],[item_key]],IsITypeList,Table_ExternalData_15[[#This Row],[IType]],IsDList,Table_ExternalData_15[[#Headers],[2]])</f>
        <v>0</v>
      </c>
      <c r="G30" s="10">
        <f>SUMIFS(IsQList,IsIList,Table_ExternalData_15[[#This Row],[item_key]],IsITypeList,Table_ExternalData_15[[#This Row],[IType]],IsDList,Table_ExternalData_15[[#Headers],[3]])</f>
        <v>0</v>
      </c>
      <c r="H30" s="10">
        <f>SUMIFS(IsQList,IsIList,Table_ExternalData_15[[#This Row],[item_key]],IsITypeList,Table_ExternalData_15[[#This Row],[IType]],IsDList,Table_ExternalData_15[[#Headers],[4]])</f>
        <v>0</v>
      </c>
      <c r="I30" s="10">
        <f>SUMIFS(IsQList,IsIList,Table_ExternalData_15[[#This Row],[item_key]],IsITypeList,Table_ExternalData_15[[#This Row],[IType]],IsDList,Table_ExternalData_15[[#Headers],[5]])</f>
        <v>0</v>
      </c>
      <c r="J30" s="10">
        <f>SUMIFS(IsQList,IsIList,Table_ExternalData_15[[#This Row],[item_key]],IsITypeList,Table_ExternalData_15[[#This Row],[IType]],IsDList,Table_ExternalData_15[[#Headers],[6]])</f>
        <v>0</v>
      </c>
      <c r="K30" s="10">
        <f>SUMIFS(IsQList,IsIList,Table_ExternalData_15[[#This Row],[item_key]],IsITypeList,Table_ExternalData_15[[#This Row],[IType]],IsDList,Table_ExternalData_15[[#Headers],[7]])</f>
        <v>0</v>
      </c>
      <c r="L30" s="10">
        <f>SUMIFS(IsQList,IsIList,Table_ExternalData_15[[#This Row],[item_key]],IsITypeList,Table_ExternalData_15[[#This Row],[IType]],IsDList,Table_ExternalData_15[[#Headers],[8]])</f>
        <v>0</v>
      </c>
      <c r="M30" s="10">
        <f>SUMIFS(IsQList,IsIList,Table_ExternalData_15[[#This Row],[item_key]],IsITypeList,Table_ExternalData_15[[#This Row],[IType]],IsDList,Table_ExternalData_15[[#Headers],[9]])</f>
        <v>0</v>
      </c>
      <c r="N30" s="10">
        <f>SUMIFS(IsQList,IsIList,Table_ExternalData_15[[#This Row],[item_key]],IsITypeList,Table_ExternalData_15[[#This Row],[IType]],IsDList,Table_ExternalData_15[[#Headers],[10]])</f>
        <v>0</v>
      </c>
      <c r="O30" s="10">
        <f>SUMIFS(IsQList,IsIList,Table_ExternalData_15[[#This Row],[item_key]],IsITypeList,Table_ExternalData_15[[#This Row],[IType]],IsDList,Table_ExternalData_15[[#Headers],[11]])</f>
        <v>0</v>
      </c>
      <c r="P30" s="10">
        <f>SUMIFS(IsQList,IsIList,Table_ExternalData_15[[#This Row],[item_key]],IsITypeList,Table_ExternalData_15[[#This Row],[IType]],IsDList,Table_ExternalData_15[[#Headers],[12]])</f>
        <v>0</v>
      </c>
      <c r="Q30" s="10">
        <f>SUMIFS(IsQList,IsIList,Table_ExternalData_15[[#This Row],[item_key]],IsITypeList,Table_ExternalData_15[[#This Row],[IType]],IsDList,Table_ExternalData_15[[#Headers],[13]])</f>
        <v>0</v>
      </c>
      <c r="R30" s="10">
        <f>SUMIFS(IsQList,IsIList,Table_ExternalData_15[[#This Row],[item_key]],IsITypeList,Table_ExternalData_15[[#This Row],[IType]],IsDList,Table_ExternalData_15[[#Headers],[14]])</f>
        <v>0</v>
      </c>
      <c r="S30" s="10">
        <f>SUMIFS(IsQList,IsIList,Table_ExternalData_15[[#This Row],[item_key]],IsITypeList,Table_ExternalData_15[[#This Row],[IType]],IsDList,Table_ExternalData_15[[#Headers],[15]])</f>
        <v>0</v>
      </c>
      <c r="T30" s="10">
        <f>SUMIFS(IsQList,IsIList,Table_ExternalData_15[[#This Row],[item_key]],IsITypeList,Table_ExternalData_15[[#This Row],[IType]],IsDList,Table_ExternalData_15[[#Headers],[16]])</f>
        <v>0</v>
      </c>
      <c r="U30" s="10">
        <f>SUMIFS(IsQList,IsIList,Table_ExternalData_15[[#This Row],[item_key]],IsITypeList,Table_ExternalData_15[[#This Row],[IType]],IsDList,Table_ExternalData_15[[#Headers],[17]])</f>
        <v>0</v>
      </c>
      <c r="V30" s="10">
        <f>SUMIFS(IsQList,IsIList,Table_ExternalData_15[[#This Row],[item_key]],IsITypeList,Table_ExternalData_15[[#This Row],[IType]],IsDList,Table_ExternalData_15[[#Headers],[18]])</f>
        <v>0</v>
      </c>
      <c r="W30" s="10">
        <f>SUMIFS(IsQList,IsIList,Table_ExternalData_15[[#This Row],[item_key]],IsITypeList,Table_ExternalData_15[[#This Row],[IType]],IsDList,Table_ExternalData_15[[#Headers],[19]])</f>
        <v>0</v>
      </c>
      <c r="X30" s="10">
        <f>SUMIFS(IsQList,IsIList,Table_ExternalData_15[[#This Row],[item_key]],IsITypeList,Table_ExternalData_15[[#This Row],[IType]],IsDList,Table_ExternalData_15[[#Headers],[20]])</f>
        <v>0</v>
      </c>
      <c r="Y30" s="10">
        <f>SUMIFS(IsQList,IsIList,Table_ExternalData_15[[#This Row],[item_key]],IsITypeList,Table_ExternalData_15[[#This Row],[IType]],IsDList,Table_ExternalData_15[[#Headers],[21]])</f>
        <v>0</v>
      </c>
      <c r="Z30" s="10">
        <f>SUMIFS(IsQList,IsIList,Table_ExternalData_15[[#This Row],[item_key]],IsITypeList,Table_ExternalData_15[[#This Row],[IType]],IsDList,Table_ExternalData_15[[#Headers],[22]])</f>
        <v>0</v>
      </c>
      <c r="AA30" s="10">
        <f>SUMIFS(IsQList,IsIList,Table_ExternalData_15[[#This Row],[item_key]],IsITypeList,Table_ExternalData_15[[#This Row],[IType]],IsDList,Table_ExternalData_15[[#Headers],[23]])</f>
        <v>0</v>
      </c>
      <c r="AB30" s="10">
        <f>SUMIFS(IsQList,IsIList,Table_ExternalData_15[[#This Row],[item_key]],IsITypeList,Table_ExternalData_15[[#This Row],[IType]],IsDList,Table_ExternalData_15[[#Headers],[24]])</f>
        <v>0</v>
      </c>
      <c r="AC30" s="10">
        <f>SUMIFS(IsQList,IsIList,Table_ExternalData_15[[#This Row],[item_key]],IsITypeList,Table_ExternalData_15[[#This Row],[IType]],IsDList,Table_ExternalData_15[[#Headers],[25]])</f>
        <v>0</v>
      </c>
      <c r="AD30" s="10">
        <f>SUMIFS(IsQList,IsIList,Table_ExternalData_15[[#This Row],[item_key]],IsITypeList,Table_ExternalData_15[[#This Row],[IType]],IsDList,Table_ExternalData_15[[#Headers],[26]])</f>
        <v>0</v>
      </c>
      <c r="AE30" s="10">
        <f>SUMIFS(IsQList,IsIList,Table_ExternalData_15[[#This Row],[item_key]],IsITypeList,Table_ExternalData_15[[#This Row],[IType]],IsDList,Table_ExternalData_15[[#Headers],[27]])</f>
        <v>0</v>
      </c>
      <c r="AF30" s="10">
        <f>SUMIFS(IsQList,IsIList,Table_ExternalData_15[[#This Row],[item_key]],IsITypeList,Table_ExternalData_15[[#This Row],[IType]],IsDList,Table_ExternalData_15[[#Headers],[28]])</f>
        <v>0</v>
      </c>
      <c r="AG30" s="10">
        <f>SUMIFS(IsQList,IsIList,Table_ExternalData_15[[#This Row],[item_key]],IsITypeList,Table_ExternalData_15[[#This Row],[IType]],IsDList,Table_ExternalData_15[[#Headers],[29]])</f>
        <v>0</v>
      </c>
      <c r="AH30" s="10">
        <f>SUMIFS(IsQList,IsIList,Table_ExternalData_15[[#This Row],[item_key]],IsITypeList,Table_ExternalData_15[[#This Row],[IType]],IsDList,Table_ExternalData_15[[#Headers],[30]])</f>
        <v>5</v>
      </c>
      <c r="AI30" s="10">
        <f>SUMIFS(IsQList,IsIList,Table_ExternalData_15[[#This Row],[item_key]],IsITypeList,Table_ExternalData_15[[#This Row],[IType]],IsDList,Table_ExternalData_15[[#Headers],[31]])</f>
        <v>0</v>
      </c>
      <c r="AJ30" s="10">
        <f>SUM(Table_ExternalData_15[[#This Row],[1]:[31]])</f>
        <v>5</v>
      </c>
    </row>
    <row r="31" spans="1:36">
      <c r="A31" s="1" t="s">
        <v>290</v>
      </c>
      <c r="B31" s="1" t="s">
        <v>2459</v>
      </c>
      <c r="C31" s="1" t="s">
        <v>2460</v>
      </c>
      <c r="D31" s="11" t="s">
        <v>72</v>
      </c>
      <c r="E31" s="10">
        <f>SUMIFS(IsQList,IsIList,Table_ExternalData_15[[#This Row],[item_key]],IsITypeList,Table_ExternalData_15[[#This Row],[IType]],IsDList,Table_ExternalData_15[[#Headers],[1]])</f>
        <v>0</v>
      </c>
      <c r="F31" s="10">
        <f>SUMIFS(IsQList,IsIList,Table_ExternalData_15[[#This Row],[item_key]],IsITypeList,Table_ExternalData_15[[#This Row],[IType]],IsDList,Table_ExternalData_15[[#Headers],[2]])</f>
        <v>0</v>
      </c>
      <c r="G31" s="10">
        <f>SUMIFS(IsQList,IsIList,Table_ExternalData_15[[#This Row],[item_key]],IsITypeList,Table_ExternalData_15[[#This Row],[IType]],IsDList,Table_ExternalData_15[[#Headers],[3]])</f>
        <v>0</v>
      </c>
      <c r="H31" s="10">
        <f>SUMIFS(IsQList,IsIList,Table_ExternalData_15[[#This Row],[item_key]],IsITypeList,Table_ExternalData_15[[#This Row],[IType]],IsDList,Table_ExternalData_15[[#Headers],[4]])</f>
        <v>0</v>
      </c>
      <c r="I31" s="10">
        <f>SUMIFS(IsQList,IsIList,Table_ExternalData_15[[#This Row],[item_key]],IsITypeList,Table_ExternalData_15[[#This Row],[IType]],IsDList,Table_ExternalData_15[[#Headers],[5]])</f>
        <v>0</v>
      </c>
      <c r="J31" s="10">
        <f>SUMIFS(IsQList,IsIList,Table_ExternalData_15[[#This Row],[item_key]],IsITypeList,Table_ExternalData_15[[#This Row],[IType]],IsDList,Table_ExternalData_15[[#Headers],[6]])</f>
        <v>0</v>
      </c>
      <c r="K31" s="10">
        <f>SUMIFS(IsQList,IsIList,Table_ExternalData_15[[#This Row],[item_key]],IsITypeList,Table_ExternalData_15[[#This Row],[IType]],IsDList,Table_ExternalData_15[[#Headers],[7]])</f>
        <v>0</v>
      </c>
      <c r="L31" s="10">
        <f>SUMIFS(IsQList,IsIList,Table_ExternalData_15[[#This Row],[item_key]],IsITypeList,Table_ExternalData_15[[#This Row],[IType]],IsDList,Table_ExternalData_15[[#Headers],[8]])</f>
        <v>0</v>
      </c>
      <c r="M31" s="10">
        <f>SUMIFS(IsQList,IsIList,Table_ExternalData_15[[#This Row],[item_key]],IsITypeList,Table_ExternalData_15[[#This Row],[IType]],IsDList,Table_ExternalData_15[[#Headers],[9]])</f>
        <v>0</v>
      </c>
      <c r="N31" s="10">
        <f>SUMIFS(IsQList,IsIList,Table_ExternalData_15[[#This Row],[item_key]],IsITypeList,Table_ExternalData_15[[#This Row],[IType]],IsDList,Table_ExternalData_15[[#Headers],[10]])</f>
        <v>0</v>
      </c>
      <c r="O31" s="10">
        <f>SUMIFS(IsQList,IsIList,Table_ExternalData_15[[#This Row],[item_key]],IsITypeList,Table_ExternalData_15[[#This Row],[IType]],IsDList,Table_ExternalData_15[[#Headers],[11]])</f>
        <v>0</v>
      </c>
      <c r="P31" s="10">
        <f>SUMIFS(IsQList,IsIList,Table_ExternalData_15[[#This Row],[item_key]],IsITypeList,Table_ExternalData_15[[#This Row],[IType]],IsDList,Table_ExternalData_15[[#Headers],[12]])</f>
        <v>0</v>
      </c>
      <c r="Q31" s="10">
        <f>SUMIFS(IsQList,IsIList,Table_ExternalData_15[[#This Row],[item_key]],IsITypeList,Table_ExternalData_15[[#This Row],[IType]],IsDList,Table_ExternalData_15[[#Headers],[13]])</f>
        <v>0</v>
      </c>
      <c r="R31" s="10">
        <f>SUMIFS(IsQList,IsIList,Table_ExternalData_15[[#This Row],[item_key]],IsITypeList,Table_ExternalData_15[[#This Row],[IType]],IsDList,Table_ExternalData_15[[#Headers],[14]])</f>
        <v>0</v>
      </c>
      <c r="S31" s="10">
        <f>SUMIFS(IsQList,IsIList,Table_ExternalData_15[[#This Row],[item_key]],IsITypeList,Table_ExternalData_15[[#This Row],[IType]],IsDList,Table_ExternalData_15[[#Headers],[15]])</f>
        <v>0</v>
      </c>
      <c r="T31" s="10">
        <f>SUMIFS(IsQList,IsIList,Table_ExternalData_15[[#This Row],[item_key]],IsITypeList,Table_ExternalData_15[[#This Row],[IType]],IsDList,Table_ExternalData_15[[#Headers],[16]])</f>
        <v>110</v>
      </c>
      <c r="U31" s="10">
        <f>SUMIFS(IsQList,IsIList,Table_ExternalData_15[[#This Row],[item_key]],IsITypeList,Table_ExternalData_15[[#This Row],[IType]],IsDList,Table_ExternalData_15[[#Headers],[17]])</f>
        <v>0</v>
      </c>
      <c r="V31" s="10">
        <f>SUMIFS(IsQList,IsIList,Table_ExternalData_15[[#This Row],[item_key]],IsITypeList,Table_ExternalData_15[[#This Row],[IType]],IsDList,Table_ExternalData_15[[#Headers],[18]])</f>
        <v>0</v>
      </c>
      <c r="W31" s="10">
        <f>SUMIFS(IsQList,IsIList,Table_ExternalData_15[[#This Row],[item_key]],IsITypeList,Table_ExternalData_15[[#This Row],[IType]],IsDList,Table_ExternalData_15[[#Headers],[19]])</f>
        <v>0</v>
      </c>
      <c r="X31" s="10">
        <f>SUMIFS(IsQList,IsIList,Table_ExternalData_15[[#This Row],[item_key]],IsITypeList,Table_ExternalData_15[[#This Row],[IType]],IsDList,Table_ExternalData_15[[#Headers],[20]])</f>
        <v>0</v>
      </c>
      <c r="Y31" s="10">
        <f>SUMIFS(IsQList,IsIList,Table_ExternalData_15[[#This Row],[item_key]],IsITypeList,Table_ExternalData_15[[#This Row],[IType]],IsDList,Table_ExternalData_15[[#Headers],[21]])</f>
        <v>0</v>
      </c>
      <c r="Z31" s="10">
        <f>SUMIFS(IsQList,IsIList,Table_ExternalData_15[[#This Row],[item_key]],IsITypeList,Table_ExternalData_15[[#This Row],[IType]],IsDList,Table_ExternalData_15[[#Headers],[22]])</f>
        <v>0</v>
      </c>
      <c r="AA31" s="10">
        <f>SUMIFS(IsQList,IsIList,Table_ExternalData_15[[#This Row],[item_key]],IsITypeList,Table_ExternalData_15[[#This Row],[IType]],IsDList,Table_ExternalData_15[[#Headers],[23]])</f>
        <v>0</v>
      </c>
      <c r="AB31" s="10">
        <f>SUMIFS(IsQList,IsIList,Table_ExternalData_15[[#This Row],[item_key]],IsITypeList,Table_ExternalData_15[[#This Row],[IType]],IsDList,Table_ExternalData_15[[#Headers],[24]])</f>
        <v>20</v>
      </c>
      <c r="AC31" s="10">
        <f>SUMIFS(IsQList,IsIList,Table_ExternalData_15[[#This Row],[item_key]],IsITypeList,Table_ExternalData_15[[#This Row],[IType]],IsDList,Table_ExternalData_15[[#Headers],[25]])</f>
        <v>0</v>
      </c>
      <c r="AD31" s="10">
        <f>SUMIFS(IsQList,IsIList,Table_ExternalData_15[[#This Row],[item_key]],IsITypeList,Table_ExternalData_15[[#This Row],[IType]],IsDList,Table_ExternalData_15[[#Headers],[26]])</f>
        <v>0</v>
      </c>
      <c r="AE31" s="10">
        <f>SUMIFS(IsQList,IsIList,Table_ExternalData_15[[#This Row],[item_key]],IsITypeList,Table_ExternalData_15[[#This Row],[IType]],IsDList,Table_ExternalData_15[[#Headers],[27]])</f>
        <v>0</v>
      </c>
      <c r="AF31" s="10">
        <f>SUMIFS(IsQList,IsIList,Table_ExternalData_15[[#This Row],[item_key]],IsITypeList,Table_ExternalData_15[[#This Row],[IType]],IsDList,Table_ExternalData_15[[#Headers],[28]])</f>
        <v>0</v>
      </c>
      <c r="AG31" s="10">
        <f>SUMIFS(IsQList,IsIList,Table_ExternalData_15[[#This Row],[item_key]],IsITypeList,Table_ExternalData_15[[#This Row],[IType]],IsDList,Table_ExternalData_15[[#Headers],[29]])</f>
        <v>0</v>
      </c>
      <c r="AH31" s="10">
        <f>SUMIFS(IsQList,IsIList,Table_ExternalData_15[[#This Row],[item_key]],IsITypeList,Table_ExternalData_15[[#This Row],[IType]],IsDList,Table_ExternalData_15[[#Headers],[30]])</f>
        <v>0</v>
      </c>
      <c r="AI31" s="10">
        <f>SUMIFS(IsQList,IsIList,Table_ExternalData_15[[#This Row],[item_key]],IsITypeList,Table_ExternalData_15[[#This Row],[IType]],IsDList,Table_ExternalData_15[[#Headers],[31]])</f>
        <v>0</v>
      </c>
      <c r="AJ31" s="10">
        <f>SUM(Table_ExternalData_15[[#This Row],[1]:[31]])</f>
        <v>130</v>
      </c>
    </row>
    <row r="32" spans="1:36">
      <c r="A32" s="1" t="s">
        <v>301</v>
      </c>
      <c r="B32" s="1" t="s">
        <v>2461</v>
      </c>
      <c r="C32" s="1" t="s">
        <v>2462</v>
      </c>
      <c r="D32" s="11" t="s">
        <v>72</v>
      </c>
      <c r="E32" s="10">
        <f>SUMIFS(IsQList,IsIList,Table_ExternalData_15[[#This Row],[item_key]],IsITypeList,Table_ExternalData_15[[#This Row],[IType]],IsDList,Table_ExternalData_15[[#Headers],[1]])</f>
        <v>0</v>
      </c>
      <c r="F32" s="10">
        <f>SUMIFS(IsQList,IsIList,Table_ExternalData_15[[#This Row],[item_key]],IsITypeList,Table_ExternalData_15[[#This Row],[IType]],IsDList,Table_ExternalData_15[[#Headers],[2]])</f>
        <v>0</v>
      </c>
      <c r="G32" s="10">
        <f>SUMIFS(IsQList,IsIList,Table_ExternalData_15[[#This Row],[item_key]],IsITypeList,Table_ExternalData_15[[#This Row],[IType]],IsDList,Table_ExternalData_15[[#Headers],[3]])</f>
        <v>0</v>
      </c>
      <c r="H32" s="10">
        <f>SUMIFS(IsQList,IsIList,Table_ExternalData_15[[#This Row],[item_key]],IsITypeList,Table_ExternalData_15[[#This Row],[IType]],IsDList,Table_ExternalData_15[[#Headers],[4]])</f>
        <v>0</v>
      </c>
      <c r="I32" s="10">
        <f>SUMIFS(IsQList,IsIList,Table_ExternalData_15[[#This Row],[item_key]],IsITypeList,Table_ExternalData_15[[#This Row],[IType]],IsDList,Table_ExternalData_15[[#Headers],[5]])</f>
        <v>0</v>
      </c>
      <c r="J32" s="10">
        <f>SUMIFS(IsQList,IsIList,Table_ExternalData_15[[#This Row],[item_key]],IsITypeList,Table_ExternalData_15[[#This Row],[IType]],IsDList,Table_ExternalData_15[[#Headers],[6]])</f>
        <v>1</v>
      </c>
      <c r="K32" s="10">
        <f>SUMIFS(IsQList,IsIList,Table_ExternalData_15[[#This Row],[item_key]],IsITypeList,Table_ExternalData_15[[#This Row],[IType]],IsDList,Table_ExternalData_15[[#Headers],[7]])</f>
        <v>0</v>
      </c>
      <c r="L32" s="10">
        <f>SUMIFS(IsQList,IsIList,Table_ExternalData_15[[#This Row],[item_key]],IsITypeList,Table_ExternalData_15[[#This Row],[IType]],IsDList,Table_ExternalData_15[[#Headers],[8]])</f>
        <v>0</v>
      </c>
      <c r="M32" s="10">
        <f>SUMIFS(IsQList,IsIList,Table_ExternalData_15[[#This Row],[item_key]],IsITypeList,Table_ExternalData_15[[#This Row],[IType]],IsDList,Table_ExternalData_15[[#Headers],[9]])</f>
        <v>0</v>
      </c>
      <c r="N32" s="10">
        <f>SUMIFS(IsQList,IsIList,Table_ExternalData_15[[#This Row],[item_key]],IsITypeList,Table_ExternalData_15[[#This Row],[IType]],IsDList,Table_ExternalData_15[[#Headers],[10]])</f>
        <v>0</v>
      </c>
      <c r="O32" s="10">
        <f>SUMIFS(IsQList,IsIList,Table_ExternalData_15[[#This Row],[item_key]],IsITypeList,Table_ExternalData_15[[#This Row],[IType]],IsDList,Table_ExternalData_15[[#Headers],[11]])</f>
        <v>0</v>
      </c>
      <c r="P32" s="10">
        <f>SUMIFS(IsQList,IsIList,Table_ExternalData_15[[#This Row],[item_key]],IsITypeList,Table_ExternalData_15[[#This Row],[IType]],IsDList,Table_ExternalData_15[[#Headers],[12]])</f>
        <v>0</v>
      </c>
      <c r="Q32" s="10">
        <f>SUMIFS(IsQList,IsIList,Table_ExternalData_15[[#This Row],[item_key]],IsITypeList,Table_ExternalData_15[[#This Row],[IType]],IsDList,Table_ExternalData_15[[#Headers],[13]])</f>
        <v>0</v>
      </c>
      <c r="R32" s="10">
        <f>SUMIFS(IsQList,IsIList,Table_ExternalData_15[[#This Row],[item_key]],IsITypeList,Table_ExternalData_15[[#This Row],[IType]],IsDList,Table_ExternalData_15[[#Headers],[14]])</f>
        <v>0</v>
      </c>
      <c r="S32" s="10">
        <f>SUMIFS(IsQList,IsIList,Table_ExternalData_15[[#This Row],[item_key]],IsITypeList,Table_ExternalData_15[[#This Row],[IType]],IsDList,Table_ExternalData_15[[#Headers],[15]])</f>
        <v>0</v>
      </c>
      <c r="T32" s="10">
        <f>SUMIFS(IsQList,IsIList,Table_ExternalData_15[[#This Row],[item_key]],IsITypeList,Table_ExternalData_15[[#This Row],[IType]],IsDList,Table_ExternalData_15[[#Headers],[16]])</f>
        <v>5</v>
      </c>
      <c r="U32" s="10">
        <f>SUMIFS(IsQList,IsIList,Table_ExternalData_15[[#This Row],[item_key]],IsITypeList,Table_ExternalData_15[[#This Row],[IType]],IsDList,Table_ExternalData_15[[#Headers],[17]])</f>
        <v>0</v>
      </c>
      <c r="V32" s="10">
        <f>SUMIFS(IsQList,IsIList,Table_ExternalData_15[[#This Row],[item_key]],IsITypeList,Table_ExternalData_15[[#This Row],[IType]],IsDList,Table_ExternalData_15[[#Headers],[18]])</f>
        <v>0</v>
      </c>
      <c r="W32" s="10">
        <f>SUMIFS(IsQList,IsIList,Table_ExternalData_15[[#This Row],[item_key]],IsITypeList,Table_ExternalData_15[[#This Row],[IType]],IsDList,Table_ExternalData_15[[#Headers],[19]])</f>
        <v>0</v>
      </c>
      <c r="X32" s="10">
        <f>SUMIFS(IsQList,IsIList,Table_ExternalData_15[[#This Row],[item_key]],IsITypeList,Table_ExternalData_15[[#This Row],[IType]],IsDList,Table_ExternalData_15[[#Headers],[20]])</f>
        <v>0</v>
      </c>
      <c r="Y32" s="10">
        <f>SUMIFS(IsQList,IsIList,Table_ExternalData_15[[#This Row],[item_key]],IsITypeList,Table_ExternalData_15[[#This Row],[IType]],IsDList,Table_ExternalData_15[[#Headers],[21]])</f>
        <v>0</v>
      </c>
      <c r="Z32" s="10">
        <f>SUMIFS(IsQList,IsIList,Table_ExternalData_15[[#This Row],[item_key]],IsITypeList,Table_ExternalData_15[[#This Row],[IType]],IsDList,Table_ExternalData_15[[#Headers],[22]])</f>
        <v>0</v>
      </c>
      <c r="AA32" s="10">
        <f>SUMIFS(IsQList,IsIList,Table_ExternalData_15[[#This Row],[item_key]],IsITypeList,Table_ExternalData_15[[#This Row],[IType]],IsDList,Table_ExternalData_15[[#Headers],[23]])</f>
        <v>0</v>
      </c>
      <c r="AB32" s="10">
        <f>SUMIFS(IsQList,IsIList,Table_ExternalData_15[[#This Row],[item_key]],IsITypeList,Table_ExternalData_15[[#This Row],[IType]],IsDList,Table_ExternalData_15[[#Headers],[24]])</f>
        <v>2</v>
      </c>
      <c r="AC32" s="10">
        <f>SUMIFS(IsQList,IsIList,Table_ExternalData_15[[#This Row],[item_key]],IsITypeList,Table_ExternalData_15[[#This Row],[IType]],IsDList,Table_ExternalData_15[[#Headers],[25]])</f>
        <v>0</v>
      </c>
      <c r="AD32" s="10">
        <f>SUMIFS(IsQList,IsIList,Table_ExternalData_15[[#This Row],[item_key]],IsITypeList,Table_ExternalData_15[[#This Row],[IType]],IsDList,Table_ExternalData_15[[#Headers],[26]])</f>
        <v>0</v>
      </c>
      <c r="AE32" s="10">
        <f>SUMIFS(IsQList,IsIList,Table_ExternalData_15[[#This Row],[item_key]],IsITypeList,Table_ExternalData_15[[#This Row],[IType]],IsDList,Table_ExternalData_15[[#Headers],[27]])</f>
        <v>0</v>
      </c>
      <c r="AF32" s="10">
        <f>SUMIFS(IsQList,IsIList,Table_ExternalData_15[[#This Row],[item_key]],IsITypeList,Table_ExternalData_15[[#This Row],[IType]],IsDList,Table_ExternalData_15[[#Headers],[28]])</f>
        <v>0</v>
      </c>
      <c r="AG32" s="10">
        <f>SUMIFS(IsQList,IsIList,Table_ExternalData_15[[#This Row],[item_key]],IsITypeList,Table_ExternalData_15[[#This Row],[IType]],IsDList,Table_ExternalData_15[[#Headers],[29]])</f>
        <v>0</v>
      </c>
      <c r="AH32" s="10">
        <f>SUMIFS(IsQList,IsIList,Table_ExternalData_15[[#This Row],[item_key]],IsITypeList,Table_ExternalData_15[[#This Row],[IType]],IsDList,Table_ExternalData_15[[#Headers],[30]])</f>
        <v>6</v>
      </c>
      <c r="AI32" s="10">
        <f>SUMIFS(IsQList,IsIList,Table_ExternalData_15[[#This Row],[item_key]],IsITypeList,Table_ExternalData_15[[#This Row],[IType]],IsDList,Table_ExternalData_15[[#Headers],[31]])</f>
        <v>0</v>
      </c>
      <c r="AJ32" s="10">
        <f>SUM(Table_ExternalData_15[[#This Row],[1]:[31]])</f>
        <v>14</v>
      </c>
    </row>
    <row r="33" spans="1:36">
      <c r="A33" s="1" t="s">
        <v>302</v>
      </c>
      <c r="B33" s="1" t="s">
        <v>2356</v>
      </c>
      <c r="C33" s="1" t="s">
        <v>2357</v>
      </c>
      <c r="D33" s="11" t="s">
        <v>72</v>
      </c>
      <c r="E33" s="10">
        <f>SUMIFS(IsQList,IsIList,Table_ExternalData_15[[#This Row],[item_key]],IsITypeList,Table_ExternalData_15[[#This Row],[IType]],IsDList,Table_ExternalData_15[[#Headers],[1]])</f>
        <v>0</v>
      </c>
      <c r="F33" s="10">
        <f>SUMIFS(IsQList,IsIList,Table_ExternalData_15[[#This Row],[item_key]],IsITypeList,Table_ExternalData_15[[#This Row],[IType]],IsDList,Table_ExternalData_15[[#Headers],[2]])</f>
        <v>0</v>
      </c>
      <c r="G33" s="10">
        <f>SUMIFS(IsQList,IsIList,Table_ExternalData_15[[#This Row],[item_key]],IsITypeList,Table_ExternalData_15[[#This Row],[IType]],IsDList,Table_ExternalData_15[[#Headers],[3]])</f>
        <v>0</v>
      </c>
      <c r="H33" s="10">
        <f>SUMIFS(IsQList,IsIList,Table_ExternalData_15[[#This Row],[item_key]],IsITypeList,Table_ExternalData_15[[#This Row],[IType]],IsDList,Table_ExternalData_15[[#Headers],[4]])</f>
        <v>0</v>
      </c>
      <c r="I33" s="10">
        <f>SUMIFS(IsQList,IsIList,Table_ExternalData_15[[#This Row],[item_key]],IsITypeList,Table_ExternalData_15[[#This Row],[IType]],IsDList,Table_ExternalData_15[[#Headers],[5]])</f>
        <v>0</v>
      </c>
      <c r="J33" s="10">
        <f>SUMIFS(IsQList,IsIList,Table_ExternalData_15[[#This Row],[item_key]],IsITypeList,Table_ExternalData_15[[#This Row],[IType]],IsDList,Table_ExternalData_15[[#Headers],[6]])</f>
        <v>0</v>
      </c>
      <c r="K33" s="10">
        <f>SUMIFS(IsQList,IsIList,Table_ExternalData_15[[#This Row],[item_key]],IsITypeList,Table_ExternalData_15[[#This Row],[IType]],IsDList,Table_ExternalData_15[[#Headers],[7]])</f>
        <v>0</v>
      </c>
      <c r="L33" s="10">
        <f>SUMIFS(IsQList,IsIList,Table_ExternalData_15[[#This Row],[item_key]],IsITypeList,Table_ExternalData_15[[#This Row],[IType]],IsDList,Table_ExternalData_15[[#Headers],[8]])</f>
        <v>0</v>
      </c>
      <c r="M33" s="10">
        <f>SUMIFS(IsQList,IsIList,Table_ExternalData_15[[#This Row],[item_key]],IsITypeList,Table_ExternalData_15[[#This Row],[IType]],IsDList,Table_ExternalData_15[[#Headers],[9]])</f>
        <v>0</v>
      </c>
      <c r="N33" s="10">
        <f>SUMIFS(IsQList,IsIList,Table_ExternalData_15[[#This Row],[item_key]],IsITypeList,Table_ExternalData_15[[#This Row],[IType]],IsDList,Table_ExternalData_15[[#Headers],[10]])</f>
        <v>0</v>
      </c>
      <c r="O33" s="10">
        <f>SUMIFS(IsQList,IsIList,Table_ExternalData_15[[#This Row],[item_key]],IsITypeList,Table_ExternalData_15[[#This Row],[IType]],IsDList,Table_ExternalData_15[[#Headers],[11]])</f>
        <v>0</v>
      </c>
      <c r="P33" s="10">
        <f>SUMIFS(IsQList,IsIList,Table_ExternalData_15[[#This Row],[item_key]],IsITypeList,Table_ExternalData_15[[#This Row],[IType]],IsDList,Table_ExternalData_15[[#Headers],[12]])</f>
        <v>0</v>
      </c>
      <c r="Q33" s="10">
        <f>SUMIFS(IsQList,IsIList,Table_ExternalData_15[[#This Row],[item_key]],IsITypeList,Table_ExternalData_15[[#This Row],[IType]],IsDList,Table_ExternalData_15[[#Headers],[13]])</f>
        <v>0</v>
      </c>
      <c r="R33" s="10">
        <f>SUMIFS(IsQList,IsIList,Table_ExternalData_15[[#This Row],[item_key]],IsITypeList,Table_ExternalData_15[[#This Row],[IType]],IsDList,Table_ExternalData_15[[#Headers],[14]])</f>
        <v>0</v>
      </c>
      <c r="S33" s="10">
        <f>SUMIFS(IsQList,IsIList,Table_ExternalData_15[[#This Row],[item_key]],IsITypeList,Table_ExternalData_15[[#This Row],[IType]],IsDList,Table_ExternalData_15[[#Headers],[15]])</f>
        <v>0</v>
      </c>
      <c r="T33" s="10">
        <f>SUMIFS(IsQList,IsIList,Table_ExternalData_15[[#This Row],[item_key]],IsITypeList,Table_ExternalData_15[[#This Row],[IType]],IsDList,Table_ExternalData_15[[#Headers],[16]])</f>
        <v>5</v>
      </c>
      <c r="U33" s="10">
        <f>SUMIFS(IsQList,IsIList,Table_ExternalData_15[[#This Row],[item_key]],IsITypeList,Table_ExternalData_15[[#This Row],[IType]],IsDList,Table_ExternalData_15[[#Headers],[17]])</f>
        <v>0</v>
      </c>
      <c r="V33" s="10">
        <f>SUMIFS(IsQList,IsIList,Table_ExternalData_15[[#This Row],[item_key]],IsITypeList,Table_ExternalData_15[[#This Row],[IType]],IsDList,Table_ExternalData_15[[#Headers],[18]])</f>
        <v>0</v>
      </c>
      <c r="W33" s="10">
        <f>SUMIFS(IsQList,IsIList,Table_ExternalData_15[[#This Row],[item_key]],IsITypeList,Table_ExternalData_15[[#This Row],[IType]],IsDList,Table_ExternalData_15[[#Headers],[19]])</f>
        <v>0</v>
      </c>
      <c r="X33" s="10">
        <f>SUMIFS(IsQList,IsIList,Table_ExternalData_15[[#This Row],[item_key]],IsITypeList,Table_ExternalData_15[[#This Row],[IType]],IsDList,Table_ExternalData_15[[#Headers],[20]])</f>
        <v>0</v>
      </c>
      <c r="Y33" s="10">
        <f>SUMIFS(IsQList,IsIList,Table_ExternalData_15[[#This Row],[item_key]],IsITypeList,Table_ExternalData_15[[#This Row],[IType]],IsDList,Table_ExternalData_15[[#Headers],[21]])</f>
        <v>0</v>
      </c>
      <c r="Z33" s="10">
        <f>SUMIFS(IsQList,IsIList,Table_ExternalData_15[[#This Row],[item_key]],IsITypeList,Table_ExternalData_15[[#This Row],[IType]],IsDList,Table_ExternalData_15[[#Headers],[22]])</f>
        <v>0</v>
      </c>
      <c r="AA33" s="10">
        <f>SUMIFS(IsQList,IsIList,Table_ExternalData_15[[#This Row],[item_key]],IsITypeList,Table_ExternalData_15[[#This Row],[IType]],IsDList,Table_ExternalData_15[[#Headers],[23]])</f>
        <v>0</v>
      </c>
      <c r="AB33" s="10">
        <f>SUMIFS(IsQList,IsIList,Table_ExternalData_15[[#This Row],[item_key]],IsITypeList,Table_ExternalData_15[[#This Row],[IType]],IsDList,Table_ExternalData_15[[#Headers],[24]])</f>
        <v>2</v>
      </c>
      <c r="AC33" s="10">
        <f>SUMIFS(IsQList,IsIList,Table_ExternalData_15[[#This Row],[item_key]],IsITypeList,Table_ExternalData_15[[#This Row],[IType]],IsDList,Table_ExternalData_15[[#Headers],[25]])</f>
        <v>0</v>
      </c>
      <c r="AD33" s="10">
        <f>SUMIFS(IsQList,IsIList,Table_ExternalData_15[[#This Row],[item_key]],IsITypeList,Table_ExternalData_15[[#This Row],[IType]],IsDList,Table_ExternalData_15[[#Headers],[26]])</f>
        <v>0</v>
      </c>
      <c r="AE33" s="10">
        <f>SUMIFS(IsQList,IsIList,Table_ExternalData_15[[#This Row],[item_key]],IsITypeList,Table_ExternalData_15[[#This Row],[IType]],IsDList,Table_ExternalData_15[[#Headers],[27]])</f>
        <v>0</v>
      </c>
      <c r="AF33" s="10">
        <f>SUMIFS(IsQList,IsIList,Table_ExternalData_15[[#This Row],[item_key]],IsITypeList,Table_ExternalData_15[[#This Row],[IType]],IsDList,Table_ExternalData_15[[#Headers],[28]])</f>
        <v>0</v>
      </c>
      <c r="AG33" s="10">
        <f>SUMIFS(IsQList,IsIList,Table_ExternalData_15[[#This Row],[item_key]],IsITypeList,Table_ExternalData_15[[#This Row],[IType]],IsDList,Table_ExternalData_15[[#Headers],[29]])</f>
        <v>0</v>
      </c>
      <c r="AH33" s="10">
        <f>SUMIFS(IsQList,IsIList,Table_ExternalData_15[[#This Row],[item_key]],IsITypeList,Table_ExternalData_15[[#This Row],[IType]],IsDList,Table_ExternalData_15[[#Headers],[30]])</f>
        <v>6</v>
      </c>
      <c r="AI33" s="10">
        <f>SUMIFS(IsQList,IsIList,Table_ExternalData_15[[#This Row],[item_key]],IsITypeList,Table_ExternalData_15[[#This Row],[IType]],IsDList,Table_ExternalData_15[[#Headers],[31]])</f>
        <v>0</v>
      </c>
      <c r="AJ33" s="10">
        <f>SUM(Table_ExternalData_15[[#This Row],[1]:[31]])</f>
        <v>13</v>
      </c>
    </row>
    <row r="34" spans="1:36">
      <c r="A34" s="1" t="s">
        <v>304</v>
      </c>
      <c r="B34" s="1" t="s">
        <v>1229</v>
      </c>
      <c r="C34" s="1" t="s">
        <v>1230</v>
      </c>
      <c r="D34" s="11" t="s">
        <v>72</v>
      </c>
      <c r="E34" s="10">
        <f>SUMIFS(IsQList,IsIList,Table_ExternalData_15[[#This Row],[item_key]],IsITypeList,Table_ExternalData_15[[#This Row],[IType]],IsDList,Table_ExternalData_15[[#Headers],[1]])</f>
        <v>0</v>
      </c>
      <c r="F34" s="10">
        <f>SUMIFS(IsQList,IsIList,Table_ExternalData_15[[#This Row],[item_key]],IsITypeList,Table_ExternalData_15[[#This Row],[IType]],IsDList,Table_ExternalData_15[[#Headers],[2]])</f>
        <v>0</v>
      </c>
      <c r="G34" s="10">
        <f>SUMIFS(IsQList,IsIList,Table_ExternalData_15[[#This Row],[item_key]],IsITypeList,Table_ExternalData_15[[#This Row],[IType]],IsDList,Table_ExternalData_15[[#Headers],[3]])</f>
        <v>0</v>
      </c>
      <c r="H34" s="10">
        <f>SUMIFS(IsQList,IsIList,Table_ExternalData_15[[#This Row],[item_key]],IsITypeList,Table_ExternalData_15[[#This Row],[IType]],IsDList,Table_ExternalData_15[[#Headers],[4]])</f>
        <v>0</v>
      </c>
      <c r="I34" s="10">
        <f>SUMIFS(IsQList,IsIList,Table_ExternalData_15[[#This Row],[item_key]],IsITypeList,Table_ExternalData_15[[#This Row],[IType]],IsDList,Table_ExternalData_15[[#Headers],[5]])</f>
        <v>0</v>
      </c>
      <c r="J34" s="10">
        <f>SUMIFS(IsQList,IsIList,Table_ExternalData_15[[#This Row],[item_key]],IsITypeList,Table_ExternalData_15[[#This Row],[IType]],IsDList,Table_ExternalData_15[[#Headers],[6]])</f>
        <v>0</v>
      </c>
      <c r="K34" s="10">
        <f>SUMIFS(IsQList,IsIList,Table_ExternalData_15[[#This Row],[item_key]],IsITypeList,Table_ExternalData_15[[#This Row],[IType]],IsDList,Table_ExternalData_15[[#Headers],[7]])</f>
        <v>0</v>
      </c>
      <c r="L34" s="10">
        <f>SUMIFS(IsQList,IsIList,Table_ExternalData_15[[#This Row],[item_key]],IsITypeList,Table_ExternalData_15[[#This Row],[IType]],IsDList,Table_ExternalData_15[[#Headers],[8]])</f>
        <v>0</v>
      </c>
      <c r="M34" s="10">
        <f>SUMIFS(IsQList,IsIList,Table_ExternalData_15[[#This Row],[item_key]],IsITypeList,Table_ExternalData_15[[#This Row],[IType]],IsDList,Table_ExternalData_15[[#Headers],[9]])</f>
        <v>0</v>
      </c>
      <c r="N34" s="10">
        <f>SUMIFS(IsQList,IsIList,Table_ExternalData_15[[#This Row],[item_key]],IsITypeList,Table_ExternalData_15[[#This Row],[IType]],IsDList,Table_ExternalData_15[[#Headers],[10]])</f>
        <v>0</v>
      </c>
      <c r="O34" s="10">
        <f>SUMIFS(IsQList,IsIList,Table_ExternalData_15[[#This Row],[item_key]],IsITypeList,Table_ExternalData_15[[#This Row],[IType]],IsDList,Table_ExternalData_15[[#Headers],[11]])</f>
        <v>0</v>
      </c>
      <c r="P34" s="10">
        <f>SUMIFS(IsQList,IsIList,Table_ExternalData_15[[#This Row],[item_key]],IsITypeList,Table_ExternalData_15[[#This Row],[IType]],IsDList,Table_ExternalData_15[[#Headers],[12]])</f>
        <v>0</v>
      </c>
      <c r="Q34" s="10">
        <f>SUMIFS(IsQList,IsIList,Table_ExternalData_15[[#This Row],[item_key]],IsITypeList,Table_ExternalData_15[[#This Row],[IType]],IsDList,Table_ExternalData_15[[#Headers],[13]])</f>
        <v>0</v>
      </c>
      <c r="R34" s="10">
        <f>SUMIFS(IsQList,IsIList,Table_ExternalData_15[[#This Row],[item_key]],IsITypeList,Table_ExternalData_15[[#This Row],[IType]],IsDList,Table_ExternalData_15[[#Headers],[14]])</f>
        <v>0</v>
      </c>
      <c r="S34" s="10">
        <f>SUMIFS(IsQList,IsIList,Table_ExternalData_15[[#This Row],[item_key]],IsITypeList,Table_ExternalData_15[[#This Row],[IType]],IsDList,Table_ExternalData_15[[#Headers],[15]])</f>
        <v>0</v>
      </c>
      <c r="T34" s="10">
        <f>SUMIFS(IsQList,IsIList,Table_ExternalData_15[[#This Row],[item_key]],IsITypeList,Table_ExternalData_15[[#This Row],[IType]],IsDList,Table_ExternalData_15[[#Headers],[16]])</f>
        <v>0</v>
      </c>
      <c r="U34" s="10">
        <f>SUMIFS(IsQList,IsIList,Table_ExternalData_15[[#This Row],[item_key]],IsITypeList,Table_ExternalData_15[[#This Row],[IType]],IsDList,Table_ExternalData_15[[#Headers],[17]])</f>
        <v>0</v>
      </c>
      <c r="V34" s="10">
        <f>SUMIFS(IsQList,IsIList,Table_ExternalData_15[[#This Row],[item_key]],IsITypeList,Table_ExternalData_15[[#This Row],[IType]],IsDList,Table_ExternalData_15[[#Headers],[18]])</f>
        <v>0</v>
      </c>
      <c r="W34" s="10">
        <f>SUMIFS(IsQList,IsIList,Table_ExternalData_15[[#This Row],[item_key]],IsITypeList,Table_ExternalData_15[[#This Row],[IType]],IsDList,Table_ExternalData_15[[#Headers],[19]])</f>
        <v>0</v>
      </c>
      <c r="X34" s="10">
        <f>SUMIFS(IsQList,IsIList,Table_ExternalData_15[[#This Row],[item_key]],IsITypeList,Table_ExternalData_15[[#This Row],[IType]],IsDList,Table_ExternalData_15[[#Headers],[20]])</f>
        <v>0</v>
      </c>
      <c r="Y34" s="10">
        <f>SUMIFS(IsQList,IsIList,Table_ExternalData_15[[#This Row],[item_key]],IsITypeList,Table_ExternalData_15[[#This Row],[IType]],IsDList,Table_ExternalData_15[[#Headers],[21]])</f>
        <v>0</v>
      </c>
      <c r="Z34" s="10">
        <f>SUMIFS(IsQList,IsIList,Table_ExternalData_15[[#This Row],[item_key]],IsITypeList,Table_ExternalData_15[[#This Row],[IType]],IsDList,Table_ExternalData_15[[#Headers],[22]])</f>
        <v>0</v>
      </c>
      <c r="AA34" s="10">
        <f>SUMIFS(IsQList,IsIList,Table_ExternalData_15[[#This Row],[item_key]],IsITypeList,Table_ExternalData_15[[#This Row],[IType]],IsDList,Table_ExternalData_15[[#Headers],[23]])</f>
        <v>0</v>
      </c>
      <c r="AB34" s="10">
        <f>SUMIFS(IsQList,IsIList,Table_ExternalData_15[[#This Row],[item_key]],IsITypeList,Table_ExternalData_15[[#This Row],[IType]],IsDList,Table_ExternalData_15[[#Headers],[24]])</f>
        <v>0</v>
      </c>
      <c r="AC34" s="10">
        <f>SUMIFS(IsQList,IsIList,Table_ExternalData_15[[#This Row],[item_key]],IsITypeList,Table_ExternalData_15[[#This Row],[IType]],IsDList,Table_ExternalData_15[[#Headers],[25]])</f>
        <v>0</v>
      </c>
      <c r="AD34" s="10">
        <f>SUMIFS(IsQList,IsIList,Table_ExternalData_15[[#This Row],[item_key]],IsITypeList,Table_ExternalData_15[[#This Row],[IType]],IsDList,Table_ExternalData_15[[#Headers],[26]])</f>
        <v>0</v>
      </c>
      <c r="AE34" s="10">
        <f>SUMIFS(IsQList,IsIList,Table_ExternalData_15[[#This Row],[item_key]],IsITypeList,Table_ExternalData_15[[#This Row],[IType]],IsDList,Table_ExternalData_15[[#Headers],[27]])</f>
        <v>0</v>
      </c>
      <c r="AF34" s="10">
        <f>SUMIFS(IsQList,IsIList,Table_ExternalData_15[[#This Row],[item_key]],IsITypeList,Table_ExternalData_15[[#This Row],[IType]],IsDList,Table_ExternalData_15[[#Headers],[28]])</f>
        <v>0</v>
      </c>
      <c r="AG34" s="10">
        <f>SUMIFS(IsQList,IsIList,Table_ExternalData_15[[#This Row],[item_key]],IsITypeList,Table_ExternalData_15[[#This Row],[IType]],IsDList,Table_ExternalData_15[[#Headers],[29]])</f>
        <v>0</v>
      </c>
      <c r="AH34" s="10">
        <f>SUMIFS(IsQList,IsIList,Table_ExternalData_15[[#This Row],[item_key]],IsITypeList,Table_ExternalData_15[[#This Row],[IType]],IsDList,Table_ExternalData_15[[#Headers],[30]])</f>
        <v>0</v>
      </c>
      <c r="AI34" s="10">
        <f>SUMIFS(IsQList,IsIList,Table_ExternalData_15[[#This Row],[item_key]],IsITypeList,Table_ExternalData_15[[#This Row],[IType]],IsDList,Table_ExternalData_15[[#Headers],[31]])</f>
        <v>0</v>
      </c>
      <c r="AJ34" s="10">
        <f>SUM(Table_ExternalData_15[[#This Row],[1]:[31]])</f>
        <v>0</v>
      </c>
    </row>
    <row r="35" spans="1:36">
      <c r="A35" s="1" t="s">
        <v>307</v>
      </c>
      <c r="B35" s="1" t="s">
        <v>1621</v>
      </c>
      <c r="C35" s="1" t="s">
        <v>1589</v>
      </c>
      <c r="D35" s="11" t="s">
        <v>72</v>
      </c>
      <c r="E35" s="10">
        <f>SUMIFS(IsQList,IsIList,Table_ExternalData_15[[#This Row],[item_key]],IsITypeList,Table_ExternalData_15[[#This Row],[IType]],IsDList,Table_ExternalData_15[[#Headers],[1]])</f>
        <v>0</v>
      </c>
      <c r="F35" s="10">
        <f>SUMIFS(IsQList,IsIList,Table_ExternalData_15[[#This Row],[item_key]],IsITypeList,Table_ExternalData_15[[#This Row],[IType]],IsDList,Table_ExternalData_15[[#Headers],[2]])</f>
        <v>0</v>
      </c>
      <c r="G35" s="10">
        <f>SUMIFS(IsQList,IsIList,Table_ExternalData_15[[#This Row],[item_key]],IsITypeList,Table_ExternalData_15[[#This Row],[IType]],IsDList,Table_ExternalData_15[[#Headers],[3]])</f>
        <v>0</v>
      </c>
      <c r="H35" s="10">
        <f>SUMIFS(IsQList,IsIList,Table_ExternalData_15[[#This Row],[item_key]],IsITypeList,Table_ExternalData_15[[#This Row],[IType]],IsDList,Table_ExternalData_15[[#Headers],[4]])</f>
        <v>0</v>
      </c>
      <c r="I35" s="10">
        <f>SUMIFS(IsQList,IsIList,Table_ExternalData_15[[#This Row],[item_key]],IsITypeList,Table_ExternalData_15[[#This Row],[IType]],IsDList,Table_ExternalData_15[[#Headers],[5]])</f>
        <v>0</v>
      </c>
      <c r="J35" s="10">
        <f>SUMIFS(IsQList,IsIList,Table_ExternalData_15[[#This Row],[item_key]],IsITypeList,Table_ExternalData_15[[#This Row],[IType]],IsDList,Table_ExternalData_15[[#Headers],[6]])</f>
        <v>5</v>
      </c>
      <c r="K35" s="10">
        <f>SUMIFS(IsQList,IsIList,Table_ExternalData_15[[#This Row],[item_key]],IsITypeList,Table_ExternalData_15[[#This Row],[IType]],IsDList,Table_ExternalData_15[[#Headers],[7]])</f>
        <v>0</v>
      </c>
      <c r="L35" s="10">
        <f>SUMIFS(IsQList,IsIList,Table_ExternalData_15[[#This Row],[item_key]],IsITypeList,Table_ExternalData_15[[#This Row],[IType]],IsDList,Table_ExternalData_15[[#Headers],[8]])</f>
        <v>0</v>
      </c>
      <c r="M35" s="10">
        <f>SUMIFS(IsQList,IsIList,Table_ExternalData_15[[#This Row],[item_key]],IsITypeList,Table_ExternalData_15[[#This Row],[IType]],IsDList,Table_ExternalData_15[[#Headers],[9]])</f>
        <v>0</v>
      </c>
      <c r="N35" s="10">
        <f>SUMIFS(IsQList,IsIList,Table_ExternalData_15[[#This Row],[item_key]],IsITypeList,Table_ExternalData_15[[#This Row],[IType]],IsDList,Table_ExternalData_15[[#Headers],[10]])</f>
        <v>0</v>
      </c>
      <c r="O35" s="10">
        <f>SUMIFS(IsQList,IsIList,Table_ExternalData_15[[#This Row],[item_key]],IsITypeList,Table_ExternalData_15[[#This Row],[IType]],IsDList,Table_ExternalData_15[[#Headers],[11]])</f>
        <v>0</v>
      </c>
      <c r="P35" s="10">
        <f>SUMIFS(IsQList,IsIList,Table_ExternalData_15[[#This Row],[item_key]],IsITypeList,Table_ExternalData_15[[#This Row],[IType]],IsDList,Table_ExternalData_15[[#Headers],[12]])</f>
        <v>0</v>
      </c>
      <c r="Q35" s="10">
        <f>SUMIFS(IsQList,IsIList,Table_ExternalData_15[[#This Row],[item_key]],IsITypeList,Table_ExternalData_15[[#This Row],[IType]],IsDList,Table_ExternalData_15[[#Headers],[13]])</f>
        <v>0</v>
      </c>
      <c r="R35" s="10">
        <f>SUMIFS(IsQList,IsIList,Table_ExternalData_15[[#This Row],[item_key]],IsITypeList,Table_ExternalData_15[[#This Row],[IType]],IsDList,Table_ExternalData_15[[#Headers],[14]])</f>
        <v>0</v>
      </c>
      <c r="S35" s="10">
        <f>SUMIFS(IsQList,IsIList,Table_ExternalData_15[[#This Row],[item_key]],IsITypeList,Table_ExternalData_15[[#This Row],[IType]],IsDList,Table_ExternalData_15[[#Headers],[15]])</f>
        <v>0</v>
      </c>
      <c r="T35" s="10">
        <f>SUMIFS(IsQList,IsIList,Table_ExternalData_15[[#This Row],[item_key]],IsITypeList,Table_ExternalData_15[[#This Row],[IType]],IsDList,Table_ExternalData_15[[#Headers],[16]])</f>
        <v>0</v>
      </c>
      <c r="U35" s="10">
        <f>SUMIFS(IsQList,IsIList,Table_ExternalData_15[[#This Row],[item_key]],IsITypeList,Table_ExternalData_15[[#This Row],[IType]],IsDList,Table_ExternalData_15[[#Headers],[17]])</f>
        <v>0</v>
      </c>
      <c r="V35" s="10">
        <f>SUMIFS(IsQList,IsIList,Table_ExternalData_15[[#This Row],[item_key]],IsITypeList,Table_ExternalData_15[[#This Row],[IType]],IsDList,Table_ExternalData_15[[#Headers],[18]])</f>
        <v>0</v>
      </c>
      <c r="W35" s="10">
        <f>SUMIFS(IsQList,IsIList,Table_ExternalData_15[[#This Row],[item_key]],IsITypeList,Table_ExternalData_15[[#This Row],[IType]],IsDList,Table_ExternalData_15[[#Headers],[19]])</f>
        <v>0</v>
      </c>
      <c r="X35" s="10">
        <f>SUMIFS(IsQList,IsIList,Table_ExternalData_15[[#This Row],[item_key]],IsITypeList,Table_ExternalData_15[[#This Row],[IType]],IsDList,Table_ExternalData_15[[#Headers],[20]])</f>
        <v>0</v>
      </c>
      <c r="Y35" s="10">
        <f>SUMIFS(IsQList,IsIList,Table_ExternalData_15[[#This Row],[item_key]],IsITypeList,Table_ExternalData_15[[#This Row],[IType]],IsDList,Table_ExternalData_15[[#Headers],[21]])</f>
        <v>0</v>
      </c>
      <c r="Z35" s="10">
        <f>SUMIFS(IsQList,IsIList,Table_ExternalData_15[[#This Row],[item_key]],IsITypeList,Table_ExternalData_15[[#This Row],[IType]],IsDList,Table_ExternalData_15[[#Headers],[22]])</f>
        <v>0</v>
      </c>
      <c r="AA35" s="10">
        <f>SUMIFS(IsQList,IsIList,Table_ExternalData_15[[#This Row],[item_key]],IsITypeList,Table_ExternalData_15[[#This Row],[IType]],IsDList,Table_ExternalData_15[[#Headers],[23]])</f>
        <v>0</v>
      </c>
      <c r="AB35" s="10">
        <f>SUMIFS(IsQList,IsIList,Table_ExternalData_15[[#This Row],[item_key]],IsITypeList,Table_ExternalData_15[[#This Row],[IType]],IsDList,Table_ExternalData_15[[#Headers],[24]])</f>
        <v>1</v>
      </c>
      <c r="AC35" s="10">
        <f>SUMIFS(IsQList,IsIList,Table_ExternalData_15[[#This Row],[item_key]],IsITypeList,Table_ExternalData_15[[#This Row],[IType]],IsDList,Table_ExternalData_15[[#Headers],[25]])</f>
        <v>0</v>
      </c>
      <c r="AD35" s="10">
        <f>SUMIFS(IsQList,IsIList,Table_ExternalData_15[[#This Row],[item_key]],IsITypeList,Table_ExternalData_15[[#This Row],[IType]],IsDList,Table_ExternalData_15[[#Headers],[26]])</f>
        <v>0</v>
      </c>
      <c r="AE35" s="10">
        <f>SUMIFS(IsQList,IsIList,Table_ExternalData_15[[#This Row],[item_key]],IsITypeList,Table_ExternalData_15[[#This Row],[IType]],IsDList,Table_ExternalData_15[[#Headers],[27]])</f>
        <v>0</v>
      </c>
      <c r="AF35" s="10">
        <f>SUMIFS(IsQList,IsIList,Table_ExternalData_15[[#This Row],[item_key]],IsITypeList,Table_ExternalData_15[[#This Row],[IType]],IsDList,Table_ExternalData_15[[#Headers],[28]])</f>
        <v>0</v>
      </c>
      <c r="AG35" s="10">
        <f>SUMIFS(IsQList,IsIList,Table_ExternalData_15[[#This Row],[item_key]],IsITypeList,Table_ExternalData_15[[#This Row],[IType]],IsDList,Table_ExternalData_15[[#Headers],[29]])</f>
        <v>0</v>
      </c>
      <c r="AH35" s="10">
        <f>SUMIFS(IsQList,IsIList,Table_ExternalData_15[[#This Row],[item_key]],IsITypeList,Table_ExternalData_15[[#This Row],[IType]],IsDList,Table_ExternalData_15[[#Headers],[30]])</f>
        <v>0</v>
      </c>
      <c r="AI35" s="10">
        <f>SUMIFS(IsQList,IsIList,Table_ExternalData_15[[#This Row],[item_key]],IsITypeList,Table_ExternalData_15[[#This Row],[IType]],IsDList,Table_ExternalData_15[[#Headers],[31]])</f>
        <v>0</v>
      </c>
      <c r="AJ35" s="10">
        <f>SUM(Table_ExternalData_15[[#This Row],[1]:[31]])</f>
        <v>6</v>
      </c>
    </row>
    <row r="36" spans="1:36">
      <c r="A36" s="1" t="s">
        <v>309</v>
      </c>
      <c r="B36" s="1" t="s">
        <v>1233</v>
      </c>
      <c r="C36" s="1" t="s">
        <v>1234</v>
      </c>
      <c r="D36" s="11" t="s">
        <v>72</v>
      </c>
      <c r="E36" s="10">
        <f>SUMIFS(IsQList,IsIList,Table_ExternalData_15[[#This Row],[item_key]],IsITypeList,Table_ExternalData_15[[#This Row],[IType]],IsDList,Table_ExternalData_15[[#Headers],[1]])</f>
        <v>0</v>
      </c>
      <c r="F36" s="10">
        <f>SUMIFS(IsQList,IsIList,Table_ExternalData_15[[#This Row],[item_key]],IsITypeList,Table_ExternalData_15[[#This Row],[IType]],IsDList,Table_ExternalData_15[[#Headers],[2]])</f>
        <v>0</v>
      </c>
      <c r="G36" s="10">
        <f>SUMIFS(IsQList,IsIList,Table_ExternalData_15[[#This Row],[item_key]],IsITypeList,Table_ExternalData_15[[#This Row],[IType]],IsDList,Table_ExternalData_15[[#Headers],[3]])</f>
        <v>0</v>
      </c>
      <c r="H36" s="10">
        <f>SUMIFS(IsQList,IsIList,Table_ExternalData_15[[#This Row],[item_key]],IsITypeList,Table_ExternalData_15[[#This Row],[IType]],IsDList,Table_ExternalData_15[[#Headers],[4]])</f>
        <v>0</v>
      </c>
      <c r="I36" s="10">
        <f>SUMIFS(IsQList,IsIList,Table_ExternalData_15[[#This Row],[item_key]],IsITypeList,Table_ExternalData_15[[#This Row],[IType]],IsDList,Table_ExternalData_15[[#Headers],[5]])</f>
        <v>0</v>
      </c>
      <c r="J36" s="10">
        <f>SUMIFS(IsQList,IsIList,Table_ExternalData_15[[#This Row],[item_key]],IsITypeList,Table_ExternalData_15[[#This Row],[IType]],IsDList,Table_ExternalData_15[[#Headers],[6]])</f>
        <v>0</v>
      </c>
      <c r="K36" s="10">
        <f>SUMIFS(IsQList,IsIList,Table_ExternalData_15[[#This Row],[item_key]],IsITypeList,Table_ExternalData_15[[#This Row],[IType]],IsDList,Table_ExternalData_15[[#Headers],[7]])</f>
        <v>0</v>
      </c>
      <c r="L36" s="10">
        <f>SUMIFS(IsQList,IsIList,Table_ExternalData_15[[#This Row],[item_key]],IsITypeList,Table_ExternalData_15[[#This Row],[IType]],IsDList,Table_ExternalData_15[[#Headers],[8]])</f>
        <v>0</v>
      </c>
      <c r="M36" s="10">
        <f>SUMIFS(IsQList,IsIList,Table_ExternalData_15[[#This Row],[item_key]],IsITypeList,Table_ExternalData_15[[#This Row],[IType]],IsDList,Table_ExternalData_15[[#Headers],[9]])</f>
        <v>0</v>
      </c>
      <c r="N36" s="10">
        <f>SUMIFS(IsQList,IsIList,Table_ExternalData_15[[#This Row],[item_key]],IsITypeList,Table_ExternalData_15[[#This Row],[IType]],IsDList,Table_ExternalData_15[[#Headers],[10]])</f>
        <v>0</v>
      </c>
      <c r="O36" s="10">
        <f>SUMIFS(IsQList,IsIList,Table_ExternalData_15[[#This Row],[item_key]],IsITypeList,Table_ExternalData_15[[#This Row],[IType]],IsDList,Table_ExternalData_15[[#Headers],[11]])</f>
        <v>0</v>
      </c>
      <c r="P36" s="10">
        <f>SUMIFS(IsQList,IsIList,Table_ExternalData_15[[#This Row],[item_key]],IsITypeList,Table_ExternalData_15[[#This Row],[IType]],IsDList,Table_ExternalData_15[[#Headers],[12]])</f>
        <v>0</v>
      </c>
      <c r="Q36" s="10">
        <f>SUMIFS(IsQList,IsIList,Table_ExternalData_15[[#This Row],[item_key]],IsITypeList,Table_ExternalData_15[[#This Row],[IType]],IsDList,Table_ExternalData_15[[#Headers],[13]])</f>
        <v>0</v>
      </c>
      <c r="R36" s="10">
        <f>SUMIFS(IsQList,IsIList,Table_ExternalData_15[[#This Row],[item_key]],IsITypeList,Table_ExternalData_15[[#This Row],[IType]],IsDList,Table_ExternalData_15[[#Headers],[14]])</f>
        <v>0</v>
      </c>
      <c r="S36" s="10">
        <f>SUMIFS(IsQList,IsIList,Table_ExternalData_15[[#This Row],[item_key]],IsITypeList,Table_ExternalData_15[[#This Row],[IType]],IsDList,Table_ExternalData_15[[#Headers],[15]])</f>
        <v>0</v>
      </c>
      <c r="T36" s="10">
        <f>SUMIFS(IsQList,IsIList,Table_ExternalData_15[[#This Row],[item_key]],IsITypeList,Table_ExternalData_15[[#This Row],[IType]],IsDList,Table_ExternalData_15[[#Headers],[16]])</f>
        <v>0</v>
      </c>
      <c r="U36" s="10">
        <f>SUMIFS(IsQList,IsIList,Table_ExternalData_15[[#This Row],[item_key]],IsITypeList,Table_ExternalData_15[[#This Row],[IType]],IsDList,Table_ExternalData_15[[#Headers],[17]])</f>
        <v>0</v>
      </c>
      <c r="V36" s="10">
        <f>SUMIFS(IsQList,IsIList,Table_ExternalData_15[[#This Row],[item_key]],IsITypeList,Table_ExternalData_15[[#This Row],[IType]],IsDList,Table_ExternalData_15[[#Headers],[18]])</f>
        <v>0</v>
      </c>
      <c r="W36" s="10">
        <f>SUMIFS(IsQList,IsIList,Table_ExternalData_15[[#This Row],[item_key]],IsITypeList,Table_ExternalData_15[[#This Row],[IType]],IsDList,Table_ExternalData_15[[#Headers],[19]])</f>
        <v>0</v>
      </c>
      <c r="X36" s="10">
        <f>SUMIFS(IsQList,IsIList,Table_ExternalData_15[[#This Row],[item_key]],IsITypeList,Table_ExternalData_15[[#This Row],[IType]],IsDList,Table_ExternalData_15[[#Headers],[20]])</f>
        <v>0</v>
      </c>
      <c r="Y36" s="10">
        <f>SUMIFS(IsQList,IsIList,Table_ExternalData_15[[#This Row],[item_key]],IsITypeList,Table_ExternalData_15[[#This Row],[IType]],IsDList,Table_ExternalData_15[[#Headers],[21]])</f>
        <v>0</v>
      </c>
      <c r="Z36" s="10">
        <f>SUMIFS(IsQList,IsIList,Table_ExternalData_15[[#This Row],[item_key]],IsITypeList,Table_ExternalData_15[[#This Row],[IType]],IsDList,Table_ExternalData_15[[#Headers],[22]])</f>
        <v>0</v>
      </c>
      <c r="AA36" s="10">
        <f>SUMIFS(IsQList,IsIList,Table_ExternalData_15[[#This Row],[item_key]],IsITypeList,Table_ExternalData_15[[#This Row],[IType]],IsDList,Table_ExternalData_15[[#Headers],[23]])</f>
        <v>0</v>
      </c>
      <c r="AB36" s="10">
        <f>SUMIFS(IsQList,IsIList,Table_ExternalData_15[[#This Row],[item_key]],IsITypeList,Table_ExternalData_15[[#This Row],[IType]],IsDList,Table_ExternalData_15[[#Headers],[24]])</f>
        <v>0</v>
      </c>
      <c r="AC36" s="10">
        <f>SUMIFS(IsQList,IsIList,Table_ExternalData_15[[#This Row],[item_key]],IsITypeList,Table_ExternalData_15[[#This Row],[IType]],IsDList,Table_ExternalData_15[[#Headers],[25]])</f>
        <v>0</v>
      </c>
      <c r="AD36" s="10">
        <f>SUMIFS(IsQList,IsIList,Table_ExternalData_15[[#This Row],[item_key]],IsITypeList,Table_ExternalData_15[[#This Row],[IType]],IsDList,Table_ExternalData_15[[#Headers],[26]])</f>
        <v>0</v>
      </c>
      <c r="AE36" s="10">
        <f>SUMIFS(IsQList,IsIList,Table_ExternalData_15[[#This Row],[item_key]],IsITypeList,Table_ExternalData_15[[#This Row],[IType]],IsDList,Table_ExternalData_15[[#Headers],[27]])</f>
        <v>0</v>
      </c>
      <c r="AF36" s="10">
        <f>SUMIFS(IsQList,IsIList,Table_ExternalData_15[[#This Row],[item_key]],IsITypeList,Table_ExternalData_15[[#This Row],[IType]],IsDList,Table_ExternalData_15[[#Headers],[28]])</f>
        <v>0</v>
      </c>
      <c r="AG36" s="10">
        <f>SUMIFS(IsQList,IsIList,Table_ExternalData_15[[#This Row],[item_key]],IsITypeList,Table_ExternalData_15[[#This Row],[IType]],IsDList,Table_ExternalData_15[[#Headers],[29]])</f>
        <v>0</v>
      </c>
      <c r="AH36" s="10">
        <f>SUMIFS(IsQList,IsIList,Table_ExternalData_15[[#This Row],[item_key]],IsITypeList,Table_ExternalData_15[[#This Row],[IType]],IsDList,Table_ExternalData_15[[#Headers],[30]])</f>
        <v>10</v>
      </c>
      <c r="AI36" s="10">
        <f>SUMIFS(IsQList,IsIList,Table_ExternalData_15[[#This Row],[item_key]],IsITypeList,Table_ExternalData_15[[#This Row],[IType]],IsDList,Table_ExternalData_15[[#Headers],[31]])</f>
        <v>0</v>
      </c>
      <c r="AJ36" s="10">
        <f>SUM(Table_ExternalData_15[[#This Row],[1]:[31]])</f>
        <v>10</v>
      </c>
    </row>
    <row r="37" spans="1:36">
      <c r="A37" s="1" t="s">
        <v>1667</v>
      </c>
      <c r="B37" s="1" t="s">
        <v>1237</v>
      </c>
      <c r="C37" s="1" t="s">
        <v>2464</v>
      </c>
      <c r="D37" s="11" t="s">
        <v>72</v>
      </c>
      <c r="E37" s="10">
        <f>SUMIFS(IsQList,IsIList,Table_ExternalData_15[[#This Row],[item_key]],IsITypeList,Table_ExternalData_15[[#This Row],[IType]],IsDList,Table_ExternalData_15[[#Headers],[1]])</f>
        <v>0</v>
      </c>
      <c r="F37" s="10">
        <f>SUMIFS(IsQList,IsIList,Table_ExternalData_15[[#This Row],[item_key]],IsITypeList,Table_ExternalData_15[[#This Row],[IType]],IsDList,Table_ExternalData_15[[#Headers],[2]])</f>
        <v>0</v>
      </c>
      <c r="G37" s="10">
        <f>SUMIFS(IsQList,IsIList,Table_ExternalData_15[[#This Row],[item_key]],IsITypeList,Table_ExternalData_15[[#This Row],[IType]],IsDList,Table_ExternalData_15[[#Headers],[3]])</f>
        <v>0</v>
      </c>
      <c r="H37" s="10">
        <f>SUMIFS(IsQList,IsIList,Table_ExternalData_15[[#This Row],[item_key]],IsITypeList,Table_ExternalData_15[[#This Row],[IType]],IsDList,Table_ExternalData_15[[#Headers],[4]])</f>
        <v>0</v>
      </c>
      <c r="I37" s="10">
        <f>SUMIFS(IsQList,IsIList,Table_ExternalData_15[[#This Row],[item_key]],IsITypeList,Table_ExternalData_15[[#This Row],[IType]],IsDList,Table_ExternalData_15[[#Headers],[5]])</f>
        <v>0</v>
      </c>
      <c r="J37" s="10">
        <f>SUMIFS(IsQList,IsIList,Table_ExternalData_15[[#This Row],[item_key]],IsITypeList,Table_ExternalData_15[[#This Row],[IType]],IsDList,Table_ExternalData_15[[#Headers],[6]])</f>
        <v>0</v>
      </c>
      <c r="K37" s="10">
        <f>SUMIFS(IsQList,IsIList,Table_ExternalData_15[[#This Row],[item_key]],IsITypeList,Table_ExternalData_15[[#This Row],[IType]],IsDList,Table_ExternalData_15[[#Headers],[7]])</f>
        <v>0</v>
      </c>
      <c r="L37" s="10">
        <f>SUMIFS(IsQList,IsIList,Table_ExternalData_15[[#This Row],[item_key]],IsITypeList,Table_ExternalData_15[[#This Row],[IType]],IsDList,Table_ExternalData_15[[#Headers],[8]])</f>
        <v>0</v>
      </c>
      <c r="M37" s="10">
        <f>SUMIFS(IsQList,IsIList,Table_ExternalData_15[[#This Row],[item_key]],IsITypeList,Table_ExternalData_15[[#This Row],[IType]],IsDList,Table_ExternalData_15[[#Headers],[9]])</f>
        <v>0</v>
      </c>
      <c r="N37" s="10">
        <f>SUMIFS(IsQList,IsIList,Table_ExternalData_15[[#This Row],[item_key]],IsITypeList,Table_ExternalData_15[[#This Row],[IType]],IsDList,Table_ExternalData_15[[#Headers],[10]])</f>
        <v>0</v>
      </c>
      <c r="O37" s="10">
        <f>SUMIFS(IsQList,IsIList,Table_ExternalData_15[[#This Row],[item_key]],IsITypeList,Table_ExternalData_15[[#This Row],[IType]],IsDList,Table_ExternalData_15[[#Headers],[11]])</f>
        <v>0</v>
      </c>
      <c r="P37" s="10">
        <f>SUMIFS(IsQList,IsIList,Table_ExternalData_15[[#This Row],[item_key]],IsITypeList,Table_ExternalData_15[[#This Row],[IType]],IsDList,Table_ExternalData_15[[#Headers],[12]])</f>
        <v>0</v>
      </c>
      <c r="Q37" s="10">
        <f>SUMIFS(IsQList,IsIList,Table_ExternalData_15[[#This Row],[item_key]],IsITypeList,Table_ExternalData_15[[#This Row],[IType]],IsDList,Table_ExternalData_15[[#Headers],[13]])</f>
        <v>0</v>
      </c>
      <c r="R37" s="10">
        <f>SUMIFS(IsQList,IsIList,Table_ExternalData_15[[#This Row],[item_key]],IsITypeList,Table_ExternalData_15[[#This Row],[IType]],IsDList,Table_ExternalData_15[[#Headers],[14]])</f>
        <v>0</v>
      </c>
      <c r="S37" s="10">
        <f>SUMIFS(IsQList,IsIList,Table_ExternalData_15[[#This Row],[item_key]],IsITypeList,Table_ExternalData_15[[#This Row],[IType]],IsDList,Table_ExternalData_15[[#Headers],[15]])</f>
        <v>0</v>
      </c>
      <c r="T37" s="10">
        <f>SUMIFS(IsQList,IsIList,Table_ExternalData_15[[#This Row],[item_key]],IsITypeList,Table_ExternalData_15[[#This Row],[IType]],IsDList,Table_ExternalData_15[[#Headers],[16]])</f>
        <v>100</v>
      </c>
      <c r="U37" s="10">
        <f>SUMIFS(IsQList,IsIList,Table_ExternalData_15[[#This Row],[item_key]],IsITypeList,Table_ExternalData_15[[#This Row],[IType]],IsDList,Table_ExternalData_15[[#Headers],[17]])</f>
        <v>0</v>
      </c>
      <c r="V37" s="10">
        <f>SUMIFS(IsQList,IsIList,Table_ExternalData_15[[#This Row],[item_key]],IsITypeList,Table_ExternalData_15[[#This Row],[IType]],IsDList,Table_ExternalData_15[[#Headers],[18]])</f>
        <v>0</v>
      </c>
      <c r="W37" s="10">
        <f>SUMIFS(IsQList,IsIList,Table_ExternalData_15[[#This Row],[item_key]],IsITypeList,Table_ExternalData_15[[#This Row],[IType]],IsDList,Table_ExternalData_15[[#Headers],[19]])</f>
        <v>0</v>
      </c>
      <c r="X37" s="10">
        <f>SUMIFS(IsQList,IsIList,Table_ExternalData_15[[#This Row],[item_key]],IsITypeList,Table_ExternalData_15[[#This Row],[IType]],IsDList,Table_ExternalData_15[[#Headers],[20]])</f>
        <v>0</v>
      </c>
      <c r="Y37" s="10">
        <f>SUMIFS(IsQList,IsIList,Table_ExternalData_15[[#This Row],[item_key]],IsITypeList,Table_ExternalData_15[[#This Row],[IType]],IsDList,Table_ExternalData_15[[#Headers],[21]])</f>
        <v>0</v>
      </c>
      <c r="Z37" s="10">
        <f>SUMIFS(IsQList,IsIList,Table_ExternalData_15[[#This Row],[item_key]],IsITypeList,Table_ExternalData_15[[#This Row],[IType]],IsDList,Table_ExternalData_15[[#Headers],[22]])</f>
        <v>0</v>
      </c>
      <c r="AA37" s="10">
        <f>SUMIFS(IsQList,IsIList,Table_ExternalData_15[[#This Row],[item_key]],IsITypeList,Table_ExternalData_15[[#This Row],[IType]],IsDList,Table_ExternalData_15[[#Headers],[23]])</f>
        <v>0</v>
      </c>
      <c r="AB37" s="10">
        <f>SUMIFS(IsQList,IsIList,Table_ExternalData_15[[#This Row],[item_key]],IsITypeList,Table_ExternalData_15[[#This Row],[IType]],IsDList,Table_ExternalData_15[[#Headers],[24]])</f>
        <v>10</v>
      </c>
      <c r="AC37" s="10">
        <f>SUMIFS(IsQList,IsIList,Table_ExternalData_15[[#This Row],[item_key]],IsITypeList,Table_ExternalData_15[[#This Row],[IType]],IsDList,Table_ExternalData_15[[#Headers],[25]])</f>
        <v>0</v>
      </c>
      <c r="AD37" s="10">
        <f>SUMIFS(IsQList,IsIList,Table_ExternalData_15[[#This Row],[item_key]],IsITypeList,Table_ExternalData_15[[#This Row],[IType]],IsDList,Table_ExternalData_15[[#Headers],[26]])</f>
        <v>0</v>
      </c>
      <c r="AE37" s="10">
        <f>SUMIFS(IsQList,IsIList,Table_ExternalData_15[[#This Row],[item_key]],IsITypeList,Table_ExternalData_15[[#This Row],[IType]],IsDList,Table_ExternalData_15[[#Headers],[27]])</f>
        <v>0</v>
      </c>
      <c r="AF37" s="10">
        <f>SUMIFS(IsQList,IsIList,Table_ExternalData_15[[#This Row],[item_key]],IsITypeList,Table_ExternalData_15[[#This Row],[IType]],IsDList,Table_ExternalData_15[[#Headers],[28]])</f>
        <v>0</v>
      </c>
      <c r="AG37" s="10">
        <f>SUMIFS(IsQList,IsIList,Table_ExternalData_15[[#This Row],[item_key]],IsITypeList,Table_ExternalData_15[[#This Row],[IType]],IsDList,Table_ExternalData_15[[#Headers],[29]])</f>
        <v>0</v>
      </c>
      <c r="AH37" s="10">
        <f>SUMIFS(IsQList,IsIList,Table_ExternalData_15[[#This Row],[item_key]],IsITypeList,Table_ExternalData_15[[#This Row],[IType]],IsDList,Table_ExternalData_15[[#Headers],[30]])</f>
        <v>0</v>
      </c>
      <c r="AI37" s="10">
        <f>SUMIFS(IsQList,IsIList,Table_ExternalData_15[[#This Row],[item_key]],IsITypeList,Table_ExternalData_15[[#This Row],[IType]],IsDList,Table_ExternalData_15[[#Headers],[31]])</f>
        <v>0</v>
      </c>
      <c r="AJ37" s="10">
        <f>SUM(Table_ExternalData_15[[#This Row],[1]:[31]])</f>
        <v>110</v>
      </c>
    </row>
    <row r="38" spans="1:36">
      <c r="A38" s="1" t="s">
        <v>312</v>
      </c>
      <c r="B38" s="1" t="s">
        <v>1238</v>
      </c>
      <c r="C38" s="1" t="s">
        <v>1239</v>
      </c>
      <c r="D38" s="11" t="s">
        <v>72</v>
      </c>
      <c r="E38" s="10">
        <f>SUMIFS(IsQList,IsIList,Table_ExternalData_15[[#This Row],[item_key]],IsITypeList,Table_ExternalData_15[[#This Row],[IType]],IsDList,Table_ExternalData_15[[#Headers],[1]])</f>
        <v>0</v>
      </c>
      <c r="F38" s="10">
        <f>SUMIFS(IsQList,IsIList,Table_ExternalData_15[[#This Row],[item_key]],IsITypeList,Table_ExternalData_15[[#This Row],[IType]],IsDList,Table_ExternalData_15[[#Headers],[2]])</f>
        <v>0</v>
      </c>
      <c r="G38" s="10">
        <f>SUMIFS(IsQList,IsIList,Table_ExternalData_15[[#This Row],[item_key]],IsITypeList,Table_ExternalData_15[[#This Row],[IType]],IsDList,Table_ExternalData_15[[#Headers],[3]])</f>
        <v>0</v>
      </c>
      <c r="H38" s="10">
        <f>SUMIFS(IsQList,IsIList,Table_ExternalData_15[[#This Row],[item_key]],IsITypeList,Table_ExternalData_15[[#This Row],[IType]],IsDList,Table_ExternalData_15[[#Headers],[4]])</f>
        <v>0</v>
      </c>
      <c r="I38" s="10">
        <f>SUMIFS(IsQList,IsIList,Table_ExternalData_15[[#This Row],[item_key]],IsITypeList,Table_ExternalData_15[[#This Row],[IType]],IsDList,Table_ExternalData_15[[#Headers],[5]])</f>
        <v>0</v>
      </c>
      <c r="J38" s="10">
        <f>SUMIFS(IsQList,IsIList,Table_ExternalData_15[[#This Row],[item_key]],IsITypeList,Table_ExternalData_15[[#This Row],[IType]],IsDList,Table_ExternalData_15[[#Headers],[6]])</f>
        <v>50</v>
      </c>
      <c r="K38" s="10">
        <f>SUMIFS(IsQList,IsIList,Table_ExternalData_15[[#This Row],[item_key]],IsITypeList,Table_ExternalData_15[[#This Row],[IType]],IsDList,Table_ExternalData_15[[#Headers],[7]])</f>
        <v>0</v>
      </c>
      <c r="L38" s="10">
        <f>SUMIFS(IsQList,IsIList,Table_ExternalData_15[[#This Row],[item_key]],IsITypeList,Table_ExternalData_15[[#This Row],[IType]],IsDList,Table_ExternalData_15[[#Headers],[8]])</f>
        <v>0</v>
      </c>
      <c r="M38" s="10">
        <f>SUMIFS(IsQList,IsIList,Table_ExternalData_15[[#This Row],[item_key]],IsITypeList,Table_ExternalData_15[[#This Row],[IType]],IsDList,Table_ExternalData_15[[#Headers],[9]])</f>
        <v>0</v>
      </c>
      <c r="N38" s="10">
        <f>SUMIFS(IsQList,IsIList,Table_ExternalData_15[[#This Row],[item_key]],IsITypeList,Table_ExternalData_15[[#This Row],[IType]],IsDList,Table_ExternalData_15[[#Headers],[10]])</f>
        <v>0</v>
      </c>
      <c r="O38" s="10">
        <f>SUMIFS(IsQList,IsIList,Table_ExternalData_15[[#This Row],[item_key]],IsITypeList,Table_ExternalData_15[[#This Row],[IType]],IsDList,Table_ExternalData_15[[#Headers],[11]])</f>
        <v>0</v>
      </c>
      <c r="P38" s="10">
        <f>SUMIFS(IsQList,IsIList,Table_ExternalData_15[[#This Row],[item_key]],IsITypeList,Table_ExternalData_15[[#This Row],[IType]],IsDList,Table_ExternalData_15[[#Headers],[12]])</f>
        <v>0</v>
      </c>
      <c r="Q38" s="10">
        <f>SUMIFS(IsQList,IsIList,Table_ExternalData_15[[#This Row],[item_key]],IsITypeList,Table_ExternalData_15[[#This Row],[IType]],IsDList,Table_ExternalData_15[[#Headers],[13]])</f>
        <v>0</v>
      </c>
      <c r="R38" s="10">
        <f>SUMIFS(IsQList,IsIList,Table_ExternalData_15[[#This Row],[item_key]],IsITypeList,Table_ExternalData_15[[#This Row],[IType]],IsDList,Table_ExternalData_15[[#Headers],[14]])</f>
        <v>0</v>
      </c>
      <c r="S38" s="10">
        <f>SUMIFS(IsQList,IsIList,Table_ExternalData_15[[#This Row],[item_key]],IsITypeList,Table_ExternalData_15[[#This Row],[IType]],IsDList,Table_ExternalData_15[[#Headers],[15]])</f>
        <v>0</v>
      </c>
      <c r="T38" s="10">
        <f>SUMIFS(IsQList,IsIList,Table_ExternalData_15[[#This Row],[item_key]],IsITypeList,Table_ExternalData_15[[#This Row],[IType]],IsDList,Table_ExternalData_15[[#Headers],[16]])</f>
        <v>120</v>
      </c>
      <c r="U38" s="10">
        <f>SUMIFS(IsQList,IsIList,Table_ExternalData_15[[#This Row],[item_key]],IsITypeList,Table_ExternalData_15[[#This Row],[IType]],IsDList,Table_ExternalData_15[[#Headers],[17]])</f>
        <v>0</v>
      </c>
      <c r="V38" s="10">
        <f>SUMIFS(IsQList,IsIList,Table_ExternalData_15[[#This Row],[item_key]],IsITypeList,Table_ExternalData_15[[#This Row],[IType]],IsDList,Table_ExternalData_15[[#Headers],[18]])</f>
        <v>0</v>
      </c>
      <c r="W38" s="10">
        <f>SUMIFS(IsQList,IsIList,Table_ExternalData_15[[#This Row],[item_key]],IsITypeList,Table_ExternalData_15[[#This Row],[IType]],IsDList,Table_ExternalData_15[[#Headers],[19]])</f>
        <v>0</v>
      </c>
      <c r="X38" s="10">
        <f>SUMIFS(IsQList,IsIList,Table_ExternalData_15[[#This Row],[item_key]],IsITypeList,Table_ExternalData_15[[#This Row],[IType]],IsDList,Table_ExternalData_15[[#Headers],[20]])</f>
        <v>0</v>
      </c>
      <c r="Y38" s="10">
        <f>SUMIFS(IsQList,IsIList,Table_ExternalData_15[[#This Row],[item_key]],IsITypeList,Table_ExternalData_15[[#This Row],[IType]],IsDList,Table_ExternalData_15[[#Headers],[21]])</f>
        <v>0</v>
      </c>
      <c r="Z38" s="10">
        <f>SUMIFS(IsQList,IsIList,Table_ExternalData_15[[#This Row],[item_key]],IsITypeList,Table_ExternalData_15[[#This Row],[IType]],IsDList,Table_ExternalData_15[[#Headers],[22]])</f>
        <v>0</v>
      </c>
      <c r="AA38" s="10">
        <f>SUMIFS(IsQList,IsIList,Table_ExternalData_15[[#This Row],[item_key]],IsITypeList,Table_ExternalData_15[[#This Row],[IType]],IsDList,Table_ExternalData_15[[#Headers],[23]])</f>
        <v>0</v>
      </c>
      <c r="AB38" s="10">
        <f>SUMIFS(IsQList,IsIList,Table_ExternalData_15[[#This Row],[item_key]],IsITypeList,Table_ExternalData_15[[#This Row],[IType]],IsDList,Table_ExternalData_15[[#Headers],[24]])</f>
        <v>30</v>
      </c>
      <c r="AC38" s="10">
        <f>SUMIFS(IsQList,IsIList,Table_ExternalData_15[[#This Row],[item_key]],IsITypeList,Table_ExternalData_15[[#This Row],[IType]],IsDList,Table_ExternalData_15[[#Headers],[25]])</f>
        <v>0</v>
      </c>
      <c r="AD38" s="10">
        <f>SUMIFS(IsQList,IsIList,Table_ExternalData_15[[#This Row],[item_key]],IsITypeList,Table_ExternalData_15[[#This Row],[IType]],IsDList,Table_ExternalData_15[[#Headers],[26]])</f>
        <v>0</v>
      </c>
      <c r="AE38" s="10">
        <f>SUMIFS(IsQList,IsIList,Table_ExternalData_15[[#This Row],[item_key]],IsITypeList,Table_ExternalData_15[[#This Row],[IType]],IsDList,Table_ExternalData_15[[#Headers],[27]])</f>
        <v>0</v>
      </c>
      <c r="AF38" s="10">
        <f>SUMIFS(IsQList,IsIList,Table_ExternalData_15[[#This Row],[item_key]],IsITypeList,Table_ExternalData_15[[#This Row],[IType]],IsDList,Table_ExternalData_15[[#Headers],[28]])</f>
        <v>0</v>
      </c>
      <c r="AG38" s="10">
        <f>SUMIFS(IsQList,IsIList,Table_ExternalData_15[[#This Row],[item_key]],IsITypeList,Table_ExternalData_15[[#This Row],[IType]],IsDList,Table_ExternalData_15[[#Headers],[29]])</f>
        <v>0</v>
      </c>
      <c r="AH38" s="10">
        <f>SUMIFS(IsQList,IsIList,Table_ExternalData_15[[#This Row],[item_key]],IsITypeList,Table_ExternalData_15[[#This Row],[IType]],IsDList,Table_ExternalData_15[[#Headers],[30]])</f>
        <v>21</v>
      </c>
      <c r="AI38" s="10">
        <f>SUMIFS(IsQList,IsIList,Table_ExternalData_15[[#This Row],[item_key]],IsITypeList,Table_ExternalData_15[[#This Row],[IType]],IsDList,Table_ExternalData_15[[#Headers],[31]])</f>
        <v>0</v>
      </c>
      <c r="AJ38" s="10">
        <f>SUM(Table_ExternalData_15[[#This Row],[1]:[31]])</f>
        <v>221</v>
      </c>
    </row>
    <row r="39" spans="1:36">
      <c r="A39" s="1" t="s">
        <v>313</v>
      </c>
      <c r="B39" s="1" t="s">
        <v>2465</v>
      </c>
      <c r="C39" s="1" t="s">
        <v>2466</v>
      </c>
      <c r="D39" s="11" t="s">
        <v>72</v>
      </c>
      <c r="E39" s="10">
        <f>SUMIFS(IsQList,IsIList,Table_ExternalData_15[[#This Row],[item_key]],IsITypeList,Table_ExternalData_15[[#This Row],[IType]],IsDList,Table_ExternalData_15[[#Headers],[1]])</f>
        <v>0</v>
      </c>
      <c r="F39" s="10">
        <f>SUMIFS(IsQList,IsIList,Table_ExternalData_15[[#This Row],[item_key]],IsITypeList,Table_ExternalData_15[[#This Row],[IType]],IsDList,Table_ExternalData_15[[#Headers],[2]])</f>
        <v>0</v>
      </c>
      <c r="G39" s="10">
        <f>SUMIFS(IsQList,IsIList,Table_ExternalData_15[[#This Row],[item_key]],IsITypeList,Table_ExternalData_15[[#This Row],[IType]],IsDList,Table_ExternalData_15[[#Headers],[3]])</f>
        <v>0</v>
      </c>
      <c r="H39" s="10">
        <f>SUMIFS(IsQList,IsIList,Table_ExternalData_15[[#This Row],[item_key]],IsITypeList,Table_ExternalData_15[[#This Row],[IType]],IsDList,Table_ExternalData_15[[#Headers],[4]])</f>
        <v>0</v>
      </c>
      <c r="I39" s="10">
        <f>SUMIFS(IsQList,IsIList,Table_ExternalData_15[[#This Row],[item_key]],IsITypeList,Table_ExternalData_15[[#This Row],[IType]],IsDList,Table_ExternalData_15[[#Headers],[5]])</f>
        <v>0</v>
      </c>
      <c r="J39" s="10">
        <f>SUMIFS(IsQList,IsIList,Table_ExternalData_15[[#This Row],[item_key]],IsITypeList,Table_ExternalData_15[[#This Row],[IType]],IsDList,Table_ExternalData_15[[#Headers],[6]])</f>
        <v>0</v>
      </c>
      <c r="K39" s="10">
        <f>SUMIFS(IsQList,IsIList,Table_ExternalData_15[[#This Row],[item_key]],IsITypeList,Table_ExternalData_15[[#This Row],[IType]],IsDList,Table_ExternalData_15[[#Headers],[7]])</f>
        <v>0</v>
      </c>
      <c r="L39" s="10">
        <f>SUMIFS(IsQList,IsIList,Table_ExternalData_15[[#This Row],[item_key]],IsITypeList,Table_ExternalData_15[[#This Row],[IType]],IsDList,Table_ExternalData_15[[#Headers],[8]])</f>
        <v>0</v>
      </c>
      <c r="M39" s="10">
        <f>SUMIFS(IsQList,IsIList,Table_ExternalData_15[[#This Row],[item_key]],IsITypeList,Table_ExternalData_15[[#This Row],[IType]],IsDList,Table_ExternalData_15[[#Headers],[9]])</f>
        <v>0</v>
      </c>
      <c r="N39" s="10">
        <f>SUMIFS(IsQList,IsIList,Table_ExternalData_15[[#This Row],[item_key]],IsITypeList,Table_ExternalData_15[[#This Row],[IType]],IsDList,Table_ExternalData_15[[#Headers],[10]])</f>
        <v>0</v>
      </c>
      <c r="O39" s="10">
        <f>SUMIFS(IsQList,IsIList,Table_ExternalData_15[[#This Row],[item_key]],IsITypeList,Table_ExternalData_15[[#This Row],[IType]],IsDList,Table_ExternalData_15[[#Headers],[11]])</f>
        <v>0</v>
      </c>
      <c r="P39" s="10">
        <f>SUMIFS(IsQList,IsIList,Table_ExternalData_15[[#This Row],[item_key]],IsITypeList,Table_ExternalData_15[[#This Row],[IType]],IsDList,Table_ExternalData_15[[#Headers],[12]])</f>
        <v>0</v>
      </c>
      <c r="Q39" s="10">
        <f>SUMIFS(IsQList,IsIList,Table_ExternalData_15[[#This Row],[item_key]],IsITypeList,Table_ExternalData_15[[#This Row],[IType]],IsDList,Table_ExternalData_15[[#Headers],[13]])</f>
        <v>0</v>
      </c>
      <c r="R39" s="10">
        <f>SUMIFS(IsQList,IsIList,Table_ExternalData_15[[#This Row],[item_key]],IsITypeList,Table_ExternalData_15[[#This Row],[IType]],IsDList,Table_ExternalData_15[[#Headers],[14]])</f>
        <v>0</v>
      </c>
      <c r="S39" s="10">
        <f>SUMIFS(IsQList,IsIList,Table_ExternalData_15[[#This Row],[item_key]],IsITypeList,Table_ExternalData_15[[#This Row],[IType]],IsDList,Table_ExternalData_15[[#Headers],[15]])</f>
        <v>0</v>
      </c>
      <c r="T39" s="10">
        <f>SUMIFS(IsQList,IsIList,Table_ExternalData_15[[#This Row],[item_key]],IsITypeList,Table_ExternalData_15[[#This Row],[IType]],IsDList,Table_ExternalData_15[[#Headers],[16]])</f>
        <v>0</v>
      </c>
      <c r="U39" s="10">
        <f>SUMIFS(IsQList,IsIList,Table_ExternalData_15[[#This Row],[item_key]],IsITypeList,Table_ExternalData_15[[#This Row],[IType]],IsDList,Table_ExternalData_15[[#Headers],[17]])</f>
        <v>0</v>
      </c>
      <c r="V39" s="10">
        <f>SUMIFS(IsQList,IsIList,Table_ExternalData_15[[#This Row],[item_key]],IsITypeList,Table_ExternalData_15[[#This Row],[IType]],IsDList,Table_ExternalData_15[[#Headers],[18]])</f>
        <v>0</v>
      </c>
      <c r="W39" s="10">
        <f>SUMIFS(IsQList,IsIList,Table_ExternalData_15[[#This Row],[item_key]],IsITypeList,Table_ExternalData_15[[#This Row],[IType]],IsDList,Table_ExternalData_15[[#Headers],[19]])</f>
        <v>0</v>
      </c>
      <c r="X39" s="10">
        <f>SUMIFS(IsQList,IsIList,Table_ExternalData_15[[#This Row],[item_key]],IsITypeList,Table_ExternalData_15[[#This Row],[IType]],IsDList,Table_ExternalData_15[[#Headers],[20]])</f>
        <v>0</v>
      </c>
      <c r="Y39" s="10">
        <f>SUMIFS(IsQList,IsIList,Table_ExternalData_15[[#This Row],[item_key]],IsITypeList,Table_ExternalData_15[[#This Row],[IType]],IsDList,Table_ExternalData_15[[#Headers],[21]])</f>
        <v>0</v>
      </c>
      <c r="Z39" s="10">
        <f>SUMIFS(IsQList,IsIList,Table_ExternalData_15[[#This Row],[item_key]],IsITypeList,Table_ExternalData_15[[#This Row],[IType]],IsDList,Table_ExternalData_15[[#Headers],[22]])</f>
        <v>0</v>
      </c>
      <c r="AA39" s="10">
        <f>SUMIFS(IsQList,IsIList,Table_ExternalData_15[[#This Row],[item_key]],IsITypeList,Table_ExternalData_15[[#This Row],[IType]],IsDList,Table_ExternalData_15[[#Headers],[23]])</f>
        <v>0</v>
      </c>
      <c r="AB39" s="10">
        <f>SUMIFS(IsQList,IsIList,Table_ExternalData_15[[#This Row],[item_key]],IsITypeList,Table_ExternalData_15[[#This Row],[IType]],IsDList,Table_ExternalData_15[[#Headers],[24]])</f>
        <v>0</v>
      </c>
      <c r="AC39" s="10">
        <f>SUMIFS(IsQList,IsIList,Table_ExternalData_15[[#This Row],[item_key]],IsITypeList,Table_ExternalData_15[[#This Row],[IType]],IsDList,Table_ExternalData_15[[#Headers],[25]])</f>
        <v>0</v>
      </c>
      <c r="AD39" s="10">
        <f>SUMIFS(IsQList,IsIList,Table_ExternalData_15[[#This Row],[item_key]],IsITypeList,Table_ExternalData_15[[#This Row],[IType]],IsDList,Table_ExternalData_15[[#Headers],[26]])</f>
        <v>0</v>
      </c>
      <c r="AE39" s="10">
        <f>SUMIFS(IsQList,IsIList,Table_ExternalData_15[[#This Row],[item_key]],IsITypeList,Table_ExternalData_15[[#This Row],[IType]],IsDList,Table_ExternalData_15[[#Headers],[27]])</f>
        <v>0</v>
      </c>
      <c r="AF39" s="10">
        <f>SUMIFS(IsQList,IsIList,Table_ExternalData_15[[#This Row],[item_key]],IsITypeList,Table_ExternalData_15[[#This Row],[IType]],IsDList,Table_ExternalData_15[[#Headers],[28]])</f>
        <v>0</v>
      </c>
      <c r="AG39" s="10">
        <f>SUMIFS(IsQList,IsIList,Table_ExternalData_15[[#This Row],[item_key]],IsITypeList,Table_ExternalData_15[[#This Row],[IType]],IsDList,Table_ExternalData_15[[#Headers],[29]])</f>
        <v>0</v>
      </c>
      <c r="AH39" s="10">
        <f>SUMIFS(IsQList,IsIList,Table_ExternalData_15[[#This Row],[item_key]],IsITypeList,Table_ExternalData_15[[#This Row],[IType]],IsDList,Table_ExternalData_15[[#Headers],[30]])</f>
        <v>200</v>
      </c>
      <c r="AI39" s="10">
        <f>SUMIFS(IsQList,IsIList,Table_ExternalData_15[[#This Row],[item_key]],IsITypeList,Table_ExternalData_15[[#This Row],[IType]],IsDList,Table_ExternalData_15[[#Headers],[31]])</f>
        <v>0</v>
      </c>
      <c r="AJ39" s="10">
        <f>SUM(Table_ExternalData_15[[#This Row],[1]:[31]])</f>
        <v>200</v>
      </c>
    </row>
    <row r="40" spans="1:36">
      <c r="A40" s="1" t="s">
        <v>1677</v>
      </c>
      <c r="B40" s="1" t="s">
        <v>2393</v>
      </c>
      <c r="C40" s="1" t="s">
        <v>2394</v>
      </c>
      <c r="D40" s="11" t="s">
        <v>72</v>
      </c>
      <c r="E40" s="10">
        <f>SUMIFS(IsQList,IsIList,Table_ExternalData_15[[#This Row],[item_key]],IsITypeList,Table_ExternalData_15[[#This Row],[IType]],IsDList,Table_ExternalData_15[[#Headers],[1]])</f>
        <v>0</v>
      </c>
      <c r="F40" s="10">
        <f>SUMIFS(IsQList,IsIList,Table_ExternalData_15[[#This Row],[item_key]],IsITypeList,Table_ExternalData_15[[#This Row],[IType]],IsDList,Table_ExternalData_15[[#Headers],[2]])</f>
        <v>0</v>
      </c>
      <c r="G40" s="10">
        <f>SUMIFS(IsQList,IsIList,Table_ExternalData_15[[#This Row],[item_key]],IsITypeList,Table_ExternalData_15[[#This Row],[IType]],IsDList,Table_ExternalData_15[[#Headers],[3]])</f>
        <v>0</v>
      </c>
      <c r="H40" s="10">
        <f>SUMIFS(IsQList,IsIList,Table_ExternalData_15[[#This Row],[item_key]],IsITypeList,Table_ExternalData_15[[#This Row],[IType]],IsDList,Table_ExternalData_15[[#Headers],[4]])</f>
        <v>0</v>
      </c>
      <c r="I40" s="10">
        <f>SUMIFS(IsQList,IsIList,Table_ExternalData_15[[#This Row],[item_key]],IsITypeList,Table_ExternalData_15[[#This Row],[IType]],IsDList,Table_ExternalData_15[[#Headers],[5]])</f>
        <v>0</v>
      </c>
      <c r="J40" s="10">
        <f>SUMIFS(IsQList,IsIList,Table_ExternalData_15[[#This Row],[item_key]],IsITypeList,Table_ExternalData_15[[#This Row],[IType]],IsDList,Table_ExternalData_15[[#Headers],[6]])</f>
        <v>0</v>
      </c>
      <c r="K40" s="10">
        <f>SUMIFS(IsQList,IsIList,Table_ExternalData_15[[#This Row],[item_key]],IsITypeList,Table_ExternalData_15[[#This Row],[IType]],IsDList,Table_ExternalData_15[[#Headers],[7]])</f>
        <v>0</v>
      </c>
      <c r="L40" s="10">
        <f>SUMIFS(IsQList,IsIList,Table_ExternalData_15[[#This Row],[item_key]],IsITypeList,Table_ExternalData_15[[#This Row],[IType]],IsDList,Table_ExternalData_15[[#Headers],[8]])</f>
        <v>0</v>
      </c>
      <c r="M40" s="10">
        <f>SUMIFS(IsQList,IsIList,Table_ExternalData_15[[#This Row],[item_key]],IsITypeList,Table_ExternalData_15[[#This Row],[IType]],IsDList,Table_ExternalData_15[[#Headers],[9]])</f>
        <v>0</v>
      </c>
      <c r="N40" s="10">
        <f>SUMIFS(IsQList,IsIList,Table_ExternalData_15[[#This Row],[item_key]],IsITypeList,Table_ExternalData_15[[#This Row],[IType]],IsDList,Table_ExternalData_15[[#Headers],[10]])</f>
        <v>0</v>
      </c>
      <c r="O40" s="10">
        <f>SUMIFS(IsQList,IsIList,Table_ExternalData_15[[#This Row],[item_key]],IsITypeList,Table_ExternalData_15[[#This Row],[IType]],IsDList,Table_ExternalData_15[[#Headers],[11]])</f>
        <v>0</v>
      </c>
      <c r="P40" s="10">
        <f>SUMIFS(IsQList,IsIList,Table_ExternalData_15[[#This Row],[item_key]],IsITypeList,Table_ExternalData_15[[#This Row],[IType]],IsDList,Table_ExternalData_15[[#Headers],[12]])</f>
        <v>0</v>
      </c>
      <c r="Q40" s="10">
        <f>SUMIFS(IsQList,IsIList,Table_ExternalData_15[[#This Row],[item_key]],IsITypeList,Table_ExternalData_15[[#This Row],[IType]],IsDList,Table_ExternalData_15[[#Headers],[13]])</f>
        <v>0</v>
      </c>
      <c r="R40" s="10">
        <f>SUMIFS(IsQList,IsIList,Table_ExternalData_15[[#This Row],[item_key]],IsITypeList,Table_ExternalData_15[[#This Row],[IType]],IsDList,Table_ExternalData_15[[#Headers],[14]])</f>
        <v>0</v>
      </c>
      <c r="S40" s="10">
        <f>SUMIFS(IsQList,IsIList,Table_ExternalData_15[[#This Row],[item_key]],IsITypeList,Table_ExternalData_15[[#This Row],[IType]],IsDList,Table_ExternalData_15[[#Headers],[15]])</f>
        <v>0</v>
      </c>
      <c r="T40" s="10">
        <f>SUMIFS(IsQList,IsIList,Table_ExternalData_15[[#This Row],[item_key]],IsITypeList,Table_ExternalData_15[[#This Row],[IType]],IsDList,Table_ExternalData_15[[#Headers],[16]])</f>
        <v>20</v>
      </c>
      <c r="U40" s="10">
        <f>SUMIFS(IsQList,IsIList,Table_ExternalData_15[[#This Row],[item_key]],IsITypeList,Table_ExternalData_15[[#This Row],[IType]],IsDList,Table_ExternalData_15[[#Headers],[17]])</f>
        <v>0</v>
      </c>
      <c r="V40" s="10">
        <f>SUMIFS(IsQList,IsIList,Table_ExternalData_15[[#This Row],[item_key]],IsITypeList,Table_ExternalData_15[[#This Row],[IType]],IsDList,Table_ExternalData_15[[#Headers],[18]])</f>
        <v>0</v>
      </c>
      <c r="W40" s="10">
        <f>SUMIFS(IsQList,IsIList,Table_ExternalData_15[[#This Row],[item_key]],IsITypeList,Table_ExternalData_15[[#This Row],[IType]],IsDList,Table_ExternalData_15[[#Headers],[19]])</f>
        <v>0</v>
      </c>
      <c r="X40" s="10">
        <f>SUMIFS(IsQList,IsIList,Table_ExternalData_15[[#This Row],[item_key]],IsITypeList,Table_ExternalData_15[[#This Row],[IType]],IsDList,Table_ExternalData_15[[#Headers],[20]])</f>
        <v>0</v>
      </c>
      <c r="Y40" s="10">
        <f>SUMIFS(IsQList,IsIList,Table_ExternalData_15[[#This Row],[item_key]],IsITypeList,Table_ExternalData_15[[#This Row],[IType]],IsDList,Table_ExternalData_15[[#Headers],[21]])</f>
        <v>0</v>
      </c>
      <c r="Z40" s="10">
        <f>SUMIFS(IsQList,IsIList,Table_ExternalData_15[[#This Row],[item_key]],IsITypeList,Table_ExternalData_15[[#This Row],[IType]],IsDList,Table_ExternalData_15[[#Headers],[22]])</f>
        <v>0</v>
      </c>
      <c r="AA40" s="10">
        <f>SUMIFS(IsQList,IsIList,Table_ExternalData_15[[#This Row],[item_key]],IsITypeList,Table_ExternalData_15[[#This Row],[IType]],IsDList,Table_ExternalData_15[[#Headers],[23]])</f>
        <v>0</v>
      </c>
      <c r="AB40" s="10">
        <f>SUMIFS(IsQList,IsIList,Table_ExternalData_15[[#This Row],[item_key]],IsITypeList,Table_ExternalData_15[[#This Row],[IType]],IsDList,Table_ExternalData_15[[#Headers],[24]])</f>
        <v>0</v>
      </c>
      <c r="AC40" s="10">
        <f>SUMIFS(IsQList,IsIList,Table_ExternalData_15[[#This Row],[item_key]],IsITypeList,Table_ExternalData_15[[#This Row],[IType]],IsDList,Table_ExternalData_15[[#Headers],[25]])</f>
        <v>0</v>
      </c>
      <c r="AD40" s="10">
        <f>SUMIFS(IsQList,IsIList,Table_ExternalData_15[[#This Row],[item_key]],IsITypeList,Table_ExternalData_15[[#This Row],[IType]],IsDList,Table_ExternalData_15[[#Headers],[26]])</f>
        <v>0</v>
      </c>
      <c r="AE40" s="10">
        <f>SUMIFS(IsQList,IsIList,Table_ExternalData_15[[#This Row],[item_key]],IsITypeList,Table_ExternalData_15[[#This Row],[IType]],IsDList,Table_ExternalData_15[[#Headers],[27]])</f>
        <v>0</v>
      </c>
      <c r="AF40" s="10">
        <f>SUMIFS(IsQList,IsIList,Table_ExternalData_15[[#This Row],[item_key]],IsITypeList,Table_ExternalData_15[[#This Row],[IType]],IsDList,Table_ExternalData_15[[#Headers],[28]])</f>
        <v>0</v>
      </c>
      <c r="AG40" s="10">
        <f>SUMIFS(IsQList,IsIList,Table_ExternalData_15[[#This Row],[item_key]],IsITypeList,Table_ExternalData_15[[#This Row],[IType]],IsDList,Table_ExternalData_15[[#Headers],[29]])</f>
        <v>0</v>
      </c>
      <c r="AH40" s="10">
        <f>SUMIFS(IsQList,IsIList,Table_ExternalData_15[[#This Row],[item_key]],IsITypeList,Table_ExternalData_15[[#This Row],[IType]],IsDList,Table_ExternalData_15[[#Headers],[30]])</f>
        <v>65</v>
      </c>
      <c r="AI40" s="10">
        <f>SUMIFS(IsQList,IsIList,Table_ExternalData_15[[#This Row],[item_key]],IsITypeList,Table_ExternalData_15[[#This Row],[IType]],IsDList,Table_ExternalData_15[[#Headers],[31]])</f>
        <v>0</v>
      </c>
      <c r="AJ40" s="10">
        <f>SUM(Table_ExternalData_15[[#This Row],[1]:[31]])</f>
        <v>85</v>
      </c>
    </row>
    <row r="41" spans="1:36">
      <c r="A41" s="1" t="s">
        <v>323</v>
      </c>
      <c r="B41" s="1" t="s">
        <v>2467</v>
      </c>
      <c r="C41" s="1" t="s">
        <v>2468</v>
      </c>
      <c r="D41" s="11" t="s">
        <v>72</v>
      </c>
      <c r="E41" s="10">
        <f>SUMIFS(IsQList,IsIList,Table_ExternalData_15[[#This Row],[item_key]],IsITypeList,Table_ExternalData_15[[#This Row],[IType]],IsDList,Table_ExternalData_15[[#Headers],[1]])</f>
        <v>0</v>
      </c>
      <c r="F41" s="10">
        <f>SUMIFS(IsQList,IsIList,Table_ExternalData_15[[#This Row],[item_key]],IsITypeList,Table_ExternalData_15[[#This Row],[IType]],IsDList,Table_ExternalData_15[[#Headers],[2]])</f>
        <v>0</v>
      </c>
      <c r="G41" s="10">
        <f>SUMIFS(IsQList,IsIList,Table_ExternalData_15[[#This Row],[item_key]],IsITypeList,Table_ExternalData_15[[#This Row],[IType]],IsDList,Table_ExternalData_15[[#Headers],[3]])</f>
        <v>0</v>
      </c>
      <c r="H41" s="10">
        <f>SUMIFS(IsQList,IsIList,Table_ExternalData_15[[#This Row],[item_key]],IsITypeList,Table_ExternalData_15[[#This Row],[IType]],IsDList,Table_ExternalData_15[[#Headers],[4]])</f>
        <v>0</v>
      </c>
      <c r="I41" s="10">
        <f>SUMIFS(IsQList,IsIList,Table_ExternalData_15[[#This Row],[item_key]],IsITypeList,Table_ExternalData_15[[#This Row],[IType]],IsDList,Table_ExternalData_15[[#Headers],[5]])</f>
        <v>0</v>
      </c>
      <c r="J41" s="10">
        <f>SUMIFS(IsQList,IsIList,Table_ExternalData_15[[#This Row],[item_key]],IsITypeList,Table_ExternalData_15[[#This Row],[IType]],IsDList,Table_ExternalData_15[[#Headers],[6]])</f>
        <v>0</v>
      </c>
      <c r="K41" s="10">
        <f>SUMIFS(IsQList,IsIList,Table_ExternalData_15[[#This Row],[item_key]],IsITypeList,Table_ExternalData_15[[#This Row],[IType]],IsDList,Table_ExternalData_15[[#Headers],[7]])</f>
        <v>0</v>
      </c>
      <c r="L41" s="10">
        <f>SUMIFS(IsQList,IsIList,Table_ExternalData_15[[#This Row],[item_key]],IsITypeList,Table_ExternalData_15[[#This Row],[IType]],IsDList,Table_ExternalData_15[[#Headers],[8]])</f>
        <v>0</v>
      </c>
      <c r="M41" s="10">
        <f>SUMIFS(IsQList,IsIList,Table_ExternalData_15[[#This Row],[item_key]],IsITypeList,Table_ExternalData_15[[#This Row],[IType]],IsDList,Table_ExternalData_15[[#Headers],[9]])</f>
        <v>0</v>
      </c>
      <c r="N41" s="10">
        <f>SUMIFS(IsQList,IsIList,Table_ExternalData_15[[#This Row],[item_key]],IsITypeList,Table_ExternalData_15[[#This Row],[IType]],IsDList,Table_ExternalData_15[[#Headers],[10]])</f>
        <v>20</v>
      </c>
      <c r="O41" s="10">
        <f>SUMIFS(IsQList,IsIList,Table_ExternalData_15[[#This Row],[item_key]],IsITypeList,Table_ExternalData_15[[#This Row],[IType]],IsDList,Table_ExternalData_15[[#Headers],[11]])</f>
        <v>0</v>
      </c>
      <c r="P41" s="10">
        <f>SUMIFS(IsQList,IsIList,Table_ExternalData_15[[#This Row],[item_key]],IsITypeList,Table_ExternalData_15[[#This Row],[IType]],IsDList,Table_ExternalData_15[[#Headers],[12]])</f>
        <v>0</v>
      </c>
      <c r="Q41" s="10">
        <f>SUMIFS(IsQList,IsIList,Table_ExternalData_15[[#This Row],[item_key]],IsITypeList,Table_ExternalData_15[[#This Row],[IType]],IsDList,Table_ExternalData_15[[#Headers],[13]])</f>
        <v>0</v>
      </c>
      <c r="R41" s="10">
        <f>SUMIFS(IsQList,IsIList,Table_ExternalData_15[[#This Row],[item_key]],IsITypeList,Table_ExternalData_15[[#This Row],[IType]],IsDList,Table_ExternalData_15[[#Headers],[14]])</f>
        <v>0</v>
      </c>
      <c r="S41" s="10">
        <f>SUMIFS(IsQList,IsIList,Table_ExternalData_15[[#This Row],[item_key]],IsITypeList,Table_ExternalData_15[[#This Row],[IType]],IsDList,Table_ExternalData_15[[#Headers],[15]])</f>
        <v>0</v>
      </c>
      <c r="T41" s="10">
        <f>SUMIFS(IsQList,IsIList,Table_ExternalData_15[[#This Row],[item_key]],IsITypeList,Table_ExternalData_15[[#This Row],[IType]],IsDList,Table_ExternalData_15[[#Headers],[16]])</f>
        <v>0</v>
      </c>
      <c r="U41" s="10">
        <f>SUMIFS(IsQList,IsIList,Table_ExternalData_15[[#This Row],[item_key]],IsITypeList,Table_ExternalData_15[[#This Row],[IType]],IsDList,Table_ExternalData_15[[#Headers],[17]])</f>
        <v>0</v>
      </c>
      <c r="V41" s="10">
        <f>SUMIFS(IsQList,IsIList,Table_ExternalData_15[[#This Row],[item_key]],IsITypeList,Table_ExternalData_15[[#This Row],[IType]],IsDList,Table_ExternalData_15[[#Headers],[18]])</f>
        <v>0</v>
      </c>
      <c r="W41" s="10">
        <f>SUMIFS(IsQList,IsIList,Table_ExternalData_15[[#This Row],[item_key]],IsITypeList,Table_ExternalData_15[[#This Row],[IType]],IsDList,Table_ExternalData_15[[#Headers],[19]])</f>
        <v>0</v>
      </c>
      <c r="X41" s="10">
        <f>SUMIFS(IsQList,IsIList,Table_ExternalData_15[[#This Row],[item_key]],IsITypeList,Table_ExternalData_15[[#This Row],[IType]],IsDList,Table_ExternalData_15[[#Headers],[20]])</f>
        <v>0</v>
      </c>
      <c r="Y41" s="10">
        <f>SUMIFS(IsQList,IsIList,Table_ExternalData_15[[#This Row],[item_key]],IsITypeList,Table_ExternalData_15[[#This Row],[IType]],IsDList,Table_ExternalData_15[[#Headers],[21]])</f>
        <v>0</v>
      </c>
      <c r="Z41" s="10">
        <f>SUMIFS(IsQList,IsIList,Table_ExternalData_15[[#This Row],[item_key]],IsITypeList,Table_ExternalData_15[[#This Row],[IType]],IsDList,Table_ExternalData_15[[#Headers],[22]])</f>
        <v>0</v>
      </c>
      <c r="AA41" s="10">
        <f>SUMIFS(IsQList,IsIList,Table_ExternalData_15[[#This Row],[item_key]],IsITypeList,Table_ExternalData_15[[#This Row],[IType]],IsDList,Table_ExternalData_15[[#Headers],[23]])</f>
        <v>0</v>
      </c>
      <c r="AB41" s="10">
        <f>SUMIFS(IsQList,IsIList,Table_ExternalData_15[[#This Row],[item_key]],IsITypeList,Table_ExternalData_15[[#This Row],[IType]],IsDList,Table_ExternalData_15[[#Headers],[24]])</f>
        <v>29</v>
      </c>
      <c r="AC41" s="10">
        <f>SUMIFS(IsQList,IsIList,Table_ExternalData_15[[#This Row],[item_key]],IsITypeList,Table_ExternalData_15[[#This Row],[IType]],IsDList,Table_ExternalData_15[[#Headers],[25]])</f>
        <v>0</v>
      </c>
      <c r="AD41" s="10">
        <f>SUMIFS(IsQList,IsIList,Table_ExternalData_15[[#This Row],[item_key]],IsITypeList,Table_ExternalData_15[[#This Row],[IType]],IsDList,Table_ExternalData_15[[#Headers],[26]])</f>
        <v>0</v>
      </c>
      <c r="AE41" s="10">
        <f>SUMIFS(IsQList,IsIList,Table_ExternalData_15[[#This Row],[item_key]],IsITypeList,Table_ExternalData_15[[#This Row],[IType]],IsDList,Table_ExternalData_15[[#Headers],[27]])</f>
        <v>0</v>
      </c>
      <c r="AF41" s="10">
        <f>SUMIFS(IsQList,IsIList,Table_ExternalData_15[[#This Row],[item_key]],IsITypeList,Table_ExternalData_15[[#This Row],[IType]],IsDList,Table_ExternalData_15[[#Headers],[28]])</f>
        <v>0</v>
      </c>
      <c r="AG41" s="10">
        <f>SUMIFS(IsQList,IsIList,Table_ExternalData_15[[#This Row],[item_key]],IsITypeList,Table_ExternalData_15[[#This Row],[IType]],IsDList,Table_ExternalData_15[[#Headers],[29]])</f>
        <v>0</v>
      </c>
      <c r="AH41" s="10">
        <f>SUMIFS(IsQList,IsIList,Table_ExternalData_15[[#This Row],[item_key]],IsITypeList,Table_ExternalData_15[[#This Row],[IType]],IsDList,Table_ExternalData_15[[#Headers],[30]])</f>
        <v>10</v>
      </c>
      <c r="AI41" s="10">
        <f>SUMIFS(IsQList,IsIList,Table_ExternalData_15[[#This Row],[item_key]],IsITypeList,Table_ExternalData_15[[#This Row],[IType]],IsDList,Table_ExternalData_15[[#Headers],[31]])</f>
        <v>0</v>
      </c>
      <c r="AJ41" s="10">
        <f>SUM(Table_ExternalData_15[[#This Row],[1]:[31]])</f>
        <v>59</v>
      </c>
    </row>
    <row r="42" spans="1:36">
      <c r="A42" s="1" t="s">
        <v>324</v>
      </c>
      <c r="B42" s="1" t="s">
        <v>1240</v>
      </c>
      <c r="C42" s="1" t="s">
        <v>1241</v>
      </c>
      <c r="D42" s="11" t="s">
        <v>72</v>
      </c>
      <c r="E42" s="10">
        <f>SUMIFS(IsQList,IsIList,Table_ExternalData_15[[#This Row],[item_key]],IsITypeList,Table_ExternalData_15[[#This Row],[IType]],IsDList,Table_ExternalData_15[[#Headers],[1]])</f>
        <v>0</v>
      </c>
      <c r="F42" s="10">
        <f>SUMIFS(IsQList,IsIList,Table_ExternalData_15[[#This Row],[item_key]],IsITypeList,Table_ExternalData_15[[#This Row],[IType]],IsDList,Table_ExternalData_15[[#Headers],[2]])</f>
        <v>0</v>
      </c>
      <c r="G42" s="10">
        <f>SUMIFS(IsQList,IsIList,Table_ExternalData_15[[#This Row],[item_key]],IsITypeList,Table_ExternalData_15[[#This Row],[IType]],IsDList,Table_ExternalData_15[[#Headers],[3]])</f>
        <v>0</v>
      </c>
      <c r="H42" s="10">
        <f>SUMIFS(IsQList,IsIList,Table_ExternalData_15[[#This Row],[item_key]],IsITypeList,Table_ExternalData_15[[#This Row],[IType]],IsDList,Table_ExternalData_15[[#Headers],[4]])</f>
        <v>0</v>
      </c>
      <c r="I42" s="10">
        <f>SUMIFS(IsQList,IsIList,Table_ExternalData_15[[#This Row],[item_key]],IsITypeList,Table_ExternalData_15[[#This Row],[IType]],IsDList,Table_ExternalData_15[[#Headers],[5]])</f>
        <v>0</v>
      </c>
      <c r="J42" s="10">
        <f>SUMIFS(IsQList,IsIList,Table_ExternalData_15[[#This Row],[item_key]],IsITypeList,Table_ExternalData_15[[#This Row],[IType]],IsDList,Table_ExternalData_15[[#Headers],[6]])</f>
        <v>0</v>
      </c>
      <c r="K42" s="10">
        <f>SUMIFS(IsQList,IsIList,Table_ExternalData_15[[#This Row],[item_key]],IsITypeList,Table_ExternalData_15[[#This Row],[IType]],IsDList,Table_ExternalData_15[[#Headers],[7]])</f>
        <v>0</v>
      </c>
      <c r="L42" s="10">
        <f>SUMIFS(IsQList,IsIList,Table_ExternalData_15[[#This Row],[item_key]],IsITypeList,Table_ExternalData_15[[#This Row],[IType]],IsDList,Table_ExternalData_15[[#Headers],[8]])</f>
        <v>0</v>
      </c>
      <c r="M42" s="10">
        <f>SUMIFS(IsQList,IsIList,Table_ExternalData_15[[#This Row],[item_key]],IsITypeList,Table_ExternalData_15[[#This Row],[IType]],IsDList,Table_ExternalData_15[[#Headers],[9]])</f>
        <v>0</v>
      </c>
      <c r="N42" s="10">
        <f>SUMIFS(IsQList,IsIList,Table_ExternalData_15[[#This Row],[item_key]],IsITypeList,Table_ExternalData_15[[#This Row],[IType]],IsDList,Table_ExternalData_15[[#Headers],[10]])</f>
        <v>5</v>
      </c>
      <c r="O42" s="10">
        <f>SUMIFS(IsQList,IsIList,Table_ExternalData_15[[#This Row],[item_key]],IsITypeList,Table_ExternalData_15[[#This Row],[IType]],IsDList,Table_ExternalData_15[[#Headers],[11]])</f>
        <v>0</v>
      </c>
      <c r="P42" s="10">
        <f>SUMIFS(IsQList,IsIList,Table_ExternalData_15[[#This Row],[item_key]],IsITypeList,Table_ExternalData_15[[#This Row],[IType]],IsDList,Table_ExternalData_15[[#Headers],[12]])</f>
        <v>0</v>
      </c>
      <c r="Q42" s="10">
        <f>SUMIFS(IsQList,IsIList,Table_ExternalData_15[[#This Row],[item_key]],IsITypeList,Table_ExternalData_15[[#This Row],[IType]],IsDList,Table_ExternalData_15[[#Headers],[13]])</f>
        <v>0</v>
      </c>
      <c r="R42" s="10">
        <f>SUMIFS(IsQList,IsIList,Table_ExternalData_15[[#This Row],[item_key]],IsITypeList,Table_ExternalData_15[[#This Row],[IType]],IsDList,Table_ExternalData_15[[#Headers],[14]])</f>
        <v>0</v>
      </c>
      <c r="S42" s="10">
        <f>SUMIFS(IsQList,IsIList,Table_ExternalData_15[[#This Row],[item_key]],IsITypeList,Table_ExternalData_15[[#This Row],[IType]],IsDList,Table_ExternalData_15[[#Headers],[15]])</f>
        <v>0</v>
      </c>
      <c r="T42" s="10">
        <f>SUMIFS(IsQList,IsIList,Table_ExternalData_15[[#This Row],[item_key]],IsITypeList,Table_ExternalData_15[[#This Row],[IType]],IsDList,Table_ExternalData_15[[#Headers],[16]])</f>
        <v>2</v>
      </c>
      <c r="U42" s="10">
        <f>SUMIFS(IsQList,IsIList,Table_ExternalData_15[[#This Row],[item_key]],IsITypeList,Table_ExternalData_15[[#This Row],[IType]],IsDList,Table_ExternalData_15[[#Headers],[17]])</f>
        <v>0</v>
      </c>
      <c r="V42" s="10">
        <f>SUMIFS(IsQList,IsIList,Table_ExternalData_15[[#This Row],[item_key]],IsITypeList,Table_ExternalData_15[[#This Row],[IType]],IsDList,Table_ExternalData_15[[#Headers],[18]])</f>
        <v>0</v>
      </c>
      <c r="W42" s="10">
        <f>SUMIFS(IsQList,IsIList,Table_ExternalData_15[[#This Row],[item_key]],IsITypeList,Table_ExternalData_15[[#This Row],[IType]],IsDList,Table_ExternalData_15[[#Headers],[19]])</f>
        <v>0</v>
      </c>
      <c r="X42" s="10">
        <f>SUMIFS(IsQList,IsIList,Table_ExternalData_15[[#This Row],[item_key]],IsITypeList,Table_ExternalData_15[[#This Row],[IType]],IsDList,Table_ExternalData_15[[#Headers],[20]])</f>
        <v>0</v>
      </c>
      <c r="Y42" s="10">
        <f>SUMIFS(IsQList,IsIList,Table_ExternalData_15[[#This Row],[item_key]],IsITypeList,Table_ExternalData_15[[#This Row],[IType]],IsDList,Table_ExternalData_15[[#Headers],[21]])</f>
        <v>0</v>
      </c>
      <c r="Z42" s="10">
        <f>SUMIFS(IsQList,IsIList,Table_ExternalData_15[[#This Row],[item_key]],IsITypeList,Table_ExternalData_15[[#This Row],[IType]],IsDList,Table_ExternalData_15[[#Headers],[22]])</f>
        <v>0</v>
      </c>
      <c r="AA42" s="10">
        <f>SUMIFS(IsQList,IsIList,Table_ExternalData_15[[#This Row],[item_key]],IsITypeList,Table_ExternalData_15[[#This Row],[IType]],IsDList,Table_ExternalData_15[[#Headers],[23]])</f>
        <v>0</v>
      </c>
      <c r="AB42" s="10">
        <f>SUMIFS(IsQList,IsIList,Table_ExternalData_15[[#This Row],[item_key]],IsITypeList,Table_ExternalData_15[[#This Row],[IType]],IsDList,Table_ExternalData_15[[#Headers],[24]])</f>
        <v>0</v>
      </c>
      <c r="AC42" s="10">
        <f>SUMIFS(IsQList,IsIList,Table_ExternalData_15[[#This Row],[item_key]],IsITypeList,Table_ExternalData_15[[#This Row],[IType]],IsDList,Table_ExternalData_15[[#Headers],[25]])</f>
        <v>0</v>
      </c>
      <c r="AD42" s="10">
        <f>SUMIFS(IsQList,IsIList,Table_ExternalData_15[[#This Row],[item_key]],IsITypeList,Table_ExternalData_15[[#This Row],[IType]],IsDList,Table_ExternalData_15[[#Headers],[26]])</f>
        <v>0</v>
      </c>
      <c r="AE42" s="10">
        <f>SUMIFS(IsQList,IsIList,Table_ExternalData_15[[#This Row],[item_key]],IsITypeList,Table_ExternalData_15[[#This Row],[IType]],IsDList,Table_ExternalData_15[[#Headers],[27]])</f>
        <v>0</v>
      </c>
      <c r="AF42" s="10">
        <f>SUMIFS(IsQList,IsIList,Table_ExternalData_15[[#This Row],[item_key]],IsITypeList,Table_ExternalData_15[[#This Row],[IType]],IsDList,Table_ExternalData_15[[#Headers],[28]])</f>
        <v>0</v>
      </c>
      <c r="AG42" s="10">
        <f>SUMIFS(IsQList,IsIList,Table_ExternalData_15[[#This Row],[item_key]],IsITypeList,Table_ExternalData_15[[#This Row],[IType]],IsDList,Table_ExternalData_15[[#Headers],[29]])</f>
        <v>0</v>
      </c>
      <c r="AH42" s="10">
        <f>SUMIFS(IsQList,IsIList,Table_ExternalData_15[[#This Row],[item_key]],IsITypeList,Table_ExternalData_15[[#This Row],[IType]],IsDList,Table_ExternalData_15[[#Headers],[30]])</f>
        <v>4</v>
      </c>
      <c r="AI42" s="10">
        <f>SUMIFS(IsQList,IsIList,Table_ExternalData_15[[#This Row],[item_key]],IsITypeList,Table_ExternalData_15[[#This Row],[IType]],IsDList,Table_ExternalData_15[[#Headers],[31]])</f>
        <v>0</v>
      </c>
      <c r="AJ42" s="10">
        <f>SUM(Table_ExternalData_15[[#This Row],[1]:[31]])</f>
        <v>11</v>
      </c>
    </row>
    <row r="43" spans="1:36">
      <c r="A43" s="1" t="s">
        <v>325</v>
      </c>
      <c r="B43" s="1" t="s">
        <v>2369</v>
      </c>
      <c r="C43" s="1" t="s">
        <v>2363</v>
      </c>
      <c r="D43" s="11" t="s">
        <v>72</v>
      </c>
      <c r="E43" s="10">
        <f>SUMIFS(IsQList,IsIList,Table_ExternalData_15[[#This Row],[item_key]],IsITypeList,Table_ExternalData_15[[#This Row],[IType]],IsDList,Table_ExternalData_15[[#Headers],[1]])</f>
        <v>0</v>
      </c>
      <c r="F43" s="10">
        <f>SUMIFS(IsQList,IsIList,Table_ExternalData_15[[#This Row],[item_key]],IsITypeList,Table_ExternalData_15[[#This Row],[IType]],IsDList,Table_ExternalData_15[[#Headers],[2]])</f>
        <v>0</v>
      </c>
      <c r="G43" s="10">
        <f>SUMIFS(IsQList,IsIList,Table_ExternalData_15[[#This Row],[item_key]],IsITypeList,Table_ExternalData_15[[#This Row],[IType]],IsDList,Table_ExternalData_15[[#Headers],[3]])</f>
        <v>0</v>
      </c>
      <c r="H43" s="10">
        <f>SUMIFS(IsQList,IsIList,Table_ExternalData_15[[#This Row],[item_key]],IsITypeList,Table_ExternalData_15[[#This Row],[IType]],IsDList,Table_ExternalData_15[[#Headers],[4]])</f>
        <v>0</v>
      </c>
      <c r="I43" s="10">
        <f>SUMIFS(IsQList,IsIList,Table_ExternalData_15[[#This Row],[item_key]],IsITypeList,Table_ExternalData_15[[#This Row],[IType]],IsDList,Table_ExternalData_15[[#Headers],[5]])</f>
        <v>0</v>
      </c>
      <c r="J43" s="10">
        <f>SUMIFS(IsQList,IsIList,Table_ExternalData_15[[#This Row],[item_key]],IsITypeList,Table_ExternalData_15[[#This Row],[IType]],IsDList,Table_ExternalData_15[[#Headers],[6]])</f>
        <v>0</v>
      </c>
      <c r="K43" s="10">
        <f>SUMIFS(IsQList,IsIList,Table_ExternalData_15[[#This Row],[item_key]],IsITypeList,Table_ExternalData_15[[#This Row],[IType]],IsDList,Table_ExternalData_15[[#Headers],[7]])</f>
        <v>0</v>
      </c>
      <c r="L43" s="10">
        <f>SUMIFS(IsQList,IsIList,Table_ExternalData_15[[#This Row],[item_key]],IsITypeList,Table_ExternalData_15[[#This Row],[IType]],IsDList,Table_ExternalData_15[[#Headers],[8]])</f>
        <v>0</v>
      </c>
      <c r="M43" s="10">
        <f>SUMIFS(IsQList,IsIList,Table_ExternalData_15[[#This Row],[item_key]],IsITypeList,Table_ExternalData_15[[#This Row],[IType]],IsDList,Table_ExternalData_15[[#Headers],[9]])</f>
        <v>0</v>
      </c>
      <c r="N43" s="10">
        <f>SUMIFS(IsQList,IsIList,Table_ExternalData_15[[#This Row],[item_key]],IsITypeList,Table_ExternalData_15[[#This Row],[IType]],IsDList,Table_ExternalData_15[[#Headers],[10]])</f>
        <v>0</v>
      </c>
      <c r="O43" s="10">
        <f>SUMIFS(IsQList,IsIList,Table_ExternalData_15[[#This Row],[item_key]],IsITypeList,Table_ExternalData_15[[#This Row],[IType]],IsDList,Table_ExternalData_15[[#Headers],[11]])</f>
        <v>0</v>
      </c>
      <c r="P43" s="10">
        <f>SUMIFS(IsQList,IsIList,Table_ExternalData_15[[#This Row],[item_key]],IsITypeList,Table_ExternalData_15[[#This Row],[IType]],IsDList,Table_ExternalData_15[[#Headers],[12]])</f>
        <v>0</v>
      </c>
      <c r="Q43" s="10">
        <f>SUMIFS(IsQList,IsIList,Table_ExternalData_15[[#This Row],[item_key]],IsITypeList,Table_ExternalData_15[[#This Row],[IType]],IsDList,Table_ExternalData_15[[#Headers],[13]])</f>
        <v>0</v>
      </c>
      <c r="R43" s="10">
        <f>SUMIFS(IsQList,IsIList,Table_ExternalData_15[[#This Row],[item_key]],IsITypeList,Table_ExternalData_15[[#This Row],[IType]],IsDList,Table_ExternalData_15[[#Headers],[14]])</f>
        <v>0</v>
      </c>
      <c r="S43" s="10">
        <f>SUMIFS(IsQList,IsIList,Table_ExternalData_15[[#This Row],[item_key]],IsITypeList,Table_ExternalData_15[[#This Row],[IType]],IsDList,Table_ExternalData_15[[#Headers],[15]])</f>
        <v>0</v>
      </c>
      <c r="T43" s="10">
        <f>SUMIFS(IsQList,IsIList,Table_ExternalData_15[[#This Row],[item_key]],IsITypeList,Table_ExternalData_15[[#This Row],[IType]],IsDList,Table_ExternalData_15[[#Headers],[16]])</f>
        <v>0</v>
      </c>
      <c r="U43" s="10">
        <f>SUMIFS(IsQList,IsIList,Table_ExternalData_15[[#This Row],[item_key]],IsITypeList,Table_ExternalData_15[[#This Row],[IType]],IsDList,Table_ExternalData_15[[#Headers],[17]])</f>
        <v>0</v>
      </c>
      <c r="V43" s="10">
        <f>SUMIFS(IsQList,IsIList,Table_ExternalData_15[[#This Row],[item_key]],IsITypeList,Table_ExternalData_15[[#This Row],[IType]],IsDList,Table_ExternalData_15[[#Headers],[18]])</f>
        <v>0</v>
      </c>
      <c r="W43" s="10">
        <f>SUMIFS(IsQList,IsIList,Table_ExternalData_15[[#This Row],[item_key]],IsITypeList,Table_ExternalData_15[[#This Row],[IType]],IsDList,Table_ExternalData_15[[#Headers],[19]])</f>
        <v>0</v>
      </c>
      <c r="X43" s="10">
        <f>SUMIFS(IsQList,IsIList,Table_ExternalData_15[[#This Row],[item_key]],IsITypeList,Table_ExternalData_15[[#This Row],[IType]],IsDList,Table_ExternalData_15[[#Headers],[20]])</f>
        <v>0</v>
      </c>
      <c r="Y43" s="10">
        <f>SUMIFS(IsQList,IsIList,Table_ExternalData_15[[#This Row],[item_key]],IsITypeList,Table_ExternalData_15[[#This Row],[IType]],IsDList,Table_ExternalData_15[[#Headers],[21]])</f>
        <v>0</v>
      </c>
      <c r="Z43" s="10">
        <f>SUMIFS(IsQList,IsIList,Table_ExternalData_15[[#This Row],[item_key]],IsITypeList,Table_ExternalData_15[[#This Row],[IType]],IsDList,Table_ExternalData_15[[#Headers],[22]])</f>
        <v>0</v>
      </c>
      <c r="AA43" s="10">
        <f>SUMIFS(IsQList,IsIList,Table_ExternalData_15[[#This Row],[item_key]],IsITypeList,Table_ExternalData_15[[#This Row],[IType]],IsDList,Table_ExternalData_15[[#Headers],[23]])</f>
        <v>0</v>
      </c>
      <c r="AB43" s="10">
        <f>SUMIFS(IsQList,IsIList,Table_ExternalData_15[[#This Row],[item_key]],IsITypeList,Table_ExternalData_15[[#This Row],[IType]],IsDList,Table_ExternalData_15[[#Headers],[24]])</f>
        <v>0</v>
      </c>
      <c r="AC43" s="10">
        <f>SUMIFS(IsQList,IsIList,Table_ExternalData_15[[#This Row],[item_key]],IsITypeList,Table_ExternalData_15[[#This Row],[IType]],IsDList,Table_ExternalData_15[[#Headers],[25]])</f>
        <v>0</v>
      </c>
      <c r="AD43" s="10">
        <f>SUMIFS(IsQList,IsIList,Table_ExternalData_15[[#This Row],[item_key]],IsITypeList,Table_ExternalData_15[[#This Row],[IType]],IsDList,Table_ExternalData_15[[#Headers],[26]])</f>
        <v>0</v>
      </c>
      <c r="AE43" s="10">
        <f>SUMIFS(IsQList,IsIList,Table_ExternalData_15[[#This Row],[item_key]],IsITypeList,Table_ExternalData_15[[#This Row],[IType]],IsDList,Table_ExternalData_15[[#Headers],[27]])</f>
        <v>0</v>
      </c>
      <c r="AF43" s="10">
        <f>SUMIFS(IsQList,IsIList,Table_ExternalData_15[[#This Row],[item_key]],IsITypeList,Table_ExternalData_15[[#This Row],[IType]],IsDList,Table_ExternalData_15[[#Headers],[28]])</f>
        <v>0</v>
      </c>
      <c r="AG43" s="10">
        <f>SUMIFS(IsQList,IsIList,Table_ExternalData_15[[#This Row],[item_key]],IsITypeList,Table_ExternalData_15[[#This Row],[IType]],IsDList,Table_ExternalData_15[[#Headers],[29]])</f>
        <v>0</v>
      </c>
      <c r="AH43" s="10">
        <f>SUMIFS(IsQList,IsIList,Table_ExternalData_15[[#This Row],[item_key]],IsITypeList,Table_ExternalData_15[[#This Row],[IType]],IsDList,Table_ExternalData_15[[#Headers],[30]])</f>
        <v>0</v>
      </c>
      <c r="AI43" s="10">
        <f>SUMIFS(IsQList,IsIList,Table_ExternalData_15[[#This Row],[item_key]],IsITypeList,Table_ExternalData_15[[#This Row],[IType]],IsDList,Table_ExternalData_15[[#Headers],[31]])</f>
        <v>0</v>
      </c>
      <c r="AJ43" s="10">
        <f>SUM(Table_ExternalData_15[[#This Row],[1]:[31]])</f>
        <v>0</v>
      </c>
    </row>
    <row r="44" spans="1:36">
      <c r="A44" s="1" t="s">
        <v>326</v>
      </c>
      <c r="B44" s="1" t="s">
        <v>1242</v>
      </c>
      <c r="C44" s="1" t="s">
        <v>1243</v>
      </c>
      <c r="D44" s="11" t="s">
        <v>72</v>
      </c>
      <c r="E44" s="10">
        <f>SUMIFS(IsQList,IsIList,Table_ExternalData_15[[#This Row],[item_key]],IsITypeList,Table_ExternalData_15[[#This Row],[IType]],IsDList,Table_ExternalData_15[[#Headers],[1]])</f>
        <v>0</v>
      </c>
      <c r="F44" s="10">
        <f>SUMIFS(IsQList,IsIList,Table_ExternalData_15[[#This Row],[item_key]],IsITypeList,Table_ExternalData_15[[#This Row],[IType]],IsDList,Table_ExternalData_15[[#Headers],[2]])</f>
        <v>0</v>
      </c>
      <c r="G44" s="10">
        <f>SUMIFS(IsQList,IsIList,Table_ExternalData_15[[#This Row],[item_key]],IsITypeList,Table_ExternalData_15[[#This Row],[IType]],IsDList,Table_ExternalData_15[[#Headers],[3]])</f>
        <v>0</v>
      </c>
      <c r="H44" s="10">
        <f>SUMIFS(IsQList,IsIList,Table_ExternalData_15[[#This Row],[item_key]],IsITypeList,Table_ExternalData_15[[#This Row],[IType]],IsDList,Table_ExternalData_15[[#Headers],[4]])</f>
        <v>0</v>
      </c>
      <c r="I44" s="10">
        <f>SUMIFS(IsQList,IsIList,Table_ExternalData_15[[#This Row],[item_key]],IsITypeList,Table_ExternalData_15[[#This Row],[IType]],IsDList,Table_ExternalData_15[[#Headers],[5]])</f>
        <v>0</v>
      </c>
      <c r="J44" s="10">
        <f>SUMIFS(IsQList,IsIList,Table_ExternalData_15[[#This Row],[item_key]],IsITypeList,Table_ExternalData_15[[#This Row],[IType]],IsDList,Table_ExternalData_15[[#Headers],[6]])</f>
        <v>0</v>
      </c>
      <c r="K44" s="10">
        <f>SUMIFS(IsQList,IsIList,Table_ExternalData_15[[#This Row],[item_key]],IsITypeList,Table_ExternalData_15[[#This Row],[IType]],IsDList,Table_ExternalData_15[[#Headers],[7]])</f>
        <v>0</v>
      </c>
      <c r="L44" s="10">
        <f>SUMIFS(IsQList,IsIList,Table_ExternalData_15[[#This Row],[item_key]],IsITypeList,Table_ExternalData_15[[#This Row],[IType]],IsDList,Table_ExternalData_15[[#Headers],[8]])</f>
        <v>0</v>
      </c>
      <c r="M44" s="10">
        <f>SUMIFS(IsQList,IsIList,Table_ExternalData_15[[#This Row],[item_key]],IsITypeList,Table_ExternalData_15[[#This Row],[IType]],IsDList,Table_ExternalData_15[[#Headers],[9]])</f>
        <v>0</v>
      </c>
      <c r="N44" s="10">
        <f>SUMIFS(IsQList,IsIList,Table_ExternalData_15[[#This Row],[item_key]],IsITypeList,Table_ExternalData_15[[#This Row],[IType]],IsDList,Table_ExternalData_15[[#Headers],[10]])</f>
        <v>0</v>
      </c>
      <c r="O44" s="10">
        <f>SUMIFS(IsQList,IsIList,Table_ExternalData_15[[#This Row],[item_key]],IsITypeList,Table_ExternalData_15[[#This Row],[IType]],IsDList,Table_ExternalData_15[[#Headers],[11]])</f>
        <v>0</v>
      </c>
      <c r="P44" s="10">
        <f>SUMIFS(IsQList,IsIList,Table_ExternalData_15[[#This Row],[item_key]],IsITypeList,Table_ExternalData_15[[#This Row],[IType]],IsDList,Table_ExternalData_15[[#Headers],[12]])</f>
        <v>0</v>
      </c>
      <c r="Q44" s="10">
        <f>SUMIFS(IsQList,IsIList,Table_ExternalData_15[[#This Row],[item_key]],IsITypeList,Table_ExternalData_15[[#This Row],[IType]],IsDList,Table_ExternalData_15[[#Headers],[13]])</f>
        <v>0</v>
      </c>
      <c r="R44" s="10">
        <f>SUMIFS(IsQList,IsIList,Table_ExternalData_15[[#This Row],[item_key]],IsITypeList,Table_ExternalData_15[[#This Row],[IType]],IsDList,Table_ExternalData_15[[#Headers],[14]])</f>
        <v>0</v>
      </c>
      <c r="S44" s="10">
        <f>SUMIFS(IsQList,IsIList,Table_ExternalData_15[[#This Row],[item_key]],IsITypeList,Table_ExternalData_15[[#This Row],[IType]],IsDList,Table_ExternalData_15[[#Headers],[15]])</f>
        <v>0</v>
      </c>
      <c r="T44" s="10">
        <f>SUMIFS(IsQList,IsIList,Table_ExternalData_15[[#This Row],[item_key]],IsITypeList,Table_ExternalData_15[[#This Row],[IType]],IsDList,Table_ExternalData_15[[#Headers],[16]])</f>
        <v>0</v>
      </c>
      <c r="U44" s="10">
        <f>SUMIFS(IsQList,IsIList,Table_ExternalData_15[[#This Row],[item_key]],IsITypeList,Table_ExternalData_15[[#This Row],[IType]],IsDList,Table_ExternalData_15[[#Headers],[17]])</f>
        <v>0</v>
      </c>
      <c r="V44" s="10">
        <f>SUMIFS(IsQList,IsIList,Table_ExternalData_15[[#This Row],[item_key]],IsITypeList,Table_ExternalData_15[[#This Row],[IType]],IsDList,Table_ExternalData_15[[#Headers],[18]])</f>
        <v>0</v>
      </c>
      <c r="W44" s="10">
        <f>SUMIFS(IsQList,IsIList,Table_ExternalData_15[[#This Row],[item_key]],IsITypeList,Table_ExternalData_15[[#This Row],[IType]],IsDList,Table_ExternalData_15[[#Headers],[19]])</f>
        <v>0</v>
      </c>
      <c r="X44" s="10">
        <f>SUMIFS(IsQList,IsIList,Table_ExternalData_15[[#This Row],[item_key]],IsITypeList,Table_ExternalData_15[[#This Row],[IType]],IsDList,Table_ExternalData_15[[#Headers],[20]])</f>
        <v>0</v>
      </c>
      <c r="Y44" s="10">
        <f>SUMIFS(IsQList,IsIList,Table_ExternalData_15[[#This Row],[item_key]],IsITypeList,Table_ExternalData_15[[#This Row],[IType]],IsDList,Table_ExternalData_15[[#Headers],[21]])</f>
        <v>0</v>
      </c>
      <c r="Z44" s="10">
        <f>SUMIFS(IsQList,IsIList,Table_ExternalData_15[[#This Row],[item_key]],IsITypeList,Table_ExternalData_15[[#This Row],[IType]],IsDList,Table_ExternalData_15[[#Headers],[22]])</f>
        <v>0</v>
      </c>
      <c r="AA44" s="10">
        <f>SUMIFS(IsQList,IsIList,Table_ExternalData_15[[#This Row],[item_key]],IsITypeList,Table_ExternalData_15[[#This Row],[IType]],IsDList,Table_ExternalData_15[[#Headers],[23]])</f>
        <v>0</v>
      </c>
      <c r="AB44" s="10">
        <f>SUMIFS(IsQList,IsIList,Table_ExternalData_15[[#This Row],[item_key]],IsITypeList,Table_ExternalData_15[[#This Row],[IType]],IsDList,Table_ExternalData_15[[#Headers],[24]])</f>
        <v>0</v>
      </c>
      <c r="AC44" s="10">
        <f>SUMIFS(IsQList,IsIList,Table_ExternalData_15[[#This Row],[item_key]],IsITypeList,Table_ExternalData_15[[#This Row],[IType]],IsDList,Table_ExternalData_15[[#Headers],[25]])</f>
        <v>0</v>
      </c>
      <c r="AD44" s="10">
        <f>SUMIFS(IsQList,IsIList,Table_ExternalData_15[[#This Row],[item_key]],IsITypeList,Table_ExternalData_15[[#This Row],[IType]],IsDList,Table_ExternalData_15[[#Headers],[26]])</f>
        <v>0</v>
      </c>
      <c r="AE44" s="10">
        <f>SUMIFS(IsQList,IsIList,Table_ExternalData_15[[#This Row],[item_key]],IsITypeList,Table_ExternalData_15[[#This Row],[IType]],IsDList,Table_ExternalData_15[[#Headers],[27]])</f>
        <v>0</v>
      </c>
      <c r="AF44" s="10">
        <f>SUMIFS(IsQList,IsIList,Table_ExternalData_15[[#This Row],[item_key]],IsITypeList,Table_ExternalData_15[[#This Row],[IType]],IsDList,Table_ExternalData_15[[#Headers],[28]])</f>
        <v>0</v>
      </c>
      <c r="AG44" s="10">
        <f>SUMIFS(IsQList,IsIList,Table_ExternalData_15[[#This Row],[item_key]],IsITypeList,Table_ExternalData_15[[#This Row],[IType]],IsDList,Table_ExternalData_15[[#Headers],[29]])</f>
        <v>0</v>
      </c>
      <c r="AH44" s="10">
        <f>SUMIFS(IsQList,IsIList,Table_ExternalData_15[[#This Row],[item_key]],IsITypeList,Table_ExternalData_15[[#This Row],[IType]],IsDList,Table_ExternalData_15[[#Headers],[30]])</f>
        <v>0</v>
      </c>
      <c r="AI44" s="10">
        <f>SUMIFS(IsQList,IsIList,Table_ExternalData_15[[#This Row],[item_key]],IsITypeList,Table_ExternalData_15[[#This Row],[IType]],IsDList,Table_ExternalData_15[[#Headers],[31]])</f>
        <v>0</v>
      </c>
      <c r="AJ44" s="10">
        <f>SUM(Table_ExternalData_15[[#This Row],[1]:[31]])</f>
        <v>0</v>
      </c>
    </row>
    <row r="45" spans="1:36">
      <c r="A45" s="1" t="s">
        <v>330</v>
      </c>
      <c r="B45" s="1" t="s">
        <v>2384</v>
      </c>
      <c r="C45" s="1" t="s">
        <v>1379</v>
      </c>
      <c r="D45" s="11" t="s">
        <v>72</v>
      </c>
      <c r="E45" s="10">
        <f>SUMIFS(IsQList,IsIList,Table_ExternalData_15[[#This Row],[item_key]],IsITypeList,Table_ExternalData_15[[#This Row],[IType]],IsDList,Table_ExternalData_15[[#Headers],[1]])</f>
        <v>0</v>
      </c>
      <c r="F45" s="10">
        <f>SUMIFS(IsQList,IsIList,Table_ExternalData_15[[#This Row],[item_key]],IsITypeList,Table_ExternalData_15[[#This Row],[IType]],IsDList,Table_ExternalData_15[[#Headers],[2]])</f>
        <v>0</v>
      </c>
      <c r="G45" s="10">
        <f>SUMIFS(IsQList,IsIList,Table_ExternalData_15[[#This Row],[item_key]],IsITypeList,Table_ExternalData_15[[#This Row],[IType]],IsDList,Table_ExternalData_15[[#Headers],[3]])</f>
        <v>0</v>
      </c>
      <c r="H45" s="10">
        <f>SUMIFS(IsQList,IsIList,Table_ExternalData_15[[#This Row],[item_key]],IsITypeList,Table_ExternalData_15[[#This Row],[IType]],IsDList,Table_ExternalData_15[[#Headers],[4]])</f>
        <v>0</v>
      </c>
      <c r="I45" s="10">
        <f>SUMIFS(IsQList,IsIList,Table_ExternalData_15[[#This Row],[item_key]],IsITypeList,Table_ExternalData_15[[#This Row],[IType]],IsDList,Table_ExternalData_15[[#Headers],[5]])</f>
        <v>0</v>
      </c>
      <c r="J45" s="10">
        <f>SUMIFS(IsQList,IsIList,Table_ExternalData_15[[#This Row],[item_key]],IsITypeList,Table_ExternalData_15[[#This Row],[IType]],IsDList,Table_ExternalData_15[[#Headers],[6]])</f>
        <v>120</v>
      </c>
      <c r="K45" s="10">
        <f>SUMIFS(IsQList,IsIList,Table_ExternalData_15[[#This Row],[item_key]],IsITypeList,Table_ExternalData_15[[#This Row],[IType]],IsDList,Table_ExternalData_15[[#Headers],[7]])</f>
        <v>0</v>
      </c>
      <c r="L45" s="10">
        <f>SUMIFS(IsQList,IsIList,Table_ExternalData_15[[#This Row],[item_key]],IsITypeList,Table_ExternalData_15[[#This Row],[IType]],IsDList,Table_ExternalData_15[[#Headers],[8]])</f>
        <v>0</v>
      </c>
      <c r="M45" s="10">
        <f>SUMIFS(IsQList,IsIList,Table_ExternalData_15[[#This Row],[item_key]],IsITypeList,Table_ExternalData_15[[#This Row],[IType]],IsDList,Table_ExternalData_15[[#Headers],[9]])</f>
        <v>0</v>
      </c>
      <c r="N45" s="10">
        <f>SUMIFS(IsQList,IsIList,Table_ExternalData_15[[#This Row],[item_key]],IsITypeList,Table_ExternalData_15[[#This Row],[IType]],IsDList,Table_ExternalData_15[[#Headers],[10]])</f>
        <v>0</v>
      </c>
      <c r="O45" s="10">
        <f>SUMIFS(IsQList,IsIList,Table_ExternalData_15[[#This Row],[item_key]],IsITypeList,Table_ExternalData_15[[#This Row],[IType]],IsDList,Table_ExternalData_15[[#Headers],[11]])</f>
        <v>0</v>
      </c>
      <c r="P45" s="10">
        <f>SUMIFS(IsQList,IsIList,Table_ExternalData_15[[#This Row],[item_key]],IsITypeList,Table_ExternalData_15[[#This Row],[IType]],IsDList,Table_ExternalData_15[[#Headers],[12]])</f>
        <v>0</v>
      </c>
      <c r="Q45" s="10">
        <f>SUMIFS(IsQList,IsIList,Table_ExternalData_15[[#This Row],[item_key]],IsITypeList,Table_ExternalData_15[[#This Row],[IType]],IsDList,Table_ExternalData_15[[#Headers],[13]])</f>
        <v>0</v>
      </c>
      <c r="R45" s="10">
        <f>SUMIFS(IsQList,IsIList,Table_ExternalData_15[[#This Row],[item_key]],IsITypeList,Table_ExternalData_15[[#This Row],[IType]],IsDList,Table_ExternalData_15[[#Headers],[14]])</f>
        <v>0</v>
      </c>
      <c r="S45" s="10">
        <f>SUMIFS(IsQList,IsIList,Table_ExternalData_15[[#This Row],[item_key]],IsITypeList,Table_ExternalData_15[[#This Row],[IType]],IsDList,Table_ExternalData_15[[#Headers],[15]])</f>
        <v>0</v>
      </c>
      <c r="T45" s="10">
        <f>SUMIFS(IsQList,IsIList,Table_ExternalData_15[[#This Row],[item_key]],IsITypeList,Table_ExternalData_15[[#This Row],[IType]],IsDList,Table_ExternalData_15[[#Headers],[16]])</f>
        <v>0</v>
      </c>
      <c r="U45" s="10">
        <f>SUMIFS(IsQList,IsIList,Table_ExternalData_15[[#This Row],[item_key]],IsITypeList,Table_ExternalData_15[[#This Row],[IType]],IsDList,Table_ExternalData_15[[#Headers],[17]])</f>
        <v>0</v>
      </c>
      <c r="V45" s="10">
        <f>SUMIFS(IsQList,IsIList,Table_ExternalData_15[[#This Row],[item_key]],IsITypeList,Table_ExternalData_15[[#This Row],[IType]],IsDList,Table_ExternalData_15[[#Headers],[18]])</f>
        <v>0</v>
      </c>
      <c r="W45" s="10">
        <f>SUMIFS(IsQList,IsIList,Table_ExternalData_15[[#This Row],[item_key]],IsITypeList,Table_ExternalData_15[[#This Row],[IType]],IsDList,Table_ExternalData_15[[#Headers],[19]])</f>
        <v>0</v>
      </c>
      <c r="X45" s="10">
        <f>SUMIFS(IsQList,IsIList,Table_ExternalData_15[[#This Row],[item_key]],IsITypeList,Table_ExternalData_15[[#This Row],[IType]],IsDList,Table_ExternalData_15[[#Headers],[20]])</f>
        <v>0</v>
      </c>
      <c r="Y45" s="10">
        <f>SUMIFS(IsQList,IsIList,Table_ExternalData_15[[#This Row],[item_key]],IsITypeList,Table_ExternalData_15[[#This Row],[IType]],IsDList,Table_ExternalData_15[[#Headers],[21]])</f>
        <v>0</v>
      </c>
      <c r="Z45" s="10">
        <f>SUMIFS(IsQList,IsIList,Table_ExternalData_15[[#This Row],[item_key]],IsITypeList,Table_ExternalData_15[[#This Row],[IType]],IsDList,Table_ExternalData_15[[#Headers],[22]])</f>
        <v>0</v>
      </c>
      <c r="AA45" s="10">
        <f>SUMIFS(IsQList,IsIList,Table_ExternalData_15[[#This Row],[item_key]],IsITypeList,Table_ExternalData_15[[#This Row],[IType]],IsDList,Table_ExternalData_15[[#Headers],[23]])</f>
        <v>0</v>
      </c>
      <c r="AB45" s="10">
        <f>SUMIFS(IsQList,IsIList,Table_ExternalData_15[[#This Row],[item_key]],IsITypeList,Table_ExternalData_15[[#This Row],[IType]],IsDList,Table_ExternalData_15[[#Headers],[24]])</f>
        <v>140</v>
      </c>
      <c r="AC45" s="10">
        <f>SUMIFS(IsQList,IsIList,Table_ExternalData_15[[#This Row],[item_key]],IsITypeList,Table_ExternalData_15[[#This Row],[IType]],IsDList,Table_ExternalData_15[[#Headers],[25]])</f>
        <v>0</v>
      </c>
      <c r="AD45" s="10">
        <f>SUMIFS(IsQList,IsIList,Table_ExternalData_15[[#This Row],[item_key]],IsITypeList,Table_ExternalData_15[[#This Row],[IType]],IsDList,Table_ExternalData_15[[#Headers],[26]])</f>
        <v>0</v>
      </c>
      <c r="AE45" s="10">
        <f>SUMIFS(IsQList,IsIList,Table_ExternalData_15[[#This Row],[item_key]],IsITypeList,Table_ExternalData_15[[#This Row],[IType]],IsDList,Table_ExternalData_15[[#Headers],[27]])</f>
        <v>0</v>
      </c>
      <c r="AF45" s="10">
        <f>SUMIFS(IsQList,IsIList,Table_ExternalData_15[[#This Row],[item_key]],IsITypeList,Table_ExternalData_15[[#This Row],[IType]],IsDList,Table_ExternalData_15[[#Headers],[28]])</f>
        <v>0</v>
      </c>
      <c r="AG45" s="10">
        <f>SUMIFS(IsQList,IsIList,Table_ExternalData_15[[#This Row],[item_key]],IsITypeList,Table_ExternalData_15[[#This Row],[IType]],IsDList,Table_ExternalData_15[[#Headers],[29]])</f>
        <v>0</v>
      </c>
      <c r="AH45" s="10">
        <f>SUMIFS(IsQList,IsIList,Table_ExternalData_15[[#This Row],[item_key]],IsITypeList,Table_ExternalData_15[[#This Row],[IType]],IsDList,Table_ExternalData_15[[#Headers],[30]])</f>
        <v>220</v>
      </c>
      <c r="AI45" s="10">
        <f>SUMIFS(IsQList,IsIList,Table_ExternalData_15[[#This Row],[item_key]],IsITypeList,Table_ExternalData_15[[#This Row],[IType]],IsDList,Table_ExternalData_15[[#Headers],[31]])</f>
        <v>0</v>
      </c>
      <c r="AJ45" s="10">
        <f>SUM(Table_ExternalData_15[[#This Row],[1]:[31]])</f>
        <v>480</v>
      </c>
    </row>
    <row r="46" spans="1:36">
      <c r="A46" s="1" t="s">
        <v>333</v>
      </c>
      <c r="B46" s="1" t="s">
        <v>2471</v>
      </c>
      <c r="C46" s="1" t="s">
        <v>2472</v>
      </c>
      <c r="D46" s="11" t="s">
        <v>72</v>
      </c>
      <c r="E46" s="10">
        <f>SUMIFS(IsQList,IsIList,Table_ExternalData_15[[#This Row],[item_key]],IsITypeList,Table_ExternalData_15[[#This Row],[IType]],IsDList,Table_ExternalData_15[[#Headers],[1]])</f>
        <v>0</v>
      </c>
      <c r="F46" s="10">
        <f>SUMIFS(IsQList,IsIList,Table_ExternalData_15[[#This Row],[item_key]],IsITypeList,Table_ExternalData_15[[#This Row],[IType]],IsDList,Table_ExternalData_15[[#Headers],[2]])</f>
        <v>0</v>
      </c>
      <c r="G46" s="10">
        <f>SUMIFS(IsQList,IsIList,Table_ExternalData_15[[#This Row],[item_key]],IsITypeList,Table_ExternalData_15[[#This Row],[IType]],IsDList,Table_ExternalData_15[[#Headers],[3]])</f>
        <v>0</v>
      </c>
      <c r="H46" s="10">
        <f>SUMIFS(IsQList,IsIList,Table_ExternalData_15[[#This Row],[item_key]],IsITypeList,Table_ExternalData_15[[#This Row],[IType]],IsDList,Table_ExternalData_15[[#Headers],[4]])</f>
        <v>0</v>
      </c>
      <c r="I46" s="10">
        <f>SUMIFS(IsQList,IsIList,Table_ExternalData_15[[#This Row],[item_key]],IsITypeList,Table_ExternalData_15[[#This Row],[IType]],IsDList,Table_ExternalData_15[[#Headers],[5]])</f>
        <v>0</v>
      </c>
      <c r="J46" s="10">
        <f>SUMIFS(IsQList,IsIList,Table_ExternalData_15[[#This Row],[item_key]],IsITypeList,Table_ExternalData_15[[#This Row],[IType]],IsDList,Table_ExternalData_15[[#Headers],[6]])</f>
        <v>0</v>
      </c>
      <c r="K46" s="10">
        <f>SUMIFS(IsQList,IsIList,Table_ExternalData_15[[#This Row],[item_key]],IsITypeList,Table_ExternalData_15[[#This Row],[IType]],IsDList,Table_ExternalData_15[[#Headers],[7]])</f>
        <v>0</v>
      </c>
      <c r="L46" s="10">
        <f>SUMIFS(IsQList,IsIList,Table_ExternalData_15[[#This Row],[item_key]],IsITypeList,Table_ExternalData_15[[#This Row],[IType]],IsDList,Table_ExternalData_15[[#Headers],[8]])</f>
        <v>0</v>
      </c>
      <c r="M46" s="10">
        <f>SUMIFS(IsQList,IsIList,Table_ExternalData_15[[#This Row],[item_key]],IsITypeList,Table_ExternalData_15[[#This Row],[IType]],IsDList,Table_ExternalData_15[[#Headers],[9]])</f>
        <v>0</v>
      </c>
      <c r="N46" s="10">
        <f>SUMIFS(IsQList,IsIList,Table_ExternalData_15[[#This Row],[item_key]],IsITypeList,Table_ExternalData_15[[#This Row],[IType]],IsDList,Table_ExternalData_15[[#Headers],[10]])</f>
        <v>0</v>
      </c>
      <c r="O46" s="10">
        <f>SUMIFS(IsQList,IsIList,Table_ExternalData_15[[#This Row],[item_key]],IsITypeList,Table_ExternalData_15[[#This Row],[IType]],IsDList,Table_ExternalData_15[[#Headers],[11]])</f>
        <v>0</v>
      </c>
      <c r="P46" s="10">
        <f>SUMIFS(IsQList,IsIList,Table_ExternalData_15[[#This Row],[item_key]],IsITypeList,Table_ExternalData_15[[#This Row],[IType]],IsDList,Table_ExternalData_15[[#Headers],[12]])</f>
        <v>0</v>
      </c>
      <c r="Q46" s="10">
        <f>SUMIFS(IsQList,IsIList,Table_ExternalData_15[[#This Row],[item_key]],IsITypeList,Table_ExternalData_15[[#This Row],[IType]],IsDList,Table_ExternalData_15[[#Headers],[13]])</f>
        <v>0</v>
      </c>
      <c r="R46" s="10">
        <f>SUMIFS(IsQList,IsIList,Table_ExternalData_15[[#This Row],[item_key]],IsITypeList,Table_ExternalData_15[[#This Row],[IType]],IsDList,Table_ExternalData_15[[#Headers],[14]])</f>
        <v>0</v>
      </c>
      <c r="S46" s="10">
        <f>SUMIFS(IsQList,IsIList,Table_ExternalData_15[[#This Row],[item_key]],IsITypeList,Table_ExternalData_15[[#This Row],[IType]],IsDList,Table_ExternalData_15[[#Headers],[15]])</f>
        <v>0</v>
      </c>
      <c r="T46" s="10">
        <f>SUMIFS(IsQList,IsIList,Table_ExternalData_15[[#This Row],[item_key]],IsITypeList,Table_ExternalData_15[[#This Row],[IType]],IsDList,Table_ExternalData_15[[#Headers],[16]])</f>
        <v>26</v>
      </c>
      <c r="U46" s="10">
        <f>SUMIFS(IsQList,IsIList,Table_ExternalData_15[[#This Row],[item_key]],IsITypeList,Table_ExternalData_15[[#This Row],[IType]],IsDList,Table_ExternalData_15[[#Headers],[17]])</f>
        <v>0</v>
      </c>
      <c r="V46" s="10">
        <f>SUMIFS(IsQList,IsIList,Table_ExternalData_15[[#This Row],[item_key]],IsITypeList,Table_ExternalData_15[[#This Row],[IType]],IsDList,Table_ExternalData_15[[#Headers],[18]])</f>
        <v>0</v>
      </c>
      <c r="W46" s="10">
        <f>SUMIFS(IsQList,IsIList,Table_ExternalData_15[[#This Row],[item_key]],IsITypeList,Table_ExternalData_15[[#This Row],[IType]],IsDList,Table_ExternalData_15[[#Headers],[19]])</f>
        <v>0</v>
      </c>
      <c r="X46" s="10">
        <f>SUMIFS(IsQList,IsIList,Table_ExternalData_15[[#This Row],[item_key]],IsITypeList,Table_ExternalData_15[[#This Row],[IType]],IsDList,Table_ExternalData_15[[#Headers],[20]])</f>
        <v>0</v>
      </c>
      <c r="Y46" s="10">
        <f>SUMIFS(IsQList,IsIList,Table_ExternalData_15[[#This Row],[item_key]],IsITypeList,Table_ExternalData_15[[#This Row],[IType]],IsDList,Table_ExternalData_15[[#Headers],[21]])</f>
        <v>0</v>
      </c>
      <c r="Z46" s="10">
        <f>SUMIFS(IsQList,IsIList,Table_ExternalData_15[[#This Row],[item_key]],IsITypeList,Table_ExternalData_15[[#This Row],[IType]],IsDList,Table_ExternalData_15[[#Headers],[22]])</f>
        <v>0</v>
      </c>
      <c r="AA46" s="10">
        <f>SUMIFS(IsQList,IsIList,Table_ExternalData_15[[#This Row],[item_key]],IsITypeList,Table_ExternalData_15[[#This Row],[IType]],IsDList,Table_ExternalData_15[[#Headers],[23]])</f>
        <v>0</v>
      </c>
      <c r="AB46" s="10">
        <f>SUMIFS(IsQList,IsIList,Table_ExternalData_15[[#This Row],[item_key]],IsITypeList,Table_ExternalData_15[[#This Row],[IType]],IsDList,Table_ExternalData_15[[#Headers],[24]])</f>
        <v>0</v>
      </c>
      <c r="AC46" s="10">
        <f>SUMIFS(IsQList,IsIList,Table_ExternalData_15[[#This Row],[item_key]],IsITypeList,Table_ExternalData_15[[#This Row],[IType]],IsDList,Table_ExternalData_15[[#Headers],[25]])</f>
        <v>0</v>
      </c>
      <c r="AD46" s="10">
        <f>SUMIFS(IsQList,IsIList,Table_ExternalData_15[[#This Row],[item_key]],IsITypeList,Table_ExternalData_15[[#This Row],[IType]],IsDList,Table_ExternalData_15[[#Headers],[26]])</f>
        <v>0</v>
      </c>
      <c r="AE46" s="10">
        <f>SUMIFS(IsQList,IsIList,Table_ExternalData_15[[#This Row],[item_key]],IsITypeList,Table_ExternalData_15[[#This Row],[IType]],IsDList,Table_ExternalData_15[[#Headers],[27]])</f>
        <v>0</v>
      </c>
      <c r="AF46" s="10">
        <f>SUMIFS(IsQList,IsIList,Table_ExternalData_15[[#This Row],[item_key]],IsITypeList,Table_ExternalData_15[[#This Row],[IType]],IsDList,Table_ExternalData_15[[#Headers],[28]])</f>
        <v>0</v>
      </c>
      <c r="AG46" s="10">
        <f>SUMIFS(IsQList,IsIList,Table_ExternalData_15[[#This Row],[item_key]],IsITypeList,Table_ExternalData_15[[#This Row],[IType]],IsDList,Table_ExternalData_15[[#Headers],[29]])</f>
        <v>0</v>
      </c>
      <c r="AH46" s="10">
        <f>SUMIFS(IsQList,IsIList,Table_ExternalData_15[[#This Row],[item_key]],IsITypeList,Table_ExternalData_15[[#This Row],[IType]],IsDList,Table_ExternalData_15[[#Headers],[30]])</f>
        <v>0</v>
      </c>
      <c r="AI46" s="10">
        <f>SUMIFS(IsQList,IsIList,Table_ExternalData_15[[#This Row],[item_key]],IsITypeList,Table_ExternalData_15[[#This Row],[IType]],IsDList,Table_ExternalData_15[[#Headers],[31]])</f>
        <v>0</v>
      </c>
      <c r="AJ46" s="10">
        <f>SUM(Table_ExternalData_15[[#This Row],[1]:[31]])</f>
        <v>26</v>
      </c>
    </row>
    <row r="47" spans="1:36">
      <c r="A47" s="1" t="s">
        <v>334</v>
      </c>
      <c r="B47" s="1" t="s">
        <v>2473</v>
      </c>
      <c r="C47" s="1" t="s">
        <v>2474</v>
      </c>
      <c r="D47" s="11" t="s">
        <v>72</v>
      </c>
      <c r="E47" s="10">
        <f>SUMIFS(IsQList,IsIList,Table_ExternalData_15[[#This Row],[item_key]],IsITypeList,Table_ExternalData_15[[#This Row],[IType]],IsDList,Table_ExternalData_15[[#Headers],[1]])</f>
        <v>0</v>
      </c>
      <c r="F47" s="10">
        <f>SUMIFS(IsQList,IsIList,Table_ExternalData_15[[#This Row],[item_key]],IsITypeList,Table_ExternalData_15[[#This Row],[IType]],IsDList,Table_ExternalData_15[[#Headers],[2]])</f>
        <v>0</v>
      </c>
      <c r="G47" s="10">
        <f>SUMIFS(IsQList,IsIList,Table_ExternalData_15[[#This Row],[item_key]],IsITypeList,Table_ExternalData_15[[#This Row],[IType]],IsDList,Table_ExternalData_15[[#Headers],[3]])</f>
        <v>0</v>
      </c>
      <c r="H47" s="10">
        <f>SUMIFS(IsQList,IsIList,Table_ExternalData_15[[#This Row],[item_key]],IsITypeList,Table_ExternalData_15[[#This Row],[IType]],IsDList,Table_ExternalData_15[[#Headers],[4]])</f>
        <v>0</v>
      </c>
      <c r="I47" s="10">
        <f>SUMIFS(IsQList,IsIList,Table_ExternalData_15[[#This Row],[item_key]],IsITypeList,Table_ExternalData_15[[#This Row],[IType]],IsDList,Table_ExternalData_15[[#Headers],[5]])</f>
        <v>0</v>
      </c>
      <c r="J47" s="10">
        <f>SUMIFS(IsQList,IsIList,Table_ExternalData_15[[#This Row],[item_key]],IsITypeList,Table_ExternalData_15[[#This Row],[IType]],IsDList,Table_ExternalData_15[[#Headers],[6]])</f>
        <v>0</v>
      </c>
      <c r="K47" s="10">
        <f>SUMIFS(IsQList,IsIList,Table_ExternalData_15[[#This Row],[item_key]],IsITypeList,Table_ExternalData_15[[#This Row],[IType]],IsDList,Table_ExternalData_15[[#Headers],[7]])</f>
        <v>0</v>
      </c>
      <c r="L47" s="10">
        <f>SUMIFS(IsQList,IsIList,Table_ExternalData_15[[#This Row],[item_key]],IsITypeList,Table_ExternalData_15[[#This Row],[IType]],IsDList,Table_ExternalData_15[[#Headers],[8]])</f>
        <v>0</v>
      </c>
      <c r="M47" s="10">
        <f>SUMIFS(IsQList,IsIList,Table_ExternalData_15[[#This Row],[item_key]],IsITypeList,Table_ExternalData_15[[#This Row],[IType]],IsDList,Table_ExternalData_15[[#Headers],[9]])</f>
        <v>0</v>
      </c>
      <c r="N47" s="10">
        <f>SUMIFS(IsQList,IsIList,Table_ExternalData_15[[#This Row],[item_key]],IsITypeList,Table_ExternalData_15[[#This Row],[IType]],IsDList,Table_ExternalData_15[[#Headers],[10]])</f>
        <v>0</v>
      </c>
      <c r="O47" s="10">
        <f>SUMIFS(IsQList,IsIList,Table_ExternalData_15[[#This Row],[item_key]],IsITypeList,Table_ExternalData_15[[#This Row],[IType]],IsDList,Table_ExternalData_15[[#Headers],[11]])</f>
        <v>0</v>
      </c>
      <c r="P47" s="10">
        <f>SUMIFS(IsQList,IsIList,Table_ExternalData_15[[#This Row],[item_key]],IsITypeList,Table_ExternalData_15[[#This Row],[IType]],IsDList,Table_ExternalData_15[[#Headers],[12]])</f>
        <v>0</v>
      </c>
      <c r="Q47" s="10">
        <f>SUMIFS(IsQList,IsIList,Table_ExternalData_15[[#This Row],[item_key]],IsITypeList,Table_ExternalData_15[[#This Row],[IType]],IsDList,Table_ExternalData_15[[#Headers],[13]])</f>
        <v>0</v>
      </c>
      <c r="R47" s="10">
        <f>SUMIFS(IsQList,IsIList,Table_ExternalData_15[[#This Row],[item_key]],IsITypeList,Table_ExternalData_15[[#This Row],[IType]],IsDList,Table_ExternalData_15[[#Headers],[14]])</f>
        <v>0</v>
      </c>
      <c r="S47" s="10">
        <f>SUMIFS(IsQList,IsIList,Table_ExternalData_15[[#This Row],[item_key]],IsITypeList,Table_ExternalData_15[[#This Row],[IType]],IsDList,Table_ExternalData_15[[#Headers],[15]])</f>
        <v>0</v>
      </c>
      <c r="T47" s="10">
        <f>SUMIFS(IsQList,IsIList,Table_ExternalData_15[[#This Row],[item_key]],IsITypeList,Table_ExternalData_15[[#This Row],[IType]],IsDList,Table_ExternalData_15[[#Headers],[16]])</f>
        <v>0</v>
      </c>
      <c r="U47" s="10">
        <f>SUMIFS(IsQList,IsIList,Table_ExternalData_15[[#This Row],[item_key]],IsITypeList,Table_ExternalData_15[[#This Row],[IType]],IsDList,Table_ExternalData_15[[#Headers],[17]])</f>
        <v>0</v>
      </c>
      <c r="V47" s="10">
        <f>SUMIFS(IsQList,IsIList,Table_ExternalData_15[[#This Row],[item_key]],IsITypeList,Table_ExternalData_15[[#This Row],[IType]],IsDList,Table_ExternalData_15[[#Headers],[18]])</f>
        <v>0</v>
      </c>
      <c r="W47" s="10">
        <f>SUMIFS(IsQList,IsIList,Table_ExternalData_15[[#This Row],[item_key]],IsITypeList,Table_ExternalData_15[[#This Row],[IType]],IsDList,Table_ExternalData_15[[#Headers],[19]])</f>
        <v>0</v>
      </c>
      <c r="X47" s="10">
        <f>SUMIFS(IsQList,IsIList,Table_ExternalData_15[[#This Row],[item_key]],IsITypeList,Table_ExternalData_15[[#This Row],[IType]],IsDList,Table_ExternalData_15[[#Headers],[20]])</f>
        <v>0</v>
      </c>
      <c r="Y47" s="10">
        <f>SUMIFS(IsQList,IsIList,Table_ExternalData_15[[#This Row],[item_key]],IsITypeList,Table_ExternalData_15[[#This Row],[IType]],IsDList,Table_ExternalData_15[[#Headers],[21]])</f>
        <v>0</v>
      </c>
      <c r="Z47" s="10">
        <f>SUMIFS(IsQList,IsIList,Table_ExternalData_15[[#This Row],[item_key]],IsITypeList,Table_ExternalData_15[[#This Row],[IType]],IsDList,Table_ExternalData_15[[#Headers],[22]])</f>
        <v>0</v>
      </c>
      <c r="AA47" s="10">
        <f>SUMIFS(IsQList,IsIList,Table_ExternalData_15[[#This Row],[item_key]],IsITypeList,Table_ExternalData_15[[#This Row],[IType]],IsDList,Table_ExternalData_15[[#Headers],[23]])</f>
        <v>0</v>
      </c>
      <c r="AB47" s="10">
        <f>SUMIFS(IsQList,IsIList,Table_ExternalData_15[[#This Row],[item_key]],IsITypeList,Table_ExternalData_15[[#This Row],[IType]],IsDList,Table_ExternalData_15[[#Headers],[24]])</f>
        <v>0</v>
      </c>
      <c r="AC47" s="10">
        <f>SUMIFS(IsQList,IsIList,Table_ExternalData_15[[#This Row],[item_key]],IsITypeList,Table_ExternalData_15[[#This Row],[IType]],IsDList,Table_ExternalData_15[[#Headers],[25]])</f>
        <v>0</v>
      </c>
      <c r="AD47" s="10">
        <f>SUMIFS(IsQList,IsIList,Table_ExternalData_15[[#This Row],[item_key]],IsITypeList,Table_ExternalData_15[[#This Row],[IType]],IsDList,Table_ExternalData_15[[#Headers],[26]])</f>
        <v>0</v>
      </c>
      <c r="AE47" s="10">
        <f>SUMIFS(IsQList,IsIList,Table_ExternalData_15[[#This Row],[item_key]],IsITypeList,Table_ExternalData_15[[#This Row],[IType]],IsDList,Table_ExternalData_15[[#Headers],[27]])</f>
        <v>0</v>
      </c>
      <c r="AF47" s="10">
        <f>SUMIFS(IsQList,IsIList,Table_ExternalData_15[[#This Row],[item_key]],IsITypeList,Table_ExternalData_15[[#This Row],[IType]],IsDList,Table_ExternalData_15[[#Headers],[28]])</f>
        <v>0</v>
      </c>
      <c r="AG47" s="10">
        <f>SUMIFS(IsQList,IsIList,Table_ExternalData_15[[#This Row],[item_key]],IsITypeList,Table_ExternalData_15[[#This Row],[IType]],IsDList,Table_ExternalData_15[[#Headers],[29]])</f>
        <v>0</v>
      </c>
      <c r="AH47" s="10">
        <f>SUMIFS(IsQList,IsIList,Table_ExternalData_15[[#This Row],[item_key]],IsITypeList,Table_ExternalData_15[[#This Row],[IType]],IsDList,Table_ExternalData_15[[#Headers],[30]])</f>
        <v>0</v>
      </c>
      <c r="AI47" s="10">
        <f>SUMIFS(IsQList,IsIList,Table_ExternalData_15[[#This Row],[item_key]],IsITypeList,Table_ExternalData_15[[#This Row],[IType]],IsDList,Table_ExternalData_15[[#Headers],[31]])</f>
        <v>0</v>
      </c>
      <c r="AJ47" s="10">
        <f>SUM(Table_ExternalData_15[[#This Row],[1]:[31]])</f>
        <v>0</v>
      </c>
    </row>
    <row r="48" spans="1:36">
      <c r="A48" s="1" t="s">
        <v>337</v>
      </c>
      <c r="B48" s="1" t="s">
        <v>2475</v>
      </c>
      <c r="C48" s="1" t="s">
        <v>2476</v>
      </c>
      <c r="D48" s="11" t="s">
        <v>72</v>
      </c>
      <c r="E48" s="10">
        <f>SUMIFS(IsQList,IsIList,Table_ExternalData_15[[#This Row],[item_key]],IsITypeList,Table_ExternalData_15[[#This Row],[IType]],IsDList,Table_ExternalData_15[[#Headers],[1]])</f>
        <v>0</v>
      </c>
      <c r="F48" s="10">
        <f>SUMIFS(IsQList,IsIList,Table_ExternalData_15[[#This Row],[item_key]],IsITypeList,Table_ExternalData_15[[#This Row],[IType]],IsDList,Table_ExternalData_15[[#Headers],[2]])</f>
        <v>0</v>
      </c>
      <c r="G48" s="10">
        <f>SUMIFS(IsQList,IsIList,Table_ExternalData_15[[#This Row],[item_key]],IsITypeList,Table_ExternalData_15[[#This Row],[IType]],IsDList,Table_ExternalData_15[[#Headers],[3]])</f>
        <v>0</v>
      </c>
      <c r="H48" s="10">
        <f>SUMIFS(IsQList,IsIList,Table_ExternalData_15[[#This Row],[item_key]],IsITypeList,Table_ExternalData_15[[#This Row],[IType]],IsDList,Table_ExternalData_15[[#Headers],[4]])</f>
        <v>0</v>
      </c>
      <c r="I48" s="10">
        <f>SUMIFS(IsQList,IsIList,Table_ExternalData_15[[#This Row],[item_key]],IsITypeList,Table_ExternalData_15[[#This Row],[IType]],IsDList,Table_ExternalData_15[[#Headers],[5]])</f>
        <v>0</v>
      </c>
      <c r="J48" s="10">
        <f>SUMIFS(IsQList,IsIList,Table_ExternalData_15[[#This Row],[item_key]],IsITypeList,Table_ExternalData_15[[#This Row],[IType]],IsDList,Table_ExternalData_15[[#Headers],[6]])</f>
        <v>0</v>
      </c>
      <c r="K48" s="10">
        <f>SUMIFS(IsQList,IsIList,Table_ExternalData_15[[#This Row],[item_key]],IsITypeList,Table_ExternalData_15[[#This Row],[IType]],IsDList,Table_ExternalData_15[[#Headers],[7]])</f>
        <v>0</v>
      </c>
      <c r="L48" s="10">
        <f>SUMIFS(IsQList,IsIList,Table_ExternalData_15[[#This Row],[item_key]],IsITypeList,Table_ExternalData_15[[#This Row],[IType]],IsDList,Table_ExternalData_15[[#Headers],[8]])</f>
        <v>0</v>
      </c>
      <c r="M48" s="10">
        <f>SUMIFS(IsQList,IsIList,Table_ExternalData_15[[#This Row],[item_key]],IsITypeList,Table_ExternalData_15[[#This Row],[IType]],IsDList,Table_ExternalData_15[[#Headers],[9]])</f>
        <v>0</v>
      </c>
      <c r="N48" s="10">
        <f>SUMIFS(IsQList,IsIList,Table_ExternalData_15[[#This Row],[item_key]],IsITypeList,Table_ExternalData_15[[#This Row],[IType]],IsDList,Table_ExternalData_15[[#Headers],[10]])</f>
        <v>0</v>
      </c>
      <c r="O48" s="10">
        <f>SUMIFS(IsQList,IsIList,Table_ExternalData_15[[#This Row],[item_key]],IsITypeList,Table_ExternalData_15[[#This Row],[IType]],IsDList,Table_ExternalData_15[[#Headers],[11]])</f>
        <v>0</v>
      </c>
      <c r="P48" s="10">
        <f>SUMIFS(IsQList,IsIList,Table_ExternalData_15[[#This Row],[item_key]],IsITypeList,Table_ExternalData_15[[#This Row],[IType]],IsDList,Table_ExternalData_15[[#Headers],[12]])</f>
        <v>0</v>
      </c>
      <c r="Q48" s="10">
        <f>SUMIFS(IsQList,IsIList,Table_ExternalData_15[[#This Row],[item_key]],IsITypeList,Table_ExternalData_15[[#This Row],[IType]],IsDList,Table_ExternalData_15[[#Headers],[13]])</f>
        <v>0</v>
      </c>
      <c r="R48" s="10">
        <f>SUMIFS(IsQList,IsIList,Table_ExternalData_15[[#This Row],[item_key]],IsITypeList,Table_ExternalData_15[[#This Row],[IType]],IsDList,Table_ExternalData_15[[#Headers],[14]])</f>
        <v>0</v>
      </c>
      <c r="S48" s="10">
        <f>SUMIFS(IsQList,IsIList,Table_ExternalData_15[[#This Row],[item_key]],IsITypeList,Table_ExternalData_15[[#This Row],[IType]],IsDList,Table_ExternalData_15[[#Headers],[15]])</f>
        <v>0</v>
      </c>
      <c r="T48" s="10">
        <f>SUMIFS(IsQList,IsIList,Table_ExternalData_15[[#This Row],[item_key]],IsITypeList,Table_ExternalData_15[[#This Row],[IType]],IsDList,Table_ExternalData_15[[#Headers],[16]])</f>
        <v>0</v>
      </c>
      <c r="U48" s="10">
        <f>SUMIFS(IsQList,IsIList,Table_ExternalData_15[[#This Row],[item_key]],IsITypeList,Table_ExternalData_15[[#This Row],[IType]],IsDList,Table_ExternalData_15[[#Headers],[17]])</f>
        <v>0</v>
      </c>
      <c r="V48" s="10">
        <f>SUMIFS(IsQList,IsIList,Table_ExternalData_15[[#This Row],[item_key]],IsITypeList,Table_ExternalData_15[[#This Row],[IType]],IsDList,Table_ExternalData_15[[#Headers],[18]])</f>
        <v>0</v>
      </c>
      <c r="W48" s="10">
        <f>SUMIFS(IsQList,IsIList,Table_ExternalData_15[[#This Row],[item_key]],IsITypeList,Table_ExternalData_15[[#This Row],[IType]],IsDList,Table_ExternalData_15[[#Headers],[19]])</f>
        <v>0</v>
      </c>
      <c r="X48" s="10">
        <f>SUMIFS(IsQList,IsIList,Table_ExternalData_15[[#This Row],[item_key]],IsITypeList,Table_ExternalData_15[[#This Row],[IType]],IsDList,Table_ExternalData_15[[#Headers],[20]])</f>
        <v>0</v>
      </c>
      <c r="Y48" s="10">
        <f>SUMIFS(IsQList,IsIList,Table_ExternalData_15[[#This Row],[item_key]],IsITypeList,Table_ExternalData_15[[#This Row],[IType]],IsDList,Table_ExternalData_15[[#Headers],[21]])</f>
        <v>0</v>
      </c>
      <c r="Z48" s="10">
        <f>SUMIFS(IsQList,IsIList,Table_ExternalData_15[[#This Row],[item_key]],IsITypeList,Table_ExternalData_15[[#This Row],[IType]],IsDList,Table_ExternalData_15[[#Headers],[22]])</f>
        <v>0</v>
      </c>
      <c r="AA48" s="10">
        <f>SUMIFS(IsQList,IsIList,Table_ExternalData_15[[#This Row],[item_key]],IsITypeList,Table_ExternalData_15[[#This Row],[IType]],IsDList,Table_ExternalData_15[[#Headers],[23]])</f>
        <v>0</v>
      </c>
      <c r="AB48" s="10">
        <f>SUMIFS(IsQList,IsIList,Table_ExternalData_15[[#This Row],[item_key]],IsITypeList,Table_ExternalData_15[[#This Row],[IType]],IsDList,Table_ExternalData_15[[#Headers],[24]])</f>
        <v>0</v>
      </c>
      <c r="AC48" s="10">
        <f>SUMIFS(IsQList,IsIList,Table_ExternalData_15[[#This Row],[item_key]],IsITypeList,Table_ExternalData_15[[#This Row],[IType]],IsDList,Table_ExternalData_15[[#Headers],[25]])</f>
        <v>0</v>
      </c>
      <c r="AD48" s="10">
        <f>SUMIFS(IsQList,IsIList,Table_ExternalData_15[[#This Row],[item_key]],IsITypeList,Table_ExternalData_15[[#This Row],[IType]],IsDList,Table_ExternalData_15[[#Headers],[26]])</f>
        <v>0</v>
      </c>
      <c r="AE48" s="10">
        <f>SUMIFS(IsQList,IsIList,Table_ExternalData_15[[#This Row],[item_key]],IsITypeList,Table_ExternalData_15[[#This Row],[IType]],IsDList,Table_ExternalData_15[[#Headers],[27]])</f>
        <v>0</v>
      </c>
      <c r="AF48" s="10">
        <f>SUMIFS(IsQList,IsIList,Table_ExternalData_15[[#This Row],[item_key]],IsITypeList,Table_ExternalData_15[[#This Row],[IType]],IsDList,Table_ExternalData_15[[#Headers],[28]])</f>
        <v>0</v>
      </c>
      <c r="AG48" s="10">
        <f>SUMIFS(IsQList,IsIList,Table_ExternalData_15[[#This Row],[item_key]],IsITypeList,Table_ExternalData_15[[#This Row],[IType]],IsDList,Table_ExternalData_15[[#Headers],[29]])</f>
        <v>0</v>
      </c>
      <c r="AH48" s="10">
        <f>SUMIFS(IsQList,IsIList,Table_ExternalData_15[[#This Row],[item_key]],IsITypeList,Table_ExternalData_15[[#This Row],[IType]],IsDList,Table_ExternalData_15[[#Headers],[30]])</f>
        <v>630</v>
      </c>
      <c r="AI48" s="10">
        <f>SUMIFS(IsQList,IsIList,Table_ExternalData_15[[#This Row],[item_key]],IsITypeList,Table_ExternalData_15[[#This Row],[IType]],IsDList,Table_ExternalData_15[[#Headers],[31]])</f>
        <v>0</v>
      </c>
      <c r="AJ48" s="10">
        <f>SUM(Table_ExternalData_15[[#This Row],[1]:[31]])</f>
        <v>630</v>
      </c>
    </row>
    <row r="49" spans="1:36">
      <c r="A49" s="1" t="s">
        <v>342</v>
      </c>
      <c r="B49" s="1" t="s">
        <v>2478</v>
      </c>
      <c r="C49" s="1" t="s">
        <v>2479</v>
      </c>
      <c r="D49" s="11" t="s">
        <v>72</v>
      </c>
      <c r="E49" s="10">
        <f>SUMIFS(IsQList,IsIList,Table_ExternalData_15[[#This Row],[item_key]],IsITypeList,Table_ExternalData_15[[#This Row],[IType]],IsDList,Table_ExternalData_15[[#Headers],[1]])</f>
        <v>0</v>
      </c>
      <c r="F49" s="10">
        <f>SUMIFS(IsQList,IsIList,Table_ExternalData_15[[#This Row],[item_key]],IsITypeList,Table_ExternalData_15[[#This Row],[IType]],IsDList,Table_ExternalData_15[[#Headers],[2]])</f>
        <v>0</v>
      </c>
      <c r="G49" s="10">
        <f>SUMIFS(IsQList,IsIList,Table_ExternalData_15[[#This Row],[item_key]],IsITypeList,Table_ExternalData_15[[#This Row],[IType]],IsDList,Table_ExternalData_15[[#Headers],[3]])</f>
        <v>0</v>
      </c>
      <c r="H49" s="10">
        <f>SUMIFS(IsQList,IsIList,Table_ExternalData_15[[#This Row],[item_key]],IsITypeList,Table_ExternalData_15[[#This Row],[IType]],IsDList,Table_ExternalData_15[[#Headers],[4]])</f>
        <v>0</v>
      </c>
      <c r="I49" s="10">
        <f>SUMIFS(IsQList,IsIList,Table_ExternalData_15[[#This Row],[item_key]],IsITypeList,Table_ExternalData_15[[#This Row],[IType]],IsDList,Table_ExternalData_15[[#Headers],[5]])</f>
        <v>0</v>
      </c>
      <c r="J49" s="10">
        <f>SUMIFS(IsQList,IsIList,Table_ExternalData_15[[#This Row],[item_key]],IsITypeList,Table_ExternalData_15[[#This Row],[IType]],IsDList,Table_ExternalData_15[[#Headers],[6]])</f>
        <v>0</v>
      </c>
      <c r="K49" s="10">
        <f>SUMIFS(IsQList,IsIList,Table_ExternalData_15[[#This Row],[item_key]],IsITypeList,Table_ExternalData_15[[#This Row],[IType]],IsDList,Table_ExternalData_15[[#Headers],[7]])</f>
        <v>0</v>
      </c>
      <c r="L49" s="10">
        <f>SUMIFS(IsQList,IsIList,Table_ExternalData_15[[#This Row],[item_key]],IsITypeList,Table_ExternalData_15[[#This Row],[IType]],IsDList,Table_ExternalData_15[[#Headers],[8]])</f>
        <v>0</v>
      </c>
      <c r="M49" s="10">
        <f>SUMIFS(IsQList,IsIList,Table_ExternalData_15[[#This Row],[item_key]],IsITypeList,Table_ExternalData_15[[#This Row],[IType]],IsDList,Table_ExternalData_15[[#Headers],[9]])</f>
        <v>0</v>
      </c>
      <c r="N49" s="10">
        <f>SUMIFS(IsQList,IsIList,Table_ExternalData_15[[#This Row],[item_key]],IsITypeList,Table_ExternalData_15[[#This Row],[IType]],IsDList,Table_ExternalData_15[[#Headers],[10]])</f>
        <v>2</v>
      </c>
      <c r="O49" s="10">
        <f>SUMIFS(IsQList,IsIList,Table_ExternalData_15[[#This Row],[item_key]],IsITypeList,Table_ExternalData_15[[#This Row],[IType]],IsDList,Table_ExternalData_15[[#Headers],[11]])</f>
        <v>0</v>
      </c>
      <c r="P49" s="10">
        <f>SUMIFS(IsQList,IsIList,Table_ExternalData_15[[#This Row],[item_key]],IsITypeList,Table_ExternalData_15[[#This Row],[IType]],IsDList,Table_ExternalData_15[[#Headers],[12]])</f>
        <v>0</v>
      </c>
      <c r="Q49" s="10">
        <f>SUMIFS(IsQList,IsIList,Table_ExternalData_15[[#This Row],[item_key]],IsITypeList,Table_ExternalData_15[[#This Row],[IType]],IsDList,Table_ExternalData_15[[#Headers],[13]])</f>
        <v>0</v>
      </c>
      <c r="R49" s="10">
        <f>SUMIFS(IsQList,IsIList,Table_ExternalData_15[[#This Row],[item_key]],IsITypeList,Table_ExternalData_15[[#This Row],[IType]],IsDList,Table_ExternalData_15[[#Headers],[14]])</f>
        <v>0</v>
      </c>
      <c r="S49" s="10">
        <f>SUMIFS(IsQList,IsIList,Table_ExternalData_15[[#This Row],[item_key]],IsITypeList,Table_ExternalData_15[[#This Row],[IType]],IsDList,Table_ExternalData_15[[#Headers],[15]])</f>
        <v>0</v>
      </c>
      <c r="T49" s="10">
        <f>SUMIFS(IsQList,IsIList,Table_ExternalData_15[[#This Row],[item_key]],IsITypeList,Table_ExternalData_15[[#This Row],[IType]],IsDList,Table_ExternalData_15[[#Headers],[16]])</f>
        <v>12</v>
      </c>
      <c r="U49" s="10">
        <f>SUMIFS(IsQList,IsIList,Table_ExternalData_15[[#This Row],[item_key]],IsITypeList,Table_ExternalData_15[[#This Row],[IType]],IsDList,Table_ExternalData_15[[#Headers],[17]])</f>
        <v>0</v>
      </c>
      <c r="V49" s="10">
        <f>SUMIFS(IsQList,IsIList,Table_ExternalData_15[[#This Row],[item_key]],IsITypeList,Table_ExternalData_15[[#This Row],[IType]],IsDList,Table_ExternalData_15[[#Headers],[18]])</f>
        <v>0</v>
      </c>
      <c r="W49" s="10">
        <f>SUMIFS(IsQList,IsIList,Table_ExternalData_15[[#This Row],[item_key]],IsITypeList,Table_ExternalData_15[[#This Row],[IType]],IsDList,Table_ExternalData_15[[#Headers],[19]])</f>
        <v>0</v>
      </c>
      <c r="X49" s="10">
        <f>SUMIFS(IsQList,IsIList,Table_ExternalData_15[[#This Row],[item_key]],IsITypeList,Table_ExternalData_15[[#This Row],[IType]],IsDList,Table_ExternalData_15[[#Headers],[20]])</f>
        <v>0</v>
      </c>
      <c r="Y49" s="10">
        <f>SUMIFS(IsQList,IsIList,Table_ExternalData_15[[#This Row],[item_key]],IsITypeList,Table_ExternalData_15[[#This Row],[IType]],IsDList,Table_ExternalData_15[[#Headers],[21]])</f>
        <v>0</v>
      </c>
      <c r="Z49" s="10">
        <f>SUMIFS(IsQList,IsIList,Table_ExternalData_15[[#This Row],[item_key]],IsITypeList,Table_ExternalData_15[[#This Row],[IType]],IsDList,Table_ExternalData_15[[#Headers],[22]])</f>
        <v>0</v>
      </c>
      <c r="AA49" s="10">
        <f>SUMIFS(IsQList,IsIList,Table_ExternalData_15[[#This Row],[item_key]],IsITypeList,Table_ExternalData_15[[#This Row],[IType]],IsDList,Table_ExternalData_15[[#Headers],[23]])</f>
        <v>0</v>
      </c>
      <c r="AB49" s="10">
        <f>SUMIFS(IsQList,IsIList,Table_ExternalData_15[[#This Row],[item_key]],IsITypeList,Table_ExternalData_15[[#This Row],[IType]],IsDList,Table_ExternalData_15[[#Headers],[24]])</f>
        <v>0</v>
      </c>
      <c r="AC49" s="10">
        <f>SUMIFS(IsQList,IsIList,Table_ExternalData_15[[#This Row],[item_key]],IsITypeList,Table_ExternalData_15[[#This Row],[IType]],IsDList,Table_ExternalData_15[[#Headers],[25]])</f>
        <v>0</v>
      </c>
      <c r="AD49" s="10">
        <f>SUMIFS(IsQList,IsIList,Table_ExternalData_15[[#This Row],[item_key]],IsITypeList,Table_ExternalData_15[[#This Row],[IType]],IsDList,Table_ExternalData_15[[#Headers],[26]])</f>
        <v>0</v>
      </c>
      <c r="AE49" s="10">
        <f>SUMIFS(IsQList,IsIList,Table_ExternalData_15[[#This Row],[item_key]],IsITypeList,Table_ExternalData_15[[#This Row],[IType]],IsDList,Table_ExternalData_15[[#Headers],[27]])</f>
        <v>0</v>
      </c>
      <c r="AF49" s="10">
        <f>SUMIFS(IsQList,IsIList,Table_ExternalData_15[[#This Row],[item_key]],IsITypeList,Table_ExternalData_15[[#This Row],[IType]],IsDList,Table_ExternalData_15[[#Headers],[28]])</f>
        <v>0</v>
      </c>
      <c r="AG49" s="10">
        <f>SUMIFS(IsQList,IsIList,Table_ExternalData_15[[#This Row],[item_key]],IsITypeList,Table_ExternalData_15[[#This Row],[IType]],IsDList,Table_ExternalData_15[[#Headers],[29]])</f>
        <v>0</v>
      </c>
      <c r="AH49" s="10">
        <f>SUMIFS(IsQList,IsIList,Table_ExternalData_15[[#This Row],[item_key]],IsITypeList,Table_ExternalData_15[[#This Row],[IType]],IsDList,Table_ExternalData_15[[#Headers],[30]])</f>
        <v>0</v>
      </c>
      <c r="AI49" s="10">
        <f>SUMIFS(IsQList,IsIList,Table_ExternalData_15[[#This Row],[item_key]],IsITypeList,Table_ExternalData_15[[#This Row],[IType]],IsDList,Table_ExternalData_15[[#Headers],[31]])</f>
        <v>0</v>
      </c>
      <c r="AJ49" s="10">
        <f>SUM(Table_ExternalData_15[[#This Row],[1]:[31]])</f>
        <v>14</v>
      </c>
    </row>
    <row r="50" spans="1:36">
      <c r="A50" s="1" t="s">
        <v>1682</v>
      </c>
      <c r="B50" s="1" t="s">
        <v>2480</v>
      </c>
      <c r="C50" s="1" t="s">
        <v>2481</v>
      </c>
      <c r="D50" s="11" t="s">
        <v>72</v>
      </c>
      <c r="E50" s="10">
        <f>SUMIFS(IsQList,IsIList,Table_ExternalData_15[[#This Row],[item_key]],IsITypeList,Table_ExternalData_15[[#This Row],[IType]],IsDList,Table_ExternalData_15[[#Headers],[1]])</f>
        <v>0</v>
      </c>
      <c r="F50" s="10">
        <f>SUMIFS(IsQList,IsIList,Table_ExternalData_15[[#This Row],[item_key]],IsITypeList,Table_ExternalData_15[[#This Row],[IType]],IsDList,Table_ExternalData_15[[#Headers],[2]])</f>
        <v>0</v>
      </c>
      <c r="G50" s="10">
        <f>SUMIFS(IsQList,IsIList,Table_ExternalData_15[[#This Row],[item_key]],IsITypeList,Table_ExternalData_15[[#This Row],[IType]],IsDList,Table_ExternalData_15[[#Headers],[3]])</f>
        <v>0</v>
      </c>
      <c r="H50" s="10">
        <f>SUMIFS(IsQList,IsIList,Table_ExternalData_15[[#This Row],[item_key]],IsITypeList,Table_ExternalData_15[[#This Row],[IType]],IsDList,Table_ExternalData_15[[#Headers],[4]])</f>
        <v>0</v>
      </c>
      <c r="I50" s="10">
        <f>SUMIFS(IsQList,IsIList,Table_ExternalData_15[[#This Row],[item_key]],IsITypeList,Table_ExternalData_15[[#This Row],[IType]],IsDList,Table_ExternalData_15[[#Headers],[5]])</f>
        <v>0</v>
      </c>
      <c r="J50" s="10">
        <f>SUMIFS(IsQList,IsIList,Table_ExternalData_15[[#This Row],[item_key]],IsITypeList,Table_ExternalData_15[[#This Row],[IType]],IsDList,Table_ExternalData_15[[#Headers],[6]])</f>
        <v>0</v>
      </c>
      <c r="K50" s="10">
        <f>SUMIFS(IsQList,IsIList,Table_ExternalData_15[[#This Row],[item_key]],IsITypeList,Table_ExternalData_15[[#This Row],[IType]],IsDList,Table_ExternalData_15[[#Headers],[7]])</f>
        <v>0</v>
      </c>
      <c r="L50" s="10">
        <f>SUMIFS(IsQList,IsIList,Table_ExternalData_15[[#This Row],[item_key]],IsITypeList,Table_ExternalData_15[[#This Row],[IType]],IsDList,Table_ExternalData_15[[#Headers],[8]])</f>
        <v>0</v>
      </c>
      <c r="M50" s="10">
        <f>SUMIFS(IsQList,IsIList,Table_ExternalData_15[[#This Row],[item_key]],IsITypeList,Table_ExternalData_15[[#This Row],[IType]],IsDList,Table_ExternalData_15[[#Headers],[9]])</f>
        <v>0</v>
      </c>
      <c r="N50" s="10">
        <f>SUMIFS(IsQList,IsIList,Table_ExternalData_15[[#This Row],[item_key]],IsITypeList,Table_ExternalData_15[[#This Row],[IType]],IsDList,Table_ExternalData_15[[#Headers],[10]])</f>
        <v>0</v>
      </c>
      <c r="O50" s="10">
        <f>SUMIFS(IsQList,IsIList,Table_ExternalData_15[[#This Row],[item_key]],IsITypeList,Table_ExternalData_15[[#This Row],[IType]],IsDList,Table_ExternalData_15[[#Headers],[11]])</f>
        <v>0</v>
      </c>
      <c r="P50" s="10">
        <f>SUMIFS(IsQList,IsIList,Table_ExternalData_15[[#This Row],[item_key]],IsITypeList,Table_ExternalData_15[[#This Row],[IType]],IsDList,Table_ExternalData_15[[#Headers],[12]])</f>
        <v>0</v>
      </c>
      <c r="Q50" s="10">
        <f>SUMIFS(IsQList,IsIList,Table_ExternalData_15[[#This Row],[item_key]],IsITypeList,Table_ExternalData_15[[#This Row],[IType]],IsDList,Table_ExternalData_15[[#Headers],[13]])</f>
        <v>0</v>
      </c>
      <c r="R50" s="10">
        <f>SUMIFS(IsQList,IsIList,Table_ExternalData_15[[#This Row],[item_key]],IsITypeList,Table_ExternalData_15[[#This Row],[IType]],IsDList,Table_ExternalData_15[[#Headers],[14]])</f>
        <v>0</v>
      </c>
      <c r="S50" s="10">
        <f>SUMIFS(IsQList,IsIList,Table_ExternalData_15[[#This Row],[item_key]],IsITypeList,Table_ExternalData_15[[#This Row],[IType]],IsDList,Table_ExternalData_15[[#Headers],[15]])</f>
        <v>0</v>
      </c>
      <c r="T50" s="10">
        <f>SUMIFS(IsQList,IsIList,Table_ExternalData_15[[#This Row],[item_key]],IsITypeList,Table_ExternalData_15[[#This Row],[IType]],IsDList,Table_ExternalData_15[[#Headers],[16]])</f>
        <v>0</v>
      </c>
      <c r="U50" s="10">
        <f>SUMIFS(IsQList,IsIList,Table_ExternalData_15[[#This Row],[item_key]],IsITypeList,Table_ExternalData_15[[#This Row],[IType]],IsDList,Table_ExternalData_15[[#Headers],[17]])</f>
        <v>0</v>
      </c>
      <c r="V50" s="10">
        <f>SUMIFS(IsQList,IsIList,Table_ExternalData_15[[#This Row],[item_key]],IsITypeList,Table_ExternalData_15[[#This Row],[IType]],IsDList,Table_ExternalData_15[[#Headers],[18]])</f>
        <v>0</v>
      </c>
      <c r="W50" s="10">
        <f>SUMIFS(IsQList,IsIList,Table_ExternalData_15[[#This Row],[item_key]],IsITypeList,Table_ExternalData_15[[#This Row],[IType]],IsDList,Table_ExternalData_15[[#Headers],[19]])</f>
        <v>0</v>
      </c>
      <c r="X50" s="10">
        <f>SUMIFS(IsQList,IsIList,Table_ExternalData_15[[#This Row],[item_key]],IsITypeList,Table_ExternalData_15[[#This Row],[IType]],IsDList,Table_ExternalData_15[[#Headers],[20]])</f>
        <v>0</v>
      </c>
      <c r="Y50" s="10">
        <f>SUMIFS(IsQList,IsIList,Table_ExternalData_15[[#This Row],[item_key]],IsITypeList,Table_ExternalData_15[[#This Row],[IType]],IsDList,Table_ExternalData_15[[#Headers],[21]])</f>
        <v>0</v>
      </c>
      <c r="Z50" s="10">
        <f>SUMIFS(IsQList,IsIList,Table_ExternalData_15[[#This Row],[item_key]],IsITypeList,Table_ExternalData_15[[#This Row],[IType]],IsDList,Table_ExternalData_15[[#Headers],[22]])</f>
        <v>0</v>
      </c>
      <c r="AA50" s="10">
        <f>SUMIFS(IsQList,IsIList,Table_ExternalData_15[[#This Row],[item_key]],IsITypeList,Table_ExternalData_15[[#This Row],[IType]],IsDList,Table_ExternalData_15[[#Headers],[23]])</f>
        <v>0</v>
      </c>
      <c r="AB50" s="10">
        <f>SUMIFS(IsQList,IsIList,Table_ExternalData_15[[#This Row],[item_key]],IsITypeList,Table_ExternalData_15[[#This Row],[IType]],IsDList,Table_ExternalData_15[[#Headers],[24]])</f>
        <v>0</v>
      </c>
      <c r="AC50" s="10">
        <f>SUMIFS(IsQList,IsIList,Table_ExternalData_15[[#This Row],[item_key]],IsITypeList,Table_ExternalData_15[[#This Row],[IType]],IsDList,Table_ExternalData_15[[#Headers],[25]])</f>
        <v>0</v>
      </c>
      <c r="AD50" s="10">
        <f>SUMIFS(IsQList,IsIList,Table_ExternalData_15[[#This Row],[item_key]],IsITypeList,Table_ExternalData_15[[#This Row],[IType]],IsDList,Table_ExternalData_15[[#Headers],[26]])</f>
        <v>0</v>
      </c>
      <c r="AE50" s="10">
        <f>SUMIFS(IsQList,IsIList,Table_ExternalData_15[[#This Row],[item_key]],IsITypeList,Table_ExternalData_15[[#This Row],[IType]],IsDList,Table_ExternalData_15[[#Headers],[27]])</f>
        <v>0</v>
      </c>
      <c r="AF50" s="10">
        <f>SUMIFS(IsQList,IsIList,Table_ExternalData_15[[#This Row],[item_key]],IsITypeList,Table_ExternalData_15[[#This Row],[IType]],IsDList,Table_ExternalData_15[[#Headers],[28]])</f>
        <v>0</v>
      </c>
      <c r="AG50" s="10">
        <f>SUMIFS(IsQList,IsIList,Table_ExternalData_15[[#This Row],[item_key]],IsITypeList,Table_ExternalData_15[[#This Row],[IType]],IsDList,Table_ExternalData_15[[#Headers],[29]])</f>
        <v>0</v>
      </c>
      <c r="AH50" s="10">
        <f>SUMIFS(IsQList,IsIList,Table_ExternalData_15[[#This Row],[item_key]],IsITypeList,Table_ExternalData_15[[#This Row],[IType]],IsDList,Table_ExternalData_15[[#Headers],[30]])</f>
        <v>0</v>
      </c>
      <c r="AI50" s="10">
        <f>SUMIFS(IsQList,IsIList,Table_ExternalData_15[[#This Row],[item_key]],IsITypeList,Table_ExternalData_15[[#This Row],[IType]],IsDList,Table_ExternalData_15[[#Headers],[31]])</f>
        <v>0</v>
      </c>
      <c r="AJ50" s="10">
        <f>SUM(Table_ExternalData_15[[#This Row],[1]:[31]])</f>
        <v>0</v>
      </c>
    </row>
    <row r="51" spans="1:36">
      <c r="A51" s="1" t="s">
        <v>345</v>
      </c>
      <c r="B51" s="1" t="s">
        <v>2482</v>
      </c>
      <c r="C51" s="1" t="s">
        <v>2483</v>
      </c>
      <c r="D51" s="11" t="s">
        <v>72</v>
      </c>
      <c r="E51" s="10">
        <f>SUMIFS(IsQList,IsIList,Table_ExternalData_15[[#This Row],[item_key]],IsITypeList,Table_ExternalData_15[[#This Row],[IType]],IsDList,Table_ExternalData_15[[#Headers],[1]])</f>
        <v>0</v>
      </c>
      <c r="F51" s="10">
        <f>SUMIFS(IsQList,IsIList,Table_ExternalData_15[[#This Row],[item_key]],IsITypeList,Table_ExternalData_15[[#This Row],[IType]],IsDList,Table_ExternalData_15[[#Headers],[2]])</f>
        <v>0</v>
      </c>
      <c r="G51" s="10">
        <f>SUMIFS(IsQList,IsIList,Table_ExternalData_15[[#This Row],[item_key]],IsITypeList,Table_ExternalData_15[[#This Row],[IType]],IsDList,Table_ExternalData_15[[#Headers],[3]])</f>
        <v>0</v>
      </c>
      <c r="H51" s="10">
        <f>SUMIFS(IsQList,IsIList,Table_ExternalData_15[[#This Row],[item_key]],IsITypeList,Table_ExternalData_15[[#This Row],[IType]],IsDList,Table_ExternalData_15[[#Headers],[4]])</f>
        <v>0</v>
      </c>
      <c r="I51" s="10">
        <f>SUMIFS(IsQList,IsIList,Table_ExternalData_15[[#This Row],[item_key]],IsITypeList,Table_ExternalData_15[[#This Row],[IType]],IsDList,Table_ExternalData_15[[#Headers],[5]])</f>
        <v>0</v>
      </c>
      <c r="J51" s="10">
        <f>SUMIFS(IsQList,IsIList,Table_ExternalData_15[[#This Row],[item_key]],IsITypeList,Table_ExternalData_15[[#This Row],[IType]],IsDList,Table_ExternalData_15[[#Headers],[6]])</f>
        <v>0</v>
      </c>
      <c r="K51" s="10">
        <f>SUMIFS(IsQList,IsIList,Table_ExternalData_15[[#This Row],[item_key]],IsITypeList,Table_ExternalData_15[[#This Row],[IType]],IsDList,Table_ExternalData_15[[#Headers],[7]])</f>
        <v>0</v>
      </c>
      <c r="L51" s="10">
        <f>SUMIFS(IsQList,IsIList,Table_ExternalData_15[[#This Row],[item_key]],IsITypeList,Table_ExternalData_15[[#This Row],[IType]],IsDList,Table_ExternalData_15[[#Headers],[8]])</f>
        <v>0</v>
      </c>
      <c r="M51" s="10">
        <f>SUMIFS(IsQList,IsIList,Table_ExternalData_15[[#This Row],[item_key]],IsITypeList,Table_ExternalData_15[[#This Row],[IType]],IsDList,Table_ExternalData_15[[#Headers],[9]])</f>
        <v>0</v>
      </c>
      <c r="N51" s="10">
        <f>SUMIFS(IsQList,IsIList,Table_ExternalData_15[[#This Row],[item_key]],IsITypeList,Table_ExternalData_15[[#This Row],[IType]],IsDList,Table_ExternalData_15[[#Headers],[10]])</f>
        <v>0</v>
      </c>
      <c r="O51" s="10">
        <f>SUMIFS(IsQList,IsIList,Table_ExternalData_15[[#This Row],[item_key]],IsITypeList,Table_ExternalData_15[[#This Row],[IType]],IsDList,Table_ExternalData_15[[#Headers],[11]])</f>
        <v>0</v>
      </c>
      <c r="P51" s="10">
        <f>SUMIFS(IsQList,IsIList,Table_ExternalData_15[[#This Row],[item_key]],IsITypeList,Table_ExternalData_15[[#This Row],[IType]],IsDList,Table_ExternalData_15[[#Headers],[12]])</f>
        <v>0</v>
      </c>
      <c r="Q51" s="10">
        <f>SUMIFS(IsQList,IsIList,Table_ExternalData_15[[#This Row],[item_key]],IsITypeList,Table_ExternalData_15[[#This Row],[IType]],IsDList,Table_ExternalData_15[[#Headers],[13]])</f>
        <v>0</v>
      </c>
      <c r="R51" s="10">
        <f>SUMIFS(IsQList,IsIList,Table_ExternalData_15[[#This Row],[item_key]],IsITypeList,Table_ExternalData_15[[#This Row],[IType]],IsDList,Table_ExternalData_15[[#Headers],[14]])</f>
        <v>0</v>
      </c>
      <c r="S51" s="10">
        <f>SUMIFS(IsQList,IsIList,Table_ExternalData_15[[#This Row],[item_key]],IsITypeList,Table_ExternalData_15[[#This Row],[IType]],IsDList,Table_ExternalData_15[[#Headers],[15]])</f>
        <v>0</v>
      </c>
      <c r="T51" s="10">
        <f>SUMIFS(IsQList,IsIList,Table_ExternalData_15[[#This Row],[item_key]],IsITypeList,Table_ExternalData_15[[#This Row],[IType]],IsDList,Table_ExternalData_15[[#Headers],[16]])</f>
        <v>10</v>
      </c>
      <c r="U51" s="10">
        <f>SUMIFS(IsQList,IsIList,Table_ExternalData_15[[#This Row],[item_key]],IsITypeList,Table_ExternalData_15[[#This Row],[IType]],IsDList,Table_ExternalData_15[[#Headers],[17]])</f>
        <v>0</v>
      </c>
      <c r="V51" s="10">
        <f>SUMIFS(IsQList,IsIList,Table_ExternalData_15[[#This Row],[item_key]],IsITypeList,Table_ExternalData_15[[#This Row],[IType]],IsDList,Table_ExternalData_15[[#Headers],[18]])</f>
        <v>0</v>
      </c>
      <c r="W51" s="10">
        <f>SUMIFS(IsQList,IsIList,Table_ExternalData_15[[#This Row],[item_key]],IsITypeList,Table_ExternalData_15[[#This Row],[IType]],IsDList,Table_ExternalData_15[[#Headers],[19]])</f>
        <v>0</v>
      </c>
      <c r="X51" s="10">
        <f>SUMIFS(IsQList,IsIList,Table_ExternalData_15[[#This Row],[item_key]],IsITypeList,Table_ExternalData_15[[#This Row],[IType]],IsDList,Table_ExternalData_15[[#Headers],[20]])</f>
        <v>0</v>
      </c>
      <c r="Y51" s="10">
        <f>SUMIFS(IsQList,IsIList,Table_ExternalData_15[[#This Row],[item_key]],IsITypeList,Table_ExternalData_15[[#This Row],[IType]],IsDList,Table_ExternalData_15[[#Headers],[21]])</f>
        <v>0</v>
      </c>
      <c r="Z51" s="10">
        <f>SUMIFS(IsQList,IsIList,Table_ExternalData_15[[#This Row],[item_key]],IsITypeList,Table_ExternalData_15[[#This Row],[IType]],IsDList,Table_ExternalData_15[[#Headers],[22]])</f>
        <v>0</v>
      </c>
      <c r="AA51" s="10">
        <f>SUMIFS(IsQList,IsIList,Table_ExternalData_15[[#This Row],[item_key]],IsITypeList,Table_ExternalData_15[[#This Row],[IType]],IsDList,Table_ExternalData_15[[#Headers],[23]])</f>
        <v>0</v>
      </c>
      <c r="AB51" s="10">
        <f>SUMIFS(IsQList,IsIList,Table_ExternalData_15[[#This Row],[item_key]],IsITypeList,Table_ExternalData_15[[#This Row],[IType]],IsDList,Table_ExternalData_15[[#Headers],[24]])</f>
        <v>0</v>
      </c>
      <c r="AC51" s="10">
        <f>SUMIFS(IsQList,IsIList,Table_ExternalData_15[[#This Row],[item_key]],IsITypeList,Table_ExternalData_15[[#This Row],[IType]],IsDList,Table_ExternalData_15[[#Headers],[25]])</f>
        <v>0</v>
      </c>
      <c r="AD51" s="10">
        <f>SUMIFS(IsQList,IsIList,Table_ExternalData_15[[#This Row],[item_key]],IsITypeList,Table_ExternalData_15[[#This Row],[IType]],IsDList,Table_ExternalData_15[[#Headers],[26]])</f>
        <v>0</v>
      </c>
      <c r="AE51" s="10">
        <f>SUMIFS(IsQList,IsIList,Table_ExternalData_15[[#This Row],[item_key]],IsITypeList,Table_ExternalData_15[[#This Row],[IType]],IsDList,Table_ExternalData_15[[#Headers],[27]])</f>
        <v>0</v>
      </c>
      <c r="AF51" s="10">
        <f>SUMIFS(IsQList,IsIList,Table_ExternalData_15[[#This Row],[item_key]],IsITypeList,Table_ExternalData_15[[#This Row],[IType]],IsDList,Table_ExternalData_15[[#Headers],[28]])</f>
        <v>0</v>
      </c>
      <c r="AG51" s="10">
        <f>SUMIFS(IsQList,IsIList,Table_ExternalData_15[[#This Row],[item_key]],IsITypeList,Table_ExternalData_15[[#This Row],[IType]],IsDList,Table_ExternalData_15[[#Headers],[29]])</f>
        <v>0</v>
      </c>
      <c r="AH51" s="10">
        <f>SUMIFS(IsQList,IsIList,Table_ExternalData_15[[#This Row],[item_key]],IsITypeList,Table_ExternalData_15[[#This Row],[IType]],IsDList,Table_ExternalData_15[[#Headers],[30]])</f>
        <v>50</v>
      </c>
      <c r="AI51" s="10">
        <f>SUMIFS(IsQList,IsIList,Table_ExternalData_15[[#This Row],[item_key]],IsITypeList,Table_ExternalData_15[[#This Row],[IType]],IsDList,Table_ExternalData_15[[#Headers],[31]])</f>
        <v>0</v>
      </c>
      <c r="AJ51" s="10">
        <f>SUM(Table_ExternalData_15[[#This Row],[1]:[31]])</f>
        <v>60</v>
      </c>
    </row>
    <row r="52" spans="1:36">
      <c r="A52" s="1" t="s">
        <v>348</v>
      </c>
      <c r="B52" s="1" t="s">
        <v>2484</v>
      </c>
      <c r="C52" s="1" t="s">
        <v>2485</v>
      </c>
      <c r="D52" s="11" t="s">
        <v>72</v>
      </c>
      <c r="E52" s="10">
        <f>SUMIFS(IsQList,IsIList,Table_ExternalData_15[[#This Row],[item_key]],IsITypeList,Table_ExternalData_15[[#This Row],[IType]],IsDList,Table_ExternalData_15[[#Headers],[1]])</f>
        <v>0</v>
      </c>
      <c r="F52" s="10">
        <f>SUMIFS(IsQList,IsIList,Table_ExternalData_15[[#This Row],[item_key]],IsITypeList,Table_ExternalData_15[[#This Row],[IType]],IsDList,Table_ExternalData_15[[#Headers],[2]])</f>
        <v>0</v>
      </c>
      <c r="G52" s="10">
        <f>SUMIFS(IsQList,IsIList,Table_ExternalData_15[[#This Row],[item_key]],IsITypeList,Table_ExternalData_15[[#This Row],[IType]],IsDList,Table_ExternalData_15[[#Headers],[3]])</f>
        <v>0</v>
      </c>
      <c r="H52" s="10">
        <f>SUMIFS(IsQList,IsIList,Table_ExternalData_15[[#This Row],[item_key]],IsITypeList,Table_ExternalData_15[[#This Row],[IType]],IsDList,Table_ExternalData_15[[#Headers],[4]])</f>
        <v>0</v>
      </c>
      <c r="I52" s="10">
        <f>SUMIFS(IsQList,IsIList,Table_ExternalData_15[[#This Row],[item_key]],IsITypeList,Table_ExternalData_15[[#This Row],[IType]],IsDList,Table_ExternalData_15[[#Headers],[5]])</f>
        <v>0</v>
      </c>
      <c r="J52" s="10">
        <f>SUMIFS(IsQList,IsIList,Table_ExternalData_15[[#This Row],[item_key]],IsITypeList,Table_ExternalData_15[[#This Row],[IType]],IsDList,Table_ExternalData_15[[#Headers],[6]])</f>
        <v>0</v>
      </c>
      <c r="K52" s="10">
        <f>SUMIFS(IsQList,IsIList,Table_ExternalData_15[[#This Row],[item_key]],IsITypeList,Table_ExternalData_15[[#This Row],[IType]],IsDList,Table_ExternalData_15[[#Headers],[7]])</f>
        <v>0</v>
      </c>
      <c r="L52" s="10">
        <f>SUMIFS(IsQList,IsIList,Table_ExternalData_15[[#This Row],[item_key]],IsITypeList,Table_ExternalData_15[[#This Row],[IType]],IsDList,Table_ExternalData_15[[#Headers],[8]])</f>
        <v>0</v>
      </c>
      <c r="M52" s="10">
        <f>SUMIFS(IsQList,IsIList,Table_ExternalData_15[[#This Row],[item_key]],IsITypeList,Table_ExternalData_15[[#This Row],[IType]],IsDList,Table_ExternalData_15[[#Headers],[9]])</f>
        <v>0</v>
      </c>
      <c r="N52" s="10">
        <f>SUMIFS(IsQList,IsIList,Table_ExternalData_15[[#This Row],[item_key]],IsITypeList,Table_ExternalData_15[[#This Row],[IType]],IsDList,Table_ExternalData_15[[#Headers],[10]])</f>
        <v>0</v>
      </c>
      <c r="O52" s="10">
        <f>SUMIFS(IsQList,IsIList,Table_ExternalData_15[[#This Row],[item_key]],IsITypeList,Table_ExternalData_15[[#This Row],[IType]],IsDList,Table_ExternalData_15[[#Headers],[11]])</f>
        <v>0</v>
      </c>
      <c r="P52" s="10">
        <f>SUMIFS(IsQList,IsIList,Table_ExternalData_15[[#This Row],[item_key]],IsITypeList,Table_ExternalData_15[[#This Row],[IType]],IsDList,Table_ExternalData_15[[#Headers],[12]])</f>
        <v>0</v>
      </c>
      <c r="Q52" s="10">
        <f>SUMIFS(IsQList,IsIList,Table_ExternalData_15[[#This Row],[item_key]],IsITypeList,Table_ExternalData_15[[#This Row],[IType]],IsDList,Table_ExternalData_15[[#Headers],[13]])</f>
        <v>0</v>
      </c>
      <c r="R52" s="10">
        <f>SUMIFS(IsQList,IsIList,Table_ExternalData_15[[#This Row],[item_key]],IsITypeList,Table_ExternalData_15[[#This Row],[IType]],IsDList,Table_ExternalData_15[[#Headers],[14]])</f>
        <v>0</v>
      </c>
      <c r="S52" s="10">
        <f>SUMIFS(IsQList,IsIList,Table_ExternalData_15[[#This Row],[item_key]],IsITypeList,Table_ExternalData_15[[#This Row],[IType]],IsDList,Table_ExternalData_15[[#Headers],[15]])</f>
        <v>0</v>
      </c>
      <c r="T52" s="10">
        <f>SUMIFS(IsQList,IsIList,Table_ExternalData_15[[#This Row],[item_key]],IsITypeList,Table_ExternalData_15[[#This Row],[IType]],IsDList,Table_ExternalData_15[[#Headers],[16]])</f>
        <v>0</v>
      </c>
      <c r="U52" s="10">
        <f>SUMIFS(IsQList,IsIList,Table_ExternalData_15[[#This Row],[item_key]],IsITypeList,Table_ExternalData_15[[#This Row],[IType]],IsDList,Table_ExternalData_15[[#Headers],[17]])</f>
        <v>0</v>
      </c>
      <c r="V52" s="10">
        <f>SUMIFS(IsQList,IsIList,Table_ExternalData_15[[#This Row],[item_key]],IsITypeList,Table_ExternalData_15[[#This Row],[IType]],IsDList,Table_ExternalData_15[[#Headers],[18]])</f>
        <v>0</v>
      </c>
      <c r="W52" s="10">
        <f>SUMIFS(IsQList,IsIList,Table_ExternalData_15[[#This Row],[item_key]],IsITypeList,Table_ExternalData_15[[#This Row],[IType]],IsDList,Table_ExternalData_15[[#Headers],[19]])</f>
        <v>0</v>
      </c>
      <c r="X52" s="10">
        <f>SUMIFS(IsQList,IsIList,Table_ExternalData_15[[#This Row],[item_key]],IsITypeList,Table_ExternalData_15[[#This Row],[IType]],IsDList,Table_ExternalData_15[[#Headers],[20]])</f>
        <v>0</v>
      </c>
      <c r="Y52" s="10">
        <f>SUMIFS(IsQList,IsIList,Table_ExternalData_15[[#This Row],[item_key]],IsITypeList,Table_ExternalData_15[[#This Row],[IType]],IsDList,Table_ExternalData_15[[#Headers],[21]])</f>
        <v>0</v>
      </c>
      <c r="Z52" s="10">
        <f>SUMIFS(IsQList,IsIList,Table_ExternalData_15[[#This Row],[item_key]],IsITypeList,Table_ExternalData_15[[#This Row],[IType]],IsDList,Table_ExternalData_15[[#Headers],[22]])</f>
        <v>0</v>
      </c>
      <c r="AA52" s="10">
        <f>SUMIFS(IsQList,IsIList,Table_ExternalData_15[[#This Row],[item_key]],IsITypeList,Table_ExternalData_15[[#This Row],[IType]],IsDList,Table_ExternalData_15[[#Headers],[23]])</f>
        <v>0</v>
      </c>
      <c r="AB52" s="10">
        <f>SUMIFS(IsQList,IsIList,Table_ExternalData_15[[#This Row],[item_key]],IsITypeList,Table_ExternalData_15[[#This Row],[IType]],IsDList,Table_ExternalData_15[[#Headers],[24]])</f>
        <v>0</v>
      </c>
      <c r="AC52" s="10">
        <f>SUMIFS(IsQList,IsIList,Table_ExternalData_15[[#This Row],[item_key]],IsITypeList,Table_ExternalData_15[[#This Row],[IType]],IsDList,Table_ExternalData_15[[#Headers],[25]])</f>
        <v>0</v>
      </c>
      <c r="AD52" s="10">
        <f>SUMIFS(IsQList,IsIList,Table_ExternalData_15[[#This Row],[item_key]],IsITypeList,Table_ExternalData_15[[#This Row],[IType]],IsDList,Table_ExternalData_15[[#Headers],[26]])</f>
        <v>0</v>
      </c>
      <c r="AE52" s="10">
        <f>SUMIFS(IsQList,IsIList,Table_ExternalData_15[[#This Row],[item_key]],IsITypeList,Table_ExternalData_15[[#This Row],[IType]],IsDList,Table_ExternalData_15[[#Headers],[27]])</f>
        <v>0</v>
      </c>
      <c r="AF52" s="10">
        <f>SUMIFS(IsQList,IsIList,Table_ExternalData_15[[#This Row],[item_key]],IsITypeList,Table_ExternalData_15[[#This Row],[IType]],IsDList,Table_ExternalData_15[[#Headers],[28]])</f>
        <v>0</v>
      </c>
      <c r="AG52" s="10">
        <f>SUMIFS(IsQList,IsIList,Table_ExternalData_15[[#This Row],[item_key]],IsITypeList,Table_ExternalData_15[[#This Row],[IType]],IsDList,Table_ExternalData_15[[#Headers],[29]])</f>
        <v>0</v>
      </c>
      <c r="AH52" s="10">
        <f>SUMIFS(IsQList,IsIList,Table_ExternalData_15[[#This Row],[item_key]],IsITypeList,Table_ExternalData_15[[#This Row],[IType]],IsDList,Table_ExternalData_15[[#Headers],[30]])</f>
        <v>0</v>
      </c>
      <c r="AI52" s="10">
        <f>SUMIFS(IsQList,IsIList,Table_ExternalData_15[[#This Row],[item_key]],IsITypeList,Table_ExternalData_15[[#This Row],[IType]],IsDList,Table_ExternalData_15[[#Headers],[31]])</f>
        <v>0</v>
      </c>
      <c r="AJ52" s="10">
        <f>SUM(Table_ExternalData_15[[#This Row],[1]:[31]])</f>
        <v>0</v>
      </c>
    </row>
    <row r="53" spans="1:36">
      <c r="A53" s="1" t="s">
        <v>352</v>
      </c>
      <c r="B53" s="1" t="s">
        <v>1245</v>
      </c>
      <c r="C53" s="1" t="s">
        <v>1246</v>
      </c>
      <c r="D53" s="11" t="s">
        <v>72</v>
      </c>
      <c r="E53" s="10">
        <f>SUMIFS(IsQList,IsIList,Table_ExternalData_15[[#This Row],[item_key]],IsITypeList,Table_ExternalData_15[[#This Row],[IType]],IsDList,Table_ExternalData_15[[#Headers],[1]])</f>
        <v>0</v>
      </c>
      <c r="F53" s="10">
        <f>SUMIFS(IsQList,IsIList,Table_ExternalData_15[[#This Row],[item_key]],IsITypeList,Table_ExternalData_15[[#This Row],[IType]],IsDList,Table_ExternalData_15[[#Headers],[2]])</f>
        <v>0</v>
      </c>
      <c r="G53" s="10">
        <f>SUMIFS(IsQList,IsIList,Table_ExternalData_15[[#This Row],[item_key]],IsITypeList,Table_ExternalData_15[[#This Row],[IType]],IsDList,Table_ExternalData_15[[#Headers],[3]])</f>
        <v>0</v>
      </c>
      <c r="H53" s="10">
        <f>SUMIFS(IsQList,IsIList,Table_ExternalData_15[[#This Row],[item_key]],IsITypeList,Table_ExternalData_15[[#This Row],[IType]],IsDList,Table_ExternalData_15[[#Headers],[4]])</f>
        <v>0</v>
      </c>
      <c r="I53" s="10">
        <f>SUMIFS(IsQList,IsIList,Table_ExternalData_15[[#This Row],[item_key]],IsITypeList,Table_ExternalData_15[[#This Row],[IType]],IsDList,Table_ExternalData_15[[#Headers],[5]])</f>
        <v>0</v>
      </c>
      <c r="J53" s="10">
        <f>SUMIFS(IsQList,IsIList,Table_ExternalData_15[[#This Row],[item_key]],IsITypeList,Table_ExternalData_15[[#This Row],[IType]],IsDList,Table_ExternalData_15[[#Headers],[6]])</f>
        <v>0</v>
      </c>
      <c r="K53" s="10">
        <f>SUMIFS(IsQList,IsIList,Table_ExternalData_15[[#This Row],[item_key]],IsITypeList,Table_ExternalData_15[[#This Row],[IType]],IsDList,Table_ExternalData_15[[#Headers],[7]])</f>
        <v>0</v>
      </c>
      <c r="L53" s="10">
        <f>SUMIFS(IsQList,IsIList,Table_ExternalData_15[[#This Row],[item_key]],IsITypeList,Table_ExternalData_15[[#This Row],[IType]],IsDList,Table_ExternalData_15[[#Headers],[8]])</f>
        <v>0</v>
      </c>
      <c r="M53" s="10">
        <f>SUMIFS(IsQList,IsIList,Table_ExternalData_15[[#This Row],[item_key]],IsITypeList,Table_ExternalData_15[[#This Row],[IType]],IsDList,Table_ExternalData_15[[#Headers],[9]])</f>
        <v>0</v>
      </c>
      <c r="N53" s="10">
        <f>SUMIFS(IsQList,IsIList,Table_ExternalData_15[[#This Row],[item_key]],IsITypeList,Table_ExternalData_15[[#This Row],[IType]],IsDList,Table_ExternalData_15[[#Headers],[10]])</f>
        <v>0</v>
      </c>
      <c r="O53" s="10">
        <f>SUMIFS(IsQList,IsIList,Table_ExternalData_15[[#This Row],[item_key]],IsITypeList,Table_ExternalData_15[[#This Row],[IType]],IsDList,Table_ExternalData_15[[#Headers],[11]])</f>
        <v>0</v>
      </c>
      <c r="P53" s="10">
        <f>SUMIFS(IsQList,IsIList,Table_ExternalData_15[[#This Row],[item_key]],IsITypeList,Table_ExternalData_15[[#This Row],[IType]],IsDList,Table_ExternalData_15[[#Headers],[12]])</f>
        <v>0</v>
      </c>
      <c r="Q53" s="10">
        <f>SUMIFS(IsQList,IsIList,Table_ExternalData_15[[#This Row],[item_key]],IsITypeList,Table_ExternalData_15[[#This Row],[IType]],IsDList,Table_ExternalData_15[[#Headers],[13]])</f>
        <v>0</v>
      </c>
      <c r="R53" s="10">
        <f>SUMIFS(IsQList,IsIList,Table_ExternalData_15[[#This Row],[item_key]],IsITypeList,Table_ExternalData_15[[#This Row],[IType]],IsDList,Table_ExternalData_15[[#Headers],[14]])</f>
        <v>0</v>
      </c>
      <c r="S53" s="10">
        <f>SUMIFS(IsQList,IsIList,Table_ExternalData_15[[#This Row],[item_key]],IsITypeList,Table_ExternalData_15[[#This Row],[IType]],IsDList,Table_ExternalData_15[[#Headers],[15]])</f>
        <v>0</v>
      </c>
      <c r="T53" s="10">
        <f>SUMIFS(IsQList,IsIList,Table_ExternalData_15[[#This Row],[item_key]],IsITypeList,Table_ExternalData_15[[#This Row],[IType]],IsDList,Table_ExternalData_15[[#Headers],[16]])</f>
        <v>0</v>
      </c>
      <c r="U53" s="10">
        <f>SUMIFS(IsQList,IsIList,Table_ExternalData_15[[#This Row],[item_key]],IsITypeList,Table_ExternalData_15[[#This Row],[IType]],IsDList,Table_ExternalData_15[[#Headers],[17]])</f>
        <v>0</v>
      </c>
      <c r="V53" s="10">
        <f>SUMIFS(IsQList,IsIList,Table_ExternalData_15[[#This Row],[item_key]],IsITypeList,Table_ExternalData_15[[#This Row],[IType]],IsDList,Table_ExternalData_15[[#Headers],[18]])</f>
        <v>0</v>
      </c>
      <c r="W53" s="10">
        <f>SUMIFS(IsQList,IsIList,Table_ExternalData_15[[#This Row],[item_key]],IsITypeList,Table_ExternalData_15[[#This Row],[IType]],IsDList,Table_ExternalData_15[[#Headers],[19]])</f>
        <v>0</v>
      </c>
      <c r="X53" s="10">
        <f>SUMIFS(IsQList,IsIList,Table_ExternalData_15[[#This Row],[item_key]],IsITypeList,Table_ExternalData_15[[#This Row],[IType]],IsDList,Table_ExternalData_15[[#Headers],[20]])</f>
        <v>0</v>
      </c>
      <c r="Y53" s="10">
        <f>SUMIFS(IsQList,IsIList,Table_ExternalData_15[[#This Row],[item_key]],IsITypeList,Table_ExternalData_15[[#This Row],[IType]],IsDList,Table_ExternalData_15[[#Headers],[21]])</f>
        <v>0</v>
      </c>
      <c r="Z53" s="10">
        <f>SUMIFS(IsQList,IsIList,Table_ExternalData_15[[#This Row],[item_key]],IsITypeList,Table_ExternalData_15[[#This Row],[IType]],IsDList,Table_ExternalData_15[[#Headers],[22]])</f>
        <v>0</v>
      </c>
      <c r="AA53" s="10">
        <f>SUMIFS(IsQList,IsIList,Table_ExternalData_15[[#This Row],[item_key]],IsITypeList,Table_ExternalData_15[[#This Row],[IType]],IsDList,Table_ExternalData_15[[#Headers],[23]])</f>
        <v>0</v>
      </c>
      <c r="AB53" s="10">
        <f>SUMIFS(IsQList,IsIList,Table_ExternalData_15[[#This Row],[item_key]],IsITypeList,Table_ExternalData_15[[#This Row],[IType]],IsDList,Table_ExternalData_15[[#Headers],[24]])</f>
        <v>0</v>
      </c>
      <c r="AC53" s="10">
        <f>SUMIFS(IsQList,IsIList,Table_ExternalData_15[[#This Row],[item_key]],IsITypeList,Table_ExternalData_15[[#This Row],[IType]],IsDList,Table_ExternalData_15[[#Headers],[25]])</f>
        <v>0</v>
      </c>
      <c r="AD53" s="10">
        <f>SUMIFS(IsQList,IsIList,Table_ExternalData_15[[#This Row],[item_key]],IsITypeList,Table_ExternalData_15[[#This Row],[IType]],IsDList,Table_ExternalData_15[[#Headers],[26]])</f>
        <v>0</v>
      </c>
      <c r="AE53" s="10">
        <f>SUMIFS(IsQList,IsIList,Table_ExternalData_15[[#This Row],[item_key]],IsITypeList,Table_ExternalData_15[[#This Row],[IType]],IsDList,Table_ExternalData_15[[#Headers],[27]])</f>
        <v>0</v>
      </c>
      <c r="AF53" s="10">
        <f>SUMIFS(IsQList,IsIList,Table_ExternalData_15[[#This Row],[item_key]],IsITypeList,Table_ExternalData_15[[#This Row],[IType]],IsDList,Table_ExternalData_15[[#Headers],[28]])</f>
        <v>0</v>
      </c>
      <c r="AG53" s="10">
        <f>SUMIFS(IsQList,IsIList,Table_ExternalData_15[[#This Row],[item_key]],IsITypeList,Table_ExternalData_15[[#This Row],[IType]],IsDList,Table_ExternalData_15[[#Headers],[29]])</f>
        <v>0</v>
      </c>
      <c r="AH53" s="10">
        <f>SUMIFS(IsQList,IsIList,Table_ExternalData_15[[#This Row],[item_key]],IsITypeList,Table_ExternalData_15[[#This Row],[IType]],IsDList,Table_ExternalData_15[[#Headers],[30]])</f>
        <v>0</v>
      </c>
      <c r="AI53" s="10">
        <f>SUMIFS(IsQList,IsIList,Table_ExternalData_15[[#This Row],[item_key]],IsITypeList,Table_ExternalData_15[[#This Row],[IType]],IsDList,Table_ExternalData_15[[#Headers],[31]])</f>
        <v>0</v>
      </c>
      <c r="AJ53" s="10">
        <f>SUM(Table_ExternalData_15[[#This Row],[1]:[31]])</f>
        <v>0</v>
      </c>
    </row>
    <row r="54" spans="1:36">
      <c r="A54" s="1" t="s">
        <v>353</v>
      </c>
      <c r="B54" s="1" t="s">
        <v>2395</v>
      </c>
      <c r="C54" s="1" t="s">
        <v>2396</v>
      </c>
      <c r="D54" s="11" t="s">
        <v>72</v>
      </c>
      <c r="E54" s="10">
        <f>SUMIFS(IsQList,IsIList,Table_ExternalData_15[[#This Row],[item_key]],IsITypeList,Table_ExternalData_15[[#This Row],[IType]],IsDList,Table_ExternalData_15[[#Headers],[1]])</f>
        <v>0</v>
      </c>
      <c r="F54" s="10">
        <f>SUMIFS(IsQList,IsIList,Table_ExternalData_15[[#This Row],[item_key]],IsITypeList,Table_ExternalData_15[[#This Row],[IType]],IsDList,Table_ExternalData_15[[#Headers],[2]])</f>
        <v>0</v>
      </c>
      <c r="G54" s="10">
        <f>SUMIFS(IsQList,IsIList,Table_ExternalData_15[[#This Row],[item_key]],IsITypeList,Table_ExternalData_15[[#This Row],[IType]],IsDList,Table_ExternalData_15[[#Headers],[3]])</f>
        <v>0</v>
      </c>
      <c r="H54" s="10">
        <f>SUMIFS(IsQList,IsIList,Table_ExternalData_15[[#This Row],[item_key]],IsITypeList,Table_ExternalData_15[[#This Row],[IType]],IsDList,Table_ExternalData_15[[#Headers],[4]])</f>
        <v>0</v>
      </c>
      <c r="I54" s="10">
        <f>SUMIFS(IsQList,IsIList,Table_ExternalData_15[[#This Row],[item_key]],IsITypeList,Table_ExternalData_15[[#This Row],[IType]],IsDList,Table_ExternalData_15[[#Headers],[5]])</f>
        <v>0</v>
      </c>
      <c r="J54" s="10">
        <f>SUMIFS(IsQList,IsIList,Table_ExternalData_15[[#This Row],[item_key]],IsITypeList,Table_ExternalData_15[[#This Row],[IType]],IsDList,Table_ExternalData_15[[#Headers],[6]])</f>
        <v>0</v>
      </c>
      <c r="K54" s="10">
        <f>SUMIFS(IsQList,IsIList,Table_ExternalData_15[[#This Row],[item_key]],IsITypeList,Table_ExternalData_15[[#This Row],[IType]],IsDList,Table_ExternalData_15[[#Headers],[7]])</f>
        <v>0</v>
      </c>
      <c r="L54" s="10">
        <f>SUMIFS(IsQList,IsIList,Table_ExternalData_15[[#This Row],[item_key]],IsITypeList,Table_ExternalData_15[[#This Row],[IType]],IsDList,Table_ExternalData_15[[#Headers],[8]])</f>
        <v>0</v>
      </c>
      <c r="M54" s="10">
        <f>SUMIFS(IsQList,IsIList,Table_ExternalData_15[[#This Row],[item_key]],IsITypeList,Table_ExternalData_15[[#This Row],[IType]],IsDList,Table_ExternalData_15[[#Headers],[9]])</f>
        <v>0</v>
      </c>
      <c r="N54" s="10">
        <f>SUMIFS(IsQList,IsIList,Table_ExternalData_15[[#This Row],[item_key]],IsITypeList,Table_ExternalData_15[[#This Row],[IType]],IsDList,Table_ExternalData_15[[#Headers],[10]])</f>
        <v>0</v>
      </c>
      <c r="O54" s="10">
        <f>SUMIFS(IsQList,IsIList,Table_ExternalData_15[[#This Row],[item_key]],IsITypeList,Table_ExternalData_15[[#This Row],[IType]],IsDList,Table_ExternalData_15[[#Headers],[11]])</f>
        <v>0</v>
      </c>
      <c r="P54" s="10">
        <f>SUMIFS(IsQList,IsIList,Table_ExternalData_15[[#This Row],[item_key]],IsITypeList,Table_ExternalData_15[[#This Row],[IType]],IsDList,Table_ExternalData_15[[#Headers],[12]])</f>
        <v>0</v>
      </c>
      <c r="Q54" s="10">
        <f>SUMIFS(IsQList,IsIList,Table_ExternalData_15[[#This Row],[item_key]],IsITypeList,Table_ExternalData_15[[#This Row],[IType]],IsDList,Table_ExternalData_15[[#Headers],[13]])</f>
        <v>0</v>
      </c>
      <c r="R54" s="10">
        <f>SUMIFS(IsQList,IsIList,Table_ExternalData_15[[#This Row],[item_key]],IsITypeList,Table_ExternalData_15[[#This Row],[IType]],IsDList,Table_ExternalData_15[[#Headers],[14]])</f>
        <v>0</v>
      </c>
      <c r="S54" s="10">
        <f>SUMIFS(IsQList,IsIList,Table_ExternalData_15[[#This Row],[item_key]],IsITypeList,Table_ExternalData_15[[#This Row],[IType]],IsDList,Table_ExternalData_15[[#Headers],[15]])</f>
        <v>0</v>
      </c>
      <c r="T54" s="10">
        <f>SUMIFS(IsQList,IsIList,Table_ExternalData_15[[#This Row],[item_key]],IsITypeList,Table_ExternalData_15[[#This Row],[IType]],IsDList,Table_ExternalData_15[[#Headers],[16]])</f>
        <v>5</v>
      </c>
      <c r="U54" s="10">
        <f>SUMIFS(IsQList,IsIList,Table_ExternalData_15[[#This Row],[item_key]],IsITypeList,Table_ExternalData_15[[#This Row],[IType]],IsDList,Table_ExternalData_15[[#Headers],[17]])</f>
        <v>0</v>
      </c>
      <c r="V54" s="10">
        <f>SUMIFS(IsQList,IsIList,Table_ExternalData_15[[#This Row],[item_key]],IsITypeList,Table_ExternalData_15[[#This Row],[IType]],IsDList,Table_ExternalData_15[[#Headers],[18]])</f>
        <v>0</v>
      </c>
      <c r="W54" s="10">
        <f>SUMIFS(IsQList,IsIList,Table_ExternalData_15[[#This Row],[item_key]],IsITypeList,Table_ExternalData_15[[#This Row],[IType]],IsDList,Table_ExternalData_15[[#Headers],[19]])</f>
        <v>0</v>
      </c>
      <c r="X54" s="10">
        <f>SUMIFS(IsQList,IsIList,Table_ExternalData_15[[#This Row],[item_key]],IsITypeList,Table_ExternalData_15[[#This Row],[IType]],IsDList,Table_ExternalData_15[[#Headers],[20]])</f>
        <v>0</v>
      </c>
      <c r="Y54" s="10">
        <f>SUMIFS(IsQList,IsIList,Table_ExternalData_15[[#This Row],[item_key]],IsITypeList,Table_ExternalData_15[[#This Row],[IType]],IsDList,Table_ExternalData_15[[#Headers],[21]])</f>
        <v>0</v>
      </c>
      <c r="Z54" s="10">
        <f>SUMIFS(IsQList,IsIList,Table_ExternalData_15[[#This Row],[item_key]],IsITypeList,Table_ExternalData_15[[#This Row],[IType]],IsDList,Table_ExternalData_15[[#Headers],[22]])</f>
        <v>0</v>
      </c>
      <c r="AA54" s="10">
        <f>SUMIFS(IsQList,IsIList,Table_ExternalData_15[[#This Row],[item_key]],IsITypeList,Table_ExternalData_15[[#This Row],[IType]],IsDList,Table_ExternalData_15[[#Headers],[23]])</f>
        <v>0</v>
      </c>
      <c r="AB54" s="10">
        <f>SUMIFS(IsQList,IsIList,Table_ExternalData_15[[#This Row],[item_key]],IsITypeList,Table_ExternalData_15[[#This Row],[IType]],IsDList,Table_ExternalData_15[[#Headers],[24]])</f>
        <v>0</v>
      </c>
      <c r="AC54" s="10">
        <f>SUMIFS(IsQList,IsIList,Table_ExternalData_15[[#This Row],[item_key]],IsITypeList,Table_ExternalData_15[[#This Row],[IType]],IsDList,Table_ExternalData_15[[#Headers],[25]])</f>
        <v>0</v>
      </c>
      <c r="AD54" s="10">
        <f>SUMIFS(IsQList,IsIList,Table_ExternalData_15[[#This Row],[item_key]],IsITypeList,Table_ExternalData_15[[#This Row],[IType]],IsDList,Table_ExternalData_15[[#Headers],[26]])</f>
        <v>0</v>
      </c>
      <c r="AE54" s="10">
        <f>SUMIFS(IsQList,IsIList,Table_ExternalData_15[[#This Row],[item_key]],IsITypeList,Table_ExternalData_15[[#This Row],[IType]],IsDList,Table_ExternalData_15[[#Headers],[27]])</f>
        <v>0</v>
      </c>
      <c r="AF54" s="10">
        <f>SUMIFS(IsQList,IsIList,Table_ExternalData_15[[#This Row],[item_key]],IsITypeList,Table_ExternalData_15[[#This Row],[IType]],IsDList,Table_ExternalData_15[[#Headers],[28]])</f>
        <v>0</v>
      </c>
      <c r="AG54" s="10">
        <f>SUMIFS(IsQList,IsIList,Table_ExternalData_15[[#This Row],[item_key]],IsITypeList,Table_ExternalData_15[[#This Row],[IType]],IsDList,Table_ExternalData_15[[#Headers],[29]])</f>
        <v>0</v>
      </c>
      <c r="AH54" s="10">
        <f>SUMIFS(IsQList,IsIList,Table_ExternalData_15[[#This Row],[item_key]],IsITypeList,Table_ExternalData_15[[#This Row],[IType]],IsDList,Table_ExternalData_15[[#Headers],[30]])</f>
        <v>0</v>
      </c>
      <c r="AI54" s="10">
        <f>SUMIFS(IsQList,IsIList,Table_ExternalData_15[[#This Row],[item_key]],IsITypeList,Table_ExternalData_15[[#This Row],[IType]],IsDList,Table_ExternalData_15[[#Headers],[31]])</f>
        <v>0</v>
      </c>
      <c r="AJ54" s="10">
        <f>SUM(Table_ExternalData_15[[#This Row],[1]:[31]])</f>
        <v>5</v>
      </c>
    </row>
    <row r="55" spans="1:36">
      <c r="A55" s="1" t="s">
        <v>354</v>
      </c>
      <c r="B55" s="1" t="s">
        <v>1247</v>
      </c>
      <c r="C55" s="1" t="s">
        <v>1248</v>
      </c>
      <c r="D55" s="11" t="s">
        <v>72</v>
      </c>
      <c r="E55" s="10">
        <f>SUMIFS(IsQList,IsIList,Table_ExternalData_15[[#This Row],[item_key]],IsITypeList,Table_ExternalData_15[[#This Row],[IType]],IsDList,Table_ExternalData_15[[#Headers],[1]])</f>
        <v>0</v>
      </c>
      <c r="F55" s="10">
        <f>SUMIFS(IsQList,IsIList,Table_ExternalData_15[[#This Row],[item_key]],IsITypeList,Table_ExternalData_15[[#This Row],[IType]],IsDList,Table_ExternalData_15[[#Headers],[2]])</f>
        <v>0</v>
      </c>
      <c r="G55" s="10">
        <f>SUMIFS(IsQList,IsIList,Table_ExternalData_15[[#This Row],[item_key]],IsITypeList,Table_ExternalData_15[[#This Row],[IType]],IsDList,Table_ExternalData_15[[#Headers],[3]])</f>
        <v>0</v>
      </c>
      <c r="H55" s="10">
        <f>SUMIFS(IsQList,IsIList,Table_ExternalData_15[[#This Row],[item_key]],IsITypeList,Table_ExternalData_15[[#This Row],[IType]],IsDList,Table_ExternalData_15[[#Headers],[4]])</f>
        <v>0</v>
      </c>
      <c r="I55" s="10">
        <f>SUMIFS(IsQList,IsIList,Table_ExternalData_15[[#This Row],[item_key]],IsITypeList,Table_ExternalData_15[[#This Row],[IType]],IsDList,Table_ExternalData_15[[#Headers],[5]])</f>
        <v>0</v>
      </c>
      <c r="J55" s="10">
        <f>SUMIFS(IsQList,IsIList,Table_ExternalData_15[[#This Row],[item_key]],IsITypeList,Table_ExternalData_15[[#This Row],[IType]],IsDList,Table_ExternalData_15[[#Headers],[6]])</f>
        <v>10</v>
      </c>
      <c r="K55" s="10">
        <f>SUMIFS(IsQList,IsIList,Table_ExternalData_15[[#This Row],[item_key]],IsITypeList,Table_ExternalData_15[[#This Row],[IType]],IsDList,Table_ExternalData_15[[#Headers],[7]])</f>
        <v>0</v>
      </c>
      <c r="L55" s="10">
        <f>SUMIFS(IsQList,IsIList,Table_ExternalData_15[[#This Row],[item_key]],IsITypeList,Table_ExternalData_15[[#This Row],[IType]],IsDList,Table_ExternalData_15[[#Headers],[8]])</f>
        <v>0</v>
      </c>
      <c r="M55" s="10">
        <f>SUMIFS(IsQList,IsIList,Table_ExternalData_15[[#This Row],[item_key]],IsITypeList,Table_ExternalData_15[[#This Row],[IType]],IsDList,Table_ExternalData_15[[#Headers],[9]])</f>
        <v>0</v>
      </c>
      <c r="N55" s="10">
        <f>SUMIFS(IsQList,IsIList,Table_ExternalData_15[[#This Row],[item_key]],IsITypeList,Table_ExternalData_15[[#This Row],[IType]],IsDList,Table_ExternalData_15[[#Headers],[10]])</f>
        <v>0</v>
      </c>
      <c r="O55" s="10">
        <f>SUMIFS(IsQList,IsIList,Table_ExternalData_15[[#This Row],[item_key]],IsITypeList,Table_ExternalData_15[[#This Row],[IType]],IsDList,Table_ExternalData_15[[#Headers],[11]])</f>
        <v>0</v>
      </c>
      <c r="P55" s="10">
        <f>SUMIFS(IsQList,IsIList,Table_ExternalData_15[[#This Row],[item_key]],IsITypeList,Table_ExternalData_15[[#This Row],[IType]],IsDList,Table_ExternalData_15[[#Headers],[12]])</f>
        <v>0</v>
      </c>
      <c r="Q55" s="10">
        <f>SUMIFS(IsQList,IsIList,Table_ExternalData_15[[#This Row],[item_key]],IsITypeList,Table_ExternalData_15[[#This Row],[IType]],IsDList,Table_ExternalData_15[[#Headers],[13]])</f>
        <v>0</v>
      </c>
      <c r="R55" s="10">
        <f>SUMIFS(IsQList,IsIList,Table_ExternalData_15[[#This Row],[item_key]],IsITypeList,Table_ExternalData_15[[#This Row],[IType]],IsDList,Table_ExternalData_15[[#Headers],[14]])</f>
        <v>0</v>
      </c>
      <c r="S55" s="10">
        <f>SUMIFS(IsQList,IsIList,Table_ExternalData_15[[#This Row],[item_key]],IsITypeList,Table_ExternalData_15[[#This Row],[IType]],IsDList,Table_ExternalData_15[[#Headers],[15]])</f>
        <v>0</v>
      </c>
      <c r="T55" s="10">
        <f>SUMIFS(IsQList,IsIList,Table_ExternalData_15[[#This Row],[item_key]],IsITypeList,Table_ExternalData_15[[#This Row],[IType]],IsDList,Table_ExternalData_15[[#Headers],[16]])</f>
        <v>50</v>
      </c>
      <c r="U55" s="10">
        <f>SUMIFS(IsQList,IsIList,Table_ExternalData_15[[#This Row],[item_key]],IsITypeList,Table_ExternalData_15[[#This Row],[IType]],IsDList,Table_ExternalData_15[[#Headers],[17]])</f>
        <v>0</v>
      </c>
      <c r="V55" s="10">
        <f>SUMIFS(IsQList,IsIList,Table_ExternalData_15[[#This Row],[item_key]],IsITypeList,Table_ExternalData_15[[#This Row],[IType]],IsDList,Table_ExternalData_15[[#Headers],[18]])</f>
        <v>0</v>
      </c>
      <c r="W55" s="10">
        <f>SUMIFS(IsQList,IsIList,Table_ExternalData_15[[#This Row],[item_key]],IsITypeList,Table_ExternalData_15[[#This Row],[IType]],IsDList,Table_ExternalData_15[[#Headers],[19]])</f>
        <v>0</v>
      </c>
      <c r="X55" s="10">
        <f>SUMIFS(IsQList,IsIList,Table_ExternalData_15[[#This Row],[item_key]],IsITypeList,Table_ExternalData_15[[#This Row],[IType]],IsDList,Table_ExternalData_15[[#Headers],[20]])</f>
        <v>0</v>
      </c>
      <c r="Y55" s="10">
        <f>SUMIFS(IsQList,IsIList,Table_ExternalData_15[[#This Row],[item_key]],IsITypeList,Table_ExternalData_15[[#This Row],[IType]],IsDList,Table_ExternalData_15[[#Headers],[21]])</f>
        <v>0</v>
      </c>
      <c r="Z55" s="10">
        <f>SUMIFS(IsQList,IsIList,Table_ExternalData_15[[#This Row],[item_key]],IsITypeList,Table_ExternalData_15[[#This Row],[IType]],IsDList,Table_ExternalData_15[[#Headers],[22]])</f>
        <v>0</v>
      </c>
      <c r="AA55" s="10">
        <f>SUMIFS(IsQList,IsIList,Table_ExternalData_15[[#This Row],[item_key]],IsITypeList,Table_ExternalData_15[[#This Row],[IType]],IsDList,Table_ExternalData_15[[#Headers],[23]])</f>
        <v>0</v>
      </c>
      <c r="AB55" s="10">
        <f>SUMIFS(IsQList,IsIList,Table_ExternalData_15[[#This Row],[item_key]],IsITypeList,Table_ExternalData_15[[#This Row],[IType]],IsDList,Table_ExternalData_15[[#Headers],[24]])</f>
        <v>0</v>
      </c>
      <c r="AC55" s="10">
        <f>SUMIFS(IsQList,IsIList,Table_ExternalData_15[[#This Row],[item_key]],IsITypeList,Table_ExternalData_15[[#This Row],[IType]],IsDList,Table_ExternalData_15[[#Headers],[25]])</f>
        <v>0</v>
      </c>
      <c r="AD55" s="10">
        <f>SUMIFS(IsQList,IsIList,Table_ExternalData_15[[#This Row],[item_key]],IsITypeList,Table_ExternalData_15[[#This Row],[IType]],IsDList,Table_ExternalData_15[[#Headers],[26]])</f>
        <v>0</v>
      </c>
      <c r="AE55" s="10">
        <f>SUMIFS(IsQList,IsIList,Table_ExternalData_15[[#This Row],[item_key]],IsITypeList,Table_ExternalData_15[[#This Row],[IType]],IsDList,Table_ExternalData_15[[#Headers],[27]])</f>
        <v>0</v>
      </c>
      <c r="AF55" s="10">
        <f>SUMIFS(IsQList,IsIList,Table_ExternalData_15[[#This Row],[item_key]],IsITypeList,Table_ExternalData_15[[#This Row],[IType]],IsDList,Table_ExternalData_15[[#Headers],[28]])</f>
        <v>0</v>
      </c>
      <c r="AG55" s="10">
        <f>SUMIFS(IsQList,IsIList,Table_ExternalData_15[[#This Row],[item_key]],IsITypeList,Table_ExternalData_15[[#This Row],[IType]],IsDList,Table_ExternalData_15[[#Headers],[29]])</f>
        <v>0</v>
      </c>
      <c r="AH55" s="10">
        <f>SUMIFS(IsQList,IsIList,Table_ExternalData_15[[#This Row],[item_key]],IsITypeList,Table_ExternalData_15[[#This Row],[IType]],IsDList,Table_ExternalData_15[[#Headers],[30]])</f>
        <v>3</v>
      </c>
      <c r="AI55" s="10">
        <f>SUMIFS(IsQList,IsIList,Table_ExternalData_15[[#This Row],[item_key]],IsITypeList,Table_ExternalData_15[[#This Row],[IType]],IsDList,Table_ExternalData_15[[#Headers],[31]])</f>
        <v>0</v>
      </c>
      <c r="AJ55" s="10">
        <f>SUM(Table_ExternalData_15[[#This Row],[1]:[31]])</f>
        <v>63</v>
      </c>
    </row>
    <row r="56" spans="1:36">
      <c r="A56" s="1" t="s">
        <v>355</v>
      </c>
      <c r="B56" s="1" t="s">
        <v>1249</v>
      </c>
      <c r="C56" s="1" t="s">
        <v>1250</v>
      </c>
      <c r="D56" s="11" t="s">
        <v>72</v>
      </c>
      <c r="E56" s="10">
        <f>SUMIFS(IsQList,IsIList,Table_ExternalData_15[[#This Row],[item_key]],IsITypeList,Table_ExternalData_15[[#This Row],[IType]],IsDList,Table_ExternalData_15[[#Headers],[1]])</f>
        <v>0</v>
      </c>
      <c r="F56" s="10">
        <f>SUMIFS(IsQList,IsIList,Table_ExternalData_15[[#This Row],[item_key]],IsITypeList,Table_ExternalData_15[[#This Row],[IType]],IsDList,Table_ExternalData_15[[#Headers],[2]])</f>
        <v>0</v>
      </c>
      <c r="G56" s="10">
        <f>SUMIFS(IsQList,IsIList,Table_ExternalData_15[[#This Row],[item_key]],IsITypeList,Table_ExternalData_15[[#This Row],[IType]],IsDList,Table_ExternalData_15[[#Headers],[3]])</f>
        <v>0</v>
      </c>
      <c r="H56" s="10">
        <f>SUMIFS(IsQList,IsIList,Table_ExternalData_15[[#This Row],[item_key]],IsITypeList,Table_ExternalData_15[[#This Row],[IType]],IsDList,Table_ExternalData_15[[#Headers],[4]])</f>
        <v>0</v>
      </c>
      <c r="I56" s="10">
        <f>SUMIFS(IsQList,IsIList,Table_ExternalData_15[[#This Row],[item_key]],IsITypeList,Table_ExternalData_15[[#This Row],[IType]],IsDList,Table_ExternalData_15[[#Headers],[5]])</f>
        <v>0</v>
      </c>
      <c r="J56" s="10">
        <f>SUMIFS(IsQList,IsIList,Table_ExternalData_15[[#This Row],[item_key]],IsITypeList,Table_ExternalData_15[[#This Row],[IType]],IsDList,Table_ExternalData_15[[#Headers],[6]])</f>
        <v>0</v>
      </c>
      <c r="K56" s="10">
        <f>SUMIFS(IsQList,IsIList,Table_ExternalData_15[[#This Row],[item_key]],IsITypeList,Table_ExternalData_15[[#This Row],[IType]],IsDList,Table_ExternalData_15[[#Headers],[7]])</f>
        <v>0</v>
      </c>
      <c r="L56" s="10">
        <f>SUMIFS(IsQList,IsIList,Table_ExternalData_15[[#This Row],[item_key]],IsITypeList,Table_ExternalData_15[[#This Row],[IType]],IsDList,Table_ExternalData_15[[#Headers],[8]])</f>
        <v>0</v>
      </c>
      <c r="M56" s="10">
        <f>SUMIFS(IsQList,IsIList,Table_ExternalData_15[[#This Row],[item_key]],IsITypeList,Table_ExternalData_15[[#This Row],[IType]],IsDList,Table_ExternalData_15[[#Headers],[9]])</f>
        <v>0</v>
      </c>
      <c r="N56" s="10">
        <f>SUMIFS(IsQList,IsIList,Table_ExternalData_15[[#This Row],[item_key]],IsITypeList,Table_ExternalData_15[[#This Row],[IType]],IsDList,Table_ExternalData_15[[#Headers],[10]])</f>
        <v>0</v>
      </c>
      <c r="O56" s="10">
        <f>SUMIFS(IsQList,IsIList,Table_ExternalData_15[[#This Row],[item_key]],IsITypeList,Table_ExternalData_15[[#This Row],[IType]],IsDList,Table_ExternalData_15[[#Headers],[11]])</f>
        <v>0</v>
      </c>
      <c r="P56" s="10">
        <f>SUMIFS(IsQList,IsIList,Table_ExternalData_15[[#This Row],[item_key]],IsITypeList,Table_ExternalData_15[[#This Row],[IType]],IsDList,Table_ExternalData_15[[#Headers],[12]])</f>
        <v>0</v>
      </c>
      <c r="Q56" s="10">
        <f>SUMIFS(IsQList,IsIList,Table_ExternalData_15[[#This Row],[item_key]],IsITypeList,Table_ExternalData_15[[#This Row],[IType]],IsDList,Table_ExternalData_15[[#Headers],[13]])</f>
        <v>0</v>
      </c>
      <c r="R56" s="10">
        <f>SUMIFS(IsQList,IsIList,Table_ExternalData_15[[#This Row],[item_key]],IsITypeList,Table_ExternalData_15[[#This Row],[IType]],IsDList,Table_ExternalData_15[[#Headers],[14]])</f>
        <v>0</v>
      </c>
      <c r="S56" s="10">
        <f>SUMIFS(IsQList,IsIList,Table_ExternalData_15[[#This Row],[item_key]],IsITypeList,Table_ExternalData_15[[#This Row],[IType]],IsDList,Table_ExternalData_15[[#Headers],[15]])</f>
        <v>0</v>
      </c>
      <c r="T56" s="10">
        <f>SUMIFS(IsQList,IsIList,Table_ExternalData_15[[#This Row],[item_key]],IsITypeList,Table_ExternalData_15[[#This Row],[IType]],IsDList,Table_ExternalData_15[[#Headers],[16]])</f>
        <v>0</v>
      </c>
      <c r="U56" s="10">
        <f>SUMIFS(IsQList,IsIList,Table_ExternalData_15[[#This Row],[item_key]],IsITypeList,Table_ExternalData_15[[#This Row],[IType]],IsDList,Table_ExternalData_15[[#Headers],[17]])</f>
        <v>0</v>
      </c>
      <c r="V56" s="10">
        <f>SUMIFS(IsQList,IsIList,Table_ExternalData_15[[#This Row],[item_key]],IsITypeList,Table_ExternalData_15[[#This Row],[IType]],IsDList,Table_ExternalData_15[[#Headers],[18]])</f>
        <v>0</v>
      </c>
      <c r="W56" s="10">
        <f>SUMIFS(IsQList,IsIList,Table_ExternalData_15[[#This Row],[item_key]],IsITypeList,Table_ExternalData_15[[#This Row],[IType]],IsDList,Table_ExternalData_15[[#Headers],[19]])</f>
        <v>0</v>
      </c>
      <c r="X56" s="10">
        <f>SUMIFS(IsQList,IsIList,Table_ExternalData_15[[#This Row],[item_key]],IsITypeList,Table_ExternalData_15[[#This Row],[IType]],IsDList,Table_ExternalData_15[[#Headers],[20]])</f>
        <v>0</v>
      </c>
      <c r="Y56" s="10">
        <f>SUMIFS(IsQList,IsIList,Table_ExternalData_15[[#This Row],[item_key]],IsITypeList,Table_ExternalData_15[[#This Row],[IType]],IsDList,Table_ExternalData_15[[#Headers],[21]])</f>
        <v>0</v>
      </c>
      <c r="Z56" s="10">
        <f>SUMIFS(IsQList,IsIList,Table_ExternalData_15[[#This Row],[item_key]],IsITypeList,Table_ExternalData_15[[#This Row],[IType]],IsDList,Table_ExternalData_15[[#Headers],[22]])</f>
        <v>0</v>
      </c>
      <c r="AA56" s="10">
        <f>SUMIFS(IsQList,IsIList,Table_ExternalData_15[[#This Row],[item_key]],IsITypeList,Table_ExternalData_15[[#This Row],[IType]],IsDList,Table_ExternalData_15[[#Headers],[23]])</f>
        <v>0</v>
      </c>
      <c r="AB56" s="10">
        <f>SUMIFS(IsQList,IsIList,Table_ExternalData_15[[#This Row],[item_key]],IsITypeList,Table_ExternalData_15[[#This Row],[IType]],IsDList,Table_ExternalData_15[[#Headers],[24]])</f>
        <v>0</v>
      </c>
      <c r="AC56" s="10">
        <f>SUMIFS(IsQList,IsIList,Table_ExternalData_15[[#This Row],[item_key]],IsITypeList,Table_ExternalData_15[[#This Row],[IType]],IsDList,Table_ExternalData_15[[#Headers],[25]])</f>
        <v>0</v>
      </c>
      <c r="AD56" s="10">
        <f>SUMIFS(IsQList,IsIList,Table_ExternalData_15[[#This Row],[item_key]],IsITypeList,Table_ExternalData_15[[#This Row],[IType]],IsDList,Table_ExternalData_15[[#Headers],[26]])</f>
        <v>0</v>
      </c>
      <c r="AE56" s="10">
        <f>SUMIFS(IsQList,IsIList,Table_ExternalData_15[[#This Row],[item_key]],IsITypeList,Table_ExternalData_15[[#This Row],[IType]],IsDList,Table_ExternalData_15[[#Headers],[27]])</f>
        <v>0</v>
      </c>
      <c r="AF56" s="10">
        <f>SUMIFS(IsQList,IsIList,Table_ExternalData_15[[#This Row],[item_key]],IsITypeList,Table_ExternalData_15[[#This Row],[IType]],IsDList,Table_ExternalData_15[[#Headers],[28]])</f>
        <v>0</v>
      </c>
      <c r="AG56" s="10">
        <f>SUMIFS(IsQList,IsIList,Table_ExternalData_15[[#This Row],[item_key]],IsITypeList,Table_ExternalData_15[[#This Row],[IType]],IsDList,Table_ExternalData_15[[#Headers],[29]])</f>
        <v>0</v>
      </c>
      <c r="AH56" s="10">
        <f>SUMIFS(IsQList,IsIList,Table_ExternalData_15[[#This Row],[item_key]],IsITypeList,Table_ExternalData_15[[#This Row],[IType]],IsDList,Table_ExternalData_15[[#Headers],[30]])</f>
        <v>0</v>
      </c>
      <c r="AI56" s="10">
        <f>SUMIFS(IsQList,IsIList,Table_ExternalData_15[[#This Row],[item_key]],IsITypeList,Table_ExternalData_15[[#This Row],[IType]],IsDList,Table_ExternalData_15[[#Headers],[31]])</f>
        <v>0</v>
      </c>
      <c r="AJ56" s="10">
        <f>SUM(Table_ExternalData_15[[#This Row],[1]:[31]])</f>
        <v>0</v>
      </c>
    </row>
    <row r="57" spans="1:36">
      <c r="A57" s="1" t="s">
        <v>356</v>
      </c>
      <c r="B57" s="1" t="s">
        <v>2486</v>
      </c>
      <c r="C57" s="1" t="s">
        <v>2487</v>
      </c>
      <c r="D57" s="11" t="s">
        <v>72</v>
      </c>
      <c r="E57" s="10">
        <f>SUMIFS(IsQList,IsIList,Table_ExternalData_15[[#This Row],[item_key]],IsITypeList,Table_ExternalData_15[[#This Row],[IType]],IsDList,Table_ExternalData_15[[#Headers],[1]])</f>
        <v>0</v>
      </c>
      <c r="F57" s="10">
        <f>SUMIFS(IsQList,IsIList,Table_ExternalData_15[[#This Row],[item_key]],IsITypeList,Table_ExternalData_15[[#This Row],[IType]],IsDList,Table_ExternalData_15[[#Headers],[2]])</f>
        <v>0</v>
      </c>
      <c r="G57" s="10">
        <f>SUMIFS(IsQList,IsIList,Table_ExternalData_15[[#This Row],[item_key]],IsITypeList,Table_ExternalData_15[[#This Row],[IType]],IsDList,Table_ExternalData_15[[#Headers],[3]])</f>
        <v>0</v>
      </c>
      <c r="H57" s="10">
        <f>SUMIFS(IsQList,IsIList,Table_ExternalData_15[[#This Row],[item_key]],IsITypeList,Table_ExternalData_15[[#This Row],[IType]],IsDList,Table_ExternalData_15[[#Headers],[4]])</f>
        <v>0</v>
      </c>
      <c r="I57" s="10">
        <f>SUMIFS(IsQList,IsIList,Table_ExternalData_15[[#This Row],[item_key]],IsITypeList,Table_ExternalData_15[[#This Row],[IType]],IsDList,Table_ExternalData_15[[#Headers],[5]])</f>
        <v>0</v>
      </c>
      <c r="J57" s="10">
        <f>SUMIFS(IsQList,IsIList,Table_ExternalData_15[[#This Row],[item_key]],IsITypeList,Table_ExternalData_15[[#This Row],[IType]],IsDList,Table_ExternalData_15[[#Headers],[6]])</f>
        <v>3</v>
      </c>
      <c r="K57" s="10">
        <f>SUMIFS(IsQList,IsIList,Table_ExternalData_15[[#This Row],[item_key]],IsITypeList,Table_ExternalData_15[[#This Row],[IType]],IsDList,Table_ExternalData_15[[#Headers],[7]])</f>
        <v>0</v>
      </c>
      <c r="L57" s="10">
        <f>SUMIFS(IsQList,IsIList,Table_ExternalData_15[[#This Row],[item_key]],IsITypeList,Table_ExternalData_15[[#This Row],[IType]],IsDList,Table_ExternalData_15[[#Headers],[8]])</f>
        <v>0</v>
      </c>
      <c r="M57" s="10">
        <f>SUMIFS(IsQList,IsIList,Table_ExternalData_15[[#This Row],[item_key]],IsITypeList,Table_ExternalData_15[[#This Row],[IType]],IsDList,Table_ExternalData_15[[#Headers],[9]])</f>
        <v>0</v>
      </c>
      <c r="N57" s="10">
        <f>SUMIFS(IsQList,IsIList,Table_ExternalData_15[[#This Row],[item_key]],IsITypeList,Table_ExternalData_15[[#This Row],[IType]],IsDList,Table_ExternalData_15[[#Headers],[10]])</f>
        <v>100</v>
      </c>
      <c r="O57" s="10">
        <f>SUMIFS(IsQList,IsIList,Table_ExternalData_15[[#This Row],[item_key]],IsITypeList,Table_ExternalData_15[[#This Row],[IType]],IsDList,Table_ExternalData_15[[#Headers],[11]])</f>
        <v>0</v>
      </c>
      <c r="P57" s="10">
        <f>SUMIFS(IsQList,IsIList,Table_ExternalData_15[[#This Row],[item_key]],IsITypeList,Table_ExternalData_15[[#This Row],[IType]],IsDList,Table_ExternalData_15[[#Headers],[12]])</f>
        <v>0</v>
      </c>
      <c r="Q57" s="10">
        <f>SUMIFS(IsQList,IsIList,Table_ExternalData_15[[#This Row],[item_key]],IsITypeList,Table_ExternalData_15[[#This Row],[IType]],IsDList,Table_ExternalData_15[[#Headers],[13]])</f>
        <v>0</v>
      </c>
      <c r="R57" s="10">
        <f>SUMIFS(IsQList,IsIList,Table_ExternalData_15[[#This Row],[item_key]],IsITypeList,Table_ExternalData_15[[#This Row],[IType]],IsDList,Table_ExternalData_15[[#Headers],[14]])</f>
        <v>0</v>
      </c>
      <c r="S57" s="10">
        <f>SUMIFS(IsQList,IsIList,Table_ExternalData_15[[#This Row],[item_key]],IsITypeList,Table_ExternalData_15[[#This Row],[IType]],IsDList,Table_ExternalData_15[[#Headers],[15]])</f>
        <v>0</v>
      </c>
      <c r="T57" s="10">
        <f>SUMIFS(IsQList,IsIList,Table_ExternalData_15[[#This Row],[item_key]],IsITypeList,Table_ExternalData_15[[#This Row],[IType]],IsDList,Table_ExternalData_15[[#Headers],[16]])</f>
        <v>0</v>
      </c>
      <c r="U57" s="10">
        <f>SUMIFS(IsQList,IsIList,Table_ExternalData_15[[#This Row],[item_key]],IsITypeList,Table_ExternalData_15[[#This Row],[IType]],IsDList,Table_ExternalData_15[[#Headers],[17]])</f>
        <v>0</v>
      </c>
      <c r="V57" s="10">
        <f>SUMIFS(IsQList,IsIList,Table_ExternalData_15[[#This Row],[item_key]],IsITypeList,Table_ExternalData_15[[#This Row],[IType]],IsDList,Table_ExternalData_15[[#Headers],[18]])</f>
        <v>0</v>
      </c>
      <c r="W57" s="10">
        <f>SUMIFS(IsQList,IsIList,Table_ExternalData_15[[#This Row],[item_key]],IsITypeList,Table_ExternalData_15[[#This Row],[IType]],IsDList,Table_ExternalData_15[[#Headers],[19]])</f>
        <v>0</v>
      </c>
      <c r="X57" s="10">
        <f>SUMIFS(IsQList,IsIList,Table_ExternalData_15[[#This Row],[item_key]],IsITypeList,Table_ExternalData_15[[#This Row],[IType]],IsDList,Table_ExternalData_15[[#Headers],[20]])</f>
        <v>0</v>
      </c>
      <c r="Y57" s="10">
        <f>SUMIFS(IsQList,IsIList,Table_ExternalData_15[[#This Row],[item_key]],IsITypeList,Table_ExternalData_15[[#This Row],[IType]],IsDList,Table_ExternalData_15[[#Headers],[21]])</f>
        <v>0</v>
      </c>
      <c r="Z57" s="10">
        <f>SUMIFS(IsQList,IsIList,Table_ExternalData_15[[#This Row],[item_key]],IsITypeList,Table_ExternalData_15[[#This Row],[IType]],IsDList,Table_ExternalData_15[[#Headers],[22]])</f>
        <v>0</v>
      </c>
      <c r="AA57" s="10">
        <f>SUMIFS(IsQList,IsIList,Table_ExternalData_15[[#This Row],[item_key]],IsITypeList,Table_ExternalData_15[[#This Row],[IType]],IsDList,Table_ExternalData_15[[#Headers],[23]])</f>
        <v>0</v>
      </c>
      <c r="AB57" s="10">
        <f>SUMIFS(IsQList,IsIList,Table_ExternalData_15[[#This Row],[item_key]],IsITypeList,Table_ExternalData_15[[#This Row],[IType]],IsDList,Table_ExternalData_15[[#Headers],[24]])</f>
        <v>50</v>
      </c>
      <c r="AC57" s="10">
        <f>SUMIFS(IsQList,IsIList,Table_ExternalData_15[[#This Row],[item_key]],IsITypeList,Table_ExternalData_15[[#This Row],[IType]],IsDList,Table_ExternalData_15[[#Headers],[25]])</f>
        <v>0</v>
      </c>
      <c r="AD57" s="10">
        <f>SUMIFS(IsQList,IsIList,Table_ExternalData_15[[#This Row],[item_key]],IsITypeList,Table_ExternalData_15[[#This Row],[IType]],IsDList,Table_ExternalData_15[[#Headers],[26]])</f>
        <v>0</v>
      </c>
      <c r="AE57" s="10">
        <f>SUMIFS(IsQList,IsIList,Table_ExternalData_15[[#This Row],[item_key]],IsITypeList,Table_ExternalData_15[[#This Row],[IType]],IsDList,Table_ExternalData_15[[#Headers],[27]])</f>
        <v>0</v>
      </c>
      <c r="AF57" s="10">
        <f>SUMIFS(IsQList,IsIList,Table_ExternalData_15[[#This Row],[item_key]],IsITypeList,Table_ExternalData_15[[#This Row],[IType]],IsDList,Table_ExternalData_15[[#Headers],[28]])</f>
        <v>0</v>
      </c>
      <c r="AG57" s="10">
        <f>SUMIFS(IsQList,IsIList,Table_ExternalData_15[[#This Row],[item_key]],IsITypeList,Table_ExternalData_15[[#This Row],[IType]],IsDList,Table_ExternalData_15[[#Headers],[29]])</f>
        <v>0</v>
      </c>
      <c r="AH57" s="10">
        <f>SUMIFS(IsQList,IsIList,Table_ExternalData_15[[#This Row],[item_key]],IsITypeList,Table_ExternalData_15[[#This Row],[IType]],IsDList,Table_ExternalData_15[[#Headers],[30]])</f>
        <v>0</v>
      </c>
      <c r="AI57" s="10">
        <f>SUMIFS(IsQList,IsIList,Table_ExternalData_15[[#This Row],[item_key]],IsITypeList,Table_ExternalData_15[[#This Row],[IType]],IsDList,Table_ExternalData_15[[#Headers],[31]])</f>
        <v>0</v>
      </c>
      <c r="AJ57" s="10">
        <f>SUM(Table_ExternalData_15[[#This Row],[1]:[31]])</f>
        <v>153</v>
      </c>
    </row>
    <row r="58" spans="1:36">
      <c r="A58" s="1" t="s">
        <v>357</v>
      </c>
      <c r="B58" s="1" t="s">
        <v>1251</v>
      </c>
      <c r="C58" s="1" t="s">
        <v>1252</v>
      </c>
      <c r="D58" s="11" t="s">
        <v>72</v>
      </c>
      <c r="E58" s="10">
        <f>SUMIFS(IsQList,IsIList,Table_ExternalData_15[[#This Row],[item_key]],IsITypeList,Table_ExternalData_15[[#This Row],[IType]],IsDList,Table_ExternalData_15[[#Headers],[1]])</f>
        <v>0</v>
      </c>
      <c r="F58" s="10">
        <f>SUMIFS(IsQList,IsIList,Table_ExternalData_15[[#This Row],[item_key]],IsITypeList,Table_ExternalData_15[[#This Row],[IType]],IsDList,Table_ExternalData_15[[#Headers],[2]])</f>
        <v>0</v>
      </c>
      <c r="G58" s="10">
        <f>SUMIFS(IsQList,IsIList,Table_ExternalData_15[[#This Row],[item_key]],IsITypeList,Table_ExternalData_15[[#This Row],[IType]],IsDList,Table_ExternalData_15[[#Headers],[3]])</f>
        <v>0</v>
      </c>
      <c r="H58" s="10">
        <f>SUMIFS(IsQList,IsIList,Table_ExternalData_15[[#This Row],[item_key]],IsITypeList,Table_ExternalData_15[[#This Row],[IType]],IsDList,Table_ExternalData_15[[#Headers],[4]])</f>
        <v>0</v>
      </c>
      <c r="I58" s="10">
        <f>SUMIFS(IsQList,IsIList,Table_ExternalData_15[[#This Row],[item_key]],IsITypeList,Table_ExternalData_15[[#This Row],[IType]],IsDList,Table_ExternalData_15[[#Headers],[5]])</f>
        <v>0</v>
      </c>
      <c r="J58" s="10">
        <f>SUMIFS(IsQList,IsIList,Table_ExternalData_15[[#This Row],[item_key]],IsITypeList,Table_ExternalData_15[[#This Row],[IType]],IsDList,Table_ExternalData_15[[#Headers],[6]])</f>
        <v>0</v>
      </c>
      <c r="K58" s="10">
        <f>SUMIFS(IsQList,IsIList,Table_ExternalData_15[[#This Row],[item_key]],IsITypeList,Table_ExternalData_15[[#This Row],[IType]],IsDList,Table_ExternalData_15[[#Headers],[7]])</f>
        <v>0</v>
      </c>
      <c r="L58" s="10">
        <f>SUMIFS(IsQList,IsIList,Table_ExternalData_15[[#This Row],[item_key]],IsITypeList,Table_ExternalData_15[[#This Row],[IType]],IsDList,Table_ExternalData_15[[#Headers],[8]])</f>
        <v>0</v>
      </c>
      <c r="M58" s="10">
        <f>SUMIFS(IsQList,IsIList,Table_ExternalData_15[[#This Row],[item_key]],IsITypeList,Table_ExternalData_15[[#This Row],[IType]],IsDList,Table_ExternalData_15[[#Headers],[9]])</f>
        <v>0</v>
      </c>
      <c r="N58" s="10">
        <f>SUMIFS(IsQList,IsIList,Table_ExternalData_15[[#This Row],[item_key]],IsITypeList,Table_ExternalData_15[[#This Row],[IType]],IsDList,Table_ExternalData_15[[#Headers],[10]])</f>
        <v>0</v>
      </c>
      <c r="O58" s="10">
        <f>SUMIFS(IsQList,IsIList,Table_ExternalData_15[[#This Row],[item_key]],IsITypeList,Table_ExternalData_15[[#This Row],[IType]],IsDList,Table_ExternalData_15[[#Headers],[11]])</f>
        <v>0</v>
      </c>
      <c r="P58" s="10">
        <f>SUMIFS(IsQList,IsIList,Table_ExternalData_15[[#This Row],[item_key]],IsITypeList,Table_ExternalData_15[[#This Row],[IType]],IsDList,Table_ExternalData_15[[#Headers],[12]])</f>
        <v>0</v>
      </c>
      <c r="Q58" s="10">
        <f>SUMIFS(IsQList,IsIList,Table_ExternalData_15[[#This Row],[item_key]],IsITypeList,Table_ExternalData_15[[#This Row],[IType]],IsDList,Table_ExternalData_15[[#Headers],[13]])</f>
        <v>0</v>
      </c>
      <c r="R58" s="10">
        <f>SUMIFS(IsQList,IsIList,Table_ExternalData_15[[#This Row],[item_key]],IsITypeList,Table_ExternalData_15[[#This Row],[IType]],IsDList,Table_ExternalData_15[[#Headers],[14]])</f>
        <v>0</v>
      </c>
      <c r="S58" s="10">
        <f>SUMIFS(IsQList,IsIList,Table_ExternalData_15[[#This Row],[item_key]],IsITypeList,Table_ExternalData_15[[#This Row],[IType]],IsDList,Table_ExternalData_15[[#Headers],[15]])</f>
        <v>0</v>
      </c>
      <c r="T58" s="10">
        <f>SUMIFS(IsQList,IsIList,Table_ExternalData_15[[#This Row],[item_key]],IsITypeList,Table_ExternalData_15[[#This Row],[IType]],IsDList,Table_ExternalData_15[[#Headers],[16]])</f>
        <v>0</v>
      </c>
      <c r="U58" s="10">
        <f>SUMIFS(IsQList,IsIList,Table_ExternalData_15[[#This Row],[item_key]],IsITypeList,Table_ExternalData_15[[#This Row],[IType]],IsDList,Table_ExternalData_15[[#Headers],[17]])</f>
        <v>0</v>
      </c>
      <c r="V58" s="10">
        <f>SUMIFS(IsQList,IsIList,Table_ExternalData_15[[#This Row],[item_key]],IsITypeList,Table_ExternalData_15[[#This Row],[IType]],IsDList,Table_ExternalData_15[[#Headers],[18]])</f>
        <v>0</v>
      </c>
      <c r="W58" s="10">
        <f>SUMIFS(IsQList,IsIList,Table_ExternalData_15[[#This Row],[item_key]],IsITypeList,Table_ExternalData_15[[#This Row],[IType]],IsDList,Table_ExternalData_15[[#Headers],[19]])</f>
        <v>0</v>
      </c>
      <c r="X58" s="10">
        <f>SUMIFS(IsQList,IsIList,Table_ExternalData_15[[#This Row],[item_key]],IsITypeList,Table_ExternalData_15[[#This Row],[IType]],IsDList,Table_ExternalData_15[[#Headers],[20]])</f>
        <v>0</v>
      </c>
      <c r="Y58" s="10">
        <f>SUMIFS(IsQList,IsIList,Table_ExternalData_15[[#This Row],[item_key]],IsITypeList,Table_ExternalData_15[[#This Row],[IType]],IsDList,Table_ExternalData_15[[#Headers],[21]])</f>
        <v>0</v>
      </c>
      <c r="Z58" s="10">
        <f>SUMIFS(IsQList,IsIList,Table_ExternalData_15[[#This Row],[item_key]],IsITypeList,Table_ExternalData_15[[#This Row],[IType]],IsDList,Table_ExternalData_15[[#Headers],[22]])</f>
        <v>0</v>
      </c>
      <c r="AA58" s="10">
        <f>SUMIFS(IsQList,IsIList,Table_ExternalData_15[[#This Row],[item_key]],IsITypeList,Table_ExternalData_15[[#This Row],[IType]],IsDList,Table_ExternalData_15[[#Headers],[23]])</f>
        <v>0</v>
      </c>
      <c r="AB58" s="10">
        <f>SUMIFS(IsQList,IsIList,Table_ExternalData_15[[#This Row],[item_key]],IsITypeList,Table_ExternalData_15[[#This Row],[IType]],IsDList,Table_ExternalData_15[[#Headers],[24]])</f>
        <v>0</v>
      </c>
      <c r="AC58" s="10">
        <f>SUMIFS(IsQList,IsIList,Table_ExternalData_15[[#This Row],[item_key]],IsITypeList,Table_ExternalData_15[[#This Row],[IType]],IsDList,Table_ExternalData_15[[#Headers],[25]])</f>
        <v>0</v>
      </c>
      <c r="AD58" s="10">
        <f>SUMIFS(IsQList,IsIList,Table_ExternalData_15[[#This Row],[item_key]],IsITypeList,Table_ExternalData_15[[#This Row],[IType]],IsDList,Table_ExternalData_15[[#Headers],[26]])</f>
        <v>0</v>
      </c>
      <c r="AE58" s="10">
        <f>SUMIFS(IsQList,IsIList,Table_ExternalData_15[[#This Row],[item_key]],IsITypeList,Table_ExternalData_15[[#This Row],[IType]],IsDList,Table_ExternalData_15[[#Headers],[27]])</f>
        <v>0</v>
      </c>
      <c r="AF58" s="10">
        <f>SUMIFS(IsQList,IsIList,Table_ExternalData_15[[#This Row],[item_key]],IsITypeList,Table_ExternalData_15[[#This Row],[IType]],IsDList,Table_ExternalData_15[[#Headers],[28]])</f>
        <v>0</v>
      </c>
      <c r="AG58" s="10">
        <f>SUMIFS(IsQList,IsIList,Table_ExternalData_15[[#This Row],[item_key]],IsITypeList,Table_ExternalData_15[[#This Row],[IType]],IsDList,Table_ExternalData_15[[#Headers],[29]])</f>
        <v>0</v>
      </c>
      <c r="AH58" s="10">
        <f>SUMIFS(IsQList,IsIList,Table_ExternalData_15[[#This Row],[item_key]],IsITypeList,Table_ExternalData_15[[#This Row],[IType]],IsDList,Table_ExternalData_15[[#Headers],[30]])</f>
        <v>0</v>
      </c>
      <c r="AI58" s="10">
        <f>SUMIFS(IsQList,IsIList,Table_ExternalData_15[[#This Row],[item_key]],IsITypeList,Table_ExternalData_15[[#This Row],[IType]],IsDList,Table_ExternalData_15[[#Headers],[31]])</f>
        <v>0</v>
      </c>
      <c r="AJ58" s="10">
        <f>SUM(Table_ExternalData_15[[#This Row],[1]:[31]])</f>
        <v>0</v>
      </c>
    </row>
    <row r="59" spans="1:36">
      <c r="A59" s="1" t="s">
        <v>358</v>
      </c>
      <c r="B59" s="1" t="s">
        <v>2488</v>
      </c>
      <c r="C59" s="1" t="s">
        <v>2489</v>
      </c>
      <c r="D59" s="11" t="s">
        <v>72</v>
      </c>
      <c r="E59" s="10">
        <f>SUMIFS(IsQList,IsIList,Table_ExternalData_15[[#This Row],[item_key]],IsITypeList,Table_ExternalData_15[[#This Row],[IType]],IsDList,Table_ExternalData_15[[#Headers],[1]])</f>
        <v>0</v>
      </c>
      <c r="F59" s="10">
        <f>SUMIFS(IsQList,IsIList,Table_ExternalData_15[[#This Row],[item_key]],IsITypeList,Table_ExternalData_15[[#This Row],[IType]],IsDList,Table_ExternalData_15[[#Headers],[2]])</f>
        <v>0</v>
      </c>
      <c r="G59" s="10">
        <f>SUMIFS(IsQList,IsIList,Table_ExternalData_15[[#This Row],[item_key]],IsITypeList,Table_ExternalData_15[[#This Row],[IType]],IsDList,Table_ExternalData_15[[#Headers],[3]])</f>
        <v>0</v>
      </c>
      <c r="H59" s="10">
        <f>SUMIFS(IsQList,IsIList,Table_ExternalData_15[[#This Row],[item_key]],IsITypeList,Table_ExternalData_15[[#This Row],[IType]],IsDList,Table_ExternalData_15[[#Headers],[4]])</f>
        <v>0</v>
      </c>
      <c r="I59" s="10">
        <f>SUMIFS(IsQList,IsIList,Table_ExternalData_15[[#This Row],[item_key]],IsITypeList,Table_ExternalData_15[[#This Row],[IType]],IsDList,Table_ExternalData_15[[#Headers],[5]])</f>
        <v>0</v>
      </c>
      <c r="J59" s="10">
        <f>SUMIFS(IsQList,IsIList,Table_ExternalData_15[[#This Row],[item_key]],IsITypeList,Table_ExternalData_15[[#This Row],[IType]],IsDList,Table_ExternalData_15[[#Headers],[6]])</f>
        <v>3</v>
      </c>
      <c r="K59" s="10">
        <f>SUMIFS(IsQList,IsIList,Table_ExternalData_15[[#This Row],[item_key]],IsITypeList,Table_ExternalData_15[[#This Row],[IType]],IsDList,Table_ExternalData_15[[#Headers],[7]])</f>
        <v>0</v>
      </c>
      <c r="L59" s="10">
        <f>SUMIFS(IsQList,IsIList,Table_ExternalData_15[[#This Row],[item_key]],IsITypeList,Table_ExternalData_15[[#This Row],[IType]],IsDList,Table_ExternalData_15[[#Headers],[8]])</f>
        <v>0</v>
      </c>
      <c r="M59" s="10">
        <f>SUMIFS(IsQList,IsIList,Table_ExternalData_15[[#This Row],[item_key]],IsITypeList,Table_ExternalData_15[[#This Row],[IType]],IsDList,Table_ExternalData_15[[#Headers],[9]])</f>
        <v>0</v>
      </c>
      <c r="N59" s="10">
        <f>SUMIFS(IsQList,IsIList,Table_ExternalData_15[[#This Row],[item_key]],IsITypeList,Table_ExternalData_15[[#This Row],[IType]],IsDList,Table_ExternalData_15[[#Headers],[10]])</f>
        <v>0</v>
      </c>
      <c r="O59" s="10">
        <f>SUMIFS(IsQList,IsIList,Table_ExternalData_15[[#This Row],[item_key]],IsITypeList,Table_ExternalData_15[[#This Row],[IType]],IsDList,Table_ExternalData_15[[#Headers],[11]])</f>
        <v>0</v>
      </c>
      <c r="P59" s="10">
        <f>SUMIFS(IsQList,IsIList,Table_ExternalData_15[[#This Row],[item_key]],IsITypeList,Table_ExternalData_15[[#This Row],[IType]],IsDList,Table_ExternalData_15[[#Headers],[12]])</f>
        <v>0</v>
      </c>
      <c r="Q59" s="10">
        <f>SUMIFS(IsQList,IsIList,Table_ExternalData_15[[#This Row],[item_key]],IsITypeList,Table_ExternalData_15[[#This Row],[IType]],IsDList,Table_ExternalData_15[[#Headers],[13]])</f>
        <v>0</v>
      </c>
      <c r="R59" s="10">
        <f>SUMIFS(IsQList,IsIList,Table_ExternalData_15[[#This Row],[item_key]],IsITypeList,Table_ExternalData_15[[#This Row],[IType]],IsDList,Table_ExternalData_15[[#Headers],[14]])</f>
        <v>0</v>
      </c>
      <c r="S59" s="10">
        <f>SUMIFS(IsQList,IsIList,Table_ExternalData_15[[#This Row],[item_key]],IsITypeList,Table_ExternalData_15[[#This Row],[IType]],IsDList,Table_ExternalData_15[[#Headers],[15]])</f>
        <v>0</v>
      </c>
      <c r="T59" s="10">
        <f>SUMIFS(IsQList,IsIList,Table_ExternalData_15[[#This Row],[item_key]],IsITypeList,Table_ExternalData_15[[#This Row],[IType]],IsDList,Table_ExternalData_15[[#Headers],[16]])</f>
        <v>0</v>
      </c>
      <c r="U59" s="10">
        <f>SUMIFS(IsQList,IsIList,Table_ExternalData_15[[#This Row],[item_key]],IsITypeList,Table_ExternalData_15[[#This Row],[IType]],IsDList,Table_ExternalData_15[[#Headers],[17]])</f>
        <v>0</v>
      </c>
      <c r="V59" s="10">
        <f>SUMIFS(IsQList,IsIList,Table_ExternalData_15[[#This Row],[item_key]],IsITypeList,Table_ExternalData_15[[#This Row],[IType]],IsDList,Table_ExternalData_15[[#Headers],[18]])</f>
        <v>0</v>
      </c>
      <c r="W59" s="10">
        <f>SUMIFS(IsQList,IsIList,Table_ExternalData_15[[#This Row],[item_key]],IsITypeList,Table_ExternalData_15[[#This Row],[IType]],IsDList,Table_ExternalData_15[[#Headers],[19]])</f>
        <v>0</v>
      </c>
      <c r="X59" s="10">
        <f>SUMIFS(IsQList,IsIList,Table_ExternalData_15[[#This Row],[item_key]],IsITypeList,Table_ExternalData_15[[#This Row],[IType]],IsDList,Table_ExternalData_15[[#Headers],[20]])</f>
        <v>0</v>
      </c>
      <c r="Y59" s="10">
        <f>SUMIFS(IsQList,IsIList,Table_ExternalData_15[[#This Row],[item_key]],IsITypeList,Table_ExternalData_15[[#This Row],[IType]],IsDList,Table_ExternalData_15[[#Headers],[21]])</f>
        <v>0</v>
      </c>
      <c r="Z59" s="10">
        <f>SUMIFS(IsQList,IsIList,Table_ExternalData_15[[#This Row],[item_key]],IsITypeList,Table_ExternalData_15[[#This Row],[IType]],IsDList,Table_ExternalData_15[[#Headers],[22]])</f>
        <v>0</v>
      </c>
      <c r="AA59" s="10">
        <f>SUMIFS(IsQList,IsIList,Table_ExternalData_15[[#This Row],[item_key]],IsITypeList,Table_ExternalData_15[[#This Row],[IType]],IsDList,Table_ExternalData_15[[#Headers],[23]])</f>
        <v>0</v>
      </c>
      <c r="AB59" s="10">
        <f>SUMIFS(IsQList,IsIList,Table_ExternalData_15[[#This Row],[item_key]],IsITypeList,Table_ExternalData_15[[#This Row],[IType]],IsDList,Table_ExternalData_15[[#Headers],[24]])</f>
        <v>0</v>
      </c>
      <c r="AC59" s="10">
        <f>SUMIFS(IsQList,IsIList,Table_ExternalData_15[[#This Row],[item_key]],IsITypeList,Table_ExternalData_15[[#This Row],[IType]],IsDList,Table_ExternalData_15[[#Headers],[25]])</f>
        <v>0</v>
      </c>
      <c r="AD59" s="10">
        <f>SUMIFS(IsQList,IsIList,Table_ExternalData_15[[#This Row],[item_key]],IsITypeList,Table_ExternalData_15[[#This Row],[IType]],IsDList,Table_ExternalData_15[[#Headers],[26]])</f>
        <v>0</v>
      </c>
      <c r="AE59" s="10">
        <f>SUMIFS(IsQList,IsIList,Table_ExternalData_15[[#This Row],[item_key]],IsITypeList,Table_ExternalData_15[[#This Row],[IType]],IsDList,Table_ExternalData_15[[#Headers],[27]])</f>
        <v>0</v>
      </c>
      <c r="AF59" s="10">
        <f>SUMIFS(IsQList,IsIList,Table_ExternalData_15[[#This Row],[item_key]],IsITypeList,Table_ExternalData_15[[#This Row],[IType]],IsDList,Table_ExternalData_15[[#Headers],[28]])</f>
        <v>0</v>
      </c>
      <c r="AG59" s="10">
        <f>SUMIFS(IsQList,IsIList,Table_ExternalData_15[[#This Row],[item_key]],IsITypeList,Table_ExternalData_15[[#This Row],[IType]],IsDList,Table_ExternalData_15[[#Headers],[29]])</f>
        <v>0</v>
      </c>
      <c r="AH59" s="10">
        <f>SUMIFS(IsQList,IsIList,Table_ExternalData_15[[#This Row],[item_key]],IsITypeList,Table_ExternalData_15[[#This Row],[IType]],IsDList,Table_ExternalData_15[[#Headers],[30]])</f>
        <v>0</v>
      </c>
      <c r="AI59" s="10">
        <f>SUMIFS(IsQList,IsIList,Table_ExternalData_15[[#This Row],[item_key]],IsITypeList,Table_ExternalData_15[[#This Row],[IType]],IsDList,Table_ExternalData_15[[#Headers],[31]])</f>
        <v>0</v>
      </c>
      <c r="AJ59" s="10">
        <f>SUM(Table_ExternalData_15[[#This Row],[1]:[31]])</f>
        <v>3</v>
      </c>
    </row>
    <row r="60" spans="1:36">
      <c r="A60" s="1" t="s">
        <v>360</v>
      </c>
      <c r="B60" s="1" t="s">
        <v>2490</v>
      </c>
      <c r="C60" s="1" t="s">
        <v>2491</v>
      </c>
      <c r="D60" s="11" t="s">
        <v>72</v>
      </c>
      <c r="E60" s="10">
        <f>SUMIFS(IsQList,IsIList,Table_ExternalData_15[[#This Row],[item_key]],IsITypeList,Table_ExternalData_15[[#This Row],[IType]],IsDList,Table_ExternalData_15[[#Headers],[1]])</f>
        <v>0</v>
      </c>
      <c r="F60" s="10">
        <f>SUMIFS(IsQList,IsIList,Table_ExternalData_15[[#This Row],[item_key]],IsITypeList,Table_ExternalData_15[[#This Row],[IType]],IsDList,Table_ExternalData_15[[#Headers],[2]])</f>
        <v>0</v>
      </c>
      <c r="G60" s="10">
        <f>SUMIFS(IsQList,IsIList,Table_ExternalData_15[[#This Row],[item_key]],IsITypeList,Table_ExternalData_15[[#This Row],[IType]],IsDList,Table_ExternalData_15[[#Headers],[3]])</f>
        <v>0</v>
      </c>
      <c r="H60" s="10">
        <f>SUMIFS(IsQList,IsIList,Table_ExternalData_15[[#This Row],[item_key]],IsITypeList,Table_ExternalData_15[[#This Row],[IType]],IsDList,Table_ExternalData_15[[#Headers],[4]])</f>
        <v>0</v>
      </c>
      <c r="I60" s="10">
        <f>SUMIFS(IsQList,IsIList,Table_ExternalData_15[[#This Row],[item_key]],IsITypeList,Table_ExternalData_15[[#This Row],[IType]],IsDList,Table_ExternalData_15[[#Headers],[5]])</f>
        <v>0</v>
      </c>
      <c r="J60" s="10">
        <f>SUMIFS(IsQList,IsIList,Table_ExternalData_15[[#This Row],[item_key]],IsITypeList,Table_ExternalData_15[[#This Row],[IType]],IsDList,Table_ExternalData_15[[#Headers],[6]])</f>
        <v>10</v>
      </c>
      <c r="K60" s="10">
        <f>SUMIFS(IsQList,IsIList,Table_ExternalData_15[[#This Row],[item_key]],IsITypeList,Table_ExternalData_15[[#This Row],[IType]],IsDList,Table_ExternalData_15[[#Headers],[7]])</f>
        <v>0</v>
      </c>
      <c r="L60" s="10">
        <f>SUMIFS(IsQList,IsIList,Table_ExternalData_15[[#This Row],[item_key]],IsITypeList,Table_ExternalData_15[[#This Row],[IType]],IsDList,Table_ExternalData_15[[#Headers],[8]])</f>
        <v>0</v>
      </c>
      <c r="M60" s="10">
        <f>SUMIFS(IsQList,IsIList,Table_ExternalData_15[[#This Row],[item_key]],IsITypeList,Table_ExternalData_15[[#This Row],[IType]],IsDList,Table_ExternalData_15[[#Headers],[9]])</f>
        <v>0</v>
      </c>
      <c r="N60" s="10">
        <f>SUMIFS(IsQList,IsIList,Table_ExternalData_15[[#This Row],[item_key]],IsITypeList,Table_ExternalData_15[[#This Row],[IType]],IsDList,Table_ExternalData_15[[#Headers],[10]])</f>
        <v>0</v>
      </c>
      <c r="O60" s="10">
        <f>SUMIFS(IsQList,IsIList,Table_ExternalData_15[[#This Row],[item_key]],IsITypeList,Table_ExternalData_15[[#This Row],[IType]],IsDList,Table_ExternalData_15[[#Headers],[11]])</f>
        <v>0</v>
      </c>
      <c r="P60" s="10">
        <f>SUMIFS(IsQList,IsIList,Table_ExternalData_15[[#This Row],[item_key]],IsITypeList,Table_ExternalData_15[[#This Row],[IType]],IsDList,Table_ExternalData_15[[#Headers],[12]])</f>
        <v>0</v>
      </c>
      <c r="Q60" s="10">
        <f>SUMIFS(IsQList,IsIList,Table_ExternalData_15[[#This Row],[item_key]],IsITypeList,Table_ExternalData_15[[#This Row],[IType]],IsDList,Table_ExternalData_15[[#Headers],[13]])</f>
        <v>0</v>
      </c>
      <c r="R60" s="10">
        <f>SUMIFS(IsQList,IsIList,Table_ExternalData_15[[#This Row],[item_key]],IsITypeList,Table_ExternalData_15[[#This Row],[IType]],IsDList,Table_ExternalData_15[[#Headers],[14]])</f>
        <v>0</v>
      </c>
      <c r="S60" s="10">
        <f>SUMIFS(IsQList,IsIList,Table_ExternalData_15[[#This Row],[item_key]],IsITypeList,Table_ExternalData_15[[#This Row],[IType]],IsDList,Table_ExternalData_15[[#Headers],[15]])</f>
        <v>0</v>
      </c>
      <c r="T60" s="10">
        <f>SUMIFS(IsQList,IsIList,Table_ExternalData_15[[#This Row],[item_key]],IsITypeList,Table_ExternalData_15[[#This Row],[IType]],IsDList,Table_ExternalData_15[[#Headers],[16]])</f>
        <v>10</v>
      </c>
      <c r="U60" s="10">
        <f>SUMIFS(IsQList,IsIList,Table_ExternalData_15[[#This Row],[item_key]],IsITypeList,Table_ExternalData_15[[#This Row],[IType]],IsDList,Table_ExternalData_15[[#Headers],[17]])</f>
        <v>0</v>
      </c>
      <c r="V60" s="10">
        <f>SUMIFS(IsQList,IsIList,Table_ExternalData_15[[#This Row],[item_key]],IsITypeList,Table_ExternalData_15[[#This Row],[IType]],IsDList,Table_ExternalData_15[[#Headers],[18]])</f>
        <v>0</v>
      </c>
      <c r="W60" s="10">
        <f>SUMIFS(IsQList,IsIList,Table_ExternalData_15[[#This Row],[item_key]],IsITypeList,Table_ExternalData_15[[#This Row],[IType]],IsDList,Table_ExternalData_15[[#Headers],[19]])</f>
        <v>0</v>
      </c>
      <c r="X60" s="10">
        <f>SUMIFS(IsQList,IsIList,Table_ExternalData_15[[#This Row],[item_key]],IsITypeList,Table_ExternalData_15[[#This Row],[IType]],IsDList,Table_ExternalData_15[[#Headers],[20]])</f>
        <v>0</v>
      </c>
      <c r="Y60" s="10">
        <f>SUMIFS(IsQList,IsIList,Table_ExternalData_15[[#This Row],[item_key]],IsITypeList,Table_ExternalData_15[[#This Row],[IType]],IsDList,Table_ExternalData_15[[#Headers],[21]])</f>
        <v>0</v>
      </c>
      <c r="Z60" s="10">
        <f>SUMIFS(IsQList,IsIList,Table_ExternalData_15[[#This Row],[item_key]],IsITypeList,Table_ExternalData_15[[#This Row],[IType]],IsDList,Table_ExternalData_15[[#Headers],[22]])</f>
        <v>0</v>
      </c>
      <c r="AA60" s="10">
        <f>SUMIFS(IsQList,IsIList,Table_ExternalData_15[[#This Row],[item_key]],IsITypeList,Table_ExternalData_15[[#This Row],[IType]],IsDList,Table_ExternalData_15[[#Headers],[23]])</f>
        <v>0</v>
      </c>
      <c r="AB60" s="10">
        <f>SUMIFS(IsQList,IsIList,Table_ExternalData_15[[#This Row],[item_key]],IsITypeList,Table_ExternalData_15[[#This Row],[IType]],IsDList,Table_ExternalData_15[[#Headers],[24]])</f>
        <v>0</v>
      </c>
      <c r="AC60" s="10">
        <f>SUMIFS(IsQList,IsIList,Table_ExternalData_15[[#This Row],[item_key]],IsITypeList,Table_ExternalData_15[[#This Row],[IType]],IsDList,Table_ExternalData_15[[#Headers],[25]])</f>
        <v>0</v>
      </c>
      <c r="AD60" s="10">
        <f>SUMIFS(IsQList,IsIList,Table_ExternalData_15[[#This Row],[item_key]],IsITypeList,Table_ExternalData_15[[#This Row],[IType]],IsDList,Table_ExternalData_15[[#Headers],[26]])</f>
        <v>0</v>
      </c>
      <c r="AE60" s="10">
        <f>SUMIFS(IsQList,IsIList,Table_ExternalData_15[[#This Row],[item_key]],IsITypeList,Table_ExternalData_15[[#This Row],[IType]],IsDList,Table_ExternalData_15[[#Headers],[27]])</f>
        <v>0</v>
      </c>
      <c r="AF60" s="10">
        <f>SUMIFS(IsQList,IsIList,Table_ExternalData_15[[#This Row],[item_key]],IsITypeList,Table_ExternalData_15[[#This Row],[IType]],IsDList,Table_ExternalData_15[[#Headers],[28]])</f>
        <v>0</v>
      </c>
      <c r="AG60" s="10">
        <f>SUMIFS(IsQList,IsIList,Table_ExternalData_15[[#This Row],[item_key]],IsITypeList,Table_ExternalData_15[[#This Row],[IType]],IsDList,Table_ExternalData_15[[#Headers],[29]])</f>
        <v>0</v>
      </c>
      <c r="AH60" s="10">
        <f>SUMIFS(IsQList,IsIList,Table_ExternalData_15[[#This Row],[item_key]],IsITypeList,Table_ExternalData_15[[#This Row],[IType]],IsDList,Table_ExternalData_15[[#Headers],[30]])</f>
        <v>0</v>
      </c>
      <c r="AI60" s="10">
        <f>SUMIFS(IsQList,IsIList,Table_ExternalData_15[[#This Row],[item_key]],IsITypeList,Table_ExternalData_15[[#This Row],[IType]],IsDList,Table_ExternalData_15[[#Headers],[31]])</f>
        <v>0</v>
      </c>
      <c r="AJ60" s="10">
        <f>SUM(Table_ExternalData_15[[#This Row],[1]:[31]])</f>
        <v>20</v>
      </c>
    </row>
    <row r="61" spans="1:36">
      <c r="A61" s="1" t="s">
        <v>1692</v>
      </c>
      <c r="B61" s="1" t="s">
        <v>2492</v>
      </c>
      <c r="C61" s="1" t="s">
        <v>2493</v>
      </c>
      <c r="D61" s="11" t="s">
        <v>72</v>
      </c>
      <c r="E61" s="10">
        <f>SUMIFS(IsQList,IsIList,Table_ExternalData_15[[#This Row],[item_key]],IsITypeList,Table_ExternalData_15[[#This Row],[IType]],IsDList,Table_ExternalData_15[[#Headers],[1]])</f>
        <v>0</v>
      </c>
      <c r="F61" s="10">
        <f>SUMIFS(IsQList,IsIList,Table_ExternalData_15[[#This Row],[item_key]],IsITypeList,Table_ExternalData_15[[#This Row],[IType]],IsDList,Table_ExternalData_15[[#Headers],[2]])</f>
        <v>0</v>
      </c>
      <c r="G61" s="10">
        <f>SUMIFS(IsQList,IsIList,Table_ExternalData_15[[#This Row],[item_key]],IsITypeList,Table_ExternalData_15[[#This Row],[IType]],IsDList,Table_ExternalData_15[[#Headers],[3]])</f>
        <v>0</v>
      </c>
      <c r="H61" s="10">
        <f>SUMIFS(IsQList,IsIList,Table_ExternalData_15[[#This Row],[item_key]],IsITypeList,Table_ExternalData_15[[#This Row],[IType]],IsDList,Table_ExternalData_15[[#Headers],[4]])</f>
        <v>0</v>
      </c>
      <c r="I61" s="10">
        <f>SUMIFS(IsQList,IsIList,Table_ExternalData_15[[#This Row],[item_key]],IsITypeList,Table_ExternalData_15[[#This Row],[IType]],IsDList,Table_ExternalData_15[[#Headers],[5]])</f>
        <v>0</v>
      </c>
      <c r="J61" s="10">
        <f>SUMIFS(IsQList,IsIList,Table_ExternalData_15[[#This Row],[item_key]],IsITypeList,Table_ExternalData_15[[#This Row],[IType]],IsDList,Table_ExternalData_15[[#Headers],[6]])</f>
        <v>0</v>
      </c>
      <c r="K61" s="10">
        <f>SUMIFS(IsQList,IsIList,Table_ExternalData_15[[#This Row],[item_key]],IsITypeList,Table_ExternalData_15[[#This Row],[IType]],IsDList,Table_ExternalData_15[[#Headers],[7]])</f>
        <v>0</v>
      </c>
      <c r="L61" s="10">
        <f>SUMIFS(IsQList,IsIList,Table_ExternalData_15[[#This Row],[item_key]],IsITypeList,Table_ExternalData_15[[#This Row],[IType]],IsDList,Table_ExternalData_15[[#Headers],[8]])</f>
        <v>0</v>
      </c>
      <c r="M61" s="10">
        <f>SUMIFS(IsQList,IsIList,Table_ExternalData_15[[#This Row],[item_key]],IsITypeList,Table_ExternalData_15[[#This Row],[IType]],IsDList,Table_ExternalData_15[[#Headers],[9]])</f>
        <v>0</v>
      </c>
      <c r="N61" s="10">
        <f>SUMIFS(IsQList,IsIList,Table_ExternalData_15[[#This Row],[item_key]],IsITypeList,Table_ExternalData_15[[#This Row],[IType]],IsDList,Table_ExternalData_15[[#Headers],[10]])</f>
        <v>0</v>
      </c>
      <c r="O61" s="10">
        <f>SUMIFS(IsQList,IsIList,Table_ExternalData_15[[#This Row],[item_key]],IsITypeList,Table_ExternalData_15[[#This Row],[IType]],IsDList,Table_ExternalData_15[[#Headers],[11]])</f>
        <v>0</v>
      </c>
      <c r="P61" s="10">
        <f>SUMIFS(IsQList,IsIList,Table_ExternalData_15[[#This Row],[item_key]],IsITypeList,Table_ExternalData_15[[#This Row],[IType]],IsDList,Table_ExternalData_15[[#Headers],[12]])</f>
        <v>0</v>
      </c>
      <c r="Q61" s="10">
        <f>SUMIFS(IsQList,IsIList,Table_ExternalData_15[[#This Row],[item_key]],IsITypeList,Table_ExternalData_15[[#This Row],[IType]],IsDList,Table_ExternalData_15[[#Headers],[13]])</f>
        <v>0</v>
      </c>
      <c r="R61" s="10">
        <f>SUMIFS(IsQList,IsIList,Table_ExternalData_15[[#This Row],[item_key]],IsITypeList,Table_ExternalData_15[[#This Row],[IType]],IsDList,Table_ExternalData_15[[#Headers],[14]])</f>
        <v>0</v>
      </c>
      <c r="S61" s="10">
        <f>SUMIFS(IsQList,IsIList,Table_ExternalData_15[[#This Row],[item_key]],IsITypeList,Table_ExternalData_15[[#This Row],[IType]],IsDList,Table_ExternalData_15[[#Headers],[15]])</f>
        <v>0</v>
      </c>
      <c r="T61" s="10">
        <f>SUMIFS(IsQList,IsIList,Table_ExternalData_15[[#This Row],[item_key]],IsITypeList,Table_ExternalData_15[[#This Row],[IType]],IsDList,Table_ExternalData_15[[#Headers],[16]])</f>
        <v>0</v>
      </c>
      <c r="U61" s="10">
        <f>SUMIFS(IsQList,IsIList,Table_ExternalData_15[[#This Row],[item_key]],IsITypeList,Table_ExternalData_15[[#This Row],[IType]],IsDList,Table_ExternalData_15[[#Headers],[17]])</f>
        <v>0</v>
      </c>
      <c r="V61" s="10">
        <f>SUMIFS(IsQList,IsIList,Table_ExternalData_15[[#This Row],[item_key]],IsITypeList,Table_ExternalData_15[[#This Row],[IType]],IsDList,Table_ExternalData_15[[#Headers],[18]])</f>
        <v>0</v>
      </c>
      <c r="W61" s="10">
        <f>SUMIFS(IsQList,IsIList,Table_ExternalData_15[[#This Row],[item_key]],IsITypeList,Table_ExternalData_15[[#This Row],[IType]],IsDList,Table_ExternalData_15[[#Headers],[19]])</f>
        <v>0</v>
      </c>
      <c r="X61" s="10">
        <f>SUMIFS(IsQList,IsIList,Table_ExternalData_15[[#This Row],[item_key]],IsITypeList,Table_ExternalData_15[[#This Row],[IType]],IsDList,Table_ExternalData_15[[#Headers],[20]])</f>
        <v>0</v>
      </c>
      <c r="Y61" s="10">
        <f>SUMIFS(IsQList,IsIList,Table_ExternalData_15[[#This Row],[item_key]],IsITypeList,Table_ExternalData_15[[#This Row],[IType]],IsDList,Table_ExternalData_15[[#Headers],[21]])</f>
        <v>0</v>
      </c>
      <c r="Z61" s="10">
        <f>SUMIFS(IsQList,IsIList,Table_ExternalData_15[[#This Row],[item_key]],IsITypeList,Table_ExternalData_15[[#This Row],[IType]],IsDList,Table_ExternalData_15[[#Headers],[22]])</f>
        <v>0</v>
      </c>
      <c r="AA61" s="10">
        <f>SUMIFS(IsQList,IsIList,Table_ExternalData_15[[#This Row],[item_key]],IsITypeList,Table_ExternalData_15[[#This Row],[IType]],IsDList,Table_ExternalData_15[[#Headers],[23]])</f>
        <v>0</v>
      </c>
      <c r="AB61" s="10">
        <f>SUMIFS(IsQList,IsIList,Table_ExternalData_15[[#This Row],[item_key]],IsITypeList,Table_ExternalData_15[[#This Row],[IType]],IsDList,Table_ExternalData_15[[#Headers],[24]])</f>
        <v>2</v>
      </c>
      <c r="AC61" s="10">
        <f>SUMIFS(IsQList,IsIList,Table_ExternalData_15[[#This Row],[item_key]],IsITypeList,Table_ExternalData_15[[#This Row],[IType]],IsDList,Table_ExternalData_15[[#Headers],[25]])</f>
        <v>0</v>
      </c>
      <c r="AD61" s="10">
        <f>SUMIFS(IsQList,IsIList,Table_ExternalData_15[[#This Row],[item_key]],IsITypeList,Table_ExternalData_15[[#This Row],[IType]],IsDList,Table_ExternalData_15[[#Headers],[26]])</f>
        <v>0</v>
      </c>
      <c r="AE61" s="10">
        <f>SUMIFS(IsQList,IsIList,Table_ExternalData_15[[#This Row],[item_key]],IsITypeList,Table_ExternalData_15[[#This Row],[IType]],IsDList,Table_ExternalData_15[[#Headers],[27]])</f>
        <v>0</v>
      </c>
      <c r="AF61" s="10">
        <f>SUMIFS(IsQList,IsIList,Table_ExternalData_15[[#This Row],[item_key]],IsITypeList,Table_ExternalData_15[[#This Row],[IType]],IsDList,Table_ExternalData_15[[#Headers],[28]])</f>
        <v>0</v>
      </c>
      <c r="AG61" s="10">
        <f>SUMIFS(IsQList,IsIList,Table_ExternalData_15[[#This Row],[item_key]],IsITypeList,Table_ExternalData_15[[#This Row],[IType]],IsDList,Table_ExternalData_15[[#Headers],[29]])</f>
        <v>0</v>
      </c>
      <c r="AH61" s="10">
        <f>SUMIFS(IsQList,IsIList,Table_ExternalData_15[[#This Row],[item_key]],IsITypeList,Table_ExternalData_15[[#This Row],[IType]],IsDList,Table_ExternalData_15[[#Headers],[30]])</f>
        <v>0</v>
      </c>
      <c r="AI61" s="10">
        <f>SUMIFS(IsQList,IsIList,Table_ExternalData_15[[#This Row],[item_key]],IsITypeList,Table_ExternalData_15[[#This Row],[IType]],IsDList,Table_ExternalData_15[[#Headers],[31]])</f>
        <v>0</v>
      </c>
      <c r="AJ61" s="10">
        <f>SUM(Table_ExternalData_15[[#This Row],[1]:[31]])</f>
        <v>2</v>
      </c>
    </row>
    <row r="62" spans="1:36">
      <c r="A62" s="1" t="s">
        <v>361</v>
      </c>
      <c r="B62" s="1" t="s">
        <v>2494</v>
      </c>
      <c r="C62" s="1" t="s">
        <v>2495</v>
      </c>
      <c r="D62" s="11" t="s">
        <v>72</v>
      </c>
      <c r="E62" s="10">
        <f>SUMIFS(IsQList,IsIList,Table_ExternalData_15[[#This Row],[item_key]],IsITypeList,Table_ExternalData_15[[#This Row],[IType]],IsDList,Table_ExternalData_15[[#Headers],[1]])</f>
        <v>0</v>
      </c>
      <c r="F62" s="10">
        <f>SUMIFS(IsQList,IsIList,Table_ExternalData_15[[#This Row],[item_key]],IsITypeList,Table_ExternalData_15[[#This Row],[IType]],IsDList,Table_ExternalData_15[[#Headers],[2]])</f>
        <v>0</v>
      </c>
      <c r="G62" s="10">
        <f>SUMIFS(IsQList,IsIList,Table_ExternalData_15[[#This Row],[item_key]],IsITypeList,Table_ExternalData_15[[#This Row],[IType]],IsDList,Table_ExternalData_15[[#Headers],[3]])</f>
        <v>0</v>
      </c>
      <c r="H62" s="10">
        <f>SUMIFS(IsQList,IsIList,Table_ExternalData_15[[#This Row],[item_key]],IsITypeList,Table_ExternalData_15[[#This Row],[IType]],IsDList,Table_ExternalData_15[[#Headers],[4]])</f>
        <v>0</v>
      </c>
      <c r="I62" s="10">
        <f>SUMIFS(IsQList,IsIList,Table_ExternalData_15[[#This Row],[item_key]],IsITypeList,Table_ExternalData_15[[#This Row],[IType]],IsDList,Table_ExternalData_15[[#Headers],[5]])</f>
        <v>0</v>
      </c>
      <c r="J62" s="10">
        <f>SUMIFS(IsQList,IsIList,Table_ExternalData_15[[#This Row],[item_key]],IsITypeList,Table_ExternalData_15[[#This Row],[IType]],IsDList,Table_ExternalData_15[[#Headers],[6]])</f>
        <v>0</v>
      </c>
      <c r="K62" s="10">
        <f>SUMIFS(IsQList,IsIList,Table_ExternalData_15[[#This Row],[item_key]],IsITypeList,Table_ExternalData_15[[#This Row],[IType]],IsDList,Table_ExternalData_15[[#Headers],[7]])</f>
        <v>0</v>
      </c>
      <c r="L62" s="10">
        <f>SUMIFS(IsQList,IsIList,Table_ExternalData_15[[#This Row],[item_key]],IsITypeList,Table_ExternalData_15[[#This Row],[IType]],IsDList,Table_ExternalData_15[[#Headers],[8]])</f>
        <v>0</v>
      </c>
      <c r="M62" s="10">
        <f>SUMIFS(IsQList,IsIList,Table_ExternalData_15[[#This Row],[item_key]],IsITypeList,Table_ExternalData_15[[#This Row],[IType]],IsDList,Table_ExternalData_15[[#Headers],[9]])</f>
        <v>0</v>
      </c>
      <c r="N62" s="10">
        <f>SUMIFS(IsQList,IsIList,Table_ExternalData_15[[#This Row],[item_key]],IsITypeList,Table_ExternalData_15[[#This Row],[IType]],IsDList,Table_ExternalData_15[[#Headers],[10]])</f>
        <v>0</v>
      </c>
      <c r="O62" s="10">
        <f>SUMIFS(IsQList,IsIList,Table_ExternalData_15[[#This Row],[item_key]],IsITypeList,Table_ExternalData_15[[#This Row],[IType]],IsDList,Table_ExternalData_15[[#Headers],[11]])</f>
        <v>0</v>
      </c>
      <c r="P62" s="10">
        <f>SUMIFS(IsQList,IsIList,Table_ExternalData_15[[#This Row],[item_key]],IsITypeList,Table_ExternalData_15[[#This Row],[IType]],IsDList,Table_ExternalData_15[[#Headers],[12]])</f>
        <v>0</v>
      </c>
      <c r="Q62" s="10">
        <f>SUMIFS(IsQList,IsIList,Table_ExternalData_15[[#This Row],[item_key]],IsITypeList,Table_ExternalData_15[[#This Row],[IType]],IsDList,Table_ExternalData_15[[#Headers],[13]])</f>
        <v>0</v>
      </c>
      <c r="R62" s="10">
        <f>SUMIFS(IsQList,IsIList,Table_ExternalData_15[[#This Row],[item_key]],IsITypeList,Table_ExternalData_15[[#This Row],[IType]],IsDList,Table_ExternalData_15[[#Headers],[14]])</f>
        <v>0</v>
      </c>
      <c r="S62" s="10">
        <f>SUMIFS(IsQList,IsIList,Table_ExternalData_15[[#This Row],[item_key]],IsITypeList,Table_ExternalData_15[[#This Row],[IType]],IsDList,Table_ExternalData_15[[#Headers],[15]])</f>
        <v>0</v>
      </c>
      <c r="T62" s="10">
        <f>SUMIFS(IsQList,IsIList,Table_ExternalData_15[[#This Row],[item_key]],IsITypeList,Table_ExternalData_15[[#This Row],[IType]],IsDList,Table_ExternalData_15[[#Headers],[16]])</f>
        <v>0</v>
      </c>
      <c r="U62" s="10">
        <f>SUMIFS(IsQList,IsIList,Table_ExternalData_15[[#This Row],[item_key]],IsITypeList,Table_ExternalData_15[[#This Row],[IType]],IsDList,Table_ExternalData_15[[#Headers],[17]])</f>
        <v>0</v>
      </c>
      <c r="V62" s="10">
        <f>SUMIFS(IsQList,IsIList,Table_ExternalData_15[[#This Row],[item_key]],IsITypeList,Table_ExternalData_15[[#This Row],[IType]],IsDList,Table_ExternalData_15[[#Headers],[18]])</f>
        <v>0</v>
      </c>
      <c r="W62" s="10">
        <f>SUMIFS(IsQList,IsIList,Table_ExternalData_15[[#This Row],[item_key]],IsITypeList,Table_ExternalData_15[[#This Row],[IType]],IsDList,Table_ExternalData_15[[#Headers],[19]])</f>
        <v>0</v>
      </c>
      <c r="X62" s="10">
        <f>SUMIFS(IsQList,IsIList,Table_ExternalData_15[[#This Row],[item_key]],IsITypeList,Table_ExternalData_15[[#This Row],[IType]],IsDList,Table_ExternalData_15[[#Headers],[20]])</f>
        <v>0</v>
      </c>
      <c r="Y62" s="10">
        <f>SUMIFS(IsQList,IsIList,Table_ExternalData_15[[#This Row],[item_key]],IsITypeList,Table_ExternalData_15[[#This Row],[IType]],IsDList,Table_ExternalData_15[[#Headers],[21]])</f>
        <v>0</v>
      </c>
      <c r="Z62" s="10">
        <f>SUMIFS(IsQList,IsIList,Table_ExternalData_15[[#This Row],[item_key]],IsITypeList,Table_ExternalData_15[[#This Row],[IType]],IsDList,Table_ExternalData_15[[#Headers],[22]])</f>
        <v>0</v>
      </c>
      <c r="AA62" s="10">
        <f>SUMIFS(IsQList,IsIList,Table_ExternalData_15[[#This Row],[item_key]],IsITypeList,Table_ExternalData_15[[#This Row],[IType]],IsDList,Table_ExternalData_15[[#Headers],[23]])</f>
        <v>0</v>
      </c>
      <c r="AB62" s="10">
        <f>SUMIFS(IsQList,IsIList,Table_ExternalData_15[[#This Row],[item_key]],IsITypeList,Table_ExternalData_15[[#This Row],[IType]],IsDList,Table_ExternalData_15[[#Headers],[24]])</f>
        <v>2</v>
      </c>
      <c r="AC62" s="10">
        <f>SUMIFS(IsQList,IsIList,Table_ExternalData_15[[#This Row],[item_key]],IsITypeList,Table_ExternalData_15[[#This Row],[IType]],IsDList,Table_ExternalData_15[[#Headers],[25]])</f>
        <v>0</v>
      </c>
      <c r="AD62" s="10">
        <f>SUMIFS(IsQList,IsIList,Table_ExternalData_15[[#This Row],[item_key]],IsITypeList,Table_ExternalData_15[[#This Row],[IType]],IsDList,Table_ExternalData_15[[#Headers],[26]])</f>
        <v>0</v>
      </c>
      <c r="AE62" s="10">
        <f>SUMIFS(IsQList,IsIList,Table_ExternalData_15[[#This Row],[item_key]],IsITypeList,Table_ExternalData_15[[#This Row],[IType]],IsDList,Table_ExternalData_15[[#Headers],[27]])</f>
        <v>0</v>
      </c>
      <c r="AF62" s="10">
        <f>SUMIFS(IsQList,IsIList,Table_ExternalData_15[[#This Row],[item_key]],IsITypeList,Table_ExternalData_15[[#This Row],[IType]],IsDList,Table_ExternalData_15[[#Headers],[28]])</f>
        <v>0</v>
      </c>
      <c r="AG62" s="10">
        <f>SUMIFS(IsQList,IsIList,Table_ExternalData_15[[#This Row],[item_key]],IsITypeList,Table_ExternalData_15[[#This Row],[IType]],IsDList,Table_ExternalData_15[[#Headers],[29]])</f>
        <v>0</v>
      </c>
      <c r="AH62" s="10">
        <f>SUMIFS(IsQList,IsIList,Table_ExternalData_15[[#This Row],[item_key]],IsITypeList,Table_ExternalData_15[[#This Row],[IType]],IsDList,Table_ExternalData_15[[#Headers],[30]])</f>
        <v>70</v>
      </c>
      <c r="AI62" s="10">
        <f>SUMIFS(IsQList,IsIList,Table_ExternalData_15[[#This Row],[item_key]],IsITypeList,Table_ExternalData_15[[#This Row],[IType]],IsDList,Table_ExternalData_15[[#Headers],[31]])</f>
        <v>0</v>
      </c>
      <c r="AJ62" s="10">
        <f>SUM(Table_ExternalData_15[[#This Row],[1]:[31]])</f>
        <v>72</v>
      </c>
    </row>
    <row r="63" spans="1:36">
      <c r="A63" s="1" t="s">
        <v>364</v>
      </c>
      <c r="B63" s="1" t="s">
        <v>2496</v>
      </c>
      <c r="C63" s="1" t="s">
        <v>2497</v>
      </c>
      <c r="D63" s="11" t="s">
        <v>72</v>
      </c>
      <c r="E63" s="10">
        <f>SUMIFS(IsQList,IsIList,Table_ExternalData_15[[#This Row],[item_key]],IsITypeList,Table_ExternalData_15[[#This Row],[IType]],IsDList,Table_ExternalData_15[[#Headers],[1]])</f>
        <v>0</v>
      </c>
      <c r="F63" s="10">
        <f>SUMIFS(IsQList,IsIList,Table_ExternalData_15[[#This Row],[item_key]],IsITypeList,Table_ExternalData_15[[#This Row],[IType]],IsDList,Table_ExternalData_15[[#Headers],[2]])</f>
        <v>0</v>
      </c>
      <c r="G63" s="10">
        <f>SUMIFS(IsQList,IsIList,Table_ExternalData_15[[#This Row],[item_key]],IsITypeList,Table_ExternalData_15[[#This Row],[IType]],IsDList,Table_ExternalData_15[[#Headers],[3]])</f>
        <v>0</v>
      </c>
      <c r="H63" s="10">
        <f>SUMIFS(IsQList,IsIList,Table_ExternalData_15[[#This Row],[item_key]],IsITypeList,Table_ExternalData_15[[#This Row],[IType]],IsDList,Table_ExternalData_15[[#Headers],[4]])</f>
        <v>0</v>
      </c>
      <c r="I63" s="10">
        <f>SUMIFS(IsQList,IsIList,Table_ExternalData_15[[#This Row],[item_key]],IsITypeList,Table_ExternalData_15[[#This Row],[IType]],IsDList,Table_ExternalData_15[[#Headers],[5]])</f>
        <v>0</v>
      </c>
      <c r="J63" s="10">
        <f>SUMIFS(IsQList,IsIList,Table_ExternalData_15[[#This Row],[item_key]],IsITypeList,Table_ExternalData_15[[#This Row],[IType]],IsDList,Table_ExternalData_15[[#Headers],[6]])</f>
        <v>0</v>
      </c>
      <c r="K63" s="10">
        <f>SUMIFS(IsQList,IsIList,Table_ExternalData_15[[#This Row],[item_key]],IsITypeList,Table_ExternalData_15[[#This Row],[IType]],IsDList,Table_ExternalData_15[[#Headers],[7]])</f>
        <v>0</v>
      </c>
      <c r="L63" s="10">
        <f>SUMIFS(IsQList,IsIList,Table_ExternalData_15[[#This Row],[item_key]],IsITypeList,Table_ExternalData_15[[#This Row],[IType]],IsDList,Table_ExternalData_15[[#Headers],[8]])</f>
        <v>0</v>
      </c>
      <c r="M63" s="10">
        <f>SUMIFS(IsQList,IsIList,Table_ExternalData_15[[#This Row],[item_key]],IsITypeList,Table_ExternalData_15[[#This Row],[IType]],IsDList,Table_ExternalData_15[[#Headers],[9]])</f>
        <v>0</v>
      </c>
      <c r="N63" s="10">
        <f>SUMIFS(IsQList,IsIList,Table_ExternalData_15[[#This Row],[item_key]],IsITypeList,Table_ExternalData_15[[#This Row],[IType]],IsDList,Table_ExternalData_15[[#Headers],[10]])</f>
        <v>0</v>
      </c>
      <c r="O63" s="10">
        <f>SUMIFS(IsQList,IsIList,Table_ExternalData_15[[#This Row],[item_key]],IsITypeList,Table_ExternalData_15[[#This Row],[IType]],IsDList,Table_ExternalData_15[[#Headers],[11]])</f>
        <v>0</v>
      </c>
      <c r="P63" s="10">
        <f>SUMIFS(IsQList,IsIList,Table_ExternalData_15[[#This Row],[item_key]],IsITypeList,Table_ExternalData_15[[#This Row],[IType]],IsDList,Table_ExternalData_15[[#Headers],[12]])</f>
        <v>0</v>
      </c>
      <c r="Q63" s="10">
        <f>SUMIFS(IsQList,IsIList,Table_ExternalData_15[[#This Row],[item_key]],IsITypeList,Table_ExternalData_15[[#This Row],[IType]],IsDList,Table_ExternalData_15[[#Headers],[13]])</f>
        <v>0</v>
      </c>
      <c r="R63" s="10">
        <f>SUMIFS(IsQList,IsIList,Table_ExternalData_15[[#This Row],[item_key]],IsITypeList,Table_ExternalData_15[[#This Row],[IType]],IsDList,Table_ExternalData_15[[#Headers],[14]])</f>
        <v>0</v>
      </c>
      <c r="S63" s="10">
        <f>SUMIFS(IsQList,IsIList,Table_ExternalData_15[[#This Row],[item_key]],IsITypeList,Table_ExternalData_15[[#This Row],[IType]],IsDList,Table_ExternalData_15[[#Headers],[15]])</f>
        <v>0</v>
      </c>
      <c r="T63" s="10">
        <f>SUMIFS(IsQList,IsIList,Table_ExternalData_15[[#This Row],[item_key]],IsITypeList,Table_ExternalData_15[[#This Row],[IType]],IsDList,Table_ExternalData_15[[#Headers],[16]])</f>
        <v>0</v>
      </c>
      <c r="U63" s="10">
        <f>SUMIFS(IsQList,IsIList,Table_ExternalData_15[[#This Row],[item_key]],IsITypeList,Table_ExternalData_15[[#This Row],[IType]],IsDList,Table_ExternalData_15[[#Headers],[17]])</f>
        <v>0</v>
      </c>
      <c r="V63" s="10">
        <f>SUMIFS(IsQList,IsIList,Table_ExternalData_15[[#This Row],[item_key]],IsITypeList,Table_ExternalData_15[[#This Row],[IType]],IsDList,Table_ExternalData_15[[#Headers],[18]])</f>
        <v>0</v>
      </c>
      <c r="W63" s="10">
        <f>SUMIFS(IsQList,IsIList,Table_ExternalData_15[[#This Row],[item_key]],IsITypeList,Table_ExternalData_15[[#This Row],[IType]],IsDList,Table_ExternalData_15[[#Headers],[19]])</f>
        <v>0</v>
      </c>
      <c r="X63" s="10">
        <f>SUMIFS(IsQList,IsIList,Table_ExternalData_15[[#This Row],[item_key]],IsITypeList,Table_ExternalData_15[[#This Row],[IType]],IsDList,Table_ExternalData_15[[#Headers],[20]])</f>
        <v>0</v>
      </c>
      <c r="Y63" s="10">
        <f>SUMIFS(IsQList,IsIList,Table_ExternalData_15[[#This Row],[item_key]],IsITypeList,Table_ExternalData_15[[#This Row],[IType]],IsDList,Table_ExternalData_15[[#Headers],[21]])</f>
        <v>0</v>
      </c>
      <c r="Z63" s="10">
        <f>SUMIFS(IsQList,IsIList,Table_ExternalData_15[[#This Row],[item_key]],IsITypeList,Table_ExternalData_15[[#This Row],[IType]],IsDList,Table_ExternalData_15[[#Headers],[22]])</f>
        <v>0</v>
      </c>
      <c r="AA63" s="10">
        <f>SUMIFS(IsQList,IsIList,Table_ExternalData_15[[#This Row],[item_key]],IsITypeList,Table_ExternalData_15[[#This Row],[IType]],IsDList,Table_ExternalData_15[[#Headers],[23]])</f>
        <v>0</v>
      </c>
      <c r="AB63" s="10">
        <f>SUMIFS(IsQList,IsIList,Table_ExternalData_15[[#This Row],[item_key]],IsITypeList,Table_ExternalData_15[[#This Row],[IType]],IsDList,Table_ExternalData_15[[#Headers],[24]])</f>
        <v>130</v>
      </c>
      <c r="AC63" s="10">
        <f>SUMIFS(IsQList,IsIList,Table_ExternalData_15[[#This Row],[item_key]],IsITypeList,Table_ExternalData_15[[#This Row],[IType]],IsDList,Table_ExternalData_15[[#Headers],[25]])</f>
        <v>0</v>
      </c>
      <c r="AD63" s="10">
        <f>SUMIFS(IsQList,IsIList,Table_ExternalData_15[[#This Row],[item_key]],IsITypeList,Table_ExternalData_15[[#This Row],[IType]],IsDList,Table_ExternalData_15[[#Headers],[26]])</f>
        <v>0</v>
      </c>
      <c r="AE63" s="10">
        <f>SUMIFS(IsQList,IsIList,Table_ExternalData_15[[#This Row],[item_key]],IsITypeList,Table_ExternalData_15[[#This Row],[IType]],IsDList,Table_ExternalData_15[[#Headers],[27]])</f>
        <v>0</v>
      </c>
      <c r="AF63" s="10">
        <f>SUMIFS(IsQList,IsIList,Table_ExternalData_15[[#This Row],[item_key]],IsITypeList,Table_ExternalData_15[[#This Row],[IType]],IsDList,Table_ExternalData_15[[#Headers],[28]])</f>
        <v>0</v>
      </c>
      <c r="AG63" s="10">
        <f>SUMIFS(IsQList,IsIList,Table_ExternalData_15[[#This Row],[item_key]],IsITypeList,Table_ExternalData_15[[#This Row],[IType]],IsDList,Table_ExternalData_15[[#Headers],[29]])</f>
        <v>0</v>
      </c>
      <c r="AH63" s="10">
        <f>SUMIFS(IsQList,IsIList,Table_ExternalData_15[[#This Row],[item_key]],IsITypeList,Table_ExternalData_15[[#This Row],[IType]],IsDList,Table_ExternalData_15[[#Headers],[30]])</f>
        <v>100</v>
      </c>
      <c r="AI63" s="10">
        <f>SUMIFS(IsQList,IsIList,Table_ExternalData_15[[#This Row],[item_key]],IsITypeList,Table_ExternalData_15[[#This Row],[IType]],IsDList,Table_ExternalData_15[[#Headers],[31]])</f>
        <v>0</v>
      </c>
      <c r="AJ63" s="10">
        <f>SUM(Table_ExternalData_15[[#This Row],[1]:[31]])</f>
        <v>230</v>
      </c>
    </row>
    <row r="64" spans="1:36">
      <c r="A64" s="1" t="s">
        <v>367</v>
      </c>
      <c r="B64" s="1" t="s">
        <v>2498</v>
      </c>
      <c r="C64" s="1" t="s">
        <v>1421</v>
      </c>
      <c r="D64" s="11" t="s">
        <v>72</v>
      </c>
      <c r="E64" s="10">
        <f>SUMIFS(IsQList,IsIList,Table_ExternalData_15[[#This Row],[item_key]],IsITypeList,Table_ExternalData_15[[#This Row],[IType]],IsDList,Table_ExternalData_15[[#Headers],[1]])</f>
        <v>0</v>
      </c>
      <c r="F64" s="10">
        <f>SUMIFS(IsQList,IsIList,Table_ExternalData_15[[#This Row],[item_key]],IsITypeList,Table_ExternalData_15[[#This Row],[IType]],IsDList,Table_ExternalData_15[[#Headers],[2]])</f>
        <v>0</v>
      </c>
      <c r="G64" s="10">
        <f>SUMIFS(IsQList,IsIList,Table_ExternalData_15[[#This Row],[item_key]],IsITypeList,Table_ExternalData_15[[#This Row],[IType]],IsDList,Table_ExternalData_15[[#Headers],[3]])</f>
        <v>0</v>
      </c>
      <c r="H64" s="10">
        <f>SUMIFS(IsQList,IsIList,Table_ExternalData_15[[#This Row],[item_key]],IsITypeList,Table_ExternalData_15[[#This Row],[IType]],IsDList,Table_ExternalData_15[[#Headers],[4]])</f>
        <v>0</v>
      </c>
      <c r="I64" s="10">
        <f>SUMIFS(IsQList,IsIList,Table_ExternalData_15[[#This Row],[item_key]],IsITypeList,Table_ExternalData_15[[#This Row],[IType]],IsDList,Table_ExternalData_15[[#Headers],[5]])</f>
        <v>0</v>
      </c>
      <c r="J64" s="10">
        <f>SUMIFS(IsQList,IsIList,Table_ExternalData_15[[#This Row],[item_key]],IsITypeList,Table_ExternalData_15[[#This Row],[IType]],IsDList,Table_ExternalData_15[[#Headers],[6]])</f>
        <v>2</v>
      </c>
      <c r="K64" s="10">
        <f>SUMIFS(IsQList,IsIList,Table_ExternalData_15[[#This Row],[item_key]],IsITypeList,Table_ExternalData_15[[#This Row],[IType]],IsDList,Table_ExternalData_15[[#Headers],[7]])</f>
        <v>0</v>
      </c>
      <c r="L64" s="10">
        <f>SUMIFS(IsQList,IsIList,Table_ExternalData_15[[#This Row],[item_key]],IsITypeList,Table_ExternalData_15[[#This Row],[IType]],IsDList,Table_ExternalData_15[[#Headers],[8]])</f>
        <v>0</v>
      </c>
      <c r="M64" s="10">
        <f>SUMIFS(IsQList,IsIList,Table_ExternalData_15[[#This Row],[item_key]],IsITypeList,Table_ExternalData_15[[#This Row],[IType]],IsDList,Table_ExternalData_15[[#Headers],[9]])</f>
        <v>0</v>
      </c>
      <c r="N64" s="10">
        <f>SUMIFS(IsQList,IsIList,Table_ExternalData_15[[#This Row],[item_key]],IsITypeList,Table_ExternalData_15[[#This Row],[IType]],IsDList,Table_ExternalData_15[[#Headers],[10]])</f>
        <v>0</v>
      </c>
      <c r="O64" s="10">
        <f>SUMIFS(IsQList,IsIList,Table_ExternalData_15[[#This Row],[item_key]],IsITypeList,Table_ExternalData_15[[#This Row],[IType]],IsDList,Table_ExternalData_15[[#Headers],[11]])</f>
        <v>0</v>
      </c>
      <c r="P64" s="10">
        <f>SUMIFS(IsQList,IsIList,Table_ExternalData_15[[#This Row],[item_key]],IsITypeList,Table_ExternalData_15[[#This Row],[IType]],IsDList,Table_ExternalData_15[[#Headers],[12]])</f>
        <v>0</v>
      </c>
      <c r="Q64" s="10">
        <f>SUMIFS(IsQList,IsIList,Table_ExternalData_15[[#This Row],[item_key]],IsITypeList,Table_ExternalData_15[[#This Row],[IType]],IsDList,Table_ExternalData_15[[#Headers],[13]])</f>
        <v>0</v>
      </c>
      <c r="R64" s="10">
        <f>SUMIFS(IsQList,IsIList,Table_ExternalData_15[[#This Row],[item_key]],IsITypeList,Table_ExternalData_15[[#This Row],[IType]],IsDList,Table_ExternalData_15[[#Headers],[14]])</f>
        <v>0</v>
      </c>
      <c r="S64" s="10">
        <f>SUMIFS(IsQList,IsIList,Table_ExternalData_15[[#This Row],[item_key]],IsITypeList,Table_ExternalData_15[[#This Row],[IType]],IsDList,Table_ExternalData_15[[#Headers],[15]])</f>
        <v>0</v>
      </c>
      <c r="T64" s="10">
        <f>SUMIFS(IsQList,IsIList,Table_ExternalData_15[[#This Row],[item_key]],IsITypeList,Table_ExternalData_15[[#This Row],[IType]],IsDList,Table_ExternalData_15[[#Headers],[16]])</f>
        <v>10</v>
      </c>
      <c r="U64" s="10">
        <f>SUMIFS(IsQList,IsIList,Table_ExternalData_15[[#This Row],[item_key]],IsITypeList,Table_ExternalData_15[[#This Row],[IType]],IsDList,Table_ExternalData_15[[#Headers],[17]])</f>
        <v>0</v>
      </c>
      <c r="V64" s="10">
        <f>SUMIFS(IsQList,IsIList,Table_ExternalData_15[[#This Row],[item_key]],IsITypeList,Table_ExternalData_15[[#This Row],[IType]],IsDList,Table_ExternalData_15[[#Headers],[18]])</f>
        <v>0</v>
      </c>
      <c r="W64" s="10">
        <f>SUMIFS(IsQList,IsIList,Table_ExternalData_15[[#This Row],[item_key]],IsITypeList,Table_ExternalData_15[[#This Row],[IType]],IsDList,Table_ExternalData_15[[#Headers],[19]])</f>
        <v>0</v>
      </c>
      <c r="X64" s="10">
        <f>SUMIFS(IsQList,IsIList,Table_ExternalData_15[[#This Row],[item_key]],IsITypeList,Table_ExternalData_15[[#This Row],[IType]],IsDList,Table_ExternalData_15[[#Headers],[20]])</f>
        <v>0</v>
      </c>
      <c r="Y64" s="10">
        <f>SUMIFS(IsQList,IsIList,Table_ExternalData_15[[#This Row],[item_key]],IsITypeList,Table_ExternalData_15[[#This Row],[IType]],IsDList,Table_ExternalData_15[[#Headers],[21]])</f>
        <v>0</v>
      </c>
      <c r="Z64" s="10">
        <f>SUMIFS(IsQList,IsIList,Table_ExternalData_15[[#This Row],[item_key]],IsITypeList,Table_ExternalData_15[[#This Row],[IType]],IsDList,Table_ExternalData_15[[#Headers],[22]])</f>
        <v>0</v>
      </c>
      <c r="AA64" s="10">
        <f>SUMIFS(IsQList,IsIList,Table_ExternalData_15[[#This Row],[item_key]],IsITypeList,Table_ExternalData_15[[#This Row],[IType]],IsDList,Table_ExternalData_15[[#Headers],[23]])</f>
        <v>0</v>
      </c>
      <c r="AB64" s="10">
        <f>SUMIFS(IsQList,IsIList,Table_ExternalData_15[[#This Row],[item_key]],IsITypeList,Table_ExternalData_15[[#This Row],[IType]],IsDList,Table_ExternalData_15[[#Headers],[24]])</f>
        <v>0</v>
      </c>
      <c r="AC64" s="10">
        <f>SUMIFS(IsQList,IsIList,Table_ExternalData_15[[#This Row],[item_key]],IsITypeList,Table_ExternalData_15[[#This Row],[IType]],IsDList,Table_ExternalData_15[[#Headers],[25]])</f>
        <v>0</v>
      </c>
      <c r="AD64" s="10">
        <f>SUMIFS(IsQList,IsIList,Table_ExternalData_15[[#This Row],[item_key]],IsITypeList,Table_ExternalData_15[[#This Row],[IType]],IsDList,Table_ExternalData_15[[#Headers],[26]])</f>
        <v>0</v>
      </c>
      <c r="AE64" s="10">
        <f>SUMIFS(IsQList,IsIList,Table_ExternalData_15[[#This Row],[item_key]],IsITypeList,Table_ExternalData_15[[#This Row],[IType]],IsDList,Table_ExternalData_15[[#Headers],[27]])</f>
        <v>0</v>
      </c>
      <c r="AF64" s="10">
        <f>SUMIFS(IsQList,IsIList,Table_ExternalData_15[[#This Row],[item_key]],IsITypeList,Table_ExternalData_15[[#This Row],[IType]],IsDList,Table_ExternalData_15[[#Headers],[28]])</f>
        <v>0</v>
      </c>
      <c r="AG64" s="10">
        <f>SUMIFS(IsQList,IsIList,Table_ExternalData_15[[#This Row],[item_key]],IsITypeList,Table_ExternalData_15[[#This Row],[IType]],IsDList,Table_ExternalData_15[[#Headers],[29]])</f>
        <v>0</v>
      </c>
      <c r="AH64" s="10">
        <f>SUMIFS(IsQList,IsIList,Table_ExternalData_15[[#This Row],[item_key]],IsITypeList,Table_ExternalData_15[[#This Row],[IType]],IsDList,Table_ExternalData_15[[#Headers],[30]])</f>
        <v>14</v>
      </c>
      <c r="AI64" s="10">
        <f>SUMIFS(IsQList,IsIList,Table_ExternalData_15[[#This Row],[item_key]],IsITypeList,Table_ExternalData_15[[#This Row],[IType]],IsDList,Table_ExternalData_15[[#Headers],[31]])</f>
        <v>0</v>
      </c>
      <c r="AJ64" s="10">
        <f>SUM(Table_ExternalData_15[[#This Row],[1]:[31]])</f>
        <v>26</v>
      </c>
    </row>
    <row r="65" spans="1:36">
      <c r="A65" s="1" t="s">
        <v>369</v>
      </c>
      <c r="B65" s="1" t="s">
        <v>2499</v>
      </c>
      <c r="C65" s="1" t="s">
        <v>2500</v>
      </c>
      <c r="D65" s="11" t="s">
        <v>72</v>
      </c>
      <c r="E65" s="10">
        <f>SUMIFS(IsQList,IsIList,Table_ExternalData_15[[#This Row],[item_key]],IsITypeList,Table_ExternalData_15[[#This Row],[IType]],IsDList,Table_ExternalData_15[[#Headers],[1]])</f>
        <v>0</v>
      </c>
      <c r="F65" s="10">
        <f>SUMIFS(IsQList,IsIList,Table_ExternalData_15[[#This Row],[item_key]],IsITypeList,Table_ExternalData_15[[#This Row],[IType]],IsDList,Table_ExternalData_15[[#Headers],[2]])</f>
        <v>0</v>
      </c>
      <c r="G65" s="10">
        <f>SUMIFS(IsQList,IsIList,Table_ExternalData_15[[#This Row],[item_key]],IsITypeList,Table_ExternalData_15[[#This Row],[IType]],IsDList,Table_ExternalData_15[[#Headers],[3]])</f>
        <v>0</v>
      </c>
      <c r="H65" s="10">
        <f>SUMIFS(IsQList,IsIList,Table_ExternalData_15[[#This Row],[item_key]],IsITypeList,Table_ExternalData_15[[#This Row],[IType]],IsDList,Table_ExternalData_15[[#Headers],[4]])</f>
        <v>0</v>
      </c>
      <c r="I65" s="10">
        <f>SUMIFS(IsQList,IsIList,Table_ExternalData_15[[#This Row],[item_key]],IsITypeList,Table_ExternalData_15[[#This Row],[IType]],IsDList,Table_ExternalData_15[[#Headers],[5]])</f>
        <v>0</v>
      </c>
      <c r="J65" s="10">
        <f>SUMIFS(IsQList,IsIList,Table_ExternalData_15[[#This Row],[item_key]],IsITypeList,Table_ExternalData_15[[#This Row],[IType]],IsDList,Table_ExternalData_15[[#Headers],[6]])</f>
        <v>0</v>
      </c>
      <c r="K65" s="10">
        <f>SUMIFS(IsQList,IsIList,Table_ExternalData_15[[#This Row],[item_key]],IsITypeList,Table_ExternalData_15[[#This Row],[IType]],IsDList,Table_ExternalData_15[[#Headers],[7]])</f>
        <v>0</v>
      </c>
      <c r="L65" s="10">
        <f>SUMIFS(IsQList,IsIList,Table_ExternalData_15[[#This Row],[item_key]],IsITypeList,Table_ExternalData_15[[#This Row],[IType]],IsDList,Table_ExternalData_15[[#Headers],[8]])</f>
        <v>0</v>
      </c>
      <c r="M65" s="10">
        <f>SUMIFS(IsQList,IsIList,Table_ExternalData_15[[#This Row],[item_key]],IsITypeList,Table_ExternalData_15[[#This Row],[IType]],IsDList,Table_ExternalData_15[[#Headers],[9]])</f>
        <v>0</v>
      </c>
      <c r="N65" s="10">
        <f>SUMIFS(IsQList,IsIList,Table_ExternalData_15[[#This Row],[item_key]],IsITypeList,Table_ExternalData_15[[#This Row],[IType]],IsDList,Table_ExternalData_15[[#Headers],[10]])</f>
        <v>0</v>
      </c>
      <c r="O65" s="10">
        <f>SUMIFS(IsQList,IsIList,Table_ExternalData_15[[#This Row],[item_key]],IsITypeList,Table_ExternalData_15[[#This Row],[IType]],IsDList,Table_ExternalData_15[[#Headers],[11]])</f>
        <v>0</v>
      </c>
      <c r="P65" s="10">
        <f>SUMIFS(IsQList,IsIList,Table_ExternalData_15[[#This Row],[item_key]],IsITypeList,Table_ExternalData_15[[#This Row],[IType]],IsDList,Table_ExternalData_15[[#Headers],[12]])</f>
        <v>0</v>
      </c>
      <c r="Q65" s="10">
        <f>SUMIFS(IsQList,IsIList,Table_ExternalData_15[[#This Row],[item_key]],IsITypeList,Table_ExternalData_15[[#This Row],[IType]],IsDList,Table_ExternalData_15[[#Headers],[13]])</f>
        <v>0</v>
      </c>
      <c r="R65" s="10">
        <f>SUMIFS(IsQList,IsIList,Table_ExternalData_15[[#This Row],[item_key]],IsITypeList,Table_ExternalData_15[[#This Row],[IType]],IsDList,Table_ExternalData_15[[#Headers],[14]])</f>
        <v>0</v>
      </c>
      <c r="S65" s="10">
        <f>SUMIFS(IsQList,IsIList,Table_ExternalData_15[[#This Row],[item_key]],IsITypeList,Table_ExternalData_15[[#This Row],[IType]],IsDList,Table_ExternalData_15[[#Headers],[15]])</f>
        <v>0</v>
      </c>
      <c r="T65" s="10">
        <f>SUMIFS(IsQList,IsIList,Table_ExternalData_15[[#This Row],[item_key]],IsITypeList,Table_ExternalData_15[[#This Row],[IType]],IsDList,Table_ExternalData_15[[#Headers],[16]])</f>
        <v>0</v>
      </c>
      <c r="U65" s="10">
        <f>SUMIFS(IsQList,IsIList,Table_ExternalData_15[[#This Row],[item_key]],IsITypeList,Table_ExternalData_15[[#This Row],[IType]],IsDList,Table_ExternalData_15[[#Headers],[17]])</f>
        <v>0</v>
      </c>
      <c r="V65" s="10">
        <f>SUMIFS(IsQList,IsIList,Table_ExternalData_15[[#This Row],[item_key]],IsITypeList,Table_ExternalData_15[[#This Row],[IType]],IsDList,Table_ExternalData_15[[#Headers],[18]])</f>
        <v>0</v>
      </c>
      <c r="W65" s="10">
        <f>SUMIFS(IsQList,IsIList,Table_ExternalData_15[[#This Row],[item_key]],IsITypeList,Table_ExternalData_15[[#This Row],[IType]],IsDList,Table_ExternalData_15[[#Headers],[19]])</f>
        <v>0</v>
      </c>
      <c r="X65" s="10">
        <f>SUMIFS(IsQList,IsIList,Table_ExternalData_15[[#This Row],[item_key]],IsITypeList,Table_ExternalData_15[[#This Row],[IType]],IsDList,Table_ExternalData_15[[#Headers],[20]])</f>
        <v>0</v>
      </c>
      <c r="Y65" s="10">
        <f>SUMIFS(IsQList,IsIList,Table_ExternalData_15[[#This Row],[item_key]],IsITypeList,Table_ExternalData_15[[#This Row],[IType]],IsDList,Table_ExternalData_15[[#Headers],[21]])</f>
        <v>0</v>
      </c>
      <c r="Z65" s="10">
        <f>SUMIFS(IsQList,IsIList,Table_ExternalData_15[[#This Row],[item_key]],IsITypeList,Table_ExternalData_15[[#This Row],[IType]],IsDList,Table_ExternalData_15[[#Headers],[22]])</f>
        <v>0</v>
      </c>
      <c r="AA65" s="10">
        <f>SUMIFS(IsQList,IsIList,Table_ExternalData_15[[#This Row],[item_key]],IsITypeList,Table_ExternalData_15[[#This Row],[IType]],IsDList,Table_ExternalData_15[[#Headers],[23]])</f>
        <v>0</v>
      </c>
      <c r="AB65" s="10">
        <f>SUMIFS(IsQList,IsIList,Table_ExternalData_15[[#This Row],[item_key]],IsITypeList,Table_ExternalData_15[[#This Row],[IType]],IsDList,Table_ExternalData_15[[#Headers],[24]])</f>
        <v>30</v>
      </c>
      <c r="AC65" s="10">
        <f>SUMIFS(IsQList,IsIList,Table_ExternalData_15[[#This Row],[item_key]],IsITypeList,Table_ExternalData_15[[#This Row],[IType]],IsDList,Table_ExternalData_15[[#Headers],[25]])</f>
        <v>0</v>
      </c>
      <c r="AD65" s="10">
        <f>SUMIFS(IsQList,IsIList,Table_ExternalData_15[[#This Row],[item_key]],IsITypeList,Table_ExternalData_15[[#This Row],[IType]],IsDList,Table_ExternalData_15[[#Headers],[26]])</f>
        <v>0</v>
      </c>
      <c r="AE65" s="10">
        <f>SUMIFS(IsQList,IsIList,Table_ExternalData_15[[#This Row],[item_key]],IsITypeList,Table_ExternalData_15[[#This Row],[IType]],IsDList,Table_ExternalData_15[[#Headers],[27]])</f>
        <v>0</v>
      </c>
      <c r="AF65" s="10">
        <f>SUMIFS(IsQList,IsIList,Table_ExternalData_15[[#This Row],[item_key]],IsITypeList,Table_ExternalData_15[[#This Row],[IType]],IsDList,Table_ExternalData_15[[#Headers],[28]])</f>
        <v>0</v>
      </c>
      <c r="AG65" s="10">
        <f>SUMIFS(IsQList,IsIList,Table_ExternalData_15[[#This Row],[item_key]],IsITypeList,Table_ExternalData_15[[#This Row],[IType]],IsDList,Table_ExternalData_15[[#Headers],[29]])</f>
        <v>0</v>
      </c>
      <c r="AH65" s="10">
        <f>SUMIFS(IsQList,IsIList,Table_ExternalData_15[[#This Row],[item_key]],IsITypeList,Table_ExternalData_15[[#This Row],[IType]],IsDList,Table_ExternalData_15[[#Headers],[30]])</f>
        <v>0</v>
      </c>
      <c r="AI65" s="10">
        <f>SUMIFS(IsQList,IsIList,Table_ExternalData_15[[#This Row],[item_key]],IsITypeList,Table_ExternalData_15[[#This Row],[IType]],IsDList,Table_ExternalData_15[[#Headers],[31]])</f>
        <v>0</v>
      </c>
      <c r="AJ65" s="10">
        <f>SUM(Table_ExternalData_15[[#This Row],[1]:[31]])</f>
        <v>30</v>
      </c>
    </row>
    <row r="66" spans="1:36">
      <c r="A66" s="1" t="s">
        <v>371</v>
      </c>
      <c r="B66" s="1" t="s">
        <v>1253</v>
      </c>
      <c r="C66" s="1" t="s">
        <v>1254</v>
      </c>
      <c r="D66" s="11" t="s">
        <v>72</v>
      </c>
      <c r="E66" s="10">
        <f>SUMIFS(IsQList,IsIList,Table_ExternalData_15[[#This Row],[item_key]],IsITypeList,Table_ExternalData_15[[#This Row],[IType]],IsDList,Table_ExternalData_15[[#Headers],[1]])</f>
        <v>0</v>
      </c>
      <c r="F66" s="10">
        <f>SUMIFS(IsQList,IsIList,Table_ExternalData_15[[#This Row],[item_key]],IsITypeList,Table_ExternalData_15[[#This Row],[IType]],IsDList,Table_ExternalData_15[[#Headers],[2]])</f>
        <v>0</v>
      </c>
      <c r="G66" s="10">
        <f>SUMIFS(IsQList,IsIList,Table_ExternalData_15[[#This Row],[item_key]],IsITypeList,Table_ExternalData_15[[#This Row],[IType]],IsDList,Table_ExternalData_15[[#Headers],[3]])</f>
        <v>0</v>
      </c>
      <c r="H66" s="10">
        <f>SUMIFS(IsQList,IsIList,Table_ExternalData_15[[#This Row],[item_key]],IsITypeList,Table_ExternalData_15[[#This Row],[IType]],IsDList,Table_ExternalData_15[[#Headers],[4]])</f>
        <v>0</v>
      </c>
      <c r="I66" s="10">
        <f>SUMIFS(IsQList,IsIList,Table_ExternalData_15[[#This Row],[item_key]],IsITypeList,Table_ExternalData_15[[#This Row],[IType]],IsDList,Table_ExternalData_15[[#Headers],[5]])</f>
        <v>0</v>
      </c>
      <c r="J66" s="10">
        <f>SUMIFS(IsQList,IsIList,Table_ExternalData_15[[#This Row],[item_key]],IsITypeList,Table_ExternalData_15[[#This Row],[IType]],IsDList,Table_ExternalData_15[[#Headers],[6]])</f>
        <v>0</v>
      </c>
      <c r="K66" s="10">
        <f>SUMIFS(IsQList,IsIList,Table_ExternalData_15[[#This Row],[item_key]],IsITypeList,Table_ExternalData_15[[#This Row],[IType]],IsDList,Table_ExternalData_15[[#Headers],[7]])</f>
        <v>0</v>
      </c>
      <c r="L66" s="10">
        <f>SUMIFS(IsQList,IsIList,Table_ExternalData_15[[#This Row],[item_key]],IsITypeList,Table_ExternalData_15[[#This Row],[IType]],IsDList,Table_ExternalData_15[[#Headers],[8]])</f>
        <v>0</v>
      </c>
      <c r="M66" s="10">
        <f>SUMIFS(IsQList,IsIList,Table_ExternalData_15[[#This Row],[item_key]],IsITypeList,Table_ExternalData_15[[#This Row],[IType]],IsDList,Table_ExternalData_15[[#Headers],[9]])</f>
        <v>0</v>
      </c>
      <c r="N66" s="10">
        <f>SUMIFS(IsQList,IsIList,Table_ExternalData_15[[#This Row],[item_key]],IsITypeList,Table_ExternalData_15[[#This Row],[IType]],IsDList,Table_ExternalData_15[[#Headers],[10]])</f>
        <v>96</v>
      </c>
      <c r="O66" s="10">
        <f>SUMIFS(IsQList,IsIList,Table_ExternalData_15[[#This Row],[item_key]],IsITypeList,Table_ExternalData_15[[#This Row],[IType]],IsDList,Table_ExternalData_15[[#Headers],[11]])</f>
        <v>0</v>
      </c>
      <c r="P66" s="10">
        <f>SUMIFS(IsQList,IsIList,Table_ExternalData_15[[#This Row],[item_key]],IsITypeList,Table_ExternalData_15[[#This Row],[IType]],IsDList,Table_ExternalData_15[[#Headers],[12]])</f>
        <v>0</v>
      </c>
      <c r="Q66" s="10">
        <f>SUMIFS(IsQList,IsIList,Table_ExternalData_15[[#This Row],[item_key]],IsITypeList,Table_ExternalData_15[[#This Row],[IType]],IsDList,Table_ExternalData_15[[#Headers],[13]])</f>
        <v>0</v>
      </c>
      <c r="R66" s="10">
        <f>SUMIFS(IsQList,IsIList,Table_ExternalData_15[[#This Row],[item_key]],IsITypeList,Table_ExternalData_15[[#This Row],[IType]],IsDList,Table_ExternalData_15[[#Headers],[14]])</f>
        <v>0</v>
      </c>
      <c r="S66" s="10">
        <f>SUMIFS(IsQList,IsIList,Table_ExternalData_15[[#This Row],[item_key]],IsITypeList,Table_ExternalData_15[[#This Row],[IType]],IsDList,Table_ExternalData_15[[#Headers],[15]])</f>
        <v>0</v>
      </c>
      <c r="T66" s="10">
        <f>SUMIFS(IsQList,IsIList,Table_ExternalData_15[[#This Row],[item_key]],IsITypeList,Table_ExternalData_15[[#This Row],[IType]],IsDList,Table_ExternalData_15[[#Headers],[16]])</f>
        <v>20</v>
      </c>
      <c r="U66" s="10">
        <f>SUMIFS(IsQList,IsIList,Table_ExternalData_15[[#This Row],[item_key]],IsITypeList,Table_ExternalData_15[[#This Row],[IType]],IsDList,Table_ExternalData_15[[#Headers],[17]])</f>
        <v>0</v>
      </c>
      <c r="V66" s="10">
        <f>SUMIFS(IsQList,IsIList,Table_ExternalData_15[[#This Row],[item_key]],IsITypeList,Table_ExternalData_15[[#This Row],[IType]],IsDList,Table_ExternalData_15[[#Headers],[18]])</f>
        <v>0</v>
      </c>
      <c r="W66" s="10">
        <f>SUMIFS(IsQList,IsIList,Table_ExternalData_15[[#This Row],[item_key]],IsITypeList,Table_ExternalData_15[[#This Row],[IType]],IsDList,Table_ExternalData_15[[#Headers],[19]])</f>
        <v>0</v>
      </c>
      <c r="X66" s="10">
        <f>SUMIFS(IsQList,IsIList,Table_ExternalData_15[[#This Row],[item_key]],IsITypeList,Table_ExternalData_15[[#This Row],[IType]],IsDList,Table_ExternalData_15[[#Headers],[20]])</f>
        <v>0</v>
      </c>
      <c r="Y66" s="10">
        <f>SUMIFS(IsQList,IsIList,Table_ExternalData_15[[#This Row],[item_key]],IsITypeList,Table_ExternalData_15[[#This Row],[IType]],IsDList,Table_ExternalData_15[[#Headers],[21]])</f>
        <v>0</v>
      </c>
      <c r="Z66" s="10">
        <f>SUMIFS(IsQList,IsIList,Table_ExternalData_15[[#This Row],[item_key]],IsITypeList,Table_ExternalData_15[[#This Row],[IType]],IsDList,Table_ExternalData_15[[#Headers],[22]])</f>
        <v>0</v>
      </c>
      <c r="AA66" s="10">
        <f>SUMIFS(IsQList,IsIList,Table_ExternalData_15[[#This Row],[item_key]],IsITypeList,Table_ExternalData_15[[#This Row],[IType]],IsDList,Table_ExternalData_15[[#Headers],[23]])</f>
        <v>0</v>
      </c>
      <c r="AB66" s="10">
        <f>SUMIFS(IsQList,IsIList,Table_ExternalData_15[[#This Row],[item_key]],IsITypeList,Table_ExternalData_15[[#This Row],[IType]],IsDList,Table_ExternalData_15[[#Headers],[24]])</f>
        <v>0</v>
      </c>
      <c r="AC66" s="10">
        <f>SUMIFS(IsQList,IsIList,Table_ExternalData_15[[#This Row],[item_key]],IsITypeList,Table_ExternalData_15[[#This Row],[IType]],IsDList,Table_ExternalData_15[[#Headers],[25]])</f>
        <v>0</v>
      </c>
      <c r="AD66" s="10">
        <f>SUMIFS(IsQList,IsIList,Table_ExternalData_15[[#This Row],[item_key]],IsITypeList,Table_ExternalData_15[[#This Row],[IType]],IsDList,Table_ExternalData_15[[#Headers],[26]])</f>
        <v>0</v>
      </c>
      <c r="AE66" s="10">
        <f>SUMIFS(IsQList,IsIList,Table_ExternalData_15[[#This Row],[item_key]],IsITypeList,Table_ExternalData_15[[#This Row],[IType]],IsDList,Table_ExternalData_15[[#Headers],[27]])</f>
        <v>0</v>
      </c>
      <c r="AF66" s="10">
        <f>SUMIFS(IsQList,IsIList,Table_ExternalData_15[[#This Row],[item_key]],IsITypeList,Table_ExternalData_15[[#This Row],[IType]],IsDList,Table_ExternalData_15[[#Headers],[28]])</f>
        <v>0</v>
      </c>
      <c r="AG66" s="10">
        <f>SUMIFS(IsQList,IsIList,Table_ExternalData_15[[#This Row],[item_key]],IsITypeList,Table_ExternalData_15[[#This Row],[IType]],IsDList,Table_ExternalData_15[[#Headers],[29]])</f>
        <v>0</v>
      </c>
      <c r="AH66" s="10">
        <f>SUMIFS(IsQList,IsIList,Table_ExternalData_15[[#This Row],[item_key]],IsITypeList,Table_ExternalData_15[[#This Row],[IType]],IsDList,Table_ExternalData_15[[#Headers],[30]])</f>
        <v>0</v>
      </c>
      <c r="AI66" s="10">
        <f>SUMIFS(IsQList,IsIList,Table_ExternalData_15[[#This Row],[item_key]],IsITypeList,Table_ExternalData_15[[#This Row],[IType]],IsDList,Table_ExternalData_15[[#Headers],[31]])</f>
        <v>0</v>
      </c>
      <c r="AJ66" s="10">
        <f>SUM(Table_ExternalData_15[[#This Row],[1]:[31]])</f>
        <v>116</v>
      </c>
    </row>
    <row r="67" spans="1:36">
      <c r="A67" s="1" t="s">
        <v>372</v>
      </c>
      <c r="B67" s="1" t="s">
        <v>2501</v>
      </c>
      <c r="C67" s="1" t="s">
        <v>2502</v>
      </c>
      <c r="D67" s="11" t="s">
        <v>72</v>
      </c>
      <c r="E67" s="10">
        <f>SUMIFS(IsQList,IsIList,Table_ExternalData_15[[#This Row],[item_key]],IsITypeList,Table_ExternalData_15[[#This Row],[IType]],IsDList,Table_ExternalData_15[[#Headers],[1]])</f>
        <v>0</v>
      </c>
      <c r="F67" s="10">
        <f>SUMIFS(IsQList,IsIList,Table_ExternalData_15[[#This Row],[item_key]],IsITypeList,Table_ExternalData_15[[#This Row],[IType]],IsDList,Table_ExternalData_15[[#Headers],[2]])</f>
        <v>0</v>
      </c>
      <c r="G67" s="10">
        <f>SUMIFS(IsQList,IsIList,Table_ExternalData_15[[#This Row],[item_key]],IsITypeList,Table_ExternalData_15[[#This Row],[IType]],IsDList,Table_ExternalData_15[[#Headers],[3]])</f>
        <v>0</v>
      </c>
      <c r="H67" s="10">
        <f>SUMIFS(IsQList,IsIList,Table_ExternalData_15[[#This Row],[item_key]],IsITypeList,Table_ExternalData_15[[#This Row],[IType]],IsDList,Table_ExternalData_15[[#Headers],[4]])</f>
        <v>0</v>
      </c>
      <c r="I67" s="10">
        <f>SUMIFS(IsQList,IsIList,Table_ExternalData_15[[#This Row],[item_key]],IsITypeList,Table_ExternalData_15[[#This Row],[IType]],IsDList,Table_ExternalData_15[[#Headers],[5]])</f>
        <v>0</v>
      </c>
      <c r="J67" s="10">
        <f>SUMIFS(IsQList,IsIList,Table_ExternalData_15[[#This Row],[item_key]],IsITypeList,Table_ExternalData_15[[#This Row],[IType]],IsDList,Table_ExternalData_15[[#Headers],[6]])</f>
        <v>0</v>
      </c>
      <c r="K67" s="10">
        <f>SUMIFS(IsQList,IsIList,Table_ExternalData_15[[#This Row],[item_key]],IsITypeList,Table_ExternalData_15[[#This Row],[IType]],IsDList,Table_ExternalData_15[[#Headers],[7]])</f>
        <v>0</v>
      </c>
      <c r="L67" s="10">
        <f>SUMIFS(IsQList,IsIList,Table_ExternalData_15[[#This Row],[item_key]],IsITypeList,Table_ExternalData_15[[#This Row],[IType]],IsDList,Table_ExternalData_15[[#Headers],[8]])</f>
        <v>0</v>
      </c>
      <c r="M67" s="10">
        <f>SUMIFS(IsQList,IsIList,Table_ExternalData_15[[#This Row],[item_key]],IsITypeList,Table_ExternalData_15[[#This Row],[IType]],IsDList,Table_ExternalData_15[[#Headers],[9]])</f>
        <v>0</v>
      </c>
      <c r="N67" s="10">
        <f>SUMIFS(IsQList,IsIList,Table_ExternalData_15[[#This Row],[item_key]],IsITypeList,Table_ExternalData_15[[#This Row],[IType]],IsDList,Table_ExternalData_15[[#Headers],[10]])</f>
        <v>0</v>
      </c>
      <c r="O67" s="10">
        <f>SUMIFS(IsQList,IsIList,Table_ExternalData_15[[#This Row],[item_key]],IsITypeList,Table_ExternalData_15[[#This Row],[IType]],IsDList,Table_ExternalData_15[[#Headers],[11]])</f>
        <v>0</v>
      </c>
      <c r="P67" s="10">
        <f>SUMIFS(IsQList,IsIList,Table_ExternalData_15[[#This Row],[item_key]],IsITypeList,Table_ExternalData_15[[#This Row],[IType]],IsDList,Table_ExternalData_15[[#Headers],[12]])</f>
        <v>0</v>
      </c>
      <c r="Q67" s="10">
        <f>SUMIFS(IsQList,IsIList,Table_ExternalData_15[[#This Row],[item_key]],IsITypeList,Table_ExternalData_15[[#This Row],[IType]],IsDList,Table_ExternalData_15[[#Headers],[13]])</f>
        <v>0</v>
      </c>
      <c r="R67" s="10">
        <f>SUMIFS(IsQList,IsIList,Table_ExternalData_15[[#This Row],[item_key]],IsITypeList,Table_ExternalData_15[[#This Row],[IType]],IsDList,Table_ExternalData_15[[#Headers],[14]])</f>
        <v>0</v>
      </c>
      <c r="S67" s="10">
        <f>SUMIFS(IsQList,IsIList,Table_ExternalData_15[[#This Row],[item_key]],IsITypeList,Table_ExternalData_15[[#This Row],[IType]],IsDList,Table_ExternalData_15[[#Headers],[15]])</f>
        <v>0</v>
      </c>
      <c r="T67" s="10">
        <f>SUMIFS(IsQList,IsIList,Table_ExternalData_15[[#This Row],[item_key]],IsITypeList,Table_ExternalData_15[[#This Row],[IType]],IsDList,Table_ExternalData_15[[#Headers],[16]])</f>
        <v>200</v>
      </c>
      <c r="U67" s="10">
        <f>SUMIFS(IsQList,IsIList,Table_ExternalData_15[[#This Row],[item_key]],IsITypeList,Table_ExternalData_15[[#This Row],[IType]],IsDList,Table_ExternalData_15[[#Headers],[17]])</f>
        <v>0</v>
      </c>
      <c r="V67" s="10">
        <f>SUMIFS(IsQList,IsIList,Table_ExternalData_15[[#This Row],[item_key]],IsITypeList,Table_ExternalData_15[[#This Row],[IType]],IsDList,Table_ExternalData_15[[#Headers],[18]])</f>
        <v>0</v>
      </c>
      <c r="W67" s="10">
        <f>SUMIFS(IsQList,IsIList,Table_ExternalData_15[[#This Row],[item_key]],IsITypeList,Table_ExternalData_15[[#This Row],[IType]],IsDList,Table_ExternalData_15[[#Headers],[19]])</f>
        <v>0</v>
      </c>
      <c r="X67" s="10">
        <f>SUMIFS(IsQList,IsIList,Table_ExternalData_15[[#This Row],[item_key]],IsITypeList,Table_ExternalData_15[[#This Row],[IType]],IsDList,Table_ExternalData_15[[#Headers],[20]])</f>
        <v>0</v>
      </c>
      <c r="Y67" s="10">
        <f>SUMIFS(IsQList,IsIList,Table_ExternalData_15[[#This Row],[item_key]],IsITypeList,Table_ExternalData_15[[#This Row],[IType]],IsDList,Table_ExternalData_15[[#Headers],[21]])</f>
        <v>0</v>
      </c>
      <c r="Z67" s="10">
        <f>SUMIFS(IsQList,IsIList,Table_ExternalData_15[[#This Row],[item_key]],IsITypeList,Table_ExternalData_15[[#This Row],[IType]],IsDList,Table_ExternalData_15[[#Headers],[22]])</f>
        <v>0</v>
      </c>
      <c r="AA67" s="10">
        <f>SUMIFS(IsQList,IsIList,Table_ExternalData_15[[#This Row],[item_key]],IsITypeList,Table_ExternalData_15[[#This Row],[IType]],IsDList,Table_ExternalData_15[[#Headers],[23]])</f>
        <v>0</v>
      </c>
      <c r="AB67" s="10">
        <f>SUMIFS(IsQList,IsIList,Table_ExternalData_15[[#This Row],[item_key]],IsITypeList,Table_ExternalData_15[[#This Row],[IType]],IsDList,Table_ExternalData_15[[#Headers],[24]])</f>
        <v>0</v>
      </c>
      <c r="AC67" s="10">
        <f>SUMIFS(IsQList,IsIList,Table_ExternalData_15[[#This Row],[item_key]],IsITypeList,Table_ExternalData_15[[#This Row],[IType]],IsDList,Table_ExternalData_15[[#Headers],[25]])</f>
        <v>0</v>
      </c>
      <c r="AD67" s="10">
        <f>SUMIFS(IsQList,IsIList,Table_ExternalData_15[[#This Row],[item_key]],IsITypeList,Table_ExternalData_15[[#This Row],[IType]],IsDList,Table_ExternalData_15[[#Headers],[26]])</f>
        <v>0</v>
      </c>
      <c r="AE67" s="10">
        <f>SUMIFS(IsQList,IsIList,Table_ExternalData_15[[#This Row],[item_key]],IsITypeList,Table_ExternalData_15[[#This Row],[IType]],IsDList,Table_ExternalData_15[[#Headers],[27]])</f>
        <v>0</v>
      </c>
      <c r="AF67" s="10">
        <f>SUMIFS(IsQList,IsIList,Table_ExternalData_15[[#This Row],[item_key]],IsITypeList,Table_ExternalData_15[[#This Row],[IType]],IsDList,Table_ExternalData_15[[#Headers],[28]])</f>
        <v>0</v>
      </c>
      <c r="AG67" s="10">
        <f>SUMIFS(IsQList,IsIList,Table_ExternalData_15[[#This Row],[item_key]],IsITypeList,Table_ExternalData_15[[#This Row],[IType]],IsDList,Table_ExternalData_15[[#Headers],[29]])</f>
        <v>0</v>
      </c>
      <c r="AH67" s="10">
        <f>SUMIFS(IsQList,IsIList,Table_ExternalData_15[[#This Row],[item_key]],IsITypeList,Table_ExternalData_15[[#This Row],[IType]],IsDList,Table_ExternalData_15[[#Headers],[30]])</f>
        <v>0</v>
      </c>
      <c r="AI67" s="10">
        <f>SUMIFS(IsQList,IsIList,Table_ExternalData_15[[#This Row],[item_key]],IsITypeList,Table_ExternalData_15[[#This Row],[IType]],IsDList,Table_ExternalData_15[[#Headers],[31]])</f>
        <v>0</v>
      </c>
      <c r="AJ67" s="10">
        <f>SUM(Table_ExternalData_15[[#This Row],[1]:[31]])</f>
        <v>200</v>
      </c>
    </row>
    <row r="68" spans="1:36">
      <c r="A68" s="1" t="s">
        <v>373</v>
      </c>
      <c r="B68" s="1" t="s">
        <v>1255</v>
      </c>
      <c r="C68" s="1" t="s">
        <v>1256</v>
      </c>
      <c r="D68" s="11" t="s">
        <v>72</v>
      </c>
      <c r="E68" s="10">
        <f>SUMIFS(IsQList,IsIList,Table_ExternalData_15[[#This Row],[item_key]],IsITypeList,Table_ExternalData_15[[#This Row],[IType]],IsDList,Table_ExternalData_15[[#Headers],[1]])</f>
        <v>0</v>
      </c>
      <c r="F68" s="10">
        <f>SUMIFS(IsQList,IsIList,Table_ExternalData_15[[#This Row],[item_key]],IsITypeList,Table_ExternalData_15[[#This Row],[IType]],IsDList,Table_ExternalData_15[[#Headers],[2]])</f>
        <v>0</v>
      </c>
      <c r="G68" s="10">
        <f>SUMIFS(IsQList,IsIList,Table_ExternalData_15[[#This Row],[item_key]],IsITypeList,Table_ExternalData_15[[#This Row],[IType]],IsDList,Table_ExternalData_15[[#Headers],[3]])</f>
        <v>0</v>
      </c>
      <c r="H68" s="10">
        <f>SUMIFS(IsQList,IsIList,Table_ExternalData_15[[#This Row],[item_key]],IsITypeList,Table_ExternalData_15[[#This Row],[IType]],IsDList,Table_ExternalData_15[[#Headers],[4]])</f>
        <v>0</v>
      </c>
      <c r="I68" s="10">
        <f>SUMIFS(IsQList,IsIList,Table_ExternalData_15[[#This Row],[item_key]],IsITypeList,Table_ExternalData_15[[#This Row],[IType]],IsDList,Table_ExternalData_15[[#Headers],[5]])</f>
        <v>0</v>
      </c>
      <c r="J68" s="10">
        <f>SUMIFS(IsQList,IsIList,Table_ExternalData_15[[#This Row],[item_key]],IsITypeList,Table_ExternalData_15[[#This Row],[IType]],IsDList,Table_ExternalData_15[[#Headers],[6]])</f>
        <v>0</v>
      </c>
      <c r="K68" s="10">
        <f>SUMIFS(IsQList,IsIList,Table_ExternalData_15[[#This Row],[item_key]],IsITypeList,Table_ExternalData_15[[#This Row],[IType]],IsDList,Table_ExternalData_15[[#Headers],[7]])</f>
        <v>0</v>
      </c>
      <c r="L68" s="10">
        <f>SUMIFS(IsQList,IsIList,Table_ExternalData_15[[#This Row],[item_key]],IsITypeList,Table_ExternalData_15[[#This Row],[IType]],IsDList,Table_ExternalData_15[[#Headers],[8]])</f>
        <v>0</v>
      </c>
      <c r="M68" s="10">
        <f>SUMIFS(IsQList,IsIList,Table_ExternalData_15[[#This Row],[item_key]],IsITypeList,Table_ExternalData_15[[#This Row],[IType]],IsDList,Table_ExternalData_15[[#Headers],[9]])</f>
        <v>0</v>
      </c>
      <c r="N68" s="10">
        <f>SUMIFS(IsQList,IsIList,Table_ExternalData_15[[#This Row],[item_key]],IsITypeList,Table_ExternalData_15[[#This Row],[IType]],IsDList,Table_ExternalData_15[[#Headers],[10]])</f>
        <v>29</v>
      </c>
      <c r="O68" s="10">
        <f>SUMIFS(IsQList,IsIList,Table_ExternalData_15[[#This Row],[item_key]],IsITypeList,Table_ExternalData_15[[#This Row],[IType]],IsDList,Table_ExternalData_15[[#Headers],[11]])</f>
        <v>0</v>
      </c>
      <c r="P68" s="10">
        <f>SUMIFS(IsQList,IsIList,Table_ExternalData_15[[#This Row],[item_key]],IsITypeList,Table_ExternalData_15[[#This Row],[IType]],IsDList,Table_ExternalData_15[[#Headers],[12]])</f>
        <v>0</v>
      </c>
      <c r="Q68" s="10">
        <f>SUMIFS(IsQList,IsIList,Table_ExternalData_15[[#This Row],[item_key]],IsITypeList,Table_ExternalData_15[[#This Row],[IType]],IsDList,Table_ExternalData_15[[#Headers],[13]])</f>
        <v>0</v>
      </c>
      <c r="R68" s="10">
        <f>SUMIFS(IsQList,IsIList,Table_ExternalData_15[[#This Row],[item_key]],IsITypeList,Table_ExternalData_15[[#This Row],[IType]],IsDList,Table_ExternalData_15[[#Headers],[14]])</f>
        <v>0</v>
      </c>
      <c r="S68" s="10">
        <f>SUMIFS(IsQList,IsIList,Table_ExternalData_15[[#This Row],[item_key]],IsITypeList,Table_ExternalData_15[[#This Row],[IType]],IsDList,Table_ExternalData_15[[#Headers],[15]])</f>
        <v>0</v>
      </c>
      <c r="T68" s="10">
        <f>SUMIFS(IsQList,IsIList,Table_ExternalData_15[[#This Row],[item_key]],IsITypeList,Table_ExternalData_15[[#This Row],[IType]],IsDList,Table_ExternalData_15[[#Headers],[16]])</f>
        <v>0</v>
      </c>
      <c r="U68" s="10">
        <f>SUMIFS(IsQList,IsIList,Table_ExternalData_15[[#This Row],[item_key]],IsITypeList,Table_ExternalData_15[[#This Row],[IType]],IsDList,Table_ExternalData_15[[#Headers],[17]])</f>
        <v>0</v>
      </c>
      <c r="V68" s="10">
        <f>SUMIFS(IsQList,IsIList,Table_ExternalData_15[[#This Row],[item_key]],IsITypeList,Table_ExternalData_15[[#This Row],[IType]],IsDList,Table_ExternalData_15[[#Headers],[18]])</f>
        <v>0</v>
      </c>
      <c r="W68" s="10">
        <f>SUMIFS(IsQList,IsIList,Table_ExternalData_15[[#This Row],[item_key]],IsITypeList,Table_ExternalData_15[[#This Row],[IType]],IsDList,Table_ExternalData_15[[#Headers],[19]])</f>
        <v>0</v>
      </c>
      <c r="X68" s="10">
        <f>SUMIFS(IsQList,IsIList,Table_ExternalData_15[[#This Row],[item_key]],IsITypeList,Table_ExternalData_15[[#This Row],[IType]],IsDList,Table_ExternalData_15[[#Headers],[20]])</f>
        <v>0</v>
      </c>
      <c r="Y68" s="10">
        <f>SUMIFS(IsQList,IsIList,Table_ExternalData_15[[#This Row],[item_key]],IsITypeList,Table_ExternalData_15[[#This Row],[IType]],IsDList,Table_ExternalData_15[[#Headers],[21]])</f>
        <v>0</v>
      </c>
      <c r="Z68" s="10">
        <f>SUMIFS(IsQList,IsIList,Table_ExternalData_15[[#This Row],[item_key]],IsITypeList,Table_ExternalData_15[[#This Row],[IType]],IsDList,Table_ExternalData_15[[#Headers],[22]])</f>
        <v>0</v>
      </c>
      <c r="AA68" s="10">
        <f>SUMIFS(IsQList,IsIList,Table_ExternalData_15[[#This Row],[item_key]],IsITypeList,Table_ExternalData_15[[#This Row],[IType]],IsDList,Table_ExternalData_15[[#Headers],[23]])</f>
        <v>0</v>
      </c>
      <c r="AB68" s="10">
        <f>SUMIFS(IsQList,IsIList,Table_ExternalData_15[[#This Row],[item_key]],IsITypeList,Table_ExternalData_15[[#This Row],[IType]],IsDList,Table_ExternalData_15[[#Headers],[24]])</f>
        <v>0</v>
      </c>
      <c r="AC68" s="10">
        <f>SUMIFS(IsQList,IsIList,Table_ExternalData_15[[#This Row],[item_key]],IsITypeList,Table_ExternalData_15[[#This Row],[IType]],IsDList,Table_ExternalData_15[[#Headers],[25]])</f>
        <v>0</v>
      </c>
      <c r="AD68" s="10">
        <f>SUMIFS(IsQList,IsIList,Table_ExternalData_15[[#This Row],[item_key]],IsITypeList,Table_ExternalData_15[[#This Row],[IType]],IsDList,Table_ExternalData_15[[#Headers],[26]])</f>
        <v>0</v>
      </c>
      <c r="AE68" s="10">
        <f>SUMIFS(IsQList,IsIList,Table_ExternalData_15[[#This Row],[item_key]],IsITypeList,Table_ExternalData_15[[#This Row],[IType]],IsDList,Table_ExternalData_15[[#Headers],[27]])</f>
        <v>0</v>
      </c>
      <c r="AF68" s="10">
        <f>SUMIFS(IsQList,IsIList,Table_ExternalData_15[[#This Row],[item_key]],IsITypeList,Table_ExternalData_15[[#This Row],[IType]],IsDList,Table_ExternalData_15[[#Headers],[28]])</f>
        <v>0</v>
      </c>
      <c r="AG68" s="10">
        <f>SUMIFS(IsQList,IsIList,Table_ExternalData_15[[#This Row],[item_key]],IsITypeList,Table_ExternalData_15[[#This Row],[IType]],IsDList,Table_ExternalData_15[[#Headers],[29]])</f>
        <v>0</v>
      </c>
      <c r="AH68" s="10">
        <f>SUMIFS(IsQList,IsIList,Table_ExternalData_15[[#This Row],[item_key]],IsITypeList,Table_ExternalData_15[[#This Row],[IType]],IsDList,Table_ExternalData_15[[#Headers],[30]])</f>
        <v>0</v>
      </c>
      <c r="AI68" s="10">
        <f>SUMIFS(IsQList,IsIList,Table_ExternalData_15[[#This Row],[item_key]],IsITypeList,Table_ExternalData_15[[#This Row],[IType]],IsDList,Table_ExternalData_15[[#Headers],[31]])</f>
        <v>0</v>
      </c>
      <c r="AJ68" s="10">
        <f>SUM(Table_ExternalData_15[[#This Row],[1]:[31]])</f>
        <v>29</v>
      </c>
    </row>
    <row r="69" spans="1:36">
      <c r="A69" s="1" t="s">
        <v>377</v>
      </c>
      <c r="B69" s="1" t="s">
        <v>2503</v>
      </c>
      <c r="C69" s="1" t="s">
        <v>2504</v>
      </c>
      <c r="D69" s="11" t="s">
        <v>72</v>
      </c>
      <c r="E69" s="10">
        <f>SUMIFS(IsQList,IsIList,Table_ExternalData_15[[#This Row],[item_key]],IsITypeList,Table_ExternalData_15[[#This Row],[IType]],IsDList,Table_ExternalData_15[[#Headers],[1]])</f>
        <v>0</v>
      </c>
      <c r="F69" s="10">
        <f>SUMIFS(IsQList,IsIList,Table_ExternalData_15[[#This Row],[item_key]],IsITypeList,Table_ExternalData_15[[#This Row],[IType]],IsDList,Table_ExternalData_15[[#Headers],[2]])</f>
        <v>0</v>
      </c>
      <c r="G69" s="10">
        <f>SUMIFS(IsQList,IsIList,Table_ExternalData_15[[#This Row],[item_key]],IsITypeList,Table_ExternalData_15[[#This Row],[IType]],IsDList,Table_ExternalData_15[[#Headers],[3]])</f>
        <v>0</v>
      </c>
      <c r="H69" s="10">
        <f>SUMIFS(IsQList,IsIList,Table_ExternalData_15[[#This Row],[item_key]],IsITypeList,Table_ExternalData_15[[#This Row],[IType]],IsDList,Table_ExternalData_15[[#Headers],[4]])</f>
        <v>0</v>
      </c>
      <c r="I69" s="10">
        <f>SUMIFS(IsQList,IsIList,Table_ExternalData_15[[#This Row],[item_key]],IsITypeList,Table_ExternalData_15[[#This Row],[IType]],IsDList,Table_ExternalData_15[[#Headers],[5]])</f>
        <v>0</v>
      </c>
      <c r="J69" s="10">
        <f>SUMIFS(IsQList,IsIList,Table_ExternalData_15[[#This Row],[item_key]],IsITypeList,Table_ExternalData_15[[#This Row],[IType]],IsDList,Table_ExternalData_15[[#Headers],[6]])</f>
        <v>0</v>
      </c>
      <c r="K69" s="10">
        <f>SUMIFS(IsQList,IsIList,Table_ExternalData_15[[#This Row],[item_key]],IsITypeList,Table_ExternalData_15[[#This Row],[IType]],IsDList,Table_ExternalData_15[[#Headers],[7]])</f>
        <v>0</v>
      </c>
      <c r="L69" s="10">
        <f>SUMIFS(IsQList,IsIList,Table_ExternalData_15[[#This Row],[item_key]],IsITypeList,Table_ExternalData_15[[#This Row],[IType]],IsDList,Table_ExternalData_15[[#Headers],[8]])</f>
        <v>0</v>
      </c>
      <c r="M69" s="10">
        <f>SUMIFS(IsQList,IsIList,Table_ExternalData_15[[#This Row],[item_key]],IsITypeList,Table_ExternalData_15[[#This Row],[IType]],IsDList,Table_ExternalData_15[[#Headers],[9]])</f>
        <v>0</v>
      </c>
      <c r="N69" s="10">
        <f>SUMIFS(IsQList,IsIList,Table_ExternalData_15[[#This Row],[item_key]],IsITypeList,Table_ExternalData_15[[#This Row],[IType]],IsDList,Table_ExternalData_15[[#Headers],[10]])</f>
        <v>0</v>
      </c>
      <c r="O69" s="10">
        <f>SUMIFS(IsQList,IsIList,Table_ExternalData_15[[#This Row],[item_key]],IsITypeList,Table_ExternalData_15[[#This Row],[IType]],IsDList,Table_ExternalData_15[[#Headers],[11]])</f>
        <v>0</v>
      </c>
      <c r="P69" s="10">
        <f>SUMIFS(IsQList,IsIList,Table_ExternalData_15[[#This Row],[item_key]],IsITypeList,Table_ExternalData_15[[#This Row],[IType]],IsDList,Table_ExternalData_15[[#Headers],[12]])</f>
        <v>0</v>
      </c>
      <c r="Q69" s="10">
        <f>SUMIFS(IsQList,IsIList,Table_ExternalData_15[[#This Row],[item_key]],IsITypeList,Table_ExternalData_15[[#This Row],[IType]],IsDList,Table_ExternalData_15[[#Headers],[13]])</f>
        <v>0</v>
      </c>
      <c r="R69" s="10">
        <f>SUMIFS(IsQList,IsIList,Table_ExternalData_15[[#This Row],[item_key]],IsITypeList,Table_ExternalData_15[[#This Row],[IType]],IsDList,Table_ExternalData_15[[#Headers],[14]])</f>
        <v>0</v>
      </c>
      <c r="S69" s="10">
        <f>SUMIFS(IsQList,IsIList,Table_ExternalData_15[[#This Row],[item_key]],IsITypeList,Table_ExternalData_15[[#This Row],[IType]],IsDList,Table_ExternalData_15[[#Headers],[15]])</f>
        <v>0</v>
      </c>
      <c r="T69" s="10">
        <f>SUMIFS(IsQList,IsIList,Table_ExternalData_15[[#This Row],[item_key]],IsITypeList,Table_ExternalData_15[[#This Row],[IType]],IsDList,Table_ExternalData_15[[#Headers],[16]])</f>
        <v>0</v>
      </c>
      <c r="U69" s="10">
        <f>SUMIFS(IsQList,IsIList,Table_ExternalData_15[[#This Row],[item_key]],IsITypeList,Table_ExternalData_15[[#This Row],[IType]],IsDList,Table_ExternalData_15[[#Headers],[17]])</f>
        <v>0</v>
      </c>
      <c r="V69" s="10">
        <f>SUMIFS(IsQList,IsIList,Table_ExternalData_15[[#This Row],[item_key]],IsITypeList,Table_ExternalData_15[[#This Row],[IType]],IsDList,Table_ExternalData_15[[#Headers],[18]])</f>
        <v>0</v>
      </c>
      <c r="W69" s="10">
        <f>SUMIFS(IsQList,IsIList,Table_ExternalData_15[[#This Row],[item_key]],IsITypeList,Table_ExternalData_15[[#This Row],[IType]],IsDList,Table_ExternalData_15[[#Headers],[19]])</f>
        <v>0</v>
      </c>
      <c r="X69" s="10">
        <f>SUMIFS(IsQList,IsIList,Table_ExternalData_15[[#This Row],[item_key]],IsITypeList,Table_ExternalData_15[[#This Row],[IType]],IsDList,Table_ExternalData_15[[#Headers],[20]])</f>
        <v>0</v>
      </c>
      <c r="Y69" s="10">
        <f>SUMIFS(IsQList,IsIList,Table_ExternalData_15[[#This Row],[item_key]],IsITypeList,Table_ExternalData_15[[#This Row],[IType]],IsDList,Table_ExternalData_15[[#Headers],[21]])</f>
        <v>0</v>
      </c>
      <c r="Z69" s="10">
        <f>SUMIFS(IsQList,IsIList,Table_ExternalData_15[[#This Row],[item_key]],IsITypeList,Table_ExternalData_15[[#This Row],[IType]],IsDList,Table_ExternalData_15[[#Headers],[22]])</f>
        <v>0</v>
      </c>
      <c r="AA69" s="10">
        <f>SUMIFS(IsQList,IsIList,Table_ExternalData_15[[#This Row],[item_key]],IsITypeList,Table_ExternalData_15[[#This Row],[IType]],IsDList,Table_ExternalData_15[[#Headers],[23]])</f>
        <v>0</v>
      </c>
      <c r="AB69" s="10">
        <f>SUMIFS(IsQList,IsIList,Table_ExternalData_15[[#This Row],[item_key]],IsITypeList,Table_ExternalData_15[[#This Row],[IType]],IsDList,Table_ExternalData_15[[#Headers],[24]])</f>
        <v>0</v>
      </c>
      <c r="AC69" s="10">
        <f>SUMIFS(IsQList,IsIList,Table_ExternalData_15[[#This Row],[item_key]],IsITypeList,Table_ExternalData_15[[#This Row],[IType]],IsDList,Table_ExternalData_15[[#Headers],[25]])</f>
        <v>0</v>
      </c>
      <c r="AD69" s="10">
        <f>SUMIFS(IsQList,IsIList,Table_ExternalData_15[[#This Row],[item_key]],IsITypeList,Table_ExternalData_15[[#This Row],[IType]],IsDList,Table_ExternalData_15[[#Headers],[26]])</f>
        <v>0</v>
      </c>
      <c r="AE69" s="10">
        <f>SUMIFS(IsQList,IsIList,Table_ExternalData_15[[#This Row],[item_key]],IsITypeList,Table_ExternalData_15[[#This Row],[IType]],IsDList,Table_ExternalData_15[[#Headers],[27]])</f>
        <v>0</v>
      </c>
      <c r="AF69" s="10">
        <f>SUMIFS(IsQList,IsIList,Table_ExternalData_15[[#This Row],[item_key]],IsITypeList,Table_ExternalData_15[[#This Row],[IType]],IsDList,Table_ExternalData_15[[#Headers],[28]])</f>
        <v>0</v>
      </c>
      <c r="AG69" s="10">
        <f>SUMIFS(IsQList,IsIList,Table_ExternalData_15[[#This Row],[item_key]],IsITypeList,Table_ExternalData_15[[#This Row],[IType]],IsDList,Table_ExternalData_15[[#Headers],[29]])</f>
        <v>0</v>
      </c>
      <c r="AH69" s="10">
        <f>SUMIFS(IsQList,IsIList,Table_ExternalData_15[[#This Row],[item_key]],IsITypeList,Table_ExternalData_15[[#This Row],[IType]],IsDList,Table_ExternalData_15[[#Headers],[30]])</f>
        <v>0</v>
      </c>
      <c r="AI69" s="10">
        <f>SUMIFS(IsQList,IsIList,Table_ExternalData_15[[#This Row],[item_key]],IsITypeList,Table_ExternalData_15[[#This Row],[IType]],IsDList,Table_ExternalData_15[[#Headers],[31]])</f>
        <v>0</v>
      </c>
      <c r="AJ69" s="10">
        <f>SUM(Table_ExternalData_15[[#This Row],[1]:[31]])</f>
        <v>0</v>
      </c>
    </row>
    <row r="70" spans="1:36">
      <c r="A70" s="1" t="s">
        <v>381</v>
      </c>
      <c r="B70" s="1" t="s">
        <v>2505</v>
      </c>
      <c r="C70" s="1" t="s">
        <v>2506</v>
      </c>
      <c r="D70" s="11" t="s">
        <v>72</v>
      </c>
      <c r="E70" s="10">
        <f>SUMIFS(IsQList,IsIList,Table_ExternalData_15[[#This Row],[item_key]],IsITypeList,Table_ExternalData_15[[#This Row],[IType]],IsDList,Table_ExternalData_15[[#Headers],[1]])</f>
        <v>0</v>
      </c>
      <c r="F70" s="10">
        <f>SUMIFS(IsQList,IsIList,Table_ExternalData_15[[#This Row],[item_key]],IsITypeList,Table_ExternalData_15[[#This Row],[IType]],IsDList,Table_ExternalData_15[[#Headers],[2]])</f>
        <v>0</v>
      </c>
      <c r="G70" s="10">
        <f>SUMIFS(IsQList,IsIList,Table_ExternalData_15[[#This Row],[item_key]],IsITypeList,Table_ExternalData_15[[#This Row],[IType]],IsDList,Table_ExternalData_15[[#Headers],[3]])</f>
        <v>0</v>
      </c>
      <c r="H70" s="10">
        <f>SUMIFS(IsQList,IsIList,Table_ExternalData_15[[#This Row],[item_key]],IsITypeList,Table_ExternalData_15[[#This Row],[IType]],IsDList,Table_ExternalData_15[[#Headers],[4]])</f>
        <v>0</v>
      </c>
      <c r="I70" s="10">
        <f>SUMIFS(IsQList,IsIList,Table_ExternalData_15[[#This Row],[item_key]],IsITypeList,Table_ExternalData_15[[#This Row],[IType]],IsDList,Table_ExternalData_15[[#Headers],[5]])</f>
        <v>0</v>
      </c>
      <c r="J70" s="10">
        <f>SUMIFS(IsQList,IsIList,Table_ExternalData_15[[#This Row],[item_key]],IsITypeList,Table_ExternalData_15[[#This Row],[IType]],IsDList,Table_ExternalData_15[[#Headers],[6]])</f>
        <v>0</v>
      </c>
      <c r="K70" s="10">
        <f>SUMIFS(IsQList,IsIList,Table_ExternalData_15[[#This Row],[item_key]],IsITypeList,Table_ExternalData_15[[#This Row],[IType]],IsDList,Table_ExternalData_15[[#Headers],[7]])</f>
        <v>0</v>
      </c>
      <c r="L70" s="10">
        <f>SUMIFS(IsQList,IsIList,Table_ExternalData_15[[#This Row],[item_key]],IsITypeList,Table_ExternalData_15[[#This Row],[IType]],IsDList,Table_ExternalData_15[[#Headers],[8]])</f>
        <v>0</v>
      </c>
      <c r="M70" s="10">
        <f>SUMIFS(IsQList,IsIList,Table_ExternalData_15[[#This Row],[item_key]],IsITypeList,Table_ExternalData_15[[#This Row],[IType]],IsDList,Table_ExternalData_15[[#Headers],[9]])</f>
        <v>0</v>
      </c>
      <c r="N70" s="10">
        <f>SUMIFS(IsQList,IsIList,Table_ExternalData_15[[#This Row],[item_key]],IsITypeList,Table_ExternalData_15[[#This Row],[IType]],IsDList,Table_ExternalData_15[[#Headers],[10]])</f>
        <v>0</v>
      </c>
      <c r="O70" s="10">
        <f>SUMIFS(IsQList,IsIList,Table_ExternalData_15[[#This Row],[item_key]],IsITypeList,Table_ExternalData_15[[#This Row],[IType]],IsDList,Table_ExternalData_15[[#Headers],[11]])</f>
        <v>0</v>
      </c>
      <c r="P70" s="10">
        <f>SUMIFS(IsQList,IsIList,Table_ExternalData_15[[#This Row],[item_key]],IsITypeList,Table_ExternalData_15[[#This Row],[IType]],IsDList,Table_ExternalData_15[[#Headers],[12]])</f>
        <v>0</v>
      </c>
      <c r="Q70" s="10">
        <f>SUMIFS(IsQList,IsIList,Table_ExternalData_15[[#This Row],[item_key]],IsITypeList,Table_ExternalData_15[[#This Row],[IType]],IsDList,Table_ExternalData_15[[#Headers],[13]])</f>
        <v>0</v>
      </c>
      <c r="R70" s="10">
        <f>SUMIFS(IsQList,IsIList,Table_ExternalData_15[[#This Row],[item_key]],IsITypeList,Table_ExternalData_15[[#This Row],[IType]],IsDList,Table_ExternalData_15[[#Headers],[14]])</f>
        <v>0</v>
      </c>
      <c r="S70" s="10">
        <f>SUMIFS(IsQList,IsIList,Table_ExternalData_15[[#This Row],[item_key]],IsITypeList,Table_ExternalData_15[[#This Row],[IType]],IsDList,Table_ExternalData_15[[#Headers],[15]])</f>
        <v>0</v>
      </c>
      <c r="T70" s="10">
        <f>SUMIFS(IsQList,IsIList,Table_ExternalData_15[[#This Row],[item_key]],IsITypeList,Table_ExternalData_15[[#This Row],[IType]],IsDList,Table_ExternalData_15[[#Headers],[16]])</f>
        <v>0</v>
      </c>
      <c r="U70" s="10">
        <f>SUMIFS(IsQList,IsIList,Table_ExternalData_15[[#This Row],[item_key]],IsITypeList,Table_ExternalData_15[[#This Row],[IType]],IsDList,Table_ExternalData_15[[#Headers],[17]])</f>
        <v>0</v>
      </c>
      <c r="V70" s="10">
        <f>SUMIFS(IsQList,IsIList,Table_ExternalData_15[[#This Row],[item_key]],IsITypeList,Table_ExternalData_15[[#This Row],[IType]],IsDList,Table_ExternalData_15[[#Headers],[18]])</f>
        <v>0</v>
      </c>
      <c r="W70" s="10">
        <f>SUMIFS(IsQList,IsIList,Table_ExternalData_15[[#This Row],[item_key]],IsITypeList,Table_ExternalData_15[[#This Row],[IType]],IsDList,Table_ExternalData_15[[#Headers],[19]])</f>
        <v>0</v>
      </c>
      <c r="X70" s="10">
        <f>SUMIFS(IsQList,IsIList,Table_ExternalData_15[[#This Row],[item_key]],IsITypeList,Table_ExternalData_15[[#This Row],[IType]],IsDList,Table_ExternalData_15[[#Headers],[20]])</f>
        <v>0</v>
      </c>
      <c r="Y70" s="10">
        <f>SUMIFS(IsQList,IsIList,Table_ExternalData_15[[#This Row],[item_key]],IsITypeList,Table_ExternalData_15[[#This Row],[IType]],IsDList,Table_ExternalData_15[[#Headers],[21]])</f>
        <v>0</v>
      </c>
      <c r="Z70" s="10">
        <f>SUMIFS(IsQList,IsIList,Table_ExternalData_15[[#This Row],[item_key]],IsITypeList,Table_ExternalData_15[[#This Row],[IType]],IsDList,Table_ExternalData_15[[#Headers],[22]])</f>
        <v>0</v>
      </c>
      <c r="AA70" s="10">
        <f>SUMIFS(IsQList,IsIList,Table_ExternalData_15[[#This Row],[item_key]],IsITypeList,Table_ExternalData_15[[#This Row],[IType]],IsDList,Table_ExternalData_15[[#Headers],[23]])</f>
        <v>0</v>
      </c>
      <c r="AB70" s="10">
        <f>SUMIFS(IsQList,IsIList,Table_ExternalData_15[[#This Row],[item_key]],IsITypeList,Table_ExternalData_15[[#This Row],[IType]],IsDList,Table_ExternalData_15[[#Headers],[24]])</f>
        <v>0</v>
      </c>
      <c r="AC70" s="10">
        <f>SUMIFS(IsQList,IsIList,Table_ExternalData_15[[#This Row],[item_key]],IsITypeList,Table_ExternalData_15[[#This Row],[IType]],IsDList,Table_ExternalData_15[[#Headers],[25]])</f>
        <v>0</v>
      </c>
      <c r="AD70" s="10">
        <f>SUMIFS(IsQList,IsIList,Table_ExternalData_15[[#This Row],[item_key]],IsITypeList,Table_ExternalData_15[[#This Row],[IType]],IsDList,Table_ExternalData_15[[#Headers],[26]])</f>
        <v>0</v>
      </c>
      <c r="AE70" s="10">
        <f>SUMIFS(IsQList,IsIList,Table_ExternalData_15[[#This Row],[item_key]],IsITypeList,Table_ExternalData_15[[#This Row],[IType]],IsDList,Table_ExternalData_15[[#Headers],[27]])</f>
        <v>0</v>
      </c>
      <c r="AF70" s="10">
        <f>SUMIFS(IsQList,IsIList,Table_ExternalData_15[[#This Row],[item_key]],IsITypeList,Table_ExternalData_15[[#This Row],[IType]],IsDList,Table_ExternalData_15[[#Headers],[28]])</f>
        <v>0</v>
      </c>
      <c r="AG70" s="10">
        <f>SUMIFS(IsQList,IsIList,Table_ExternalData_15[[#This Row],[item_key]],IsITypeList,Table_ExternalData_15[[#This Row],[IType]],IsDList,Table_ExternalData_15[[#Headers],[29]])</f>
        <v>0</v>
      </c>
      <c r="AH70" s="10">
        <f>SUMIFS(IsQList,IsIList,Table_ExternalData_15[[#This Row],[item_key]],IsITypeList,Table_ExternalData_15[[#This Row],[IType]],IsDList,Table_ExternalData_15[[#Headers],[30]])</f>
        <v>0</v>
      </c>
      <c r="AI70" s="10">
        <f>SUMIFS(IsQList,IsIList,Table_ExternalData_15[[#This Row],[item_key]],IsITypeList,Table_ExternalData_15[[#This Row],[IType]],IsDList,Table_ExternalData_15[[#Headers],[31]])</f>
        <v>0</v>
      </c>
      <c r="AJ70" s="10">
        <f>SUM(Table_ExternalData_15[[#This Row],[1]:[31]])</f>
        <v>0</v>
      </c>
    </row>
    <row r="71" spans="1:36">
      <c r="A71" s="1" t="s">
        <v>385</v>
      </c>
      <c r="B71" s="1" t="s">
        <v>2507</v>
      </c>
      <c r="C71" s="1" t="s">
        <v>2508</v>
      </c>
      <c r="D71" s="11" t="s">
        <v>72</v>
      </c>
      <c r="E71" s="10">
        <f>SUMIFS(IsQList,IsIList,Table_ExternalData_15[[#This Row],[item_key]],IsITypeList,Table_ExternalData_15[[#This Row],[IType]],IsDList,Table_ExternalData_15[[#Headers],[1]])</f>
        <v>0</v>
      </c>
      <c r="F71" s="10">
        <f>SUMIFS(IsQList,IsIList,Table_ExternalData_15[[#This Row],[item_key]],IsITypeList,Table_ExternalData_15[[#This Row],[IType]],IsDList,Table_ExternalData_15[[#Headers],[2]])</f>
        <v>0</v>
      </c>
      <c r="G71" s="10">
        <f>SUMIFS(IsQList,IsIList,Table_ExternalData_15[[#This Row],[item_key]],IsITypeList,Table_ExternalData_15[[#This Row],[IType]],IsDList,Table_ExternalData_15[[#Headers],[3]])</f>
        <v>0</v>
      </c>
      <c r="H71" s="10">
        <f>SUMIFS(IsQList,IsIList,Table_ExternalData_15[[#This Row],[item_key]],IsITypeList,Table_ExternalData_15[[#This Row],[IType]],IsDList,Table_ExternalData_15[[#Headers],[4]])</f>
        <v>0</v>
      </c>
      <c r="I71" s="10">
        <f>SUMIFS(IsQList,IsIList,Table_ExternalData_15[[#This Row],[item_key]],IsITypeList,Table_ExternalData_15[[#This Row],[IType]],IsDList,Table_ExternalData_15[[#Headers],[5]])</f>
        <v>0</v>
      </c>
      <c r="J71" s="10">
        <f>SUMIFS(IsQList,IsIList,Table_ExternalData_15[[#This Row],[item_key]],IsITypeList,Table_ExternalData_15[[#This Row],[IType]],IsDList,Table_ExternalData_15[[#Headers],[6]])</f>
        <v>0</v>
      </c>
      <c r="K71" s="10">
        <f>SUMIFS(IsQList,IsIList,Table_ExternalData_15[[#This Row],[item_key]],IsITypeList,Table_ExternalData_15[[#This Row],[IType]],IsDList,Table_ExternalData_15[[#Headers],[7]])</f>
        <v>0</v>
      </c>
      <c r="L71" s="10">
        <f>SUMIFS(IsQList,IsIList,Table_ExternalData_15[[#This Row],[item_key]],IsITypeList,Table_ExternalData_15[[#This Row],[IType]],IsDList,Table_ExternalData_15[[#Headers],[8]])</f>
        <v>0</v>
      </c>
      <c r="M71" s="10">
        <f>SUMIFS(IsQList,IsIList,Table_ExternalData_15[[#This Row],[item_key]],IsITypeList,Table_ExternalData_15[[#This Row],[IType]],IsDList,Table_ExternalData_15[[#Headers],[9]])</f>
        <v>0</v>
      </c>
      <c r="N71" s="10">
        <f>SUMIFS(IsQList,IsIList,Table_ExternalData_15[[#This Row],[item_key]],IsITypeList,Table_ExternalData_15[[#This Row],[IType]],IsDList,Table_ExternalData_15[[#Headers],[10]])</f>
        <v>0</v>
      </c>
      <c r="O71" s="10">
        <f>SUMIFS(IsQList,IsIList,Table_ExternalData_15[[#This Row],[item_key]],IsITypeList,Table_ExternalData_15[[#This Row],[IType]],IsDList,Table_ExternalData_15[[#Headers],[11]])</f>
        <v>0</v>
      </c>
      <c r="P71" s="10">
        <f>SUMIFS(IsQList,IsIList,Table_ExternalData_15[[#This Row],[item_key]],IsITypeList,Table_ExternalData_15[[#This Row],[IType]],IsDList,Table_ExternalData_15[[#Headers],[12]])</f>
        <v>0</v>
      </c>
      <c r="Q71" s="10">
        <f>SUMIFS(IsQList,IsIList,Table_ExternalData_15[[#This Row],[item_key]],IsITypeList,Table_ExternalData_15[[#This Row],[IType]],IsDList,Table_ExternalData_15[[#Headers],[13]])</f>
        <v>0</v>
      </c>
      <c r="R71" s="10">
        <f>SUMIFS(IsQList,IsIList,Table_ExternalData_15[[#This Row],[item_key]],IsITypeList,Table_ExternalData_15[[#This Row],[IType]],IsDList,Table_ExternalData_15[[#Headers],[14]])</f>
        <v>0</v>
      </c>
      <c r="S71" s="10">
        <f>SUMIFS(IsQList,IsIList,Table_ExternalData_15[[#This Row],[item_key]],IsITypeList,Table_ExternalData_15[[#This Row],[IType]],IsDList,Table_ExternalData_15[[#Headers],[15]])</f>
        <v>0</v>
      </c>
      <c r="T71" s="10">
        <f>SUMIFS(IsQList,IsIList,Table_ExternalData_15[[#This Row],[item_key]],IsITypeList,Table_ExternalData_15[[#This Row],[IType]],IsDList,Table_ExternalData_15[[#Headers],[16]])</f>
        <v>0</v>
      </c>
      <c r="U71" s="10">
        <f>SUMIFS(IsQList,IsIList,Table_ExternalData_15[[#This Row],[item_key]],IsITypeList,Table_ExternalData_15[[#This Row],[IType]],IsDList,Table_ExternalData_15[[#Headers],[17]])</f>
        <v>0</v>
      </c>
      <c r="V71" s="10">
        <f>SUMIFS(IsQList,IsIList,Table_ExternalData_15[[#This Row],[item_key]],IsITypeList,Table_ExternalData_15[[#This Row],[IType]],IsDList,Table_ExternalData_15[[#Headers],[18]])</f>
        <v>0</v>
      </c>
      <c r="W71" s="10">
        <f>SUMIFS(IsQList,IsIList,Table_ExternalData_15[[#This Row],[item_key]],IsITypeList,Table_ExternalData_15[[#This Row],[IType]],IsDList,Table_ExternalData_15[[#Headers],[19]])</f>
        <v>0</v>
      </c>
      <c r="X71" s="10">
        <f>SUMIFS(IsQList,IsIList,Table_ExternalData_15[[#This Row],[item_key]],IsITypeList,Table_ExternalData_15[[#This Row],[IType]],IsDList,Table_ExternalData_15[[#Headers],[20]])</f>
        <v>0</v>
      </c>
      <c r="Y71" s="10">
        <f>SUMIFS(IsQList,IsIList,Table_ExternalData_15[[#This Row],[item_key]],IsITypeList,Table_ExternalData_15[[#This Row],[IType]],IsDList,Table_ExternalData_15[[#Headers],[21]])</f>
        <v>0</v>
      </c>
      <c r="Z71" s="10">
        <f>SUMIFS(IsQList,IsIList,Table_ExternalData_15[[#This Row],[item_key]],IsITypeList,Table_ExternalData_15[[#This Row],[IType]],IsDList,Table_ExternalData_15[[#Headers],[22]])</f>
        <v>0</v>
      </c>
      <c r="AA71" s="10">
        <f>SUMIFS(IsQList,IsIList,Table_ExternalData_15[[#This Row],[item_key]],IsITypeList,Table_ExternalData_15[[#This Row],[IType]],IsDList,Table_ExternalData_15[[#Headers],[23]])</f>
        <v>0</v>
      </c>
      <c r="AB71" s="10">
        <f>SUMIFS(IsQList,IsIList,Table_ExternalData_15[[#This Row],[item_key]],IsITypeList,Table_ExternalData_15[[#This Row],[IType]],IsDList,Table_ExternalData_15[[#Headers],[24]])</f>
        <v>0</v>
      </c>
      <c r="AC71" s="10">
        <f>SUMIFS(IsQList,IsIList,Table_ExternalData_15[[#This Row],[item_key]],IsITypeList,Table_ExternalData_15[[#This Row],[IType]],IsDList,Table_ExternalData_15[[#Headers],[25]])</f>
        <v>0</v>
      </c>
      <c r="AD71" s="10">
        <f>SUMIFS(IsQList,IsIList,Table_ExternalData_15[[#This Row],[item_key]],IsITypeList,Table_ExternalData_15[[#This Row],[IType]],IsDList,Table_ExternalData_15[[#Headers],[26]])</f>
        <v>0</v>
      </c>
      <c r="AE71" s="10">
        <f>SUMIFS(IsQList,IsIList,Table_ExternalData_15[[#This Row],[item_key]],IsITypeList,Table_ExternalData_15[[#This Row],[IType]],IsDList,Table_ExternalData_15[[#Headers],[27]])</f>
        <v>0</v>
      </c>
      <c r="AF71" s="10">
        <f>SUMIFS(IsQList,IsIList,Table_ExternalData_15[[#This Row],[item_key]],IsITypeList,Table_ExternalData_15[[#This Row],[IType]],IsDList,Table_ExternalData_15[[#Headers],[28]])</f>
        <v>0</v>
      </c>
      <c r="AG71" s="10">
        <f>SUMIFS(IsQList,IsIList,Table_ExternalData_15[[#This Row],[item_key]],IsITypeList,Table_ExternalData_15[[#This Row],[IType]],IsDList,Table_ExternalData_15[[#Headers],[29]])</f>
        <v>0</v>
      </c>
      <c r="AH71" s="10">
        <f>SUMIFS(IsQList,IsIList,Table_ExternalData_15[[#This Row],[item_key]],IsITypeList,Table_ExternalData_15[[#This Row],[IType]],IsDList,Table_ExternalData_15[[#Headers],[30]])</f>
        <v>0</v>
      </c>
      <c r="AI71" s="10">
        <f>SUMIFS(IsQList,IsIList,Table_ExternalData_15[[#This Row],[item_key]],IsITypeList,Table_ExternalData_15[[#This Row],[IType]],IsDList,Table_ExternalData_15[[#Headers],[31]])</f>
        <v>0</v>
      </c>
      <c r="AJ71" s="10">
        <f>SUM(Table_ExternalData_15[[#This Row],[1]:[31]])</f>
        <v>0</v>
      </c>
    </row>
    <row r="72" spans="1:36">
      <c r="A72" s="1" t="s">
        <v>389</v>
      </c>
      <c r="B72" s="1" t="s">
        <v>1257</v>
      </c>
      <c r="C72" s="1" t="s">
        <v>1258</v>
      </c>
      <c r="D72" s="11" t="s">
        <v>72</v>
      </c>
      <c r="E72" s="10">
        <f>SUMIFS(IsQList,IsIList,Table_ExternalData_15[[#This Row],[item_key]],IsITypeList,Table_ExternalData_15[[#This Row],[IType]],IsDList,Table_ExternalData_15[[#Headers],[1]])</f>
        <v>0</v>
      </c>
      <c r="F72" s="10">
        <f>SUMIFS(IsQList,IsIList,Table_ExternalData_15[[#This Row],[item_key]],IsITypeList,Table_ExternalData_15[[#This Row],[IType]],IsDList,Table_ExternalData_15[[#Headers],[2]])</f>
        <v>0</v>
      </c>
      <c r="G72" s="10">
        <f>SUMIFS(IsQList,IsIList,Table_ExternalData_15[[#This Row],[item_key]],IsITypeList,Table_ExternalData_15[[#This Row],[IType]],IsDList,Table_ExternalData_15[[#Headers],[3]])</f>
        <v>0</v>
      </c>
      <c r="H72" s="10">
        <f>SUMIFS(IsQList,IsIList,Table_ExternalData_15[[#This Row],[item_key]],IsITypeList,Table_ExternalData_15[[#This Row],[IType]],IsDList,Table_ExternalData_15[[#Headers],[4]])</f>
        <v>0</v>
      </c>
      <c r="I72" s="10">
        <f>SUMIFS(IsQList,IsIList,Table_ExternalData_15[[#This Row],[item_key]],IsITypeList,Table_ExternalData_15[[#This Row],[IType]],IsDList,Table_ExternalData_15[[#Headers],[5]])</f>
        <v>0</v>
      </c>
      <c r="J72" s="10">
        <f>SUMIFS(IsQList,IsIList,Table_ExternalData_15[[#This Row],[item_key]],IsITypeList,Table_ExternalData_15[[#This Row],[IType]],IsDList,Table_ExternalData_15[[#Headers],[6]])</f>
        <v>0</v>
      </c>
      <c r="K72" s="10">
        <f>SUMIFS(IsQList,IsIList,Table_ExternalData_15[[#This Row],[item_key]],IsITypeList,Table_ExternalData_15[[#This Row],[IType]],IsDList,Table_ExternalData_15[[#Headers],[7]])</f>
        <v>0</v>
      </c>
      <c r="L72" s="10">
        <f>SUMIFS(IsQList,IsIList,Table_ExternalData_15[[#This Row],[item_key]],IsITypeList,Table_ExternalData_15[[#This Row],[IType]],IsDList,Table_ExternalData_15[[#Headers],[8]])</f>
        <v>0</v>
      </c>
      <c r="M72" s="10">
        <f>SUMIFS(IsQList,IsIList,Table_ExternalData_15[[#This Row],[item_key]],IsITypeList,Table_ExternalData_15[[#This Row],[IType]],IsDList,Table_ExternalData_15[[#Headers],[9]])</f>
        <v>0</v>
      </c>
      <c r="N72" s="10">
        <f>SUMIFS(IsQList,IsIList,Table_ExternalData_15[[#This Row],[item_key]],IsITypeList,Table_ExternalData_15[[#This Row],[IType]],IsDList,Table_ExternalData_15[[#Headers],[10]])</f>
        <v>10</v>
      </c>
      <c r="O72" s="10">
        <f>SUMIFS(IsQList,IsIList,Table_ExternalData_15[[#This Row],[item_key]],IsITypeList,Table_ExternalData_15[[#This Row],[IType]],IsDList,Table_ExternalData_15[[#Headers],[11]])</f>
        <v>0</v>
      </c>
      <c r="P72" s="10">
        <f>SUMIFS(IsQList,IsIList,Table_ExternalData_15[[#This Row],[item_key]],IsITypeList,Table_ExternalData_15[[#This Row],[IType]],IsDList,Table_ExternalData_15[[#Headers],[12]])</f>
        <v>0</v>
      </c>
      <c r="Q72" s="10">
        <f>SUMIFS(IsQList,IsIList,Table_ExternalData_15[[#This Row],[item_key]],IsITypeList,Table_ExternalData_15[[#This Row],[IType]],IsDList,Table_ExternalData_15[[#Headers],[13]])</f>
        <v>0</v>
      </c>
      <c r="R72" s="10">
        <f>SUMIFS(IsQList,IsIList,Table_ExternalData_15[[#This Row],[item_key]],IsITypeList,Table_ExternalData_15[[#This Row],[IType]],IsDList,Table_ExternalData_15[[#Headers],[14]])</f>
        <v>0</v>
      </c>
      <c r="S72" s="10">
        <f>SUMIFS(IsQList,IsIList,Table_ExternalData_15[[#This Row],[item_key]],IsITypeList,Table_ExternalData_15[[#This Row],[IType]],IsDList,Table_ExternalData_15[[#Headers],[15]])</f>
        <v>0</v>
      </c>
      <c r="T72" s="10">
        <f>SUMIFS(IsQList,IsIList,Table_ExternalData_15[[#This Row],[item_key]],IsITypeList,Table_ExternalData_15[[#This Row],[IType]],IsDList,Table_ExternalData_15[[#Headers],[16]])</f>
        <v>0</v>
      </c>
      <c r="U72" s="10">
        <f>SUMIFS(IsQList,IsIList,Table_ExternalData_15[[#This Row],[item_key]],IsITypeList,Table_ExternalData_15[[#This Row],[IType]],IsDList,Table_ExternalData_15[[#Headers],[17]])</f>
        <v>0</v>
      </c>
      <c r="V72" s="10">
        <f>SUMIFS(IsQList,IsIList,Table_ExternalData_15[[#This Row],[item_key]],IsITypeList,Table_ExternalData_15[[#This Row],[IType]],IsDList,Table_ExternalData_15[[#Headers],[18]])</f>
        <v>0</v>
      </c>
      <c r="W72" s="10">
        <f>SUMIFS(IsQList,IsIList,Table_ExternalData_15[[#This Row],[item_key]],IsITypeList,Table_ExternalData_15[[#This Row],[IType]],IsDList,Table_ExternalData_15[[#Headers],[19]])</f>
        <v>0</v>
      </c>
      <c r="X72" s="10">
        <f>SUMIFS(IsQList,IsIList,Table_ExternalData_15[[#This Row],[item_key]],IsITypeList,Table_ExternalData_15[[#This Row],[IType]],IsDList,Table_ExternalData_15[[#Headers],[20]])</f>
        <v>0</v>
      </c>
      <c r="Y72" s="10">
        <f>SUMIFS(IsQList,IsIList,Table_ExternalData_15[[#This Row],[item_key]],IsITypeList,Table_ExternalData_15[[#This Row],[IType]],IsDList,Table_ExternalData_15[[#Headers],[21]])</f>
        <v>0</v>
      </c>
      <c r="Z72" s="10">
        <f>SUMIFS(IsQList,IsIList,Table_ExternalData_15[[#This Row],[item_key]],IsITypeList,Table_ExternalData_15[[#This Row],[IType]],IsDList,Table_ExternalData_15[[#Headers],[22]])</f>
        <v>0</v>
      </c>
      <c r="AA72" s="10">
        <f>SUMIFS(IsQList,IsIList,Table_ExternalData_15[[#This Row],[item_key]],IsITypeList,Table_ExternalData_15[[#This Row],[IType]],IsDList,Table_ExternalData_15[[#Headers],[23]])</f>
        <v>0</v>
      </c>
      <c r="AB72" s="10">
        <f>SUMIFS(IsQList,IsIList,Table_ExternalData_15[[#This Row],[item_key]],IsITypeList,Table_ExternalData_15[[#This Row],[IType]],IsDList,Table_ExternalData_15[[#Headers],[24]])</f>
        <v>0</v>
      </c>
      <c r="AC72" s="10">
        <f>SUMIFS(IsQList,IsIList,Table_ExternalData_15[[#This Row],[item_key]],IsITypeList,Table_ExternalData_15[[#This Row],[IType]],IsDList,Table_ExternalData_15[[#Headers],[25]])</f>
        <v>0</v>
      </c>
      <c r="AD72" s="10">
        <f>SUMIFS(IsQList,IsIList,Table_ExternalData_15[[#This Row],[item_key]],IsITypeList,Table_ExternalData_15[[#This Row],[IType]],IsDList,Table_ExternalData_15[[#Headers],[26]])</f>
        <v>0</v>
      </c>
      <c r="AE72" s="10">
        <f>SUMIFS(IsQList,IsIList,Table_ExternalData_15[[#This Row],[item_key]],IsITypeList,Table_ExternalData_15[[#This Row],[IType]],IsDList,Table_ExternalData_15[[#Headers],[27]])</f>
        <v>0</v>
      </c>
      <c r="AF72" s="10">
        <f>SUMIFS(IsQList,IsIList,Table_ExternalData_15[[#This Row],[item_key]],IsITypeList,Table_ExternalData_15[[#This Row],[IType]],IsDList,Table_ExternalData_15[[#Headers],[28]])</f>
        <v>0</v>
      </c>
      <c r="AG72" s="10">
        <f>SUMIFS(IsQList,IsIList,Table_ExternalData_15[[#This Row],[item_key]],IsITypeList,Table_ExternalData_15[[#This Row],[IType]],IsDList,Table_ExternalData_15[[#Headers],[29]])</f>
        <v>0</v>
      </c>
      <c r="AH72" s="10">
        <f>SUMIFS(IsQList,IsIList,Table_ExternalData_15[[#This Row],[item_key]],IsITypeList,Table_ExternalData_15[[#This Row],[IType]],IsDList,Table_ExternalData_15[[#Headers],[30]])</f>
        <v>0</v>
      </c>
      <c r="AI72" s="10">
        <f>SUMIFS(IsQList,IsIList,Table_ExternalData_15[[#This Row],[item_key]],IsITypeList,Table_ExternalData_15[[#This Row],[IType]],IsDList,Table_ExternalData_15[[#Headers],[31]])</f>
        <v>0</v>
      </c>
      <c r="AJ72" s="10">
        <f>SUM(Table_ExternalData_15[[#This Row],[1]:[31]])</f>
        <v>10</v>
      </c>
    </row>
    <row r="73" spans="1:36">
      <c r="A73" s="1" t="s">
        <v>393</v>
      </c>
      <c r="B73" s="1" t="s">
        <v>2509</v>
      </c>
      <c r="C73" s="1" t="s">
        <v>1594</v>
      </c>
      <c r="D73" s="11" t="s">
        <v>72</v>
      </c>
      <c r="E73" s="10">
        <f>SUMIFS(IsQList,IsIList,Table_ExternalData_15[[#This Row],[item_key]],IsITypeList,Table_ExternalData_15[[#This Row],[IType]],IsDList,Table_ExternalData_15[[#Headers],[1]])</f>
        <v>0</v>
      </c>
      <c r="F73" s="10">
        <f>SUMIFS(IsQList,IsIList,Table_ExternalData_15[[#This Row],[item_key]],IsITypeList,Table_ExternalData_15[[#This Row],[IType]],IsDList,Table_ExternalData_15[[#Headers],[2]])</f>
        <v>0</v>
      </c>
      <c r="G73" s="10">
        <f>SUMIFS(IsQList,IsIList,Table_ExternalData_15[[#This Row],[item_key]],IsITypeList,Table_ExternalData_15[[#This Row],[IType]],IsDList,Table_ExternalData_15[[#Headers],[3]])</f>
        <v>0</v>
      </c>
      <c r="H73" s="10">
        <f>SUMIFS(IsQList,IsIList,Table_ExternalData_15[[#This Row],[item_key]],IsITypeList,Table_ExternalData_15[[#This Row],[IType]],IsDList,Table_ExternalData_15[[#Headers],[4]])</f>
        <v>0</v>
      </c>
      <c r="I73" s="10">
        <f>SUMIFS(IsQList,IsIList,Table_ExternalData_15[[#This Row],[item_key]],IsITypeList,Table_ExternalData_15[[#This Row],[IType]],IsDList,Table_ExternalData_15[[#Headers],[5]])</f>
        <v>0</v>
      </c>
      <c r="J73" s="10">
        <f>SUMIFS(IsQList,IsIList,Table_ExternalData_15[[#This Row],[item_key]],IsITypeList,Table_ExternalData_15[[#This Row],[IType]],IsDList,Table_ExternalData_15[[#Headers],[6]])</f>
        <v>0</v>
      </c>
      <c r="K73" s="10">
        <f>SUMIFS(IsQList,IsIList,Table_ExternalData_15[[#This Row],[item_key]],IsITypeList,Table_ExternalData_15[[#This Row],[IType]],IsDList,Table_ExternalData_15[[#Headers],[7]])</f>
        <v>0</v>
      </c>
      <c r="L73" s="10">
        <f>SUMIFS(IsQList,IsIList,Table_ExternalData_15[[#This Row],[item_key]],IsITypeList,Table_ExternalData_15[[#This Row],[IType]],IsDList,Table_ExternalData_15[[#Headers],[8]])</f>
        <v>0</v>
      </c>
      <c r="M73" s="10">
        <f>SUMIFS(IsQList,IsIList,Table_ExternalData_15[[#This Row],[item_key]],IsITypeList,Table_ExternalData_15[[#This Row],[IType]],IsDList,Table_ExternalData_15[[#Headers],[9]])</f>
        <v>0</v>
      </c>
      <c r="N73" s="10">
        <f>SUMIFS(IsQList,IsIList,Table_ExternalData_15[[#This Row],[item_key]],IsITypeList,Table_ExternalData_15[[#This Row],[IType]],IsDList,Table_ExternalData_15[[#Headers],[10]])</f>
        <v>0</v>
      </c>
      <c r="O73" s="10">
        <f>SUMIFS(IsQList,IsIList,Table_ExternalData_15[[#This Row],[item_key]],IsITypeList,Table_ExternalData_15[[#This Row],[IType]],IsDList,Table_ExternalData_15[[#Headers],[11]])</f>
        <v>0</v>
      </c>
      <c r="P73" s="10">
        <f>SUMIFS(IsQList,IsIList,Table_ExternalData_15[[#This Row],[item_key]],IsITypeList,Table_ExternalData_15[[#This Row],[IType]],IsDList,Table_ExternalData_15[[#Headers],[12]])</f>
        <v>0</v>
      </c>
      <c r="Q73" s="10">
        <f>SUMIFS(IsQList,IsIList,Table_ExternalData_15[[#This Row],[item_key]],IsITypeList,Table_ExternalData_15[[#This Row],[IType]],IsDList,Table_ExternalData_15[[#Headers],[13]])</f>
        <v>0</v>
      </c>
      <c r="R73" s="10">
        <f>SUMIFS(IsQList,IsIList,Table_ExternalData_15[[#This Row],[item_key]],IsITypeList,Table_ExternalData_15[[#This Row],[IType]],IsDList,Table_ExternalData_15[[#Headers],[14]])</f>
        <v>0</v>
      </c>
      <c r="S73" s="10">
        <f>SUMIFS(IsQList,IsIList,Table_ExternalData_15[[#This Row],[item_key]],IsITypeList,Table_ExternalData_15[[#This Row],[IType]],IsDList,Table_ExternalData_15[[#Headers],[15]])</f>
        <v>0</v>
      </c>
      <c r="T73" s="10">
        <f>SUMIFS(IsQList,IsIList,Table_ExternalData_15[[#This Row],[item_key]],IsITypeList,Table_ExternalData_15[[#This Row],[IType]],IsDList,Table_ExternalData_15[[#Headers],[16]])</f>
        <v>0</v>
      </c>
      <c r="U73" s="10">
        <f>SUMIFS(IsQList,IsIList,Table_ExternalData_15[[#This Row],[item_key]],IsITypeList,Table_ExternalData_15[[#This Row],[IType]],IsDList,Table_ExternalData_15[[#Headers],[17]])</f>
        <v>0</v>
      </c>
      <c r="V73" s="10">
        <f>SUMIFS(IsQList,IsIList,Table_ExternalData_15[[#This Row],[item_key]],IsITypeList,Table_ExternalData_15[[#This Row],[IType]],IsDList,Table_ExternalData_15[[#Headers],[18]])</f>
        <v>0</v>
      </c>
      <c r="W73" s="10">
        <f>SUMIFS(IsQList,IsIList,Table_ExternalData_15[[#This Row],[item_key]],IsITypeList,Table_ExternalData_15[[#This Row],[IType]],IsDList,Table_ExternalData_15[[#Headers],[19]])</f>
        <v>0</v>
      </c>
      <c r="X73" s="10">
        <f>SUMIFS(IsQList,IsIList,Table_ExternalData_15[[#This Row],[item_key]],IsITypeList,Table_ExternalData_15[[#This Row],[IType]],IsDList,Table_ExternalData_15[[#Headers],[20]])</f>
        <v>0</v>
      </c>
      <c r="Y73" s="10">
        <f>SUMIFS(IsQList,IsIList,Table_ExternalData_15[[#This Row],[item_key]],IsITypeList,Table_ExternalData_15[[#This Row],[IType]],IsDList,Table_ExternalData_15[[#Headers],[21]])</f>
        <v>0</v>
      </c>
      <c r="Z73" s="10">
        <f>SUMIFS(IsQList,IsIList,Table_ExternalData_15[[#This Row],[item_key]],IsITypeList,Table_ExternalData_15[[#This Row],[IType]],IsDList,Table_ExternalData_15[[#Headers],[22]])</f>
        <v>0</v>
      </c>
      <c r="AA73" s="10">
        <f>SUMIFS(IsQList,IsIList,Table_ExternalData_15[[#This Row],[item_key]],IsITypeList,Table_ExternalData_15[[#This Row],[IType]],IsDList,Table_ExternalData_15[[#Headers],[23]])</f>
        <v>0</v>
      </c>
      <c r="AB73" s="10">
        <f>SUMIFS(IsQList,IsIList,Table_ExternalData_15[[#This Row],[item_key]],IsITypeList,Table_ExternalData_15[[#This Row],[IType]],IsDList,Table_ExternalData_15[[#Headers],[24]])</f>
        <v>0</v>
      </c>
      <c r="AC73" s="10">
        <f>SUMIFS(IsQList,IsIList,Table_ExternalData_15[[#This Row],[item_key]],IsITypeList,Table_ExternalData_15[[#This Row],[IType]],IsDList,Table_ExternalData_15[[#Headers],[25]])</f>
        <v>0</v>
      </c>
      <c r="AD73" s="10">
        <f>SUMIFS(IsQList,IsIList,Table_ExternalData_15[[#This Row],[item_key]],IsITypeList,Table_ExternalData_15[[#This Row],[IType]],IsDList,Table_ExternalData_15[[#Headers],[26]])</f>
        <v>0</v>
      </c>
      <c r="AE73" s="10">
        <f>SUMIFS(IsQList,IsIList,Table_ExternalData_15[[#This Row],[item_key]],IsITypeList,Table_ExternalData_15[[#This Row],[IType]],IsDList,Table_ExternalData_15[[#Headers],[27]])</f>
        <v>0</v>
      </c>
      <c r="AF73" s="10">
        <f>SUMIFS(IsQList,IsIList,Table_ExternalData_15[[#This Row],[item_key]],IsITypeList,Table_ExternalData_15[[#This Row],[IType]],IsDList,Table_ExternalData_15[[#Headers],[28]])</f>
        <v>0</v>
      </c>
      <c r="AG73" s="10">
        <f>SUMIFS(IsQList,IsIList,Table_ExternalData_15[[#This Row],[item_key]],IsITypeList,Table_ExternalData_15[[#This Row],[IType]],IsDList,Table_ExternalData_15[[#Headers],[29]])</f>
        <v>0</v>
      </c>
      <c r="AH73" s="10">
        <f>SUMIFS(IsQList,IsIList,Table_ExternalData_15[[#This Row],[item_key]],IsITypeList,Table_ExternalData_15[[#This Row],[IType]],IsDList,Table_ExternalData_15[[#Headers],[30]])</f>
        <v>0</v>
      </c>
      <c r="AI73" s="10">
        <f>SUMIFS(IsQList,IsIList,Table_ExternalData_15[[#This Row],[item_key]],IsITypeList,Table_ExternalData_15[[#This Row],[IType]],IsDList,Table_ExternalData_15[[#Headers],[31]])</f>
        <v>0</v>
      </c>
      <c r="AJ73" s="10">
        <f>SUM(Table_ExternalData_15[[#This Row],[1]:[31]])</f>
        <v>0</v>
      </c>
    </row>
    <row r="74" spans="1:36">
      <c r="A74" s="1" t="s">
        <v>1707</v>
      </c>
      <c r="B74" s="1" t="s">
        <v>2385</v>
      </c>
      <c r="C74" s="1" t="s">
        <v>2386</v>
      </c>
      <c r="D74" s="11" t="s">
        <v>72</v>
      </c>
      <c r="E74" s="10">
        <f>SUMIFS(IsQList,IsIList,Table_ExternalData_15[[#This Row],[item_key]],IsITypeList,Table_ExternalData_15[[#This Row],[IType]],IsDList,Table_ExternalData_15[[#Headers],[1]])</f>
        <v>0</v>
      </c>
      <c r="F74" s="10">
        <f>SUMIFS(IsQList,IsIList,Table_ExternalData_15[[#This Row],[item_key]],IsITypeList,Table_ExternalData_15[[#This Row],[IType]],IsDList,Table_ExternalData_15[[#Headers],[2]])</f>
        <v>0</v>
      </c>
      <c r="G74" s="10">
        <f>SUMIFS(IsQList,IsIList,Table_ExternalData_15[[#This Row],[item_key]],IsITypeList,Table_ExternalData_15[[#This Row],[IType]],IsDList,Table_ExternalData_15[[#Headers],[3]])</f>
        <v>0</v>
      </c>
      <c r="H74" s="10">
        <f>SUMIFS(IsQList,IsIList,Table_ExternalData_15[[#This Row],[item_key]],IsITypeList,Table_ExternalData_15[[#This Row],[IType]],IsDList,Table_ExternalData_15[[#Headers],[4]])</f>
        <v>0</v>
      </c>
      <c r="I74" s="10">
        <f>SUMIFS(IsQList,IsIList,Table_ExternalData_15[[#This Row],[item_key]],IsITypeList,Table_ExternalData_15[[#This Row],[IType]],IsDList,Table_ExternalData_15[[#Headers],[5]])</f>
        <v>0</v>
      </c>
      <c r="J74" s="10">
        <f>SUMIFS(IsQList,IsIList,Table_ExternalData_15[[#This Row],[item_key]],IsITypeList,Table_ExternalData_15[[#This Row],[IType]],IsDList,Table_ExternalData_15[[#Headers],[6]])</f>
        <v>20</v>
      </c>
      <c r="K74" s="10">
        <f>SUMIFS(IsQList,IsIList,Table_ExternalData_15[[#This Row],[item_key]],IsITypeList,Table_ExternalData_15[[#This Row],[IType]],IsDList,Table_ExternalData_15[[#Headers],[7]])</f>
        <v>0</v>
      </c>
      <c r="L74" s="10">
        <f>SUMIFS(IsQList,IsIList,Table_ExternalData_15[[#This Row],[item_key]],IsITypeList,Table_ExternalData_15[[#This Row],[IType]],IsDList,Table_ExternalData_15[[#Headers],[8]])</f>
        <v>0</v>
      </c>
      <c r="M74" s="10">
        <f>SUMIFS(IsQList,IsIList,Table_ExternalData_15[[#This Row],[item_key]],IsITypeList,Table_ExternalData_15[[#This Row],[IType]],IsDList,Table_ExternalData_15[[#Headers],[9]])</f>
        <v>0</v>
      </c>
      <c r="N74" s="10">
        <f>SUMIFS(IsQList,IsIList,Table_ExternalData_15[[#This Row],[item_key]],IsITypeList,Table_ExternalData_15[[#This Row],[IType]],IsDList,Table_ExternalData_15[[#Headers],[10]])</f>
        <v>0</v>
      </c>
      <c r="O74" s="10">
        <f>SUMIFS(IsQList,IsIList,Table_ExternalData_15[[#This Row],[item_key]],IsITypeList,Table_ExternalData_15[[#This Row],[IType]],IsDList,Table_ExternalData_15[[#Headers],[11]])</f>
        <v>0</v>
      </c>
      <c r="P74" s="10">
        <f>SUMIFS(IsQList,IsIList,Table_ExternalData_15[[#This Row],[item_key]],IsITypeList,Table_ExternalData_15[[#This Row],[IType]],IsDList,Table_ExternalData_15[[#Headers],[12]])</f>
        <v>0</v>
      </c>
      <c r="Q74" s="10">
        <f>SUMIFS(IsQList,IsIList,Table_ExternalData_15[[#This Row],[item_key]],IsITypeList,Table_ExternalData_15[[#This Row],[IType]],IsDList,Table_ExternalData_15[[#Headers],[13]])</f>
        <v>0</v>
      </c>
      <c r="R74" s="10">
        <f>SUMIFS(IsQList,IsIList,Table_ExternalData_15[[#This Row],[item_key]],IsITypeList,Table_ExternalData_15[[#This Row],[IType]],IsDList,Table_ExternalData_15[[#Headers],[14]])</f>
        <v>0</v>
      </c>
      <c r="S74" s="10">
        <f>SUMIFS(IsQList,IsIList,Table_ExternalData_15[[#This Row],[item_key]],IsITypeList,Table_ExternalData_15[[#This Row],[IType]],IsDList,Table_ExternalData_15[[#Headers],[15]])</f>
        <v>0</v>
      </c>
      <c r="T74" s="10">
        <f>SUMIFS(IsQList,IsIList,Table_ExternalData_15[[#This Row],[item_key]],IsITypeList,Table_ExternalData_15[[#This Row],[IType]],IsDList,Table_ExternalData_15[[#Headers],[16]])</f>
        <v>0</v>
      </c>
      <c r="U74" s="10">
        <f>SUMIFS(IsQList,IsIList,Table_ExternalData_15[[#This Row],[item_key]],IsITypeList,Table_ExternalData_15[[#This Row],[IType]],IsDList,Table_ExternalData_15[[#Headers],[17]])</f>
        <v>0</v>
      </c>
      <c r="V74" s="10">
        <f>SUMIFS(IsQList,IsIList,Table_ExternalData_15[[#This Row],[item_key]],IsITypeList,Table_ExternalData_15[[#This Row],[IType]],IsDList,Table_ExternalData_15[[#Headers],[18]])</f>
        <v>0</v>
      </c>
      <c r="W74" s="10">
        <f>SUMIFS(IsQList,IsIList,Table_ExternalData_15[[#This Row],[item_key]],IsITypeList,Table_ExternalData_15[[#This Row],[IType]],IsDList,Table_ExternalData_15[[#Headers],[19]])</f>
        <v>0</v>
      </c>
      <c r="X74" s="10">
        <f>SUMIFS(IsQList,IsIList,Table_ExternalData_15[[#This Row],[item_key]],IsITypeList,Table_ExternalData_15[[#This Row],[IType]],IsDList,Table_ExternalData_15[[#Headers],[20]])</f>
        <v>0</v>
      </c>
      <c r="Y74" s="10">
        <f>SUMIFS(IsQList,IsIList,Table_ExternalData_15[[#This Row],[item_key]],IsITypeList,Table_ExternalData_15[[#This Row],[IType]],IsDList,Table_ExternalData_15[[#Headers],[21]])</f>
        <v>0</v>
      </c>
      <c r="Z74" s="10">
        <f>SUMIFS(IsQList,IsIList,Table_ExternalData_15[[#This Row],[item_key]],IsITypeList,Table_ExternalData_15[[#This Row],[IType]],IsDList,Table_ExternalData_15[[#Headers],[22]])</f>
        <v>0</v>
      </c>
      <c r="AA74" s="10">
        <f>SUMIFS(IsQList,IsIList,Table_ExternalData_15[[#This Row],[item_key]],IsITypeList,Table_ExternalData_15[[#This Row],[IType]],IsDList,Table_ExternalData_15[[#Headers],[23]])</f>
        <v>0</v>
      </c>
      <c r="AB74" s="10">
        <f>SUMIFS(IsQList,IsIList,Table_ExternalData_15[[#This Row],[item_key]],IsITypeList,Table_ExternalData_15[[#This Row],[IType]],IsDList,Table_ExternalData_15[[#Headers],[24]])</f>
        <v>0</v>
      </c>
      <c r="AC74" s="10">
        <f>SUMIFS(IsQList,IsIList,Table_ExternalData_15[[#This Row],[item_key]],IsITypeList,Table_ExternalData_15[[#This Row],[IType]],IsDList,Table_ExternalData_15[[#Headers],[25]])</f>
        <v>0</v>
      </c>
      <c r="AD74" s="10">
        <f>SUMIFS(IsQList,IsIList,Table_ExternalData_15[[#This Row],[item_key]],IsITypeList,Table_ExternalData_15[[#This Row],[IType]],IsDList,Table_ExternalData_15[[#Headers],[26]])</f>
        <v>0</v>
      </c>
      <c r="AE74" s="10">
        <f>SUMIFS(IsQList,IsIList,Table_ExternalData_15[[#This Row],[item_key]],IsITypeList,Table_ExternalData_15[[#This Row],[IType]],IsDList,Table_ExternalData_15[[#Headers],[27]])</f>
        <v>0</v>
      </c>
      <c r="AF74" s="10">
        <f>SUMIFS(IsQList,IsIList,Table_ExternalData_15[[#This Row],[item_key]],IsITypeList,Table_ExternalData_15[[#This Row],[IType]],IsDList,Table_ExternalData_15[[#Headers],[28]])</f>
        <v>0</v>
      </c>
      <c r="AG74" s="10">
        <f>SUMIFS(IsQList,IsIList,Table_ExternalData_15[[#This Row],[item_key]],IsITypeList,Table_ExternalData_15[[#This Row],[IType]],IsDList,Table_ExternalData_15[[#Headers],[29]])</f>
        <v>0</v>
      </c>
      <c r="AH74" s="10">
        <f>SUMIFS(IsQList,IsIList,Table_ExternalData_15[[#This Row],[item_key]],IsITypeList,Table_ExternalData_15[[#This Row],[IType]],IsDList,Table_ExternalData_15[[#Headers],[30]])</f>
        <v>417</v>
      </c>
      <c r="AI74" s="10">
        <f>SUMIFS(IsQList,IsIList,Table_ExternalData_15[[#This Row],[item_key]],IsITypeList,Table_ExternalData_15[[#This Row],[IType]],IsDList,Table_ExternalData_15[[#Headers],[31]])</f>
        <v>0</v>
      </c>
      <c r="AJ74" s="10">
        <f>SUM(Table_ExternalData_15[[#This Row],[1]:[31]])</f>
        <v>437</v>
      </c>
    </row>
    <row r="75" spans="1:36">
      <c r="A75" s="1" t="s">
        <v>406</v>
      </c>
      <c r="B75" s="1" t="s">
        <v>1261</v>
      </c>
      <c r="C75" s="1" t="s">
        <v>1262</v>
      </c>
      <c r="D75" s="11" t="s">
        <v>72</v>
      </c>
      <c r="E75" s="10">
        <f>SUMIFS(IsQList,IsIList,Table_ExternalData_15[[#This Row],[item_key]],IsITypeList,Table_ExternalData_15[[#This Row],[IType]],IsDList,Table_ExternalData_15[[#Headers],[1]])</f>
        <v>0</v>
      </c>
      <c r="F75" s="10">
        <f>SUMIFS(IsQList,IsIList,Table_ExternalData_15[[#This Row],[item_key]],IsITypeList,Table_ExternalData_15[[#This Row],[IType]],IsDList,Table_ExternalData_15[[#Headers],[2]])</f>
        <v>0</v>
      </c>
      <c r="G75" s="10">
        <f>SUMIFS(IsQList,IsIList,Table_ExternalData_15[[#This Row],[item_key]],IsITypeList,Table_ExternalData_15[[#This Row],[IType]],IsDList,Table_ExternalData_15[[#Headers],[3]])</f>
        <v>0</v>
      </c>
      <c r="H75" s="10">
        <f>SUMIFS(IsQList,IsIList,Table_ExternalData_15[[#This Row],[item_key]],IsITypeList,Table_ExternalData_15[[#This Row],[IType]],IsDList,Table_ExternalData_15[[#Headers],[4]])</f>
        <v>0</v>
      </c>
      <c r="I75" s="10">
        <f>SUMIFS(IsQList,IsIList,Table_ExternalData_15[[#This Row],[item_key]],IsITypeList,Table_ExternalData_15[[#This Row],[IType]],IsDList,Table_ExternalData_15[[#Headers],[5]])</f>
        <v>0</v>
      </c>
      <c r="J75" s="10">
        <f>SUMIFS(IsQList,IsIList,Table_ExternalData_15[[#This Row],[item_key]],IsITypeList,Table_ExternalData_15[[#This Row],[IType]],IsDList,Table_ExternalData_15[[#Headers],[6]])</f>
        <v>0</v>
      </c>
      <c r="K75" s="10">
        <f>SUMIFS(IsQList,IsIList,Table_ExternalData_15[[#This Row],[item_key]],IsITypeList,Table_ExternalData_15[[#This Row],[IType]],IsDList,Table_ExternalData_15[[#Headers],[7]])</f>
        <v>0</v>
      </c>
      <c r="L75" s="10">
        <f>SUMIFS(IsQList,IsIList,Table_ExternalData_15[[#This Row],[item_key]],IsITypeList,Table_ExternalData_15[[#This Row],[IType]],IsDList,Table_ExternalData_15[[#Headers],[8]])</f>
        <v>0</v>
      </c>
      <c r="M75" s="10">
        <f>SUMIFS(IsQList,IsIList,Table_ExternalData_15[[#This Row],[item_key]],IsITypeList,Table_ExternalData_15[[#This Row],[IType]],IsDList,Table_ExternalData_15[[#Headers],[9]])</f>
        <v>0</v>
      </c>
      <c r="N75" s="10">
        <f>SUMIFS(IsQList,IsIList,Table_ExternalData_15[[#This Row],[item_key]],IsITypeList,Table_ExternalData_15[[#This Row],[IType]],IsDList,Table_ExternalData_15[[#Headers],[10]])</f>
        <v>0</v>
      </c>
      <c r="O75" s="10">
        <f>SUMIFS(IsQList,IsIList,Table_ExternalData_15[[#This Row],[item_key]],IsITypeList,Table_ExternalData_15[[#This Row],[IType]],IsDList,Table_ExternalData_15[[#Headers],[11]])</f>
        <v>0</v>
      </c>
      <c r="P75" s="10">
        <f>SUMIFS(IsQList,IsIList,Table_ExternalData_15[[#This Row],[item_key]],IsITypeList,Table_ExternalData_15[[#This Row],[IType]],IsDList,Table_ExternalData_15[[#Headers],[12]])</f>
        <v>0</v>
      </c>
      <c r="Q75" s="10">
        <f>SUMIFS(IsQList,IsIList,Table_ExternalData_15[[#This Row],[item_key]],IsITypeList,Table_ExternalData_15[[#This Row],[IType]],IsDList,Table_ExternalData_15[[#Headers],[13]])</f>
        <v>0</v>
      </c>
      <c r="R75" s="10">
        <f>SUMIFS(IsQList,IsIList,Table_ExternalData_15[[#This Row],[item_key]],IsITypeList,Table_ExternalData_15[[#This Row],[IType]],IsDList,Table_ExternalData_15[[#Headers],[14]])</f>
        <v>0</v>
      </c>
      <c r="S75" s="10">
        <f>SUMIFS(IsQList,IsIList,Table_ExternalData_15[[#This Row],[item_key]],IsITypeList,Table_ExternalData_15[[#This Row],[IType]],IsDList,Table_ExternalData_15[[#Headers],[15]])</f>
        <v>0</v>
      </c>
      <c r="T75" s="10">
        <f>SUMIFS(IsQList,IsIList,Table_ExternalData_15[[#This Row],[item_key]],IsITypeList,Table_ExternalData_15[[#This Row],[IType]],IsDList,Table_ExternalData_15[[#Headers],[16]])</f>
        <v>0</v>
      </c>
      <c r="U75" s="10">
        <f>SUMIFS(IsQList,IsIList,Table_ExternalData_15[[#This Row],[item_key]],IsITypeList,Table_ExternalData_15[[#This Row],[IType]],IsDList,Table_ExternalData_15[[#Headers],[17]])</f>
        <v>0</v>
      </c>
      <c r="V75" s="10">
        <f>SUMIFS(IsQList,IsIList,Table_ExternalData_15[[#This Row],[item_key]],IsITypeList,Table_ExternalData_15[[#This Row],[IType]],IsDList,Table_ExternalData_15[[#Headers],[18]])</f>
        <v>0</v>
      </c>
      <c r="W75" s="10">
        <f>SUMIFS(IsQList,IsIList,Table_ExternalData_15[[#This Row],[item_key]],IsITypeList,Table_ExternalData_15[[#This Row],[IType]],IsDList,Table_ExternalData_15[[#Headers],[19]])</f>
        <v>0</v>
      </c>
      <c r="X75" s="10">
        <f>SUMIFS(IsQList,IsIList,Table_ExternalData_15[[#This Row],[item_key]],IsITypeList,Table_ExternalData_15[[#This Row],[IType]],IsDList,Table_ExternalData_15[[#Headers],[20]])</f>
        <v>0</v>
      </c>
      <c r="Y75" s="10">
        <f>SUMIFS(IsQList,IsIList,Table_ExternalData_15[[#This Row],[item_key]],IsITypeList,Table_ExternalData_15[[#This Row],[IType]],IsDList,Table_ExternalData_15[[#Headers],[21]])</f>
        <v>0</v>
      </c>
      <c r="Z75" s="10">
        <f>SUMIFS(IsQList,IsIList,Table_ExternalData_15[[#This Row],[item_key]],IsITypeList,Table_ExternalData_15[[#This Row],[IType]],IsDList,Table_ExternalData_15[[#Headers],[22]])</f>
        <v>0</v>
      </c>
      <c r="AA75" s="10">
        <f>SUMIFS(IsQList,IsIList,Table_ExternalData_15[[#This Row],[item_key]],IsITypeList,Table_ExternalData_15[[#This Row],[IType]],IsDList,Table_ExternalData_15[[#Headers],[23]])</f>
        <v>0</v>
      </c>
      <c r="AB75" s="10">
        <f>SUMIFS(IsQList,IsIList,Table_ExternalData_15[[#This Row],[item_key]],IsITypeList,Table_ExternalData_15[[#This Row],[IType]],IsDList,Table_ExternalData_15[[#Headers],[24]])</f>
        <v>3</v>
      </c>
      <c r="AC75" s="10">
        <f>SUMIFS(IsQList,IsIList,Table_ExternalData_15[[#This Row],[item_key]],IsITypeList,Table_ExternalData_15[[#This Row],[IType]],IsDList,Table_ExternalData_15[[#Headers],[25]])</f>
        <v>0</v>
      </c>
      <c r="AD75" s="10">
        <f>SUMIFS(IsQList,IsIList,Table_ExternalData_15[[#This Row],[item_key]],IsITypeList,Table_ExternalData_15[[#This Row],[IType]],IsDList,Table_ExternalData_15[[#Headers],[26]])</f>
        <v>0</v>
      </c>
      <c r="AE75" s="10">
        <f>SUMIFS(IsQList,IsIList,Table_ExternalData_15[[#This Row],[item_key]],IsITypeList,Table_ExternalData_15[[#This Row],[IType]],IsDList,Table_ExternalData_15[[#Headers],[27]])</f>
        <v>0</v>
      </c>
      <c r="AF75" s="10">
        <f>SUMIFS(IsQList,IsIList,Table_ExternalData_15[[#This Row],[item_key]],IsITypeList,Table_ExternalData_15[[#This Row],[IType]],IsDList,Table_ExternalData_15[[#Headers],[28]])</f>
        <v>0</v>
      </c>
      <c r="AG75" s="10">
        <f>SUMIFS(IsQList,IsIList,Table_ExternalData_15[[#This Row],[item_key]],IsITypeList,Table_ExternalData_15[[#This Row],[IType]],IsDList,Table_ExternalData_15[[#Headers],[29]])</f>
        <v>0</v>
      </c>
      <c r="AH75" s="10">
        <f>SUMIFS(IsQList,IsIList,Table_ExternalData_15[[#This Row],[item_key]],IsITypeList,Table_ExternalData_15[[#This Row],[IType]],IsDList,Table_ExternalData_15[[#Headers],[30]])</f>
        <v>0</v>
      </c>
      <c r="AI75" s="10">
        <f>SUMIFS(IsQList,IsIList,Table_ExternalData_15[[#This Row],[item_key]],IsITypeList,Table_ExternalData_15[[#This Row],[IType]],IsDList,Table_ExternalData_15[[#Headers],[31]])</f>
        <v>0</v>
      </c>
      <c r="AJ75" s="10">
        <f>SUM(Table_ExternalData_15[[#This Row],[1]:[31]])</f>
        <v>3</v>
      </c>
    </row>
    <row r="76" spans="1:36">
      <c r="A76" s="1" t="s">
        <v>408</v>
      </c>
      <c r="B76" s="1" t="s">
        <v>2510</v>
      </c>
      <c r="C76" s="1" t="s">
        <v>2511</v>
      </c>
      <c r="D76" s="11" t="s">
        <v>72</v>
      </c>
      <c r="E76" s="10">
        <f>SUMIFS(IsQList,IsIList,Table_ExternalData_15[[#This Row],[item_key]],IsITypeList,Table_ExternalData_15[[#This Row],[IType]],IsDList,Table_ExternalData_15[[#Headers],[1]])</f>
        <v>0</v>
      </c>
      <c r="F76" s="10">
        <f>SUMIFS(IsQList,IsIList,Table_ExternalData_15[[#This Row],[item_key]],IsITypeList,Table_ExternalData_15[[#This Row],[IType]],IsDList,Table_ExternalData_15[[#Headers],[2]])</f>
        <v>0</v>
      </c>
      <c r="G76" s="10">
        <f>SUMIFS(IsQList,IsIList,Table_ExternalData_15[[#This Row],[item_key]],IsITypeList,Table_ExternalData_15[[#This Row],[IType]],IsDList,Table_ExternalData_15[[#Headers],[3]])</f>
        <v>0</v>
      </c>
      <c r="H76" s="10">
        <f>SUMIFS(IsQList,IsIList,Table_ExternalData_15[[#This Row],[item_key]],IsITypeList,Table_ExternalData_15[[#This Row],[IType]],IsDList,Table_ExternalData_15[[#Headers],[4]])</f>
        <v>0</v>
      </c>
      <c r="I76" s="10">
        <f>SUMIFS(IsQList,IsIList,Table_ExternalData_15[[#This Row],[item_key]],IsITypeList,Table_ExternalData_15[[#This Row],[IType]],IsDList,Table_ExternalData_15[[#Headers],[5]])</f>
        <v>0</v>
      </c>
      <c r="J76" s="10">
        <f>SUMIFS(IsQList,IsIList,Table_ExternalData_15[[#This Row],[item_key]],IsITypeList,Table_ExternalData_15[[#This Row],[IType]],IsDList,Table_ExternalData_15[[#Headers],[6]])</f>
        <v>0</v>
      </c>
      <c r="K76" s="10">
        <f>SUMIFS(IsQList,IsIList,Table_ExternalData_15[[#This Row],[item_key]],IsITypeList,Table_ExternalData_15[[#This Row],[IType]],IsDList,Table_ExternalData_15[[#Headers],[7]])</f>
        <v>0</v>
      </c>
      <c r="L76" s="10">
        <f>SUMIFS(IsQList,IsIList,Table_ExternalData_15[[#This Row],[item_key]],IsITypeList,Table_ExternalData_15[[#This Row],[IType]],IsDList,Table_ExternalData_15[[#Headers],[8]])</f>
        <v>0</v>
      </c>
      <c r="M76" s="10">
        <f>SUMIFS(IsQList,IsIList,Table_ExternalData_15[[#This Row],[item_key]],IsITypeList,Table_ExternalData_15[[#This Row],[IType]],IsDList,Table_ExternalData_15[[#Headers],[9]])</f>
        <v>0</v>
      </c>
      <c r="N76" s="10">
        <f>SUMIFS(IsQList,IsIList,Table_ExternalData_15[[#This Row],[item_key]],IsITypeList,Table_ExternalData_15[[#This Row],[IType]],IsDList,Table_ExternalData_15[[#Headers],[10]])</f>
        <v>223</v>
      </c>
      <c r="O76" s="10">
        <f>SUMIFS(IsQList,IsIList,Table_ExternalData_15[[#This Row],[item_key]],IsITypeList,Table_ExternalData_15[[#This Row],[IType]],IsDList,Table_ExternalData_15[[#Headers],[11]])</f>
        <v>0</v>
      </c>
      <c r="P76" s="10">
        <f>SUMIFS(IsQList,IsIList,Table_ExternalData_15[[#This Row],[item_key]],IsITypeList,Table_ExternalData_15[[#This Row],[IType]],IsDList,Table_ExternalData_15[[#Headers],[12]])</f>
        <v>0</v>
      </c>
      <c r="Q76" s="10">
        <f>SUMIFS(IsQList,IsIList,Table_ExternalData_15[[#This Row],[item_key]],IsITypeList,Table_ExternalData_15[[#This Row],[IType]],IsDList,Table_ExternalData_15[[#Headers],[13]])</f>
        <v>0</v>
      </c>
      <c r="R76" s="10">
        <f>SUMIFS(IsQList,IsIList,Table_ExternalData_15[[#This Row],[item_key]],IsITypeList,Table_ExternalData_15[[#This Row],[IType]],IsDList,Table_ExternalData_15[[#Headers],[14]])</f>
        <v>0</v>
      </c>
      <c r="S76" s="10">
        <f>SUMIFS(IsQList,IsIList,Table_ExternalData_15[[#This Row],[item_key]],IsITypeList,Table_ExternalData_15[[#This Row],[IType]],IsDList,Table_ExternalData_15[[#Headers],[15]])</f>
        <v>0</v>
      </c>
      <c r="T76" s="10">
        <f>SUMIFS(IsQList,IsIList,Table_ExternalData_15[[#This Row],[item_key]],IsITypeList,Table_ExternalData_15[[#This Row],[IType]],IsDList,Table_ExternalData_15[[#Headers],[16]])</f>
        <v>10</v>
      </c>
      <c r="U76" s="10">
        <f>SUMIFS(IsQList,IsIList,Table_ExternalData_15[[#This Row],[item_key]],IsITypeList,Table_ExternalData_15[[#This Row],[IType]],IsDList,Table_ExternalData_15[[#Headers],[17]])</f>
        <v>0</v>
      </c>
      <c r="V76" s="10">
        <f>SUMIFS(IsQList,IsIList,Table_ExternalData_15[[#This Row],[item_key]],IsITypeList,Table_ExternalData_15[[#This Row],[IType]],IsDList,Table_ExternalData_15[[#Headers],[18]])</f>
        <v>0</v>
      </c>
      <c r="W76" s="10">
        <f>SUMIFS(IsQList,IsIList,Table_ExternalData_15[[#This Row],[item_key]],IsITypeList,Table_ExternalData_15[[#This Row],[IType]],IsDList,Table_ExternalData_15[[#Headers],[19]])</f>
        <v>0</v>
      </c>
      <c r="X76" s="10">
        <f>SUMIFS(IsQList,IsIList,Table_ExternalData_15[[#This Row],[item_key]],IsITypeList,Table_ExternalData_15[[#This Row],[IType]],IsDList,Table_ExternalData_15[[#Headers],[20]])</f>
        <v>0</v>
      </c>
      <c r="Y76" s="10">
        <f>SUMIFS(IsQList,IsIList,Table_ExternalData_15[[#This Row],[item_key]],IsITypeList,Table_ExternalData_15[[#This Row],[IType]],IsDList,Table_ExternalData_15[[#Headers],[21]])</f>
        <v>0</v>
      </c>
      <c r="Z76" s="10">
        <f>SUMIFS(IsQList,IsIList,Table_ExternalData_15[[#This Row],[item_key]],IsITypeList,Table_ExternalData_15[[#This Row],[IType]],IsDList,Table_ExternalData_15[[#Headers],[22]])</f>
        <v>0</v>
      </c>
      <c r="AA76" s="10">
        <f>SUMIFS(IsQList,IsIList,Table_ExternalData_15[[#This Row],[item_key]],IsITypeList,Table_ExternalData_15[[#This Row],[IType]],IsDList,Table_ExternalData_15[[#Headers],[23]])</f>
        <v>0</v>
      </c>
      <c r="AB76" s="10">
        <f>SUMIFS(IsQList,IsIList,Table_ExternalData_15[[#This Row],[item_key]],IsITypeList,Table_ExternalData_15[[#This Row],[IType]],IsDList,Table_ExternalData_15[[#Headers],[24]])</f>
        <v>0</v>
      </c>
      <c r="AC76" s="10">
        <f>SUMIFS(IsQList,IsIList,Table_ExternalData_15[[#This Row],[item_key]],IsITypeList,Table_ExternalData_15[[#This Row],[IType]],IsDList,Table_ExternalData_15[[#Headers],[25]])</f>
        <v>0</v>
      </c>
      <c r="AD76" s="10">
        <f>SUMIFS(IsQList,IsIList,Table_ExternalData_15[[#This Row],[item_key]],IsITypeList,Table_ExternalData_15[[#This Row],[IType]],IsDList,Table_ExternalData_15[[#Headers],[26]])</f>
        <v>0</v>
      </c>
      <c r="AE76" s="10">
        <f>SUMIFS(IsQList,IsIList,Table_ExternalData_15[[#This Row],[item_key]],IsITypeList,Table_ExternalData_15[[#This Row],[IType]],IsDList,Table_ExternalData_15[[#Headers],[27]])</f>
        <v>0</v>
      </c>
      <c r="AF76" s="10">
        <f>SUMIFS(IsQList,IsIList,Table_ExternalData_15[[#This Row],[item_key]],IsITypeList,Table_ExternalData_15[[#This Row],[IType]],IsDList,Table_ExternalData_15[[#Headers],[28]])</f>
        <v>0</v>
      </c>
      <c r="AG76" s="10">
        <f>SUMIFS(IsQList,IsIList,Table_ExternalData_15[[#This Row],[item_key]],IsITypeList,Table_ExternalData_15[[#This Row],[IType]],IsDList,Table_ExternalData_15[[#Headers],[29]])</f>
        <v>0</v>
      </c>
      <c r="AH76" s="10">
        <f>SUMIFS(IsQList,IsIList,Table_ExternalData_15[[#This Row],[item_key]],IsITypeList,Table_ExternalData_15[[#This Row],[IType]],IsDList,Table_ExternalData_15[[#Headers],[30]])</f>
        <v>42</v>
      </c>
      <c r="AI76" s="10">
        <f>SUMIFS(IsQList,IsIList,Table_ExternalData_15[[#This Row],[item_key]],IsITypeList,Table_ExternalData_15[[#This Row],[IType]],IsDList,Table_ExternalData_15[[#Headers],[31]])</f>
        <v>0</v>
      </c>
      <c r="AJ76" s="10">
        <f>SUM(Table_ExternalData_15[[#This Row],[1]:[31]])</f>
        <v>275</v>
      </c>
    </row>
    <row r="77" spans="1:36">
      <c r="A77" s="1" t="s">
        <v>1713</v>
      </c>
      <c r="B77" s="1" t="s">
        <v>2512</v>
      </c>
      <c r="C77" s="1" t="s">
        <v>2513</v>
      </c>
      <c r="D77" s="11" t="s">
        <v>72</v>
      </c>
      <c r="E77" s="10">
        <f>SUMIFS(IsQList,IsIList,Table_ExternalData_15[[#This Row],[item_key]],IsITypeList,Table_ExternalData_15[[#This Row],[IType]],IsDList,Table_ExternalData_15[[#Headers],[1]])</f>
        <v>0</v>
      </c>
      <c r="F77" s="10">
        <f>SUMIFS(IsQList,IsIList,Table_ExternalData_15[[#This Row],[item_key]],IsITypeList,Table_ExternalData_15[[#This Row],[IType]],IsDList,Table_ExternalData_15[[#Headers],[2]])</f>
        <v>0</v>
      </c>
      <c r="G77" s="10">
        <f>SUMIFS(IsQList,IsIList,Table_ExternalData_15[[#This Row],[item_key]],IsITypeList,Table_ExternalData_15[[#This Row],[IType]],IsDList,Table_ExternalData_15[[#Headers],[3]])</f>
        <v>0</v>
      </c>
      <c r="H77" s="10">
        <f>SUMIFS(IsQList,IsIList,Table_ExternalData_15[[#This Row],[item_key]],IsITypeList,Table_ExternalData_15[[#This Row],[IType]],IsDList,Table_ExternalData_15[[#Headers],[4]])</f>
        <v>0</v>
      </c>
      <c r="I77" s="10">
        <f>SUMIFS(IsQList,IsIList,Table_ExternalData_15[[#This Row],[item_key]],IsITypeList,Table_ExternalData_15[[#This Row],[IType]],IsDList,Table_ExternalData_15[[#Headers],[5]])</f>
        <v>0</v>
      </c>
      <c r="J77" s="10">
        <f>SUMIFS(IsQList,IsIList,Table_ExternalData_15[[#This Row],[item_key]],IsITypeList,Table_ExternalData_15[[#This Row],[IType]],IsDList,Table_ExternalData_15[[#Headers],[6]])</f>
        <v>5</v>
      </c>
      <c r="K77" s="10">
        <f>SUMIFS(IsQList,IsIList,Table_ExternalData_15[[#This Row],[item_key]],IsITypeList,Table_ExternalData_15[[#This Row],[IType]],IsDList,Table_ExternalData_15[[#Headers],[7]])</f>
        <v>0</v>
      </c>
      <c r="L77" s="10">
        <f>SUMIFS(IsQList,IsIList,Table_ExternalData_15[[#This Row],[item_key]],IsITypeList,Table_ExternalData_15[[#This Row],[IType]],IsDList,Table_ExternalData_15[[#Headers],[8]])</f>
        <v>0</v>
      </c>
      <c r="M77" s="10">
        <f>SUMIFS(IsQList,IsIList,Table_ExternalData_15[[#This Row],[item_key]],IsITypeList,Table_ExternalData_15[[#This Row],[IType]],IsDList,Table_ExternalData_15[[#Headers],[9]])</f>
        <v>0</v>
      </c>
      <c r="N77" s="10">
        <f>SUMIFS(IsQList,IsIList,Table_ExternalData_15[[#This Row],[item_key]],IsITypeList,Table_ExternalData_15[[#This Row],[IType]],IsDList,Table_ExternalData_15[[#Headers],[10]])</f>
        <v>3</v>
      </c>
      <c r="O77" s="10">
        <f>SUMIFS(IsQList,IsIList,Table_ExternalData_15[[#This Row],[item_key]],IsITypeList,Table_ExternalData_15[[#This Row],[IType]],IsDList,Table_ExternalData_15[[#Headers],[11]])</f>
        <v>0</v>
      </c>
      <c r="P77" s="10">
        <f>SUMIFS(IsQList,IsIList,Table_ExternalData_15[[#This Row],[item_key]],IsITypeList,Table_ExternalData_15[[#This Row],[IType]],IsDList,Table_ExternalData_15[[#Headers],[12]])</f>
        <v>0</v>
      </c>
      <c r="Q77" s="10">
        <f>SUMIFS(IsQList,IsIList,Table_ExternalData_15[[#This Row],[item_key]],IsITypeList,Table_ExternalData_15[[#This Row],[IType]],IsDList,Table_ExternalData_15[[#Headers],[13]])</f>
        <v>0</v>
      </c>
      <c r="R77" s="10">
        <f>SUMIFS(IsQList,IsIList,Table_ExternalData_15[[#This Row],[item_key]],IsITypeList,Table_ExternalData_15[[#This Row],[IType]],IsDList,Table_ExternalData_15[[#Headers],[14]])</f>
        <v>0</v>
      </c>
      <c r="S77" s="10">
        <f>SUMIFS(IsQList,IsIList,Table_ExternalData_15[[#This Row],[item_key]],IsITypeList,Table_ExternalData_15[[#This Row],[IType]],IsDList,Table_ExternalData_15[[#Headers],[15]])</f>
        <v>0</v>
      </c>
      <c r="T77" s="10">
        <f>SUMIFS(IsQList,IsIList,Table_ExternalData_15[[#This Row],[item_key]],IsITypeList,Table_ExternalData_15[[#This Row],[IType]],IsDList,Table_ExternalData_15[[#Headers],[16]])</f>
        <v>0</v>
      </c>
      <c r="U77" s="10">
        <f>SUMIFS(IsQList,IsIList,Table_ExternalData_15[[#This Row],[item_key]],IsITypeList,Table_ExternalData_15[[#This Row],[IType]],IsDList,Table_ExternalData_15[[#Headers],[17]])</f>
        <v>0</v>
      </c>
      <c r="V77" s="10">
        <f>SUMIFS(IsQList,IsIList,Table_ExternalData_15[[#This Row],[item_key]],IsITypeList,Table_ExternalData_15[[#This Row],[IType]],IsDList,Table_ExternalData_15[[#Headers],[18]])</f>
        <v>0</v>
      </c>
      <c r="W77" s="10">
        <f>SUMIFS(IsQList,IsIList,Table_ExternalData_15[[#This Row],[item_key]],IsITypeList,Table_ExternalData_15[[#This Row],[IType]],IsDList,Table_ExternalData_15[[#Headers],[19]])</f>
        <v>0</v>
      </c>
      <c r="X77" s="10">
        <f>SUMIFS(IsQList,IsIList,Table_ExternalData_15[[#This Row],[item_key]],IsITypeList,Table_ExternalData_15[[#This Row],[IType]],IsDList,Table_ExternalData_15[[#Headers],[20]])</f>
        <v>0</v>
      </c>
      <c r="Y77" s="10">
        <f>SUMIFS(IsQList,IsIList,Table_ExternalData_15[[#This Row],[item_key]],IsITypeList,Table_ExternalData_15[[#This Row],[IType]],IsDList,Table_ExternalData_15[[#Headers],[21]])</f>
        <v>0</v>
      </c>
      <c r="Z77" s="10">
        <f>SUMIFS(IsQList,IsIList,Table_ExternalData_15[[#This Row],[item_key]],IsITypeList,Table_ExternalData_15[[#This Row],[IType]],IsDList,Table_ExternalData_15[[#Headers],[22]])</f>
        <v>0</v>
      </c>
      <c r="AA77" s="10">
        <f>SUMIFS(IsQList,IsIList,Table_ExternalData_15[[#This Row],[item_key]],IsITypeList,Table_ExternalData_15[[#This Row],[IType]],IsDList,Table_ExternalData_15[[#Headers],[23]])</f>
        <v>0</v>
      </c>
      <c r="AB77" s="10">
        <f>SUMIFS(IsQList,IsIList,Table_ExternalData_15[[#This Row],[item_key]],IsITypeList,Table_ExternalData_15[[#This Row],[IType]],IsDList,Table_ExternalData_15[[#Headers],[24]])</f>
        <v>9</v>
      </c>
      <c r="AC77" s="10">
        <f>SUMIFS(IsQList,IsIList,Table_ExternalData_15[[#This Row],[item_key]],IsITypeList,Table_ExternalData_15[[#This Row],[IType]],IsDList,Table_ExternalData_15[[#Headers],[25]])</f>
        <v>0</v>
      </c>
      <c r="AD77" s="10">
        <f>SUMIFS(IsQList,IsIList,Table_ExternalData_15[[#This Row],[item_key]],IsITypeList,Table_ExternalData_15[[#This Row],[IType]],IsDList,Table_ExternalData_15[[#Headers],[26]])</f>
        <v>0</v>
      </c>
      <c r="AE77" s="10">
        <f>SUMIFS(IsQList,IsIList,Table_ExternalData_15[[#This Row],[item_key]],IsITypeList,Table_ExternalData_15[[#This Row],[IType]],IsDList,Table_ExternalData_15[[#Headers],[27]])</f>
        <v>0</v>
      </c>
      <c r="AF77" s="10">
        <f>SUMIFS(IsQList,IsIList,Table_ExternalData_15[[#This Row],[item_key]],IsITypeList,Table_ExternalData_15[[#This Row],[IType]],IsDList,Table_ExternalData_15[[#Headers],[28]])</f>
        <v>0</v>
      </c>
      <c r="AG77" s="10">
        <f>SUMIFS(IsQList,IsIList,Table_ExternalData_15[[#This Row],[item_key]],IsITypeList,Table_ExternalData_15[[#This Row],[IType]],IsDList,Table_ExternalData_15[[#Headers],[29]])</f>
        <v>0</v>
      </c>
      <c r="AH77" s="10">
        <f>SUMIFS(IsQList,IsIList,Table_ExternalData_15[[#This Row],[item_key]],IsITypeList,Table_ExternalData_15[[#This Row],[IType]],IsDList,Table_ExternalData_15[[#Headers],[30]])</f>
        <v>2</v>
      </c>
      <c r="AI77" s="10">
        <f>SUMIFS(IsQList,IsIList,Table_ExternalData_15[[#This Row],[item_key]],IsITypeList,Table_ExternalData_15[[#This Row],[IType]],IsDList,Table_ExternalData_15[[#Headers],[31]])</f>
        <v>0</v>
      </c>
      <c r="AJ77" s="10">
        <f>SUM(Table_ExternalData_15[[#This Row],[1]:[31]])</f>
        <v>19</v>
      </c>
    </row>
    <row r="78" spans="1:36">
      <c r="A78" s="1" t="s">
        <v>409</v>
      </c>
      <c r="B78" s="1" t="s">
        <v>2514</v>
      </c>
      <c r="C78" s="1" t="s">
        <v>2515</v>
      </c>
      <c r="D78" s="11" t="s">
        <v>72</v>
      </c>
      <c r="E78" s="10">
        <f>SUMIFS(IsQList,IsIList,Table_ExternalData_15[[#This Row],[item_key]],IsITypeList,Table_ExternalData_15[[#This Row],[IType]],IsDList,Table_ExternalData_15[[#Headers],[1]])</f>
        <v>0</v>
      </c>
      <c r="F78" s="10">
        <f>SUMIFS(IsQList,IsIList,Table_ExternalData_15[[#This Row],[item_key]],IsITypeList,Table_ExternalData_15[[#This Row],[IType]],IsDList,Table_ExternalData_15[[#Headers],[2]])</f>
        <v>0</v>
      </c>
      <c r="G78" s="10">
        <f>SUMIFS(IsQList,IsIList,Table_ExternalData_15[[#This Row],[item_key]],IsITypeList,Table_ExternalData_15[[#This Row],[IType]],IsDList,Table_ExternalData_15[[#Headers],[3]])</f>
        <v>0</v>
      </c>
      <c r="H78" s="10">
        <f>SUMIFS(IsQList,IsIList,Table_ExternalData_15[[#This Row],[item_key]],IsITypeList,Table_ExternalData_15[[#This Row],[IType]],IsDList,Table_ExternalData_15[[#Headers],[4]])</f>
        <v>0</v>
      </c>
      <c r="I78" s="10">
        <f>SUMIFS(IsQList,IsIList,Table_ExternalData_15[[#This Row],[item_key]],IsITypeList,Table_ExternalData_15[[#This Row],[IType]],IsDList,Table_ExternalData_15[[#Headers],[5]])</f>
        <v>0</v>
      </c>
      <c r="J78" s="10">
        <f>SUMIFS(IsQList,IsIList,Table_ExternalData_15[[#This Row],[item_key]],IsITypeList,Table_ExternalData_15[[#This Row],[IType]],IsDList,Table_ExternalData_15[[#Headers],[6]])</f>
        <v>2</v>
      </c>
      <c r="K78" s="10">
        <f>SUMIFS(IsQList,IsIList,Table_ExternalData_15[[#This Row],[item_key]],IsITypeList,Table_ExternalData_15[[#This Row],[IType]],IsDList,Table_ExternalData_15[[#Headers],[7]])</f>
        <v>0</v>
      </c>
      <c r="L78" s="10">
        <f>SUMIFS(IsQList,IsIList,Table_ExternalData_15[[#This Row],[item_key]],IsITypeList,Table_ExternalData_15[[#This Row],[IType]],IsDList,Table_ExternalData_15[[#Headers],[8]])</f>
        <v>0</v>
      </c>
      <c r="M78" s="10">
        <f>SUMIFS(IsQList,IsIList,Table_ExternalData_15[[#This Row],[item_key]],IsITypeList,Table_ExternalData_15[[#This Row],[IType]],IsDList,Table_ExternalData_15[[#Headers],[9]])</f>
        <v>0</v>
      </c>
      <c r="N78" s="10">
        <f>SUMIFS(IsQList,IsIList,Table_ExternalData_15[[#This Row],[item_key]],IsITypeList,Table_ExternalData_15[[#This Row],[IType]],IsDList,Table_ExternalData_15[[#Headers],[10]])</f>
        <v>0</v>
      </c>
      <c r="O78" s="10">
        <f>SUMIFS(IsQList,IsIList,Table_ExternalData_15[[#This Row],[item_key]],IsITypeList,Table_ExternalData_15[[#This Row],[IType]],IsDList,Table_ExternalData_15[[#Headers],[11]])</f>
        <v>0</v>
      </c>
      <c r="P78" s="10">
        <f>SUMIFS(IsQList,IsIList,Table_ExternalData_15[[#This Row],[item_key]],IsITypeList,Table_ExternalData_15[[#This Row],[IType]],IsDList,Table_ExternalData_15[[#Headers],[12]])</f>
        <v>0</v>
      </c>
      <c r="Q78" s="10">
        <f>SUMIFS(IsQList,IsIList,Table_ExternalData_15[[#This Row],[item_key]],IsITypeList,Table_ExternalData_15[[#This Row],[IType]],IsDList,Table_ExternalData_15[[#Headers],[13]])</f>
        <v>0</v>
      </c>
      <c r="R78" s="10">
        <f>SUMIFS(IsQList,IsIList,Table_ExternalData_15[[#This Row],[item_key]],IsITypeList,Table_ExternalData_15[[#This Row],[IType]],IsDList,Table_ExternalData_15[[#Headers],[14]])</f>
        <v>0</v>
      </c>
      <c r="S78" s="10">
        <f>SUMIFS(IsQList,IsIList,Table_ExternalData_15[[#This Row],[item_key]],IsITypeList,Table_ExternalData_15[[#This Row],[IType]],IsDList,Table_ExternalData_15[[#Headers],[15]])</f>
        <v>0</v>
      </c>
      <c r="T78" s="10">
        <f>SUMIFS(IsQList,IsIList,Table_ExternalData_15[[#This Row],[item_key]],IsITypeList,Table_ExternalData_15[[#This Row],[IType]],IsDList,Table_ExternalData_15[[#Headers],[16]])</f>
        <v>0</v>
      </c>
      <c r="U78" s="10">
        <f>SUMIFS(IsQList,IsIList,Table_ExternalData_15[[#This Row],[item_key]],IsITypeList,Table_ExternalData_15[[#This Row],[IType]],IsDList,Table_ExternalData_15[[#Headers],[17]])</f>
        <v>0</v>
      </c>
      <c r="V78" s="10">
        <f>SUMIFS(IsQList,IsIList,Table_ExternalData_15[[#This Row],[item_key]],IsITypeList,Table_ExternalData_15[[#This Row],[IType]],IsDList,Table_ExternalData_15[[#Headers],[18]])</f>
        <v>0</v>
      </c>
      <c r="W78" s="10">
        <f>SUMIFS(IsQList,IsIList,Table_ExternalData_15[[#This Row],[item_key]],IsITypeList,Table_ExternalData_15[[#This Row],[IType]],IsDList,Table_ExternalData_15[[#Headers],[19]])</f>
        <v>0</v>
      </c>
      <c r="X78" s="10">
        <f>SUMIFS(IsQList,IsIList,Table_ExternalData_15[[#This Row],[item_key]],IsITypeList,Table_ExternalData_15[[#This Row],[IType]],IsDList,Table_ExternalData_15[[#Headers],[20]])</f>
        <v>0</v>
      </c>
      <c r="Y78" s="10">
        <f>SUMIFS(IsQList,IsIList,Table_ExternalData_15[[#This Row],[item_key]],IsITypeList,Table_ExternalData_15[[#This Row],[IType]],IsDList,Table_ExternalData_15[[#Headers],[21]])</f>
        <v>0</v>
      </c>
      <c r="Z78" s="10">
        <f>SUMIFS(IsQList,IsIList,Table_ExternalData_15[[#This Row],[item_key]],IsITypeList,Table_ExternalData_15[[#This Row],[IType]],IsDList,Table_ExternalData_15[[#Headers],[22]])</f>
        <v>0</v>
      </c>
      <c r="AA78" s="10">
        <f>SUMIFS(IsQList,IsIList,Table_ExternalData_15[[#This Row],[item_key]],IsITypeList,Table_ExternalData_15[[#This Row],[IType]],IsDList,Table_ExternalData_15[[#Headers],[23]])</f>
        <v>0</v>
      </c>
      <c r="AB78" s="10">
        <f>SUMIFS(IsQList,IsIList,Table_ExternalData_15[[#This Row],[item_key]],IsITypeList,Table_ExternalData_15[[#This Row],[IType]],IsDList,Table_ExternalData_15[[#Headers],[24]])</f>
        <v>0</v>
      </c>
      <c r="AC78" s="10">
        <f>SUMIFS(IsQList,IsIList,Table_ExternalData_15[[#This Row],[item_key]],IsITypeList,Table_ExternalData_15[[#This Row],[IType]],IsDList,Table_ExternalData_15[[#Headers],[25]])</f>
        <v>0</v>
      </c>
      <c r="AD78" s="10">
        <f>SUMIFS(IsQList,IsIList,Table_ExternalData_15[[#This Row],[item_key]],IsITypeList,Table_ExternalData_15[[#This Row],[IType]],IsDList,Table_ExternalData_15[[#Headers],[26]])</f>
        <v>0</v>
      </c>
      <c r="AE78" s="10">
        <f>SUMIFS(IsQList,IsIList,Table_ExternalData_15[[#This Row],[item_key]],IsITypeList,Table_ExternalData_15[[#This Row],[IType]],IsDList,Table_ExternalData_15[[#Headers],[27]])</f>
        <v>0</v>
      </c>
      <c r="AF78" s="10">
        <f>SUMIFS(IsQList,IsIList,Table_ExternalData_15[[#This Row],[item_key]],IsITypeList,Table_ExternalData_15[[#This Row],[IType]],IsDList,Table_ExternalData_15[[#Headers],[28]])</f>
        <v>0</v>
      </c>
      <c r="AG78" s="10">
        <f>SUMIFS(IsQList,IsIList,Table_ExternalData_15[[#This Row],[item_key]],IsITypeList,Table_ExternalData_15[[#This Row],[IType]],IsDList,Table_ExternalData_15[[#Headers],[29]])</f>
        <v>0</v>
      </c>
      <c r="AH78" s="10">
        <f>SUMIFS(IsQList,IsIList,Table_ExternalData_15[[#This Row],[item_key]],IsITypeList,Table_ExternalData_15[[#This Row],[IType]],IsDList,Table_ExternalData_15[[#Headers],[30]])</f>
        <v>0</v>
      </c>
      <c r="AI78" s="10">
        <f>SUMIFS(IsQList,IsIList,Table_ExternalData_15[[#This Row],[item_key]],IsITypeList,Table_ExternalData_15[[#This Row],[IType]],IsDList,Table_ExternalData_15[[#Headers],[31]])</f>
        <v>0</v>
      </c>
      <c r="AJ78" s="10">
        <f>SUM(Table_ExternalData_15[[#This Row],[1]:[31]])</f>
        <v>2</v>
      </c>
    </row>
    <row r="79" spans="1:36">
      <c r="A79" s="1" t="s">
        <v>411</v>
      </c>
      <c r="B79" s="1" t="s">
        <v>1263</v>
      </c>
      <c r="C79" s="1" t="s">
        <v>1264</v>
      </c>
      <c r="D79" s="11" t="s">
        <v>72</v>
      </c>
      <c r="E79" s="10">
        <f>SUMIFS(IsQList,IsIList,Table_ExternalData_15[[#This Row],[item_key]],IsITypeList,Table_ExternalData_15[[#This Row],[IType]],IsDList,Table_ExternalData_15[[#Headers],[1]])</f>
        <v>0</v>
      </c>
      <c r="F79" s="10">
        <f>SUMIFS(IsQList,IsIList,Table_ExternalData_15[[#This Row],[item_key]],IsITypeList,Table_ExternalData_15[[#This Row],[IType]],IsDList,Table_ExternalData_15[[#Headers],[2]])</f>
        <v>0</v>
      </c>
      <c r="G79" s="10">
        <f>SUMIFS(IsQList,IsIList,Table_ExternalData_15[[#This Row],[item_key]],IsITypeList,Table_ExternalData_15[[#This Row],[IType]],IsDList,Table_ExternalData_15[[#Headers],[3]])</f>
        <v>0</v>
      </c>
      <c r="H79" s="10">
        <f>SUMIFS(IsQList,IsIList,Table_ExternalData_15[[#This Row],[item_key]],IsITypeList,Table_ExternalData_15[[#This Row],[IType]],IsDList,Table_ExternalData_15[[#Headers],[4]])</f>
        <v>0</v>
      </c>
      <c r="I79" s="10">
        <f>SUMIFS(IsQList,IsIList,Table_ExternalData_15[[#This Row],[item_key]],IsITypeList,Table_ExternalData_15[[#This Row],[IType]],IsDList,Table_ExternalData_15[[#Headers],[5]])</f>
        <v>0</v>
      </c>
      <c r="J79" s="10">
        <f>SUMIFS(IsQList,IsIList,Table_ExternalData_15[[#This Row],[item_key]],IsITypeList,Table_ExternalData_15[[#This Row],[IType]],IsDList,Table_ExternalData_15[[#Headers],[6]])</f>
        <v>0</v>
      </c>
      <c r="K79" s="10">
        <f>SUMIFS(IsQList,IsIList,Table_ExternalData_15[[#This Row],[item_key]],IsITypeList,Table_ExternalData_15[[#This Row],[IType]],IsDList,Table_ExternalData_15[[#Headers],[7]])</f>
        <v>0</v>
      </c>
      <c r="L79" s="10">
        <f>SUMIFS(IsQList,IsIList,Table_ExternalData_15[[#This Row],[item_key]],IsITypeList,Table_ExternalData_15[[#This Row],[IType]],IsDList,Table_ExternalData_15[[#Headers],[8]])</f>
        <v>0</v>
      </c>
      <c r="M79" s="10">
        <f>SUMIFS(IsQList,IsIList,Table_ExternalData_15[[#This Row],[item_key]],IsITypeList,Table_ExternalData_15[[#This Row],[IType]],IsDList,Table_ExternalData_15[[#Headers],[9]])</f>
        <v>0</v>
      </c>
      <c r="N79" s="10">
        <f>SUMIFS(IsQList,IsIList,Table_ExternalData_15[[#This Row],[item_key]],IsITypeList,Table_ExternalData_15[[#This Row],[IType]],IsDList,Table_ExternalData_15[[#Headers],[10]])</f>
        <v>0</v>
      </c>
      <c r="O79" s="10">
        <f>SUMIFS(IsQList,IsIList,Table_ExternalData_15[[#This Row],[item_key]],IsITypeList,Table_ExternalData_15[[#This Row],[IType]],IsDList,Table_ExternalData_15[[#Headers],[11]])</f>
        <v>0</v>
      </c>
      <c r="P79" s="10">
        <f>SUMIFS(IsQList,IsIList,Table_ExternalData_15[[#This Row],[item_key]],IsITypeList,Table_ExternalData_15[[#This Row],[IType]],IsDList,Table_ExternalData_15[[#Headers],[12]])</f>
        <v>0</v>
      </c>
      <c r="Q79" s="10">
        <f>SUMIFS(IsQList,IsIList,Table_ExternalData_15[[#This Row],[item_key]],IsITypeList,Table_ExternalData_15[[#This Row],[IType]],IsDList,Table_ExternalData_15[[#Headers],[13]])</f>
        <v>0</v>
      </c>
      <c r="R79" s="10">
        <f>SUMIFS(IsQList,IsIList,Table_ExternalData_15[[#This Row],[item_key]],IsITypeList,Table_ExternalData_15[[#This Row],[IType]],IsDList,Table_ExternalData_15[[#Headers],[14]])</f>
        <v>0</v>
      </c>
      <c r="S79" s="10">
        <f>SUMIFS(IsQList,IsIList,Table_ExternalData_15[[#This Row],[item_key]],IsITypeList,Table_ExternalData_15[[#This Row],[IType]],IsDList,Table_ExternalData_15[[#Headers],[15]])</f>
        <v>0</v>
      </c>
      <c r="T79" s="10">
        <f>SUMIFS(IsQList,IsIList,Table_ExternalData_15[[#This Row],[item_key]],IsITypeList,Table_ExternalData_15[[#This Row],[IType]],IsDList,Table_ExternalData_15[[#Headers],[16]])</f>
        <v>0</v>
      </c>
      <c r="U79" s="10">
        <f>SUMIFS(IsQList,IsIList,Table_ExternalData_15[[#This Row],[item_key]],IsITypeList,Table_ExternalData_15[[#This Row],[IType]],IsDList,Table_ExternalData_15[[#Headers],[17]])</f>
        <v>0</v>
      </c>
      <c r="V79" s="10">
        <f>SUMIFS(IsQList,IsIList,Table_ExternalData_15[[#This Row],[item_key]],IsITypeList,Table_ExternalData_15[[#This Row],[IType]],IsDList,Table_ExternalData_15[[#Headers],[18]])</f>
        <v>0</v>
      </c>
      <c r="W79" s="10">
        <f>SUMIFS(IsQList,IsIList,Table_ExternalData_15[[#This Row],[item_key]],IsITypeList,Table_ExternalData_15[[#This Row],[IType]],IsDList,Table_ExternalData_15[[#Headers],[19]])</f>
        <v>0</v>
      </c>
      <c r="X79" s="10">
        <f>SUMIFS(IsQList,IsIList,Table_ExternalData_15[[#This Row],[item_key]],IsITypeList,Table_ExternalData_15[[#This Row],[IType]],IsDList,Table_ExternalData_15[[#Headers],[20]])</f>
        <v>0</v>
      </c>
      <c r="Y79" s="10">
        <f>SUMIFS(IsQList,IsIList,Table_ExternalData_15[[#This Row],[item_key]],IsITypeList,Table_ExternalData_15[[#This Row],[IType]],IsDList,Table_ExternalData_15[[#Headers],[21]])</f>
        <v>0</v>
      </c>
      <c r="Z79" s="10">
        <f>SUMIFS(IsQList,IsIList,Table_ExternalData_15[[#This Row],[item_key]],IsITypeList,Table_ExternalData_15[[#This Row],[IType]],IsDList,Table_ExternalData_15[[#Headers],[22]])</f>
        <v>0</v>
      </c>
      <c r="AA79" s="10">
        <f>SUMIFS(IsQList,IsIList,Table_ExternalData_15[[#This Row],[item_key]],IsITypeList,Table_ExternalData_15[[#This Row],[IType]],IsDList,Table_ExternalData_15[[#Headers],[23]])</f>
        <v>0</v>
      </c>
      <c r="AB79" s="10">
        <f>SUMIFS(IsQList,IsIList,Table_ExternalData_15[[#This Row],[item_key]],IsITypeList,Table_ExternalData_15[[#This Row],[IType]],IsDList,Table_ExternalData_15[[#Headers],[24]])</f>
        <v>0</v>
      </c>
      <c r="AC79" s="10">
        <f>SUMIFS(IsQList,IsIList,Table_ExternalData_15[[#This Row],[item_key]],IsITypeList,Table_ExternalData_15[[#This Row],[IType]],IsDList,Table_ExternalData_15[[#Headers],[25]])</f>
        <v>0</v>
      </c>
      <c r="AD79" s="10">
        <f>SUMIFS(IsQList,IsIList,Table_ExternalData_15[[#This Row],[item_key]],IsITypeList,Table_ExternalData_15[[#This Row],[IType]],IsDList,Table_ExternalData_15[[#Headers],[26]])</f>
        <v>0</v>
      </c>
      <c r="AE79" s="10">
        <f>SUMIFS(IsQList,IsIList,Table_ExternalData_15[[#This Row],[item_key]],IsITypeList,Table_ExternalData_15[[#This Row],[IType]],IsDList,Table_ExternalData_15[[#Headers],[27]])</f>
        <v>0</v>
      </c>
      <c r="AF79" s="10">
        <f>SUMIFS(IsQList,IsIList,Table_ExternalData_15[[#This Row],[item_key]],IsITypeList,Table_ExternalData_15[[#This Row],[IType]],IsDList,Table_ExternalData_15[[#Headers],[28]])</f>
        <v>0</v>
      </c>
      <c r="AG79" s="10">
        <f>SUMIFS(IsQList,IsIList,Table_ExternalData_15[[#This Row],[item_key]],IsITypeList,Table_ExternalData_15[[#This Row],[IType]],IsDList,Table_ExternalData_15[[#Headers],[29]])</f>
        <v>0</v>
      </c>
      <c r="AH79" s="10">
        <f>SUMIFS(IsQList,IsIList,Table_ExternalData_15[[#This Row],[item_key]],IsITypeList,Table_ExternalData_15[[#This Row],[IType]],IsDList,Table_ExternalData_15[[#Headers],[30]])</f>
        <v>18</v>
      </c>
      <c r="AI79" s="10">
        <f>SUMIFS(IsQList,IsIList,Table_ExternalData_15[[#This Row],[item_key]],IsITypeList,Table_ExternalData_15[[#This Row],[IType]],IsDList,Table_ExternalData_15[[#Headers],[31]])</f>
        <v>0</v>
      </c>
      <c r="AJ79" s="10">
        <f>SUM(Table_ExternalData_15[[#This Row],[1]:[31]])</f>
        <v>18</v>
      </c>
    </row>
    <row r="80" spans="1:36">
      <c r="A80" s="1" t="s">
        <v>1716</v>
      </c>
      <c r="B80" s="1" t="s">
        <v>2516</v>
      </c>
      <c r="C80" s="1" t="s">
        <v>2517</v>
      </c>
      <c r="D80" s="11" t="s">
        <v>72</v>
      </c>
      <c r="E80" s="10">
        <f>SUMIFS(IsQList,IsIList,Table_ExternalData_15[[#This Row],[item_key]],IsITypeList,Table_ExternalData_15[[#This Row],[IType]],IsDList,Table_ExternalData_15[[#Headers],[1]])</f>
        <v>0</v>
      </c>
      <c r="F80" s="10">
        <f>SUMIFS(IsQList,IsIList,Table_ExternalData_15[[#This Row],[item_key]],IsITypeList,Table_ExternalData_15[[#This Row],[IType]],IsDList,Table_ExternalData_15[[#Headers],[2]])</f>
        <v>0</v>
      </c>
      <c r="G80" s="10">
        <f>SUMIFS(IsQList,IsIList,Table_ExternalData_15[[#This Row],[item_key]],IsITypeList,Table_ExternalData_15[[#This Row],[IType]],IsDList,Table_ExternalData_15[[#Headers],[3]])</f>
        <v>0</v>
      </c>
      <c r="H80" s="10">
        <f>SUMIFS(IsQList,IsIList,Table_ExternalData_15[[#This Row],[item_key]],IsITypeList,Table_ExternalData_15[[#This Row],[IType]],IsDList,Table_ExternalData_15[[#Headers],[4]])</f>
        <v>0</v>
      </c>
      <c r="I80" s="10">
        <f>SUMIFS(IsQList,IsIList,Table_ExternalData_15[[#This Row],[item_key]],IsITypeList,Table_ExternalData_15[[#This Row],[IType]],IsDList,Table_ExternalData_15[[#Headers],[5]])</f>
        <v>0</v>
      </c>
      <c r="J80" s="10">
        <f>SUMIFS(IsQList,IsIList,Table_ExternalData_15[[#This Row],[item_key]],IsITypeList,Table_ExternalData_15[[#This Row],[IType]],IsDList,Table_ExternalData_15[[#Headers],[6]])</f>
        <v>0</v>
      </c>
      <c r="K80" s="10">
        <f>SUMIFS(IsQList,IsIList,Table_ExternalData_15[[#This Row],[item_key]],IsITypeList,Table_ExternalData_15[[#This Row],[IType]],IsDList,Table_ExternalData_15[[#Headers],[7]])</f>
        <v>0</v>
      </c>
      <c r="L80" s="10">
        <f>SUMIFS(IsQList,IsIList,Table_ExternalData_15[[#This Row],[item_key]],IsITypeList,Table_ExternalData_15[[#This Row],[IType]],IsDList,Table_ExternalData_15[[#Headers],[8]])</f>
        <v>0</v>
      </c>
      <c r="M80" s="10">
        <f>SUMIFS(IsQList,IsIList,Table_ExternalData_15[[#This Row],[item_key]],IsITypeList,Table_ExternalData_15[[#This Row],[IType]],IsDList,Table_ExternalData_15[[#Headers],[9]])</f>
        <v>0</v>
      </c>
      <c r="N80" s="10">
        <f>SUMIFS(IsQList,IsIList,Table_ExternalData_15[[#This Row],[item_key]],IsITypeList,Table_ExternalData_15[[#This Row],[IType]],IsDList,Table_ExternalData_15[[#Headers],[10]])</f>
        <v>0</v>
      </c>
      <c r="O80" s="10">
        <f>SUMIFS(IsQList,IsIList,Table_ExternalData_15[[#This Row],[item_key]],IsITypeList,Table_ExternalData_15[[#This Row],[IType]],IsDList,Table_ExternalData_15[[#Headers],[11]])</f>
        <v>0</v>
      </c>
      <c r="P80" s="10">
        <f>SUMIFS(IsQList,IsIList,Table_ExternalData_15[[#This Row],[item_key]],IsITypeList,Table_ExternalData_15[[#This Row],[IType]],IsDList,Table_ExternalData_15[[#Headers],[12]])</f>
        <v>0</v>
      </c>
      <c r="Q80" s="10">
        <f>SUMIFS(IsQList,IsIList,Table_ExternalData_15[[#This Row],[item_key]],IsITypeList,Table_ExternalData_15[[#This Row],[IType]],IsDList,Table_ExternalData_15[[#Headers],[13]])</f>
        <v>0</v>
      </c>
      <c r="R80" s="10">
        <f>SUMIFS(IsQList,IsIList,Table_ExternalData_15[[#This Row],[item_key]],IsITypeList,Table_ExternalData_15[[#This Row],[IType]],IsDList,Table_ExternalData_15[[#Headers],[14]])</f>
        <v>0</v>
      </c>
      <c r="S80" s="10">
        <f>SUMIFS(IsQList,IsIList,Table_ExternalData_15[[#This Row],[item_key]],IsITypeList,Table_ExternalData_15[[#This Row],[IType]],IsDList,Table_ExternalData_15[[#Headers],[15]])</f>
        <v>0</v>
      </c>
      <c r="T80" s="10">
        <f>SUMIFS(IsQList,IsIList,Table_ExternalData_15[[#This Row],[item_key]],IsITypeList,Table_ExternalData_15[[#This Row],[IType]],IsDList,Table_ExternalData_15[[#Headers],[16]])</f>
        <v>0</v>
      </c>
      <c r="U80" s="10">
        <f>SUMIFS(IsQList,IsIList,Table_ExternalData_15[[#This Row],[item_key]],IsITypeList,Table_ExternalData_15[[#This Row],[IType]],IsDList,Table_ExternalData_15[[#Headers],[17]])</f>
        <v>0</v>
      </c>
      <c r="V80" s="10">
        <f>SUMIFS(IsQList,IsIList,Table_ExternalData_15[[#This Row],[item_key]],IsITypeList,Table_ExternalData_15[[#This Row],[IType]],IsDList,Table_ExternalData_15[[#Headers],[18]])</f>
        <v>0</v>
      </c>
      <c r="W80" s="10">
        <f>SUMIFS(IsQList,IsIList,Table_ExternalData_15[[#This Row],[item_key]],IsITypeList,Table_ExternalData_15[[#This Row],[IType]],IsDList,Table_ExternalData_15[[#Headers],[19]])</f>
        <v>0</v>
      </c>
      <c r="X80" s="10">
        <f>SUMIFS(IsQList,IsIList,Table_ExternalData_15[[#This Row],[item_key]],IsITypeList,Table_ExternalData_15[[#This Row],[IType]],IsDList,Table_ExternalData_15[[#Headers],[20]])</f>
        <v>0</v>
      </c>
      <c r="Y80" s="10">
        <f>SUMIFS(IsQList,IsIList,Table_ExternalData_15[[#This Row],[item_key]],IsITypeList,Table_ExternalData_15[[#This Row],[IType]],IsDList,Table_ExternalData_15[[#Headers],[21]])</f>
        <v>0</v>
      </c>
      <c r="Z80" s="10">
        <f>SUMIFS(IsQList,IsIList,Table_ExternalData_15[[#This Row],[item_key]],IsITypeList,Table_ExternalData_15[[#This Row],[IType]],IsDList,Table_ExternalData_15[[#Headers],[22]])</f>
        <v>0</v>
      </c>
      <c r="AA80" s="10">
        <f>SUMIFS(IsQList,IsIList,Table_ExternalData_15[[#This Row],[item_key]],IsITypeList,Table_ExternalData_15[[#This Row],[IType]],IsDList,Table_ExternalData_15[[#Headers],[23]])</f>
        <v>0</v>
      </c>
      <c r="AB80" s="10">
        <f>SUMIFS(IsQList,IsIList,Table_ExternalData_15[[#This Row],[item_key]],IsITypeList,Table_ExternalData_15[[#This Row],[IType]],IsDList,Table_ExternalData_15[[#Headers],[24]])</f>
        <v>10</v>
      </c>
      <c r="AC80" s="10">
        <f>SUMIFS(IsQList,IsIList,Table_ExternalData_15[[#This Row],[item_key]],IsITypeList,Table_ExternalData_15[[#This Row],[IType]],IsDList,Table_ExternalData_15[[#Headers],[25]])</f>
        <v>0</v>
      </c>
      <c r="AD80" s="10">
        <f>SUMIFS(IsQList,IsIList,Table_ExternalData_15[[#This Row],[item_key]],IsITypeList,Table_ExternalData_15[[#This Row],[IType]],IsDList,Table_ExternalData_15[[#Headers],[26]])</f>
        <v>0</v>
      </c>
      <c r="AE80" s="10">
        <f>SUMIFS(IsQList,IsIList,Table_ExternalData_15[[#This Row],[item_key]],IsITypeList,Table_ExternalData_15[[#This Row],[IType]],IsDList,Table_ExternalData_15[[#Headers],[27]])</f>
        <v>0</v>
      </c>
      <c r="AF80" s="10">
        <f>SUMIFS(IsQList,IsIList,Table_ExternalData_15[[#This Row],[item_key]],IsITypeList,Table_ExternalData_15[[#This Row],[IType]],IsDList,Table_ExternalData_15[[#Headers],[28]])</f>
        <v>0</v>
      </c>
      <c r="AG80" s="10">
        <f>SUMIFS(IsQList,IsIList,Table_ExternalData_15[[#This Row],[item_key]],IsITypeList,Table_ExternalData_15[[#This Row],[IType]],IsDList,Table_ExternalData_15[[#Headers],[29]])</f>
        <v>0</v>
      </c>
      <c r="AH80" s="10">
        <f>SUMIFS(IsQList,IsIList,Table_ExternalData_15[[#This Row],[item_key]],IsITypeList,Table_ExternalData_15[[#This Row],[IType]],IsDList,Table_ExternalData_15[[#Headers],[30]])</f>
        <v>0</v>
      </c>
      <c r="AI80" s="10">
        <f>SUMIFS(IsQList,IsIList,Table_ExternalData_15[[#This Row],[item_key]],IsITypeList,Table_ExternalData_15[[#This Row],[IType]],IsDList,Table_ExternalData_15[[#Headers],[31]])</f>
        <v>0</v>
      </c>
      <c r="AJ80" s="10">
        <f>SUM(Table_ExternalData_15[[#This Row],[1]:[31]])</f>
        <v>10</v>
      </c>
    </row>
    <row r="81" spans="1:36">
      <c r="A81" s="1" t="s">
        <v>417</v>
      </c>
      <c r="B81" s="1" t="s">
        <v>2518</v>
      </c>
      <c r="C81" s="1" t="s">
        <v>2519</v>
      </c>
      <c r="D81" s="11" t="s">
        <v>72</v>
      </c>
      <c r="E81" s="10">
        <f>SUMIFS(IsQList,IsIList,Table_ExternalData_15[[#This Row],[item_key]],IsITypeList,Table_ExternalData_15[[#This Row],[IType]],IsDList,Table_ExternalData_15[[#Headers],[1]])</f>
        <v>0</v>
      </c>
      <c r="F81" s="10">
        <f>SUMIFS(IsQList,IsIList,Table_ExternalData_15[[#This Row],[item_key]],IsITypeList,Table_ExternalData_15[[#This Row],[IType]],IsDList,Table_ExternalData_15[[#Headers],[2]])</f>
        <v>0</v>
      </c>
      <c r="G81" s="10">
        <f>SUMIFS(IsQList,IsIList,Table_ExternalData_15[[#This Row],[item_key]],IsITypeList,Table_ExternalData_15[[#This Row],[IType]],IsDList,Table_ExternalData_15[[#Headers],[3]])</f>
        <v>0</v>
      </c>
      <c r="H81" s="10">
        <f>SUMIFS(IsQList,IsIList,Table_ExternalData_15[[#This Row],[item_key]],IsITypeList,Table_ExternalData_15[[#This Row],[IType]],IsDList,Table_ExternalData_15[[#Headers],[4]])</f>
        <v>0</v>
      </c>
      <c r="I81" s="10">
        <f>SUMIFS(IsQList,IsIList,Table_ExternalData_15[[#This Row],[item_key]],IsITypeList,Table_ExternalData_15[[#This Row],[IType]],IsDList,Table_ExternalData_15[[#Headers],[5]])</f>
        <v>0</v>
      </c>
      <c r="J81" s="10">
        <f>SUMIFS(IsQList,IsIList,Table_ExternalData_15[[#This Row],[item_key]],IsITypeList,Table_ExternalData_15[[#This Row],[IType]],IsDList,Table_ExternalData_15[[#Headers],[6]])</f>
        <v>0</v>
      </c>
      <c r="K81" s="10">
        <f>SUMIFS(IsQList,IsIList,Table_ExternalData_15[[#This Row],[item_key]],IsITypeList,Table_ExternalData_15[[#This Row],[IType]],IsDList,Table_ExternalData_15[[#Headers],[7]])</f>
        <v>0</v>
      </c>
      <c r="L81" s="10">
        <f>SUMIFS(IsQList,IsIList,Table_ExternalData_15[[#This Row],[item_key]],IsITypeList,Table_ExternalData_15[[#This Row],[IType]],IsDList,Table_ExternalData_15[[#Headers],[8]])</f>
        <v>0</v>
      </c>
      <c r="M81" s="10">
        <f>SUMIFS(IsQList,IsIList,Table_ExternalData_15[[#This Row],[item_key]],IsITypeList,Table_ExternalData_15[[#This Row],[IType]],IsDList,Table_ExternalData_15[[#Headers],[9]])</f>
        <v>0</v>
      </c>
      <c r="N81" s="10">
        <f>SUMIFS(IsQList,IsIList,Table_ExternalData_15[[#This Row],[item_key]],IsITypeList,Table_ExternalData_15[[#This Row],[IType]],IsDList,Table_ExternalData_15[[#Headers],[10]])</f>
        <v>0</v>
      </c>
      <c r="O81" s="10">
        <f>SUMIFS(IsQList,IsIList,Table_ExternalData_15[[#This Row],[item_key]],IsITypeList,Table_ExternalData_15[[#This Row],[IType]],IsDList,Table_ExternalData_15[[#Headers],[11]])</f>
        <v>0</v>
      </c>
      <c r="P81" s="10">
        <f>SUMIFS(IsQList,IsIList,Table_ExternalData_15[[#This Row],[item_key]],IsITypeList,Table_ExternalData_15[[#This Row],[IType]],IsDList,Table_ExternalData_15[[#Headers],[12]])</f>
        <v>0</v>
      </c>
      <c r="Q81" s="10">
        <f>SUMIFS(IsQList,IsIList,Table_ExternalData_15[[#This Row],[item_key]],IsITypeList,Table_ExternalData_15[[#This Row],[IType]],IsDList,Table_ExternalData_15[[#Headers],[13]])</f>
        <v>0</v>
      </c>
      <c r="R81" s="10">
        <f>SUMIFS(IsQList,IsIList,Table_ExternalData_15[[#This Row],[item_key]],IsITypeList,Table_ExternalData_15[[#This Row],[IType]],IsDList,Table_ExternalData_15[[#Headers],[14]])</f>
        <v>0</v>
      </c>
      <c r="S81" s="10">
        <f>SUMIFS(IsQList,IsIList,Table_ExternalData_15[[#This Row],[item_key]],IsITypeList,Table_ExternalData_15[[#This Row],[IType]],IsDList,Table_ExternalData_15[[#Headers],[15]])</f>
        <v>0</v>
      </c>
      <c r="T81" s="10">
        <f>SUMIFS(IsQList,IsIList,Table_ExternalData_15[[#This Row],[item_key]],IsITypeList,Table_ExternalData_15[[#This Row],[IType]],IsDList,Table_ExternalData_15[[#Headers],[16]])</f>
        <v>0</v>
      </c>
      <c r="U81" s="10">
        <f>SUMIFS(IsQList,IsIList,Table_ExternalData_15[[#This Row],[item_key]],IsITypeList,Table_ExternalData_15[[#This Row],[IType]],IsDList,Table_ExternalData_15[[#Headers],[17]])</f>
        <v>0</v>
      </c>
      <c r="V81" s="10">
        <f>SUMIFS(IsQList,IsIList,Table_ExternalData_15[[#This Row],[item_key]],IsITypeList,Table_ExternalData_15[[#This Row],[IType]],IsDList,Table_ExternalData_15[[#Headers],[18]])</f>
        <v>0</v>
      </c>
      <c r="W81" s="10">
        <f>SUMIFS(IsQList,IsIList,Table_ExternalData_15[[#This Row],[item_key]],IsITypeList,Table_ExternalData_15[[#This Row],[IType]],IsDList,Table_ExternalData_15[[#Headers],[19]])</f>
        <v>0</v>
      </c>
      <c r="X81" s="10">
        <f>SUMIFS(IsQList,IsIList,Table_ExternalData_15[[#This Row],[item_key]],IsITypeList,Table_ExternalData_15[[#This Row],[IType]],IsDList,Table_ExternalData_15[[#Headers],[20]])</f>
        <v>0</v>
      </c>
      <c r="Y81" s="10">
        <f>SUMIFS(IsQList,IsIList,Table_ExternalData_15[[#This Row],[item_key]],IsITypeList,Table_ExternalData_15[[#This Row],[IType]],IsDList,Table_ExternalData_15[[#Headers],[21]])</f>
        <v>0</v>
      </c>
      <c r="Z81" s="10">
        <f>SUMIFS(IsQList,IsIList,Table_ExternalData_15[[#This Row],[item_key]],IsITypeList,Table_ExternalData_15[[#This Row],[IType]],IsDList,Table_ExternalData_15[[#Headers],[22]])</f>
        <v>0</v>
      </c>
      <c r="AA81" s="10">
        <f>SUMIFS(IsQList,IsIList,Table_ExternalData_15[[#This Row],[item_key]],IsITypeList,Table_ExternalData_15[[#This Row],[IType]],IsDList,Table_ExternalData_15[[#Headers],[23]])</f>
        <v>0</v>
      </c>
      <c r="AB81" s="10">
        <f>SUMIFS(IsQList,IsIList,Table_ExternalData_15[[#This Row],[item_key]],IsITypeList,Table_ExternalData_15[[#This Row],[IType]],IsDList,Table_ExternalData_15[[#Headers],[24]])</f>
        <v>0</v>
      </c>
      <c r="AC81" s="10">
        <f>SUMIFS(IsQList,IsIList,Table_ExternalData_15[[#This Row],[item_key]],IsITypeList,Table_ExternalData_15[[#This Row],[IType]],IsDList,Table_ExternalData_15[[#Headers],[25]])</f>
        <v>0</v>
      </c>
      <c r="AD81" s="10">
        <f>SUMIFS(IsQList,IsIList,Table_ExternalData_15[[#This Row],[item_key]],IsITypeList,Table_ExternalData_15[[#This Row],[IType]],IsDList,Table_ExternalData_15[[#Headers],[26]])</f>
        <v>0</v>
      </c>
      <c r="AE81" s="10">
        <f>SUMIFS(IsQList,IsIList,Table_ExternalData_15[[#This Row],[item_key]],IsITypeList,Table_ExternalData_15[[#This Row],[IType]],IsDList,Table_ExternalData_15[[#Headers],[27]])</f>
        <v>0</v>
      </c>
      <c r="AF81" s="10">
        <f>SUMIFS(IsQList,IsIList,Table_ExternalData_15[[#This Row],[item_key]],IsITypeList,Table_ExternalData_15[[#This Row],[IType]],IsDList,Table_ExternalData_15[[#Headers],[28]])</f>
        <v>0</v>
      </c>
      <c r="AG81" s="10">
        <f>SUMIFS(IsQList,IsIList,Table_ExternalData_15[[#This Row],[item_key]],IsITypeList,Table_ExternalData_15[[#This Row],[IType]],IsDList,Table_ExternalData_15[[#Headers],[29]])</f>
        <v>0</v>
      </c>
      <c r="AH81" s="10">
        <f>SUMIFS(IsQList,IsIList,Table_ExternalData_15[[#This Row],[item_key]],IsITypeList,Table_ExternalData_15[[#This Row],[IType]],IsDList,Table_ExternalData_15[[#Headers],[30]])</f>
        <v>0</v>
      </c>
      <c r="AI81" s="10">
        <f>SUMIFS(IsQList,IsIList,Table_ExternalData_15[[#This Row],[item_key]],IsITypeList,Table_ExternalData_15[[#This Row],[IType]],IsDList,Table_ExternalData_15[[#Headers],[31]])</f>
        <v>0</v>
      </c>
      <c r="AJ81" s="10">
        <f>SUM(Table_ExternalData_15[[#This Row],[1]:[31]])</f>
        <v>0</v>
      </c>
    </row>
    <row r="82" spans="1:36">
      <c r="A82" s="1" t="s">
        <v>420</v>
      </c>
      <c r="B82" s="1" t="s">
        <v>1266</v>
      </c>
      <c r="C82" s="1" t="s">
        <v>1267</v>
      </c>
      <c r="D82" s="11" t="s">
        <v>72</v>
      </c>
      <c r="E82" s="10">
        <f>SUMIFS(IsQList,IsIList,Table_ExternalData_15[[#This Row],[item_key]],IsITypeList,Table_ExternalData_15[[#This Row],[IType]],IsDList,Table_ExternalData_15[[#Headers],[1]])</f>
        <v>0</v>
      </c>
      <c r="F82" s="10">
        <f>SUMIFS(IsQList,IsIList,Table_ExternalData_15[[#This Row],[item_key]],IsITypeList,Table_ExternalData_15[[#This Row],[IType]],IsDList,Table_ExternalData_15[[#Headers],[2]])</f>
        <v>0</v>
      </c>
      <c r="G82" s="10">
        <f>SUMIFS(IsQList,IsIList,Table_ExternalData_15[[#This Row],[item_key]],IsITypeList,Table_ExternalData_15[[#This Row],[IType]],IsDList,Table_ExternalData_15[[#Headers],[3]])</f>
        <v>0</v>
      </c>
      <c r="H82" s="10">
        <f>SUMIFS(IsQList,IsIList,Table_ExternalData_15[[#This Row],[item_key]],IsITypeList,Table_ExternalData_15[[#This Row],[IType]],IsDList,Table_ExternalData_15[[#Headers],[4]])</f>
        <v>0</v>
      </c>
      <c r="I82" s="10">
        <f>SUMIFS(IsQList,IsIList,Table_ExternalData_15[[#This Row],[item_key]],IsITypeList,Table_ExternalData_15[[#This Row],[IType]],IsDList,Table_ExternalData_15[[#Headers],[5]])</f>
        <v>0</v>
      </c>
      <c r="J82" s="10">
        <f>SUMIFS(IsQList,IsIList,Table_ExternalData_15[[#This Row],[item_key]],IsITypeList,Table_ExternalData_15[[#This Row],[IType]],IsDList,Table_ExternalData_15[[#Headers],[6]])</f>
        <v>0</v>
      </c>
      <c r="K82" s="10">
        <f>SUMIFS(IsQList,IsIList,Table_ExternalData_15[[#This Row],[item_key]],IsITypeList,Table_ExternalData_15[[#This Row],[IType]],IsDList,Table_ExternalData_15[[#Headers],[7]])</f>
        <v>0</v>
      </c>
      <c r="L82" s="10">
        <f>SUMIFS(IsQList,IsIList,Table_ExternalData_15[[#This Row],[item_key]],IsITypeList,Table_ExternalData_15[[#This Row],[IType]],IsDList,Table_ExternalData_15[[#Headers],[8]])</f>
        <v>0</v>
      </c>
      <c r="M82" s="10">
        <f>SUMIFS(IsQList,IsIList,Table_ExternalData_15[[#This Row],[item_key]],IsITypeList,Table_ExternalData_15[[#This Row],[IType]],IsDList,Table_ExternalData_15[[#Headers],[9]])</f>
        <v>0</v>
      </c>
      <c r="N82" s="10">
        <f>SUMIFS(IsQList,IsIList,Table_ExternalData_15[[#This Row],[item_key]],IsITypeList,Table_ExternalData_15[[#This Row],[IType]],IsDList,Table_ExternalData_15[[#Headers],[10]])</f>
        <v>0</v>
      </c>
      <c r="O82" s="10">
        <f>SUMIFS(IsQList,IsIList,Table_ExternalData_15[[#This Row],[item_key]],IsITypeList,Table_ExternalData_15[[#This Row],[IType]],IsDList,Table_ExternalData_15[[#Headers],[11]])</f>
        <v>0</v>
      </c>
      <c r="P82" s="10">
        <f>SUMIFS(IsQList,IsIList,Table_ExternalData_15[[#This Row],[item_key]],IsITypeList,Table_ExternalData_15[[#This Row],[IType]],IsDList,Table_ExternalData_15[[#Headers],[12]])</f>
        <v>0</v>
      </c>
      <c r="Q82" s="10">
        <f>SUMIFS(IsQList,IsIList,Table_ExternalData_15[[#This Row],[item_key]],IsITypeList,Table_ExternalData_15[[#This Row],[IType]],IsDList,Table_ExternalData_15[[#Headers],[13]])</f>
        <v>0</v>
      </c>
      <c r="R82" s="10">
        <f>SUMIFS(IsQList,IsIList,Table_ExternalData_15[[#This Row],[item_key]],IsITypeList,Table_ExternalData_15[[#This Row],[IType]],IsDList,Table_ExternalData_15[[#Headers],[14]])</f>
        <v>0</v>
      </c>
      <c r="S82" s="10">
        <f>SUMIFS(IsQList,IsIList,Table_ExternalData_15[[#This Row],[item_key]],IsITypeList,Table_ExternalData_15[[#This Row],[IType]],IsDList,Table_ExternalData_15[[#Headers],[15]])</f>
        <v>0</v>
      </c>
      <c r="T82" s="10">
        <f>SUMIFS(IsQList,IsIList,Table_ExternalData_15[[#This Row],[item_key]],IsITypeList,Table_ExternalData_15[[#This Row],[IType]],IsDList,Table_ExternalData_15[[#Headers],[16]])</f>
        <v>5</v>
      </c>
      <c r="U82" s="10">
        <f>SUMIFS(IsQList,IsIList,Table_ExternalData_15[[#This Row],[item_key]],IsITypeList,Table_ExternalData_15[[#This Row],[IType]],IsDList,Table_ExternalData_15[[#Headers],[17]])</f>
        <v>0</v>
      </c>
      <c r="V82" s="10">
        <f>SUMIFS(IsQList,IsIList,Table_ExternalData_15[[#This Row],[item_key]],IsITypeList,Table_ExternalData_15[[#This Row],[IType]],IsDList,Table_ExternalData_15[[#Headers],[18]])</f>
        <v>0</v>
      </c>
      <c r="W82" s="10">
        <f>SUMIFS(IsQList,IsIList,Table_ExternalData_15[[#This Row],[item_key]],IsITypeList,Table_ExternalData_15[[#This Row],[IType]],IsDList,Table_ExternalData_15[[#Headers],[19]])</f>
        <v>0</v>
      </c>
      <c r="X82" s="10">
        <f>SUMIFS(IsQList,IsIList,Table_ExternalData_15[[#This Row],[item_key]],IsITypeList,Table_ExternalData_15[[#This Row],[IType]],IsDList,Table_ExternalData_15[[#Headers],[20]])</f>
        <v>0</v>
      </c>
      <c r="Y82" s="10">
        <f>SUMIFS(IsQList,IsIList,Table_ExternalData_15[[#This Row],[item_key]],IsITypeList,Table_ExternalData_15[[#This Row],[IType]],IsDList,Table_ExternalData_15[[#Headers],[21]])</f>
        <v>0</v>
      </c>
      <c r="Z82" s="10">
        <f>SUMIFS(IsQList,IsIList,Table_ExternalData_15[[#This Row],[item_key]],IsITypeList,Table_ExternalData_15[[#This Row],[IType]],IsDList,Table_ExternalData_15[[#Headers],[22]])</f>
        <v>0</v>
      </c>
      <c r="AA82" s="10">
        <f>SUMIFS(IsQList,IsIList,Table_ExternalData_15[[#This Row],[item_key]],IsITypeList,Table_ExternalData_15[[#This Row],[IType]],IsDList,Table_ExternalData_15[[#Headers],[23]])</f>
        <v>0</v>
      </c>
      <c r="AB82" s="10">
        <f>SUMIFS(IsQList,IsIList,Table_ExternalData_15[[#This Row],[item_key]],IsITypeList,Table_ExternalData_15[[#This Row],[IType]],IsDList,Table_ExternalData_15[[#Headers],[24]])</f>
        <v>0</v>
      </c>
      <c r="AC82" s="10">
        <f>SUMIFS(IsQList,IsIList,Table_ExternalData_15[[#This Row],[item_key]],IsITypeList,Table_ExternalData_15[[#This Row],[IType]],IsDList,Table_ExternalData_15[[#Headers],[25]])</f>
        <v>0</v>
      </c>
      <c r="AD82" s="10">
        <f>SUMIFS(IsQList,IsIList,Table_ExternalData_15[[#This Row],[item_key]],IsITypeList,Table_ExternalData_15[[#This Row],[IType]],IsDList,Table_ExternalData_15[[#Headers],[26]])</f>
        <v>0</v>
      </c>
      <c r="AE82" s="10">
        <f>SUMIFS(IsQList,IsIList,Table_ExternalData_15[[#This Row],[item_key]],IsITypeList,Table_ExternalData_15[[#This Row],[IType]],IsDList,Table_ExternalData_15[[#Headers],[27]])</f>
        <v>0</v>
      </c>
      <c r="AF82" s="10">
        <f>SUMIFS(IsQList,IsIList,Table_ExternalData_15[[#This Row],[item_key]],IsITypeList,Table_ExternalData_15[[#This Row],[IType]],IsDList,Table_ExternalData_15[[#Headers],[28]])</f>
        <v>0</v>
      </c>
      <c r="AG82" s="10">
        <f>SUMIFS(IsQList,IsIList,Table_ExternalData_15[[#This Row],[item_key]],IsITypeList,Table_ExternalData_15[[#This Row],[IType]],IsDList,Table_ExternalData_15[[#Headers],[29]])</f>
        <v>0</v>
      </c>
      <c r="AH82" s="10">
        <f>SUMIFS(IsQList,IsIList,Table_ExternalData_15[[#This Row],[item_key]],IsITypeList,Table_ExternalData_15[[#This Row],[IType]],IsDList,Table_ExternalData_15[[#Headers],[30]])</f>
        <v>5</v>
      </c>
      <c r="AI82" s="10">
        <f>SUMIFS(IsQList,IsIList,Table_ExternalData_15[[#This Row],[item_key]],IsITypeList,Table_ExternalData_15[[#This Row],[IType]],IsDList,Table_ExternalData_15[[#Headers],[31]])</f>
        <v>0</v>
      </c>
      <c r="AJ82" s="10">
        <f>SUM(Table_ExternalData_15[[#This Row],[1]:[31]])</f>
        <v>10</v>
      </c>
    </row>
    <row r="83" spans="1:36">
      <c r="A83" s="1" t="s">
        <v>1717</v>
      </c>
      <c r="B83" s="1" t="s">
        <v>2520</v>
      </c>
      <c r="C83" s="1" t="s">
        <v>2521</v>
      </c>
      <c r="D83" s="11" t="s">
        <v>72</v>
      </c>
      <c r="E83" s="10">
        <f>SUMIFS(IsQList,IsIList,Table_ExternalData_15[[#This Row],[item_key]],IsITypeList,Table_ExternalData_15[[#This Row],[IType]],IsDList,Table_ExternalData_15[[#Headers],[1]])</f>
        <v>0</v>
      </c>
      <c r="F83" s="10">
        <f>SUMIFS(IsQList,IsIList,Table_ExternalData_15[[#This Row],[item_key]],IsITypeList,Table_ExternalData_15[[#This Row],[IType]],IsDList,Table_ExternalData_15[[#Headers],[2]])</f>
        <v>0</v>
      </c>
      <c r="G83" s="10">
        <f>SUMIFS(IsQList,IsIList,Table_ExternalData_15[[#This Row],[item_key]],IsITypeList,Table_ExternalData_15[[#This Row],[IType]],IsDList,Table_ExternalData_15[[#Headers],[3]])</f>
        <v>0</v>
      </c>
      <c r="H83" s="10">
        <f>SUMIFS(IsQList,IsIList,Table_ExternalData_15[[#This Row],[item_key]],IsITypeList,Table_ExternalData_15[[#This Row],[IType]],IsDList,Table_ExternalData_15[[#Headers],[4]])</f>
        <v>0</v>
      </c>
      <c r="I83" s="10">
        <f>SUMIFS(IsQList,IsIList,Table_ExternalData_15[[#This Row],[item_key]],IsITypeList,Table_ExternalData_15[[#This Row],[IType]],IsDList,Table_ExternalData_15[[#Headers],[5]])</f>
        <v>0</v>
      </c>
      <c r="J83" s="10">
        <f>SUMIFS(IsQList,IsIList,Table_ExternalData_15[[#This Row],[item_key]],IsITypeList,Table_ExternalData_15[[#This Row],[IType]],IsDList,Table_ExternalData_15[[#Headers],[6]])</f>
        <v>0</v>
      </c>
      <c r="K83" s="10">
        <f>SUMIFS(IsQList,IsIList,Table_ExternalData_15[[#This Row],[item_key]],IsITypeList,Table_ExternalData_15[[#This Row],[IType]],IsDList,Table_ExternalData_15[[#Headers],[7]])</f>
        <v>0</v>
      </c>
      <c r="L83" s="10">
        <f>SUMIFS(IsQList,IsIList,Table_ExternalData_15[[#This Row],[item_key]],IsITypeList,Table_ExternalData_15[[#This Row],[IType]],IsDList,Table_ExternalData_15[[#Headers],[8]])</f>
        <v>0</v>
      </c>
      <c r="M83" s="10">
        <f>SUMIFS(IsQList,IsIList,Table_ExternalData_15[[#This Row],[item_key]],IsITypeList,Table_ExternalData_15[[#This Row],[IType]],IsDList,Table_ExternalData_15[[#Headers],[9]])</f>
        <v>0</v>
      </c>
      <c r="N83" s="10">
        <f>SUMIFS(IsQList,IsIList,Table_ExternalData_15[[#This Row],[item_key]],IsITypeList,Table_ExternalData_15[[#This Row],[IType]],IsDList,Table_ExternalData_15[[#Headers],[10]])</f>
        <v>10</v>
      </c>
      <c r="O83" s="10">
        <f>SUMIFS(IsQList,IsIList,Table_ExternalData_15[[#This Row],[item_key]],IsITypeList,Table_ExternalData_15[[#This Row],[IType]],IsDList,Table_ExternalData_15[[#Headers],[11]])</f>
        <v>0</v>
      </c>
      <c r="P83" s="10">
        <f>SUMIFS(IsQList,IsIList,Table_ExternalData_15[[#This Row],[item_key]],IsITypeList,Table_ExternalData_15[[#This Row],[IType]],IsDList,Table_ExternalData_15[[#Headers],[12]])</f>
        <v>0</v>
      </c>
      <c r="Q83" s="10">
        <f>SUMIFS(IsQList,IsIList,Table_ExternalData_15[[#This Row],[item_key]],IsITypeList,Table_ExternalData_15[[#This Row],[IType]],IsDList,Table_ExternalData_15[[#Headers],[13]])</f>
        <v>0</v>
      </c>
      <c r="R83" s="10">
        <f>SUMIFS(IsQList,IsIList,Table_ExternalData_15[[#This Row],[item_key]],IsITypeList,Table_ExternalData_15[[#This Row],[IType]],IsDList,Table_ExternalData_15[[#Headers],[14]])</f>
        <v>0</v>
      </c>
      <c r="S83" s="10">
        <f>SUMIFS(IsQList,IsIList,Table_ExternalData_15[[#This Row],[item_key]],IsITypeList,Table_ExternalData_15[[#This Row],[IType]],IsDList,Table_ExternalData_15[[#Headers],[15]])</f>
        <v>0</v>
      </c>
      <c r="T83" s="10">
        <f>SUMIFS(IsQList,IsIList,Table_ExternalData_15[[#This Row],[item_key]],IsITypeList,Table_ExternalData_15[[#This Row],[IType]],IsDList,Table_ExternalData_15[[#Headers],[16]])</f>
        <v>0</v>
      </c>
      <c r="U83" s="10">
        <f>SUMIFS(IsQList,IsIList,Table_ExternalData_15[[#This Row],[item_key]],IsITypeList,Table_ExternalData_15[[#This Row],[IType]],IsDList,Table_ExternalData_15[[#Headers],[17]])</f>
        <v>0</v>
      </c>
      <c r="V83" s="10">
        <f>SUMIFS(IsQList,IsIList,Table_ExternalData_15[[#This Row],[item_key]],IsITypeList,Table_ExternalData_15[[#This Row],[IType]],IsDList,Table_ExternalData_15[[#Headers],[18]])</f>
        <v>0</v>
      </c>
      <c r="W83" s="10">
        <f>SUMIFS(IsQList,IsIList,Table_ExternalData_15[[#This Row],[item_key]],IsITypeList,Table_ExternalData_15[[#This Row],[IType]],IsDList,Table_ExternalData_15[[#Headers],[19]])</f>
        <v>0</v>
      </c>
      <c r="X83" s="10">
        <f>SUMIFS(IsQList,IsIList,Table_ExternalData_15[[#This Row],[item_key]],IsITypeList,Table_ExternalData_15[[#This Row],[IType]],IsDList,Table_ExternalData_15[[#Headers],[20]])</f>
        <v>0</v>
      </c>
      <c r="Y83" s="10">
        <f>SUMIFS(IsQList,IsIList,Table_ExternalData_15[[#This Row],[item_key]],IsITypeList,Table_ExternalData_15[[#This Row],[IType]],IsDList,Table_ExternalData_15[[#Headers],[21]])</f>
        <v>0</v>
      </c>
      <c r="Z83" s="10">
        <f>SUMIFS(IsQList,IsIList,Table_ExternalData_15[[#This Row],[item_key]],IsITypeList,Table_ExternalData_15[[#This Row],[IType]],IsDList,Table_ExternalData_15[[#Headers],[22]])</f>
        <v>0</v>
      </c>
      <c r="AA83" s="10">
        <f>SUMIFS(IsQList,IsIList,Table_ExternalData_15[[#This Row],[item_key]],IsITypeList,Table_ExternalData_15[[#This Row],[IType]],IsDList,Table_ExternalData_15[[#Headers],[23]])</f>
        <v>0</v>
      </c>
      <c r="AB83" s="10">
        <f>SUMIFS(IsQList,IsIList,Table_ExternalData_15[[#This Row],[item_key]],IsITypeList,Table_ExternalData_15[[#This Row],[IType]],IsDList,Table_ExternalData_15[[#Headers],[24]])</f>
        <v>100</v>
      </c>
      <c r="AC83" s="10">
        <f>SUMIFS(IsQList,IsIList,Table_ExternalData_15[[#This Row],[item_key]],IsITypeList,Table_ExternalData_15[[#This Row],[IType]],IsDList,Table_ExternalData_15[[#Headers],[25]])</f>
        <v>0</v>
      </c>
      <c r="AD83" s="10">
        <f>SUMIFS(IsQList,IsIList,Table_ExternalData_15[[#This Row],[item_key]],IsITypeList,Table_ExternalData_15[[#This Row],[IType]],IsDList,Table_ExternalData_15[[#Headers],[26]])</f>
        <v>0</v>
      </c>
      <c r="AE83" s="10">
        <f>SUMIFS(IsQList,IsIList,Table_ExternalData_15[[#This Row],[item_key]],IsITypeList,Table_ExternalData_15[[#This Row],[IType]],IsDList,Table_ExternalData_15[[#Headers],[27]])</f>
        <v>0</v>
      </c>
      <c r="AF83" s="10">
        <f>SUMIFS(IsQList,IsIList,Table_ExternalData_15[[#This Row],[item_key]],IsITypeList,Table_ExternalData_15[[#This Row],[IType]],IsDList,Table_ExternalData_15[[#Headers],[28]])</f>
        <v>0</v>
      </c>
      <c r="AG83" s="10">
        <f>SUMIFS(IsQList,IsIList,Table_ExternalData_15[[#This Row],[item_key]],IsITypeList,Table_ExternalData_15[[#This Row],[IType]],IsDList,Table_ExternalData_15[[#Headers],[29]])</f>
        <v>0</v>
      </c>
      <c r="AH83" s="10">
        <f>SUMIFS(IsQList,IsIList,Table_ExternalData_15[[#This Row],[item_key]],IsITypeList,Table_ExternalData_15[[#This Row],[IType]],IsDList,Table_ExternalData_15[[#Headers],[30]])</f>
        <v>0</v>
      </c>
      <c r="AI83" s="10">
        <f>SUMIFS(IsQList,IsIList,Table_ExternalData_15[[#This Row],[item_key]],IsITypeList,Table_ExternalData_15[[#This Row],[IType]],IsDList,Table_ExternalData_15[[#Headers],[31]])</f>
        <v>0</v>
      </c>
      <c r="AJ83" s="10">
        <f>SUM(Table_ExternalData_15[[#This Row],[1]:[31]])</f>
        <v>110</v>
      </c>
    </row>
    <row r="84" spans="1:36">
      <c r="A84" s="1" t="s">
        <v>422</v>
      </c>
      <c r="B84" s="1" t="s">
        <v>1268</v>
      </c>
      <c r="C84" s="1" t="s">
        <v>1269</v>
      </c>
      <c r="D84" s="11" t="s">
        <v>72</v>
      </c>
      <c r="E84" s="10">
        <f>SUMIFS(IsQList,IsIList,Table_ExternalData_15[[#This Row],[item_key]],IsITypeList,Table_ExternalData_15[[#This Row],[IType]],IsDList,Table_ExternalData_15[[#Headers],[1]])</f>
        <v>0</v>
      </c>
      <c r="F84" s="10">
        <f>SUMIFS(IsQList,IsIList,Table_ExternalData_15[[#This Row],[item_key]],IsITypeList,Table_ExternalData_15[[#This Row],[IType]],IsDList,Table_ExternalData_15[[#Headers],[2]])</f>
        <v>0</v>
      </c>
      <c r="G84" s="10">
        <f>SUMIFS(IsQList,IsIList,Table_ExternalData_15[[#This Row],[item_key]],IsITypeList,Table_ExternalData_15[[#This Row],[IType]],IsDList,Table_ExternalData_15[[#Headers],[3]])</f>
        <v>0</v>
      </c>
      <c r="H84" s="10">
        <f>SUMIFS(IsQList,IsIList,Table_ExternalData_15[[#This Row],[item_key]],IsITypeList,Table_ExternalData_15[[#This Row],[IType]],IsDList,Table_ExternalData_15[[#Headers],[4]])</f>
        <v>0</v>
      </c>
      <c r="I84" s="10">
        <f>SUMIFS(IsQList,IsIList,Table_ExternalData_15[[#This Row],[item_key]],IsITypeList,Table_ExternalData_15[[#This Row],[IType]],IsDList,Table_ExternalData_15[[#Headers],[5]])</f>
        <v>0</v>
      </c>
      <c r="J84" s="10">
        <f>SUMIFS(IsQList,IsIList,Table_ExternalData_15[[#This Row],[item_key]],IsITypeList,Table_ExternalData_15[[#This Row],[IType]],IsDList,Table_ExternalData_15[[#Headers],[6]])</f>
        <v>0</v>
      </c>
      <c r="K84" s="10">
        <f>SUMIFS(IsQList,IsIList,Table_ExternalData_15[[#This Row],[item_key]],IsITypeList,Table_ExternalData_15[[#This Row],[IType]],IsDList,Table_ExternalData_15[[#Headers],[7]])</f>
        <v>0</v>
      </c>
      <c r="L84" s="10">
        <f>SUMIFS(IsQList,IsIList,Table_ExternalData_15[[#This Row],[item_key]],IsITypeList,Table_ExternalData_15[[#This Row],[IType]],IsDList,Table_ExternalData_15[[#Headers],[8]])</f>
        <v>0</v>
      </c>
      <c r="M84" s="10">
        <f>SUMIFS(IsQList,IsIList,Table_ExternalData_15[[#This Row],[item_key]],IsITypeList,Table_ExternalData_15[[#This Row],[IType]],IsDList,Table_ExternalData_15[[#Headers],[9]])</f>
        <v>0</v>
      </c>
      <c r="N84" s="10">
        <f>SUMIFS(IsQList,IsIList,Table_ExternalData_15[[#This Row],[item_key]],IsITypeList,Table_ExternalData_15[[#This Row],[IType]],IsDList,Table_ExternalData_15[[#Headers],[10]])</f>
        <v>0</v>
      </c>
      <c r="O84" s="10">
        <f>SUMIFS(IsQList,IsIList,Table_ExternalData_15[[#This Row],[item_key]],IsITypeList,Table_ExternalData_15[[#This Row],[IType]],IsDList,Table_ExternalData_15[[#Headers],[11]])</f>
        <v>0</v>
      </c>
      <c r="P84" s="10">
        <f>SUMIFS(IsQList,IsIList,Table_ExternalData_15[[#This Row],[item_key]],IsITypeList,Table_ExternalData_15[[#This Row],[IType]],IsDList,Table_ExternalData_15[[#Headers],[12]])</f>
        <v>0</v>
      </c>
      <c r="Q84" s="10">
        <f>SUMIFS(IsQList,IsIList,Table_ExternalData_15[[#This Row],[item_key]],IsITypeList,Table_ExternalData_15[[#This Row],[IType]],IsDList,Table_ExternalData_15[[#Headers],[13]])</f>
        <v>0</v>
      </c>
      <c r="R84" s="10">
        <f>SUMIFS(IsQList,IsIList,Table_ExternalData_15[[#This Row],[item_key]],IsITypeList,Table_ExternalData_15[[#This Row],[IType]],IsDList,Table_ExternalData_15[[#Headers],[14]])</f>
        <v>0</v>
      </c>
      <c r="S84" s="10">
        <f>SUMIFS(IsQList,IsIList,Table_ExternalData_15[[#This Row],[item_key]],IsITypeList,Table_ExternalData_15[[#This Row],[IType]],IsDList,Table_ExternalData_15[[#Headers],[15]])</f>
        <v>0</v>
      </c>
      <c r="T84" s="10">
        <f>SUMIFS(IsQList,IsIList,Table_ExternalData_15[[#This Row],[item_key]],IsITypeList,Table_ExternalData_15[[#This Row],[IType]],IsDList,Table_ExternalData_15[[#Headers],[16]])</f>
        <v>0</v>
      </c>
      <c r="U84" s="10">
        <f>SUMIFS(IsQList,IsIList,Table_ExternalData_15[[#This Row],[item_key]],IsITypeList,Table_ExternalData_15[[#This Row],[IType]],IsDList,Table_ExternalData_15[[#Headers],[17]])</f>
        <v>0</v>
      </c>
      <c r="V84" s="10">
        <f>SUMIFS(IsQList,IsIList,Table_ExternalData_15[[#This Row],[item_key]],IsITypeList,Table_ExternalData_15[[#This Row],[IType]],IsDList,Table_ExternalData_15[[#Headers],[18]])</f>
        <v>0</v>
      </c>
      <c r="W84" s="10">
        <f>SUMIFS(IsQList,IsIList,Table_ExternalData_15[[#This Row],[item_key]],IsITypeList,Table_ExternalData_15[[#This Row],[IType]],IsDList,Table_ExternalData_15[[#Headers],[19]])</f>
        <v>0</v>
      </c>
      <c r="X84" s="10">
        <f>SUMIFS(IsQList,IsIList,Table_ExternalData_15[[#This Row],[item_key]],IsITypeList,Table_ExternalData_15[[#This Row],[IType]],IsDList,Table_ExternalData_15[[#Headers],[20]])</f>
        <v>0</v>
      </c>
      <c r="Y84" s="10">
        <f>SUMIFS(IsQList,IsIList,Table_ExternalData_15[[#This Row],[item_key]],IsITypeList,Table_ExternalData_15[[#This Row],[IType]],IsDList,Table_ExternalData_15[[#Headers],[21]])</f>
        <v>0</v>
      </c>
      <c r="Z84" s="10">
        <f>SUMIFS(IsQList,IsIList,Table_ExternalData_15[[#This Row],[item_key]],IsITypeList,Table_ExternalData_15[[#This Row],[IType]],IsDList,Table_ExternalData_15[[#Headers],[22]])</f>
        <v>0</v>
      </c>
      <c r="AA84" s="10">
        <f>SUMIFS(IsQList,IsIList,Table_ExternalData_15[[#This Row],[item_key]],IsITypeList,Table_ExternalData_15[[#This Row],[IType]],IsDList,Table_ExternalData_15[[#Headers],[23]])</f>
        <v>0</v>
      </c>
      <c r="AB84" s="10">
        <f>SUMIFS(IsQList,IsIList,Table_ExternalData_15[[#This Row],[item_key]],IsITypeList,Table_ExternalData_15[[#This Row],[IType]],IsDList,Table_ExternalData_15[[#Headers],[24]])</f>
        <v>0</v>
      </c>
      <c r="AC84" s="10">
        <f>SUMIFS(IsQList,IsIList,Table_ExternalData_15[[#This Row],[item_key]],IsITypeList,Table_ExternalData_15[[#This Row],[IType]],IsDList,Table_ExternalData_15[[#Headers],[25]])</f>
        <v>0</v>
      </c>
      <c r="AD84" s="10">
        <f>SUMIFS(IsQList,IsIList,Table_ExternalData_15[[#This Row],[item_key]],IsITypeList,Table_ExternalData_15[[#This Row],[IType]],IsDList,Table_ExternalData_15[[#Headers],[26]])</f>
        <v>0</v>
      </c>
      <c r="AE84" s="10">
        <f>SUMIFS(IsQList,IsIList,Table_ExternalData_15[[#This Row],[item_key]],IsITypeList,Table_ExternalData_15[[#This Row],[IType]],IsDList,Table_ExternalData_15[[#Headers],[27]])</f>
        <v>0</v>
      </c>
      <c r="AF84" s="10">
        <f>SUMIFS(IsQList,IsIList,Table_ExternalData_15[[#This Row],[item_key]],IsITypeList,Table_ExternalData_15[[#This Row],[IType]],IsDList,Table_ExternalData_15[[#Headers],[28]])</f>
        <v>0</v>
      </c>
      <c r="AG84" s="10">
        <f>SUMIFS(IsQList,IsIList,Table_ExternalData_15[[#This Row],[item_key]],IsITypeList,Table_ExternalData_15[[#This Row],[IType]],IsDList,Table_ExternalData_15[[#Headers],[29]])</f>
        <v>0</v>
      </c>
      <c r="AH84" s="10">
        <f>SUMIFS(IsQList,IsIList,Table_ExternalData_15[[#This Row],[item_key]],IsITypeList,Table_ExternalData_15[[#This Row],[IType]],IsDList,Table_ExternalData_15[[#Headers],[30]])</f>
        <v>0</v>
      </c>
      <c r="AI84" s="10">
        <f>SUMIFS(IsQList,IsIList,Table_ExternalData_15[[#This Row],[item_key]],IsITypeList,Table_ExternalData_15[[#This Row],[IType]],IsDList,Table_ExternalData_15[[#Headers],[31]])</f>
        <v>0</v>
      </c>
      <c r="AJ84" s="10">
        <f>SUM(Table_ExternalData_15[[#This Row],[1]:[31]])</f>
        <v>0</v>
      </c>
    </row>
    <row r="85" spans="1:36">
      <c r="A85" s="1" t="s">
        <v>424</v>
      </c>
      <c r="B85" s="1" t="s">
        <v>2522</v>
      </c>
      <c r="C85" s="1" t="s">
        <v>2523</v>
      </c>
      <c r="D85" s="11" t="s">
        <v>72</v>
      </c>
      <c r="E85" s="10">
        <f>SUMIFS(IsQList,IsIList,Table_ExternalData_15[[#This Row],[item_key]],IsITypeList,Table_ExternalData_15[[#This Row],[IType]],IsDList,Table_ExternalData_15[[#Headers],[1]])</f>
        <v>0</v>
      </c>
      <c r="F85" s="10">
        <f>SUMIFS(IsQList,IsIList,Table_ExternalData_15[[#This Row],[item_key]],IsITypeList,Table_ExternalData_15[[#This Row],[IType]],IsDList,Table_ExternalData_15[[#Headers],[2]])</f>
        <v>0</v>
      </c>
      <c r="G85" s="10">
        <f>SUMIFS(IsQList,IsIList,Table_ExternalData_15[[#This Row],[item_key]],IsITypeList,Table_ExternalData_15[[#This Row],[IType]],IsDList,Table_ExternalData_15[[#Headers],[3]])</f>
        <v>0</v>
      </c>
      <c r="H85" s="10">
        <f>SUMIFS(IsQList,IsIList,Table_ExternalData_15[[#This Row],[item_key]],IsITypeList,Table_ExternalData_15[[#This Row],[IType]],IsDList,Table_ExternalData_15[[#Headers],[4]])</f>
        <v>0</v>
      </c>
      <c r="I85" s="10">
        <f>SUMIFS(IsQList,IsIList,Table_ExternalData_15[[#This Row],[item_key]],IsITypeList,Table_ExternalData_15[[#This Row],[IType]],IsDList,Table_ExternalData_15[[#Headers],[5]])</f>
        <v>0</v>
      </c>
      <c r="J85" s="10">
        <f>SUMIFS(IsQList,IsIList,Table_ExternalData_15[[#This Row],[item_key]],IsITypeList,Table_ExternalData_15[[#This Row],[IType]],IsDList,Table_ExternalData_15[[#Headers],[6]])</f>
        <v>0</v>
      </c>
      <c r="K85" s="10">
        <f>SUMIFS(IsQList,IsIList,Table_ExternalData_15[[#This Row],[item_key]],IsITypeList,Table_ExternalData_15[[#This Row],[IType]],IsDList,Table_ExternalData_15[[#Headers],[7]])</f>
        <v>0</v>
      </c>
      <c r="L85" s="10">
        <f>SUMIFS(IsQList,IsIList,Table_ExternalData_15[[#This Row],[item_key]],IsITypeList,Table_ExternalData_15[[#This Row],[IType]],IsDList,Table_ExternalData_15[[#Headers],[8]])</f>
        <v>0</v>
      </c>
      <c r="M85" s="10">
        <f>SUMIFS(IsQList,IsIList,Table_ExternalData_15[[#This Row],[item_key]],IsITypeList,Table_ExternalData_15[[#This Row],[IType]],IsDList,Table_ExternalData_15[[#Headers],[9]])</f>
        <v>0</v>
      </c>
      <c r="N85" s="10">
        <f>SUMIFS(IsQList,IsIList,Table_ExternalData_15[[#This Row],[item_key]],IsITypeList,Table_ExternalData_15[[#This Row],[IType]],IsDList,Table_ExternalData_15[[#Headers],[10]])</f>
        <v>0</v>
      </c>
      <c r="O85" s="10">
        <f>SUMIFS(IsQList,IsIList,Table_ExternalData_15[[#This Row],[item_key]],IsITypeList,Table_ExternalData_15[[#This Row],[IType]],IsDList,Table_ExternalData_15[[#Headers],[11]])</f>
        <v>0</v>
      </c>
      <c r="P85" s="10">
        <f>SUMIFS(IsQList,IsIList,Table_ExternalData_15[[#This Row],[item_key]],IsITypeList,Table_ExternalData_15[[#This Row],[IType]],IsDList,Table_ExternalData_15[[#Headers],[12]])</f>
        <v>0</v>
      </c>
      <c r="Q85" s="10">
        <f>SUMIFS(IsQList,IsIList,Table_ExternalData_15[[#This Row],[item_key]],IsITypeList,Table_ExternalData_15[[#This Row],[IType]],IsDList,Table_ExternalData_15[[#Headers],[13]])</f>
        <v>0</v>
      </c>
      <c r="R85" s="10">
        <f>SUMIFS(IsQList,IsIList,Table_ExternalData_15[[#This Row],[item_key]],IsITypeList,Table_ExternalData_15[[#This Row],[IType]],IsDList,Table_ExternalData_15[[#Headers],[14]])</f>
        <v>0</v>
      </c>
      <c r="S85" s="10">
        <f>SUMIFS(IsQList,IsIList,Table_ExternalData_15[[#This Row],[item_key]],IsITypeList,Table_ExternalData_15[[#This Row],[IType]],IsDList,Table_ExternalData_15[[#Headers],[15]])</f>
        <v>0</v>
      </c>
      <c r="T85" s="10">
        <f>SUMIFS(IsQList,IsIList,Table_ExternalData_15[[#This Row],[item_key]],IsITypeList,Table_ExternalData_15[[#This Row],[IType]],IsDList,Table_ExternalData_15[[#Headers],[16]])</f>
        <v>0</v>
      </c>
      <c r="U85" s="10">
        <f>SUMIFS(IsQList,IsIList,Table_ExternalData_15[[#This Row],[item_key]],IsITypeList,Table_ExternalData_15[[#This Row],[IType]],IsDList,Table_ExternalData_15[[#Headers],[17]])</f>
        <v>0</v>
      </c>
      <c r="V85" s="10">
        <f>SUMIFS(IsQList,IsIList,Table_ExternalData_15[[#This Row],[item_key]],IsITypeList,Table_ExternalData_15[[#This Row],[IType]],IsDList,Table_ExternalData_15[[#Headers],[18]])</f>
        <v>0</v>
      </c>
      <c r="W85" s="10">
        <f>SUMIFS(IsQList,IsIList,Table_ExternalData_15[[#This Row],[item_key]],IsITypeList,Table_ExternalData_15[[#This Row],[IType]],IsDList,Table_ExternalData_15[[#Headers],[19]])</f>
        <v>0</v>
      </c>
      <c r="X85" s="10">
        <f>SUMIFS(IsQList,IsIList,Table_ExternalData_15[[#This Row],[item_key]],IsITypeList,Table_ExternalData_15[[#This Row],[IType]],IsDList,Table_ExternalData_15[[#Headers],[20]])</f>
        <v>0</v>
      </c>
      <c r="Y85" s="10">
        <f>SUMIFS(IsQList,IsIList,Table_ExternalData_15[[#This Row],[item_key]],IsITypeList,Table_ExternalData_15[[#This Row],[IType]],IsDList,Table_ExternalData_15[[#Headers],[21]])</f>
        <v>0</v>
      </c>
      <c r="Z85" s="10">
        <f>SUMIFS(IsQList,IsIList,Table_ExternalData_15[[#This Row],[item_key]],IsITypeList,Table_ExternalData_15[[#This Row],[IType]],IsDList,Table_ExternalData_15[[#Headers],[22]])</f>
        <v>0</v>
      </c>
      <c r="AA85" s="10">
        <f>SUMIFS(IsQList,IsIList,Table_ExternalData_15[[#This Row],[item_key]],IsITypeList,Table_ExternalData_15[[#This Row],[IType]],IsDList,Table_ExternalData_15[[#Headers],[23]])</f>
        <v>0</v>
      </c>
      <c r="AB85" s="10">
        <f>SUMIFS(IsQList,IsIList,Table_ExternalData_15[[#This Row],[item_key]],IsITypeList,Table_ExternalData_15[[#This Row],[IType]],IsDList,Table_ExternalData_15[[#Headers],[24]])</f>
        <v>0</v>
      </c>
      <c r="AC85" s="10">
        <f>SUMIFS(IsQList,IsIList,Table_ExternalData_15[[#This Row],[item_key]],IsITypeList,Table_ExternalData_15[[#This Row],[IType]],IsDList,Table_ExternalData_15[[#Headers],[25]])</f>
        <v>0</v>
      </c>
      <c r="AD85" s="10">
        <f>SUMIFS(IsQList,IsIList,Table_ExternalData_15[[#This Row],[item_key]],IsITypeList,Table_ExternalData_15[[#This Row],[IType]],IsDList,Table_ExternalData_15[[#Headers],[26]])</f>
        <v>0</v>
      </c>
      <c r="AE85" s="10">
        <f>SUMIFS(IsQList,IsIList,Table_ExternalData_15[[#This Row],[item_key]],IsITypeList,Table_ExternalData_15[[#This Row],[IType]],IsDList,Table_ExternalData_15[[#Headers],[27]])</f>
        <v>0</v>
      </c>
      <c r="AF85" s="10">
        <f>SUMIFS(IsQList,IsIList,Table_ExternalData_15[[#This Row],[item_key]],IsITypeList,Table_ExternalData_15[[#This Row],[IType]],IsDList,Table_ExternalData_15[[#Headers],[28]])</f>
        <v>0</v>
      </c>
      <c r="AG85" s="10">
        <f>SUMIFS(IsQList,IsIList,Table_ExternalData_15[[#This Row],[item_key]],IsITypeList,Table_ExternalData_15[[#This Row],[IType]],IsDList,Table_ExternalData_15[[#Headers],[29]])</f>
        <v>0</v>
      </c>
      <c r="AH85" s="10">
        <f>SUMIFS(IsQList,IsIList,Table_ExternalData_15[[#This Row],[item_key]],IsITypeList,Table_ExternalData_15[[#This Row],[IType]],IsDList,Table_ExternalData_15[[#Headers],[30]])</f>
        <v>20</v>
      </c>
      <c r="AI85" s="10">
        <f>SUMIFS(IsQList,IsIList,Table_ExternalData_15[[#This Row],[item_key]],IsITypeList,Table_ExternalData_15[[#This Row],[IType]],IsDList,Table_ExternalData_15[[#Headers],[31]])</f>
        <v>0</v>
      </c>
      <c r="AJ85" s="10">
        <f>SUM(Table_ExternalData_15[[#This Row],[1]:[31]])</f>
        <v>20</v>
      </c>
    </row>
    <row r="86" spans="1:36">
      <c r="A86" s="1" t="s">
        <v>425</v>
      </c>
      <c r="B86" s="1" t="s">
        <v>1271</v>
      </c>
      <c r="C86" s="1" t="s">
        <v>1272</v>
      </c>
      <c r="D86" s="11" t="s">
        <v>72</v>
      </c>
      <c r="E86" s="10">
        <f>SUMIFS(IsQList,IsIList,Table_ExternalData_15[[#This Row],[item_key]],IsITypeList,Table_ExternalData_15[[#This Row],[IType]],IsDList,Table_ExternalData_15[[#Headers],[1]])</f>
        <v>0</v>
      </c>
      <c r="F86" s="10">
        <f>SUMIFS(IsQList,IsIList,Table_ExternalData_15[[#This Row],[item_key]],IsITypeList,Table_ExternalData_15[[#This Row],[IType]],IsDList,Table_ExternalData_15[[#Headers],[2]])</f>
        <v>0</v>
      </c>
      <c r="G86" s="10">
        <f>SUMIFS(IsQList,IsIList,Table_ExternalData_15[[#This Row],[item_key]],IsITypeList,Table_ExternalData_15[[#This Row],[IType]],IsDList,Table_ExternalData_15[[#Headers],[3]])</f>
        <v>0</v>
      </c>
      <c r="H86" s="10">
        <f>SUMIFS(IsQList,IsIList,Table_ExternalData_15[[#This Row],[item_key]],IsITypeList,Table_ExternalData_15[[#This Row],[IType]],IsDList,Table_ExternalData_15[[#Headers],[4]])</f>
        <v>0</v>
      </c>
      <c r="I86" s="10">
        <f>SUMIFS(IsQList,IsIList,Table_ExternalData_15[[#This Row],[item_key]],IsITypeList,Table_ExternalData_15[[#This Row],[IType]],IsDList,Table_ExternalData_15[[#Headers],[5]])</f>
        <v>0</v>
      </c>
      <c r="J86" s="10">
        <f>SUMIFS(IsQList,IsIList,Table_ExternalData_15[[#This Row],[item_key]],IsITypeList,Table_ExternalData_15[[#This Row],[IType]],IsDList,Table_ExternalData_15[[#Headers],[6]])</f>
        <v>0</v>
      </c>
      <c r="K86" s="10">
        <f>SUMIFS(IsQList,IsIList,Table_ExternalData_15[[#This Row],[item_key]],IsITypeList,Table_ExternalData_15[[#This Row],[IType]],IsDList,Table_ExternalData_15[[#Headers],[7]])</f>
        <v>0</v>
      </c>
      <c r="L86" s="10">
        <f>SUMIFS(IsQList,IsIList,Table_ExternalData_15[[#This Row],[item_key]],IsITypeList,Table_ExternalData_15[[#This Row],[IType]],IsDList,Table_ExternalData_15[[#Headers],[8]])</f>
        <v>0</v>
      </c>
      <c r="M86" s="10">
        <f>SUMIFS(IsQList,IsIList,Table_ExternalData_15[[#This Row],[item_key]],IsITypeList,Table_ExternalData_15[[#This Row],[IType]],IsDList,Table_ExternalData_15[[#Headers],[9]])</f>
        <v>0</v>
      </c>
      <c r="N86" s="10">
        <f>SUMIFS(IsQList,IsIList,Table_ExternalData_15[[#This Row],[item_key]],IsITypeList,Table_ExternalData_15[[#This Row],[IType]],IsDList,Table_ExternalData_15[[#Headers],[10]])</f>
        <v>11</v>
      </c>
      <c r="O86" s="10">
        <f>SUMIFS(IsQList,IsIList,Table_ExternalData_15[[#This Row],[item_key]],IsITypeList,Table_ExternalData_15[[#This Row],[IType]],IsDList,Table_ExternalData_15[[#Headers],[11]])</f>
        <v>0</v>
      </c>
      <c r="P86" s="10">
        <f>SUMIFS(IsQList,IsIList,Table_ExternalData_15[[#This Row],[item_key]],IsITypeList,Table_ExternalData_15[[#This Row],[IType]],IsDList,Table_ExternalData_15[[#Headers],[12]])</f>
        <v>0</v>
      </c>
      <c r="Q86" s="10">
        <f>SUMIFS(IsQList,IsIList,Table_ExternalData_15[[#This Row],[item_key]],IsITypeList,Table_ExternalData_15[[#This Row],[IType]],IsDList,Table_ExternalData_15[[#Headers],[13]])</f>
        <v>0</v>
      </c>
      <c r="R86" s="10">
        <f>SUMIFS(IsQList,IsIList,Table_ExternalData_15[[#This Row],[item_key]],IsITypeList,Table_ExternalData_15[[#This Row],[IType]],IsDList,Table_ExternalData_15[[#Headers],[14]])</f>
        <v>0</v>
      </c>
      <c r="S86" s="10">
        <f>SUMIFS(IsQList,IsIList,Table_ExternalData_15[[#This Row],[item_key]],IsITypeList,Table_ExternalData_15[[#This Row],[IType]],IsDList,Table_ExternalData_15[[#Headers],[15]])</f>
        <v>0</v>
      </c>
      <c r="T86" s="10">
        <f>SUMIFS(IsQList,IsIList,Table_ExternalData_15[[#This Row],[item_key]],IsITypeList,Table_ExternalData_15[[#This Row],[IType]],IsDList,Table_ExternalData_15[[#Headers],[16]])</f>
        <v>30</v>
      </c>
      <c r="U86" s="10">
        <f>SUMIFS(IsQList,IsIList,Table_ExternalData_15[[#This Row],[item_key]],IsITypeList,Table_ExternalData_15[[#This Row],[IType]],IsDList,Table_ExternalData_15[[#Headers],[17]])</f>
        <v>0</v>
      </c>
      <c r="V86" s="10">
        <f>SUMIFS(IsQList,IsIList,Table_ExternalData_15[[#This Row],[item_key]],IsITypeList,Table_ExternalData_15[[#This Row],[IType]],IsDList,Table_ExternalData_15[[#Headers],[18]])</f>
        <v>0</v>
      </c>
      <c r="W86" s="10">
        <f>SUMIFS(IsQList,IsIList,Table_ExternalData_15[[#This Row],[item_key]],IsITypeList,Table_ExternalData_15[[#This Row],[IType]],IsDList,Table_ExternalData_15[[#Headers],[19]])</f>
        <v>0</v>
      </c>
      <c r="X86" s="10">
        <f>SUMIFS(IsQList,IsIList,Table_ExternalData_15[[#This Row],[item_key]],IsITypeList,Table_ExternalData_15[[#This Row],[IType]],IsDList,Table_ExternalData_15[[#Headers],[20]])</f>
        <v>0</v>
      </c>
      <c r="Y86" s="10">
        <f>SUMIFS(IsQList,IsIList,Table_ExternalData_15[[#This Row],[item_key]],IsITypeList,Table_ExternalData_15[[#This Row],[IType]],IsDList,Table_ExternalData_15[[#Headers],[21]])</f>
        <v>0</v>
      </c>
      <c r="Z86" s="10">
        <f>SUMIFS(IsQList,IsIList,Table_ExternalData_15[[#This Row],[item_key]],IsITypeList,Table_ExternalData_15[[#This Row],[IType]],IsDList,Table_ExternalData_15[[#Headers],[22]])</f>
        <v>0</v>
      </c>
      <c r="AA86" s="10">
        <f>SUMIFS(IsQList,IsIList,Table_ExternalData_15[[#This Row],[item_key]],IsITypeList,Table_ExternalData_15[[#This Row],[IType]],IsDList,Table_ExternalData_15[[#Headers],[23]])</f>
        <v>0</v>
      </c>
      <c r="AB86" s="10">
        <f>SUMIFS(IsQList,IsIList,Table_ExternalData_15[[#This Row],[item_key]],IsITypeList,Table_ExternalData_15[[#This Row],[IType]],IsDList,Table_ExternalData_15[[#Headers],[24]])</f>
        <v>0</v>
      </c>
      <c r="AC86" s="10">
        <f>SUMIFS(IsQList,IsIList,Table_ExternalData_15[[#This Row],[item_key]],IsITypeList,Table_ExternalData_15[[#This Row],[IType]],IsDList,Table_ExternalData_15[[#Headers],[25]])</f>
        <v>0</v>
      </c>
      <c r="AD86" s="10">
        <f>SUMIFS(IsQList,IsIList,Table_ExternalData_15[[#This Row],[item_key]],IsITypeList,Table_ExternalData_15[[#This Row],[IType]],IsDList,Table_ExternalData_15[[#Headers],[26]])</f>
        <v>0</v>
      </c>
      <c r="AE86" s="10">
        <f>SUMIFS(IsQList,IsIList,Table_ExternalData_15[[#This Row],[item_key]],IsITypeList,Table_ExternalData_15[[#This Row],[IType]],IsDList,Table_ExternalData_15[[#Headers],[27]])</f>
        <v>0</v>
      </c>
      <c r="AF86" s="10">
        <f>SUMIFS(IsQList,IsIList,Table_ExternalData_15[[#This Row],[item_key]],IsITypeList,Table_ExternalData_15[[#This Row],[IType]],IsDList,Table_ExternalData_15[[#Headers],[28]])</f>
        <v>0</v>
      </c>
      <c r="AG86" s="10">
        <f>SUMIFS(IsQList,IsIList,Table_ExternalData_15[[#This Row],[item_key]],IsITypeList,Table_ExternalData_15[[#This Row],[IType]],IsDList,Table_ExternalData_15[[#Headers],[29]])</f>
        <v>0</v>
      </c>
      <c r="AH86" s="10">
        <f>SUMIFS(IsQList,IsIList,Table_ExternalData_15[[#This Row],[item_key]],IsITypeList,Table_ExternalData_15[[#This Row],[IType]],IsDList,Table_ExternalData_15[[#Headers],[30]])</f>
        <v>20</v>
      </c>
      <c r="AI86" s="10">
        <f>SUMIFS(IsQList,IsIList,Table_ExternalData_15[[#This Row],[item_key]],IsITypeList,Table_ExternalData_15[[#This Row],[IType]],IsDList,Table_ExternalData_15[[#Headers],[31]])</f>
        <v>0</v>
      </c>
      <c r="AJ86" s="10">
        <f>SUM(Table_ExternalData_15[[#This Row],[1]:[31]])</f>
        <v>61</v>
      </c>
    </row>
    <row r="87" spans="1:36">
      <c r="A87" s="1" t="s">
        <v>426</v>
      </c>
      <c r="B87" s="1" t="s">
        <v>2524</v>
      </c>
      <c r="C87" s="1" t="s">
        <v>2525</v>
      </c>
      <c r="D87" s="11" t="s">
        <v>72</v>
      </c>
      <c r="E87" s="10">
        <f>SUMIFS(IsQList,IsIList,Table_ExternalData_15[[#This Row],[item_key]],IsITypeList,Table_ExternalData_15[[#This Row],[IType]],IsDList,Table_ExternalData_15[[#Headers],[1]])</f>
        <v>0</v>
      </c>
      <c r="F87" s="10">
        <f>SUMIFS(IsQList,IsIList,Table_ExternalData_15[[#This Row],[item_key]],IsITypeList,Table_ExternalData_15[[#This Row],[IType]],IsDList,Table_ExternalData_15[[#Headers],[2]])</f>
        <v>0</v>
      </c>
      <c r="G87" s="10">
        <f>SUMIFS(IsQList,IsIList,Table_ExternalData_15[[#This Row],[item_key]],IsITypeList,Table_ExternalData_15[[#This Row],[IType]],IsDList,Table_ExternalData_15[[#Headers],[3]])</f>
        <v>0</v>
      </c>
      <c r="H87" s="10">
        <f>SUMIFS(IsQList,IsIList,Table_ExternalData_15[[#This Row],[item_key]],IsITypeList,Table_ExternalData_15[[#This Row],[IType]],IsDList,Table_ExternalData_15[[#Headers],[4]])</f>
        <v>0</v>
      </c>
      <c r="I87" s="10">
        <f>SUMIFS(IsQList,IsIList,Table_ExternalData_15[[#This Row],[item_key]],IsITypeList,Table_ExternalData_15[[#This Row],[IType]],IsDList,Table_ExternalData_15[[#Headers],[5]])</f>
        <v>0</v>
      </c>
      <c r="J87" s="10">
        <f>SUMIFS(IsQList,IsIList,Table_ExternalData_15[[#This Row],[item_key]],IsITypeList,Table_ExternalData_15[[#This Row],[IType]],IsDList,Table_ExternalData_15[[#Headers],[6]])</f>
        <v>0</v>
      </c>
      <c r="K87" s="10">
        <f>SUMIFS(IsQList,IsIList,Table_ExternalData_15[[#This Row],[item_key]],IsITypeList,Table_ExternalData_15[[#This Row],[IType]],IsDList,Table_ExternalData_15[[#Headers],[7]])</f>
        <v>0</v>
      </c>
      <c r="L87" s="10">
        <f>SUMIFS(IsQList,IsIList,Table_ExternalData_15[[#This Row],[item_key]],IsITypeList,Table_ExternalData_15[[#This Row],[IType]],IsDList,Table_ExternalData_15[[#Headers],[8]])</f>
        <v>0</v>
      </c>
      <c r="M87" s="10">
        <f>SUMIFS(IsQList,IsIList,Table_ExternalData_15[[#This Row],[item_key]],IsITypeList,Table_ExternalData_15[[#This Row],[IType]],IsDList,Table_ExternalData_15[[#Headers],[9]])</f>
        <v>0</v>
      </c>
      <c r="N87" s="10">
        <f>SUMIFS(IsQList,IsIList,Table_ExternalData_15[[#This Row],[item_key]],IsITypeList,Table_ExternalData_15[[#This Row],[IType]],IsDList,Table_ExternalData_15[[#Headers],[10]])</f>
        <v>0</v>
      </c>
      <c r="O87" s="10">
        <f>SUMIFS(IsQList,IsIList,Table_ExternalData_15[[#This Row],[item_key]],IsITypeList,Table_ExternalData_15[[#This Row],[IType]],IsDList,Table_ExternalData_15[[#Headers],[11]])</f>
        <v>0</v>
      </c>
      <c r="P87" s="10">
        <f>SUMIFS(IsQList,IsIList,Table_ExternalData_15[[#This Row],[item_key]],IsITypeList,Table_ExternalData_15[[#This Row],[IType]],IsDList,Table_ExternalData_15[[#Headers],[12]])</f>
        <v>0</v>
      </c>
      <c r="Q87" s="10">
        <f>SUMIFS(IsQList,IsIList,Table_ExternalData_15[[#This Row],[item_key]],IsITypeList,Table_ExternalData_15[[#This Row],[IType]],IsDList,Table_ExternalData_15[[#Headers],[13]])</f>
        <v>0</v>
      </c>
      <c r="R87" s="10">
        <f>SUMIFS(IsQList,IsIList,Table_ExternalData_15[[#This Row],[item_key]],IsITypeList,Table_ExternalData_15[[#This Row],[IType]],IsDList,Table_ExternalData_15[[#Headers],[14]])</f>
        <v>0</v>
      </c>
      <c r="S87" s="10">
        <f>SUMIFS(IsQList,IsIList,Table_ExternalData_15[[#This Row],[item_key]],IsITypeList,Table_ExternalData_15[[#This Row],[IType]],IsDList,Table_ExternalData_15[[#Headers],[15]])</f>
        <v>0</v>
      </c>
      <c r="T87" s="10">
        <f>SUMIFS(IsQList,IsIList,Table_ExternalData_15[[#This Row],[item_key]],IsITypeList,Table_ExternalData_15[[#This Row],[IType]],IsDList,Table_ExternalData_15[[#Headers],[16]])</f>
        <v>10</v>
      </c>
      <c r="U87" s="10">
        <f>SUMIFS(IsQList,IsIList,Table_ExternalData_15[[#This Row],[item_key]],IsITypeList,Table_ExternalData_15[[#This Row],[IType]],IsDList,Table_ExternalData_15[[#Headers],[17]])</f>
        <v>0</v>
      </c>
      <c r="V87" s="10">
        <f>SUMIFS(IsQList,IsIList,Table_ExternalData_15[[#This Row],[item_key]],IsITypeList,Table_ExternalData_15[[#This Row],[IType]],IsDList,Table_ExternalData_15[[#Headers],[18]])</f>
        <v>0</v>
      </c>
      <c r="W87" s="10">
        <f>SUMIFS(IsQList,IsIList,Table_ExternalData_15[[#This Row],[item_key]],IsITypeList,Table_ExternalData_15[[#This Row],[IType]],IsDList,Table_ExternalData_15[[#Headers],[19]])</f>
        <v>0</v>
      </c>
      <c r="X87" s="10">
        <f>SUMIFS(IsQList,IsIList,Table_ExternalData_15[[#This Row],[item_key]],IsITypeList,Table_ExternalData_15[[#This Row],[IType]],IsDList,Table_ExternalData_15[[#Headers],[20]])</f>
        <v>0</v>
      </c>
      <c r="Y87" s="10">
        <f>SUMIFS(IsQList,IsIList,Table_ExternalData_15[[#This Row],[item_key]],IsITypeList,Table_ExternalData_15[[#This Row],[IType]],IsDList,Table_ExternalData_15[[#Headers],[21]])</f>
        <v>0</v>
      </c>
      <c r="Z87" s="10">
        <f>SUMIFS(IsQList,IsIList,Table_ExternalData_15[[#This Row],[item_key]],IsITypeList,Table_ExternalData_15[[#This Row],[IType]],IsDList,Table_ExternalData_15[[#Headers],[22]])</f>
        <v>0</v>
      </c>
      <c r="AA87" s="10">
        <f>SUMIFS(IsQList,IsIList,Table_ExternalData_15[[#This Row],[item_key]],IsITypeList,Table_ExternalData_15[[#This Row],[IType]],IsDList,Table_ExternalData_15[[#Headers],[23]])</f>
        <v>0</v>
      </c>
      <c r="AB87" s="10">
        <f>SUMIFS(IsQList,IsIList,Table_ExternalData_15[[#This Row],[item_key]],IsITypeList,Table_ExternalData_15[[#This Row],[IType]],IsDList,Table_ExternalData_15[[#Headers],[24]])</f>
        <v>0</v>
      </c>
      <c r="AC87" s="10">
        <f>SUMIFS(IsQList,IsIList,Table_ExternalData_15[[#This Row],[item_key]],IsITypeList,Table_ExternalData_15[[#This Row],[IType]],IsDList,Table_ExternalData_15[[#Headers],[25]])</f>
        <v>0</v>
      </c>
      <c r="AD87" s="10">
        <f>SUMIFS(IsQList,IsIList,Table_ExternalData_15[[#This Row],[item_key]],IsITypeList,Table_ExternalData_15[[#This Row],[IType]],IsDList,Table_ExternalData_15[[#Headers],[26]])</f>
        <v>0</v>
      </c>
      <c r="AE87" s="10">
        <f>SUMIFS(IsQList,IsIList,Table_ExternalData_15[[#This Row],[item_key]],IsITypeList,Table_ExternalData_15[[#This Row],[IType]],IsDList,Table_ExternalData_15[[#Headers],[27]])</f>
        <v>0</v>
      </c>
      <c r="AF87" s="10">
        <f>SUMIFS(IsQList,IsIList,Table_ExternalData_15[[#This Row],[item_key]],IsITypeList,Table_ExternalData_15[[#This Row],[IType]],IsDList,Table_ExternalData_15[[#Headers],[28]])</f>
        <v>0</v>
      </c>
      <c r="AG87" s="10">
        <f>SUMIFS(IsQList,IsIList,Table_ExternalData_15[[#This Row],[item_key]],IsITypeList,Table_ExternalData_15[[#This Row],[IType]],IsDList,Table_ExternalData_15[[#Headers],[29]])</f>
        <v>0</v>
      </c>
      <c r="AH87" s="10">
        <f>SUMIFS(IsQList,IsIList,Table_ExternalData_15[[#This Row],[item_key]],IsITypeList,Table_ExternalData_15[[#This Row],[IType]],IsDList,Table_ExternalData_15[[#Headers],[30]])</f>
        <v>50</v>
      </c>
      <c r="AI87" s="10">
        <f>SUMIFS(IsQList,IsIList,Table_ExternalData_15[[#This Row],[item_key]],IsITypeList,Table_ExternalData_15[[#This Row],[IType]],IsDList,Table_ExternalData_15[[#Headers],[31]])</f>
        <v>0</v>
      </c>
      <c r="AJ87" s="10">
        <f>SUM(Table_ExternalData_15[[#This Row],[1]:[31]])</f>
        <v>60</v>
      </c>
    </row>
    <row r="88" spans="1:36">
      <c r="A88" s="1" t="s">
        <v>427</v>
      </c>
      <c r="B88" s="1" t="s">
        <v>1273</v>
      </c>
      <c r="C88" s="1" t="s">
        <v>1274</v>
      </c>
      <c r="D88" s="11" t="s">
        <v>72</v>
      </c>
      <c r="E88" s="10">
        <f>SUMIFS(IsQList,IsIList,Table_ExternalData_15[[#This Row],[item_key]],IsITypeList,Table_ExternalData_15[[#This Row],[IType]],IsDList,Table_ExternalData_15[[#Headers],[1]])</f>
        <v>0</v>
      </c>
      <c r="F88" s="10">
        <f>SUMIFS(IsQList,IsIList,Table_ExternalData_15[[#This Row],[item_key]],IsITypeList,Table_ExternalData_15[[#This Row],[IType]],IsDList,Table_ExternalData_15[[#Headers],[2]])</f>
        <v>0</v>
      </c>
      <c r="G88" s="10">
        <f>SUMIFS(IsQList,IsIList,Table_ExternalData_15[[#This Row],[item_key]],IsITypeList,Table_ExternalData_15[[#This Row],[IType]],IsDList,Table_ExternalData_15[[#Headers],[3]])</f>
        <v>0</v>
      </c>
      <c r="H88" s="10">
        <f>SUMIFS(IsQList,IsIList,Table_ExternalData_15[[#This Row],[item_key]],IsITypeList,Table_ExternalData_15[[#This Row],[IType]],IsDList,Table_ExternalData_15[[#Headers],[4]])</f>
        <v>0</v>
      </c>
      <c r="I88" s="10">
        <f>SUMIFS(IsQList,IsIList,Table_ExternalData_15[[#This Row],[item_key]],IsITypeList,Table_ExternalData_15[[#This Row],[IType]],IsDList,Table_ExternalData_15[[#Headers],[5]])</f>
        <v>0</v>
      </c>
      <c r="J88" s="10">
        <f>SUMIFS(IsQList,IsIList,Table_ExternalData_15[[#This Row],[item_key]],IsITypeList,Table_ExternalData_15[[#This Row],[IType]],IsDList,Table_ExternalData_15[[#Headers],[6]])</f>
        <v>0</v>
      </c>
      <c r="K88" s="10">
        <f>SUMIFS(IsQList,IsIList,Table_ExternalData_15[[#This Row],[item_key]],IsITypeList,Table_ExternalData_15[[#This Row],[IType]],IsDList,Table_ExternalData_15[[#Headers],[7]])</f>
        <v>0</v>
      </c>
      <c r="L88" s="10">
        <f>SUMIFS(IsQList,IsIList,Table_ExternalData_15[[#This Row],[item_key]],IsITypeList,Table_ExternalData_15[[#This Row],[IType]],IsDList,Table_ExternalData_15[[#Headers],[8]])</f>
        <v>0</v>
      </c>
      <c r="M88" s="10">
        <f>SUMIFS(IsQList,IsIList,Table_ExternalData_15[[#This Row],[item_key]],IsITypeList,Table_ExternalData_15[[#This Row],[IType]],IsDList,Table_ExternalData_15[[#Headers],[9]])</f>
        <v>0</v>
      </c>
      <c r="N88" s="10">
        <f>SUMIFS(IsQList,IsIList,Table_ExternalData_15[[#This Row],[item_key]],IsITypeList,Table_ExternalData_15[[#This Row],[IType]],IsDList,Table_ExternalData_15[[#Headers],[10]])</f>
        <v>0</v>
      </c>
      <c r="O88" s="10">
        <f>SUMIFS(IsQList,IsIList,Table_ExternalData_15[[#This Row],[item_key]],IsITypeList,Table_ExternalData_15[[#This Row],[IType]],IsDList,Table_ExternalData_15[[#Headers],[11]])</f>
        <v>0</v>
      </c>
      <c r="P88" s="10">
        <f>SUMIFS(IsQList,IsIList,Table_ExternalData_15[[#This Row],[item_key]],IsITypeList,Table_ExternalData_15[[#This Row],[IType]],IsDList,Table_ExternalData_15[[#Headers],[12]])</f>
        <v>0</v>
      </c>
      <c r="Q88" s="10">
        <f>SUMIFS(IsQList,IsIList,Table_ExternalData_15[[#This Row],[item_key]],IsITypeList,Table_ExternalData_15[[#This Row],[IType]],IsDList,Table_ExternalData_15[[#Headers],[13]])</f>
        <v>0</v>
      </c>
      <c r="R88" s="10">
        <f>SUMIFS(IsQList,IsIList,Table_ExternalData_15[[#This Row],[item_key]],IsITypeList,Table_ExternalData_15[[#This Row],[IType]],IsDList,Table_ExternalData_15[[#Headers],[14]])</f>
        <v>0</v>
      </c>
      <c r="S88" s="10">
        <f>SUMIFS(IsQList,IsIList,Table_ExternalData_15[[#This Row],[item_key]],IsITypeList,Table_ExternalData_15[[#This Row],[IType]],IsDList,Table_ExternalData_15[[#Headers],[15]])</f>
        <v>0</v>
      </c>
      <c r="T88" s="10">
        <f>SUMIFS(IsQList,IsIList,Table_ExternalData_15[[#This Row],[item_key]],IsITypeList,Table_ExternalData_15[[#This Row],[IType]],IsDList,Table_ExternalData_15[[#Headers],[16]])</f>
        <v>0</v>
      </c>
      <c r="U88" s="10">
        <f>SUMIFS(IsQList,IsIList,Table_ExternalData_15[[#This Row],[item_key]],IsITypeList,Table_ExternalData_15[[#This Row],[IType]],IsDList,Table_ExternalData_15[[#Headers],[17]])</f>
        <v>0</v>
      </c>
      <c r="V88" s="10">
        <f>SUMIFS(IsQList,IsIList,Table_ExternalData_15[[#This Row],[item_key]],IsITypeList,Table_ExternalData_15[[#This Row],[IType]],IsDList,Table_ExternalData_15[[#Headers],[18]])</f>
        <v>0</v>
      </c>
      <c r="W88" s="10">
        <f>SUMIFS(IsQList,IsIList,Table_ExternalData_15[[#This Row],[item_key]],IsITypeList,Table_ExternalData_15[[#This Row],[IType]],IsDList,Table_ExternalData_15[[#Headers],[19]])</f>
        <v>0</v>
      </c>
      <c r="X88" s="10">
        <f>SUMIFS(IsQList,IsIList,Table_ExternalData_15[[#This Row],[item_key]],IsITypeList,Table_ExternalData_15[[#This Row],[IType]],IsDList,Table_ExternalData_15[[#Headers],[20]])</f>
        <v>0</v>
      </c>
      <c r="Y88" s="10">
        <f>SUMIFS(IsQList,IsIList,Table_ExternalData_15[[#This Row],[item_key]],IsITypeList,Table_ExternalData_15[[#This Row],[IType]],IsDList,Table_ExternalData_15[[#Headers],[21]])</f>
        <v>0</v>
      </c>
      <c r="Z88" s="10">
        <f>SUMIFS(IsQList,IsIList,Table_ExternalData_15[[#This Row],[item_key]],IsITypeList,Table_ExternalData_15[[#This Row],[IType]],IsDList,Table_ExternalData_15[[#Headers],[22]])</f>
        <v>0</v>
      </c>
      <c r="AA88" s="10">
        <f>SUMIFS(IsQList,IsIList,Table_ExternalData_15[[#This Row],[item_key]],IsITypeList,Table_ExternalData_15[[#This Row],[IType]],IsDList,Table_ExternalData_15[[#Headers],[23]])</f>
        <v>0</v>
      </c>
      <c r="AB88" s="10">
        <f>SUMIFS(IsQList,IsIList,Table_ExternalData_15[[#This Row],[item_key]],IsITypeList,Table_ExternalData_15[[#This Row],[IType]],IsDList,Table_ExternalData_15[[#Headers],[24]])</f>
        <v>0</v>
      </c>
      <c r="AC88" s="10">
        <f>SUMIFS(IsQList,IsIList,Table_ExternalData_15[[#This Row],[item_key]],IsITypeList,Table_ExternalData_15[[#This Row],[IType]],IsDList,Table_ExternalData_15[[#Headers],[25]])</f>
        <v>0</v>
      </c>
      <c r="AD88" s="10">
        <f>SUMIFS(IsQList,IsIList,Table_ExternalData_15[[#This Row],[item_key]],IsITypeList,Table_ExternalData_15[[#This Row],[IType]],IsDList,Table_ExternalData_15[[#Headers],[26]])</f>
        <v>0</v>
      </c>
      <c r="AE88" s="10">
        <f>SUMIFS(IsQList,IsIList,Table_ExternalData_15[[#This Row],[item_key]],IsITypeList,Table_ExternalData_15[[#This Row],[IType]],IsDList,Table_ExternalData_15[[#Headers],[27]])</f>
        <v>0</v>
      </c>
      <c r="AF88" s="10">
        <f>SUMIFS(IsQList,IsIList,Table_ExternalData_15[[#This Row],[item_key]],IsITypeList,Table_ExternalData_15[[#This Row],[IType]],IsDList,Table_ExternalData_15[[#Headers],[28]])</f>
        <v>0</v>
      </c>
      <c r="AG88" s="10">
        <f>SUMIFS(IsQList,IsIList,Table_ExternalData_15[[#This Row],[item_key]],IsITypeList,Table_ExternalData_15[[#This Row],[IType]],IsDList,Table_ExternalData_15[[#Headers],[29]])</f>
        <v>0</v>
      </c>
      <c r="AH88" s="10">
        <f>SUMIFS(IsQList,IsIList,Table_ExternalData_15[[#This Row],[item_key]],IsITypeList,Table_ExternalData_15[[#This Row],[IType]],IsDList,Table_ExternalData_15[[#Headers],[30]])</f>
        <v>0</v>
      </c>
      <c r="AI88" s="10">
        <f>SUMIFS(IsQList,IsIList,Table_ExternalData_15[[#This Row],[item_key]],IsITypeList,Table_ExternalData_15[[#This Row],[IType]],IsDList,Table_ExternalData_15[[#Headers],[31]])</f>
        <v>0</v>
      </c>
      <c r="AJ88" s="10">
        <f>SUM(Table_ExternalData_15[[#This Row],[1]:[31]])</f>
        <v>0</v>
      </c>
    </row>
    <row r="89" spans="1:36">
      <c r="A89" s="1" t="s">
        <v>1719</v>
      </c>
      <c r="B89" s="1" t="s">
        <v>2526</v>
      </c>
      <c r="C89" s="1" t="s">
        <v>2527</v>
      </c>
      <c r="D89" s="11" t="s">
        <v>72</v>
      </c>
      <c r="E89" s="10">
        <f>SUMIFS(IsQList,IsIList,Table_ExternalData_15[[#This Row],[item_key]],IsITypeList,Table_ExternalData_15[[#This Row],[IType]],IsDList,Table_ExternalData_15[[#Headers],[1]])</f>
        <v>0</v>
      </c>
      <c r="F89" s="10">
        <f>SUMIFS(IsQList,IsIList,Table_ExternalData_15[[#This Row],[item_key]],IsITypeList,Table_ExternalData_15[[#This Row],[IType]],IsDList,Table_ExternalData_15[[#Headers],[2]])</f>
        <v>0</v>
      </c>
      <c r="G89" s="10">
        <f>SUMIFS(IsQList,IsIList,Table_ExternalData_15[[#This Row],[item_key]],IsITypeList,Table_ExternalData_15[[#This Row],[IType]],IsDList,Table_ExternalData_15[[#Headers],[3]])</f>
        <v>0</v>
      </c>
      <c r="H89" s="10">
        <f>SUMIFS(IsQList,IsIList,Table_ExternalData_15[[#This Row],[item_key]],IsITypeList,Table_ExternalData_15[[#This Row],[IType]],IsDList,Table_ExternalData_15[[#Headers],[4]])</f>
        <v>0</v>
      </c>
      <c r="I89" s="10">
        <f>SUMIFS(IsQList,IsIList,Table_ExternalData_15[[#This Row],[item_key]],IsITypeList,Table_ExternalData_15[[#This Row],[IType]],IsDList,Table_ExternalData_15[[#Headers],[5]])</f>
        <v>0</v>
      </c>
      <c r="J89" s="10">
        <f>SUMIFS(IsQList,IsIList,Table_ExternalData_15[[#This Row],[item_key]],IsITypeList,Table_ExternalData_15[[#This Row],[IType]],IsDList,Table_ExternalData_15[[#Headers],[6]])</f>
        <v>0</v>
      </c>
      <c r="K89" s="10">
        <f>SUMIFS(IsQList,IsIList,Table_ExternalData_15[[#This Row],[item_key]],IsITypeList,Table_ExternalData_15[[#This Row],[IType]],IsDList,Table_ExternalData_15[[#Headers],[7]])</f>
        <v>0</v>
      </c>
      <c r="L89" s="10">
        <f>SUMIFS(IsQList,IsIList,Table_ExternalData_15[[#This Row],[item_key]],IsITypeList,Table_ExternalData_15[[#This Row],[IType]],IsDList,Table_ExternalData_15[[#Headers],[8]])</f>
        <v>0</v>
      </c>
      <c r="M89" s="10">
        <f>SUMIFS(IsQList,IsIList,Table_ExternalData_15[[#This Row],[item_key]],IsITypeList,Table_ExternalData_15[[#This Row],[IType]],IsDList,Table_ExternalData_15[[#Headers],[9]])</f>
        <v>0</v>
      </c>
      <c r="N89" s="10">
        <f>SUMIFS(IsQList,IsIList,Table_ExternalData_15[[#This Row],[item_key]],IsITypeList,Table_ExternalData_15[[#This Row],[IType]],IsDList,Table_ExternalData_15[[#Headers],[10]])</f>
        <v>0</v>
      </c>
      <c r="O89" s="10">
        <f>SUMIFS(IsQList,IsIList,Table_ExternalData_15[[#This Row],[item_key]],IsITypeList,Table_ExternalData_15[[#This Row],[IType]],IsDList,Table_ExternalData_15[[#Headers],[11]])</f>
        <v>0</v>
      </c>
      <c r="P89" s="10">
        <f>SUMIFS(IsQList,IsIList,Table_ExternalData_15[[#This Row],[item_key]],IsITypeList,Table_ExternalData_15[[#This Row],[IType]],IsDList,Table_ExternalData_15[[#Headers],[12]])</f>
        <v>0</v>
      </c>
      <c r="Q89" s="10">
        <f>SUMIFS(IsQList,IsIList,Table_ExternalData_15[[#This Row],[item_key]],IsITypeList,Table_ExternalData_15[[#This Row],[IType]],IsDList,Table_ExternalData_15[[#Headers],[13]])</f>
        <v>0</v>
      </c>
      <c r="R89" s="10">
        <f>SUMIFS(IsQList,IsIList,Table_ExternalData_15[[#This Row],[item_key]],IsITypeList,Table_ExternalData_15[[#This Row],[IType]],IsDList,Table_ExternalData_15[[#Headers],[14]])</f>
        <v>0</v>
      </c>
      <c r="S89" s="10">
        <f>SUMIFS(IsQList,IsIList,Table_ExternalData_15[[#This Row],[item_key]],IsITypeList,Table_ExternalData_15[[#This Row],[IType]],IsDList,Table_ExternalData_15[[#Headers],[15]])</f>
        <v>0</v>
      </c>
      <c r="T89" s="10">
        <f>SUMIFS(IsQList,IsIList,Table_ExternalData_15[[#This Row],[item_key]],IsITypeList,Table_ExternalData_15[[#This Row],[IType]],IsDList,Table_ExternalData_15[[#Headers],[16]])</f>
        <v>7</v>
      </c>
      <c r="U89" s="10">
        <f>SUMIFS(IsQList,IsIList,Table_ExternalData_15[[#This Row],[item_key]],IsITypeList,Table_ExternalData_15[[#This Row],[IType]],IsDList,Table_ExternalData_15[[#Headers],[17]])</f>
        <v>0</v>
      </c>
      <c r="V89" s="10">
        <f>SUMIFS(IsQList,IsIList,Table_ExternalData_15[[#This Row],[item_key]],IsITypeList,Table_ExternalData_15[[#This Row],[IType]],IsDList,Table_ExternalData_15[[#Headers],[18]])</f>
        <v>0</v>
      </c>
      <c r="W89" s="10">
        <f>SUMIFS(IsQList,IsIList,Table_ExternalData_15[[#This Row],[item_key]],IsITypeList,Table_ExternalData_15[[#This Row],[IType]],IsDList,Table_ExternalData_15[[#Headers],[19]])</f>
        <v>0</v>
      </c>
      <c r="X89" s="10">
        <f>SUMIFS(IsQList,IsIList,Table_ExternalData_15[[#This Row],[item_key]],IsITypeList,Table_ExternalData_15[[#This Row],[IType]],IsDList,Table_ExternalData_15[[#Headers],[20]])</f>
        <v>0</v>
      </c>
      <c r="Y89" s="10">
        <f>SUMIFS(IsQList,IsIList,Table_ExternalData_15[[#This Row],[item_key]],IsITypeList,Table_ExternalData_15[[#This Row],[IType]],IsDList,Table_ExternalData_15[[#Headers],[21]])</f>
        <v>0</v>
      </c>
      <c r="Z89" s="10">
        <f>SUMIFS(IsQList,IsIList,Table_ExternalData_15[[#This Row],[item_key]],IsITypeList,Table_ExternalData_15[[#This Row],[IType]],IsDList,Table_ExternalData_15[[#Headers],[22]])</f>
        <v>0</v>
      </c>
      <c r="AA89" s="10">
        <f>SUMIFS(IsQList,IsIList,Table_ExternalData_15[[#This Row],[item_key]],IsITypeList,Table_ExternalData_15[[#This Row],[IType]],IsDList,Table_ExternalData_15[[#Headers],[23]])</f>
        <v>0</v>
      </c>
      <c r="AB89" s="10">
        <f>SUMIFS(IsQList,IsIList,Table_ExternalData_15[[#This Row],[item_key]],IsITypeList,Table_ExternalData_15[[#This Row],[IType]],IsDList,Table_ExternalData_15[[#Headers],[24]])</f>
        <v>0</v>
      </c>
      <c r="AC89" s="10">
        <f>SUMIFS(IsQList,IsIList,Table_ExternalData_15[[#This Row],[item_key]],IsITypeList,Table_ExternalData_15[[#This Row],[IType]],IsDList,Table_ExternalData_15[[#Headers],[25]])</f>
        <v>0</v>
      </c>
      <c r="AD89" s="10">
        <f>SUMIFS(IsQList,IsIList,Table_ExternalData_15[[#This Row],[item_key]],IsITypeList,Table_ExternalData_15[[#This Row],[IType]],IsDList,Table_ExternalData_15[[#Headers],[26]])</f>
        <v>0</v>
      </c>
      <c r="AE89" s="10">
        <f>SUMIFS(IsQList,IsIList,Table_ExternalData_15[[#This Row],[item_key]],IsITypeList,Table_ExternalData_15[[#This Row],[IType]],IsDList,Table_ExternalData_15[[#Headers],[27]])</f>
        <v>0</v>
      </c>
      <c r="AF89" s="10">
        <f>SUMIFS(IsQList,IsIList,Table_ExternalData_15[[#This Row],[item_key]],IsITypeList,Table_ExternalData_15[[#This Row],[IType]],IsDList,Table_ExternalData_15[[#Headers],[28]])</f>
        <v>0</v>
      </c>
      <c r="AG89" s="10">
        <f>SUMIFS(IsQList,IsIList,Table_ExternalData_15[[#This Row],[item_key]],IsITypeList,Table_ExternalData_15[[#This Row],[IType]],IsDList,Table_ExternalData_15[[#Headers],[29]])</f>
        <v>0</v>
      </c>
      <c r="AH89" s="10">
        <f>SUMIFS(IsQList,IsIList,Table_ExternalData_15[[#This Row],[item_key]],IsITypeList,Table_ExternalData_15[[#This Row],[IType]],IsDList,Table_ExternalData_15[[#Headers],[30]])</f>
        <v>0</v>
      </c>
      <c r="AI89" s="10">
        <f>SUMIFS(IsQList,IsIList,Table_ExternalData_15[[#This Row],[item_key]],IsITypeList,Table_ExternalData_15[[#This Row],[IType]],IsDList,Table_ExternalData_15[[#Headers],[31]])</f>
        <v>0</v>
      </c>
      <c r="AJ89" s="10">
        <f>SUM(Table_ExternalData_15[[#This Row],[1]:[31]])</f>
        <v>7</v>
      </c>
    </row>
    <row r="90" spans="1:36">
      <c r="A90" s="1" t="s">
        <v>431</v>
      </c>
      <c r="B90" s="1" t="s">
        <v>2528</v>
      </c>
      <c r="C90" s="1" t="s">
        <v>1402</v>
      </c>
      <c r="D90" s="11" t="s">
        <v>72</v>
      </c>
      <c r="E90" s="10">
        <f>SUMIFS(IsQList,IsIList,Table_ExternalData_15[[#This Row],[item_key]],IsITypeList,Table_ExternalData_15[[#This Row],[IType]],IsDList,Table_ExternalData_15[[#Headers],[1]])</f>
        <v>0</v>
      </c>
      <c r="F90" s="10">
        <f>SUMIFS(IsQList,IsIList,Table_ExternalData_15[[#This Row],[item_key]],IsITypeList,Table_ExternalData_15[[#This Row],[IType]],IsDList,Table_ExternalData_15[[#Headers],[2]])</f>
        <v>0</v>
      </c>
      <c r="G90" s="10">
        <f>SUMIFS(IsQList,IsIList,Table_ExternalData_15[[#This Row],[item_key]],IsITypeList,Table_ExternalData_15[[#This Row],[IType]],IsDList,Table_ExternalData_15[[#Headers],[3]])</f>
        <v>0</v>
      </c>
      <c r="H90" s="10">
        <f>SUMIFS(IsQList,IsIList,Table_ExternalData_15[[#This Row],[item_key]],IsITypeList,Table_ExternalData_15[[#This Row],[IType]],IsDList,Table_ExternalData_15[[#Headers],[4]])</f>
        <v>0</v>
      </c>
      <c r="I90" s="10">
        <f>SUMIFS(IsQList,IsIList,Table_ExternalData_15[[#This Row],[item_key]],IsITypeList,Table_ExternalData_15[[#This Row],[IType]],IsDList,Table_ExternalData_15[[#Headers],[5]])</f>
        <v>0</v>
      </c>
      <c r="J90" s="10">
        <f>SUMIFS(IsQList,IsIList,Table_ExternalData_15[[#This Row],[item_key]],IsITypeList,Table_ExternalData_15[[#This Row],[IType]],IsDList,Table_ExternalData_15[[#Headers],[6]])</f>
        <v>10</v>
      </c>
      <c r="K90" s="10">
        <f>SUMIFS(IsQList,IsIList,Table_ExternalData_15[[#This Row],[item_key]],IsITypeList,Table_ExternalData_15[[#This Row],[IType]],IsDList,Table_ExternalData_15[[#Headers],[7]])</f>
        <v>0</v>
      </c>
      <c r="L90" s="10">
        <f>SUMIFS(IsQList,IsIList,Table_ExternalData_15[[#This Row],[item_key]],IsITypeList,Table_ExternalData_15[[#This Row],[IType]],IsDList,Table_ExternalData_15[[#Headers],[8]])</f>
        <v>0</v>
      </c>
      <c r="M90" s="10">
        <f>SUMIFS(IsQList,IsIList,Table_ExternalData_15[[#This Row],[item_key]],IsITypeList,Table_ExternalData_15[[#This Row],[IType]],IsDList,Table_ExternalData_15[[#Headers],[9]])</f>
        <v>0</v>
      </c>
      <c r="N90" s="10">
        <f>SUMIFS(IsQList,IsIList,Table_ExternalData_15[[#This Row],[item_key]],IsITypeList,Table_ExternalData_15[[#This Row],[IType]],IsDList,Table_ExternalData_15[[#Headers],[10]])</f>
        <v>0</v>
      </c>
      <c r="O90" s="10">
        <f>SUMIFS(IsQList,IsIList,Table_ExternalData_15[[#This Row],[item_key]],IsITypeList,Table_ExternalData_15[[#This Row],[IType]],IsDList,Table_ExternalData_15[[#Headers],[11]])</f>
        <v>0</v>
      </c>
      <c r="P90" s="10">
        <f>SUMIFS(IsQList,IsIList,Table_ExternalData_15[[#This Row],[item_key]],IsITypeList,Table_ExternalData_15[[#This Row],[IType]],IsDList,Table_ExternalData_15[[#Headers],[12]])</f>
        <v>0</v>
      </c>
      <c r="Q90" s="10">
        <f>SUMIFS(IsQList,IsIList,Table_ExternalData_15[[#This Row],[item_key]],IsITypeList,Table_ExternalData_15[[#This Row],[IType]],IsDList,Table_ExternalData_15[[#Headers],[13]])</f>
        <v>0</v>
      </c>
      <c r="R90" s="10">
        <f>SUMIFS(IsQList,IsIList,Table_ExternalData_15[[#This Row],[item_key]],IsITypeList,Table_ExternalData_15[[#This Row],[IType]],IsDList,Table_ExternalData_15[[#Headers],[14]])</f>
        <v>0</v>
      </c>
      <c r="S90" s="10">
        <f>SUMIFS(IsQList,IsIList,Table_ExternalData_15[[#This Row],[item_key]],IsITypeList,Table_ExternalData_15[[#This Row],[IType]],IsDList,Table_ExternalData_15[[#Headers],[15]])</f>
        <v>0</v>
      </c>
      <c r="T90" s="10">
        <f>SUMIFS(IsQList,IsIList,Table_ExternalData_15[[#This Row],[item_key]],IsITypeList,Table_ExternalData_15[[#This Row],[IType]],IsDList,Table_ExternalData_15[[#Headers],[16]])</f>
        <v>0</v>
      </c>
      <c r="U90" s="10">
        <f>SUMIFS(IsQList,IsIList,Table_ExternalData_15[[#This Row],[item_key]],IsITypeList,Table_ExternalData_15[[#This Row],[IType]],IsDList,Table_ExternalData_15[[#Headers],[17]])</f>
        <v>0</v>
      </c>
      <c r="V90" s="10">
        <f>SUMIFS(IsQList,IsIList,Table_ExternalData_15[[#This Row],[item_key]],IsITypeList,Table_ExternalData_15[[#This Row],[IType]],IsDList,Table_ExternalData_15[[#Headers],[18]])</f>
        <v>0</v>
      </c>
      <c r="W90" s="10">
        <f>SUMIFS(IsQList,IsIList,Table_ExternalData_15[[#This Row],[item_key]],IsITypeList,Table_ExternalData_15[[#This Row],[IType]],IsDList,Table_ExternalData_15[[#Headers],[19]])</f>
        <v>0</v>
      </c>
      <c r="X90" s="10">
        <f>SUMIFS(IsQList,IsIList,Table_ExternalData_15[[#This Row],[item_key]],IsITypeList,Table_ExternalData_15[[#This Row],[IType]],IsDList,Table_ExternalData_15[[#Headers],[20]])</f>
        <v>0</v>
      </c>
      <c r="Y90" s="10">
        <f>SUMIFS(IsQList,IsIList,Table_ExternalData_15[[#This Row],[item_key]],IsITypeList,Table_ExternalData_15[[#This Row],[IType]],IsDList,Table_ExternalData_15[[#Headers],[21]])</f>
        <v>0</v>
      </c>
      <c r="Z90" s="10">
        <f>SUMIFS(IsQList,IsIList,Table_ExternalData_15[[#This Row],[item_key]],IsITypeList,Table_ExternalData_15[[#This Row],[IType]],IsDList,Table_ExternalData_15[[#Headers],[22]])</f>
        <v>0</v>
      </c>
      <c r="AA90" s="10">
        <f>SUMIFS(IsQList,IsIList,Table_ExternalData_15[[#This Row],[item_key]],IsITypeList,Table_ExternalData_15[[#This Row],[IType]],IsDList,Table_ExternalData_15[[#Headers],[23]])</f>
        <v>0</v>
      </c>
      <c r="AB90" s="10">
        <f>SUMIFS(IsQList,IsIList,Table_ExternalData_15[[#This Row],[item_key]],IsITypeList,Table_ExternalData_15[[#This Row],[IType]],IsDList,Table_ExternalData_15[[#Headers],[24]])</f>
        <v>0</v>
      </c>
      <c r="AC90" s="10">
        <f>SUMIFS(IsQList,IsIList,Table_ExternalData_15[[#This Row],[item_key]],IsITypeList,Table_ExternalData_15[[#This Row],[IType]],IsDList,Table_ExternalData_15[[#Headers],[25]])</f>
        <v>0</v>
      </c>
      <c r="AD90" s="10">
        <f>SUMIFS(IsQList,IsIList,Table_ExternalData_15[[#This Row],[item_key]],IsITypeList,Table_ExternalData_15[[#This Row],[IType]],IsDList,Table_ExternalData_15[[#Headers],[26]])</f>
        <v>0</v>
      </c>
      <c r="AE90" s="10">
        <f>SUMIFS(IsQList,IsIList,Table_ExternalData_15[[#This Row],[item_key]],IsITypeList,Table_ExternalData_15[[#This Row],[IType]],IsDList,Table_ExternalData_15[[#Headers],[27]])</f>
        <v>0</v>
      </c>
      <c r="AF90" s="10">
        <f>SUMIFS(IsQList,IsIList,Table_ExternalData_15[[#This Row],[item_key]],IsITypeList,Table_ExternalData_15[[#This Row],[IType]],IsDList,Table_ExternalData_15[[#Headers],[28]])</f>
        <v>0</v>
      </c>
      <c r="AG90" s="10">
        <f>SUMIFS(IsQList,IsIList,Table_ExternalData_15[[#This Row],[item_key]],IsITypeList,Table_ExternalData_15[[#This Row],[IType]],IsDList,Table_ExternalData_15[[#Headers],[29]])</f>
        <v>0</v>
      </c>
      <c r="AH90" s="10">
        <f>SUMIFS(IsQList,IsIList,Table_ExternalData_15[[#This Row],[item_key]],IsITypeList,Table_ExternalData_15[[#This Row],[IType]],IsDList,Table_ExternalData_15[[#Headers],[30]])</f>
        <v>91</v>
      </c>
      <c r="AI90" s="10">
        <f>SUMIFS(IsQList,IsIList,Table_ExternalData_15[[#This Row],[item_key]],IsITypeList,Table_ExternalData_15[[#This Row],[IType]],IsDList,Table_ExternalData_15[[#Headers],[31]])</f>
        <v>0</v>
      </c>
      <c r="AJ90" s="10">
        <f>SUM(Table_ExternalData_15[[#This Row],[1]:[31]])</f>
        <v>101</v>
      </c>
    </row>
    <row r="91" spans="1:36">
      <c r="A91" s="1" t="s">
        <v>432</v>
      </c>
      <c r="B91" s="1" t="s">
        <v>2529</v>
      </c>
      <c r="C91" s="1" t="s">
        <v>2530</v>
      </c>
      <c r="D91" s="11" t="s">
        <v>72</v>
      </c>
      <c r="E91" s="10">
        <f>SUMIFS(IsQList,IsIList,Table_ExternalData_15[[#This Row],[item_key]],IsITypeList,Table_ExternalData_15[[#This Row],[IType]],IsDList,Table_ExternalData_15[[#Headers],[1]])</f>
        <v>0</v>
      </c>
      <c r="F91" s="10">
        <f>SUMIFS(IsQList,IsIList,Table_ExternalData_15[[#This Row],[item_key]],IsITypeList,Table_ExternalData_15[[#This Row],[IType]],IsDList,Table_ExternalData_15[[#Headers],[2]])</f>
        <v>0</v>
      </c>
      <c r="G91" s="10">
        <f>SUMIFS(IsQList,IsIList,Table_ExternalData_15[[#This Row],[item_key]],IsITypeList,Table_ExternalData_15[[#This Row],[IType]],IsDList,Table_ExternalData_15[[#Headers],[3]])</f>
        <v>0</v>
      </c>
      <c r="H91" s="10">
        <f>SUMIFS(IsQList,IsIList,Table_ExternalData_15[[#This Row],[item_key]],IsITypeList,Table_ExternalData_15[[#This Row],[IType]],IsDList,Table_ExternalData_15[[#Headers],[4]])</f>
        <v>0</v>
      </c>
      <c r="I91" s="10">
        <f>SUMIFS(IsQList,IsIList,Table_ExternalData_15[[#This Row],[item_key]],IsITypeList,Table_ExternalData_15[[#This Row],[IType]],IsDList,Table_ExternalData_15[[#Headers],[5]])</f>
        <v>0</v>
      </c>
      <c r="J91" s="10">
        <f>SUMIFS(IsQList,IsIList,Table_ExternalData_15[[#This Row],[item_key]],IsITypeList,Table_ExternalData_15[[#This Row],[IType]],IsDList,Table_ExternalData_15[[#Headers],[6]])</f>
        <v>8</v>
      </c>
      <c r="K91" s="10">
        <f>SUMIFS(IsQList,IsIList,Table_ExternalData_15[[#This Row],[item_key]],IsITypeList,Table_ExternalData_15[[#This Row],[IType]],IsDList,Table_ExternalData_15[[#Headers],[7]])</f>
        <v>0</v>
      </c>
      <c r="L91" s="10">
        <f>SUMIFS(IsQList,IsIList,Table_ExternalData_15[[#This Row],[item_key]],IsITypeList,Table_ExternalData_15[[#This Row],[IType]],IsDList,Table_ExternalData_15[[#Headers],[8]])</f>
        <v>0</v>
      </c>
      <c r="M91" s="10">
        <f>SUMIFS(IsQList,IsIList,Table_ExternalData_15[[#This Row],[item_key]],IsITypeList,Table_ExternalData_15[[#This Row],[IType]],IsDList,Table_ExternalData_15[[#Headers],[9]])</f>
        <v>0</v>
      </c>
      <c r="N91" s="10">
        <f>SUMIFS(IsQList,IsIList,Table_ExternalData_15[[#This Row],[item_key]],IsITypeList,Table_ExternalData_15[[#This Row],[IType]],IsDList,Table_ExternalData_15[[#Headers],[10]])</f>
        <v>2</v>
      </c>
      <c r="O91" s="10">
        <f>SUMIFS(IsQList,IsIList,Table_ExternalData_15[[#This Row],[item_key]],IsITypeList,Table_ExternalData_15[[#This Row],[IType]],IsDList,Table_ExternalData_15[[#Headers],[11]])</f>
        <v>0</v>
      </c>
      <c r="P91" s="10">
        <f>SUMIFS(IsQList,IsIList,Table_ExternalData_15[[#This Row],[item_key]],IsITypeList,Table_ExternalData_15[[#This Row],[IType]],IsDList,Table_ExternalData_15[[#Headers],[12]])</f>
        <v>0</v>
      </c>
      <c r="Q91" s="10">
        <f>SUMIFS(IsQList,IsIList,Table_ExternalData_15[[#This Row],[item_key]],IsITypeList,Table_ExternalData_15[[#This Row],[IType]],IsDList,Table_ExternalData_15[[#Headers],[13]])</f>
        <v>0</v>
      </c>
      <c r="R91" s="10">
        <f>SUMIFS(IsQList,IsIList,Table_ExternalData_15[[#This Row],[item_key]],IsITypeList,Table_ExternalData_15[[#This Row],[IType]],IsDList,Table_ExternalData_15[[#Headers],[14]])</f>
        <v>0</v>
      </c>
      <c r="S91" s="10">
        <f>SUMIFS(IsQList,IsIList,Table_ExternalData_15[[#This Row],[item_key]],IsITypeList,Table_ExternalData_15[[#This Row],[IType]],IsDList,Table_ExternalData_15[[#Headers],[15]])</f>
        <v>0</v>
      </c>
      <c r="T91" s="10">
        <f>SUMIFS(IsQList,IsIList,Table_ExternalData_15[[#This Row],[item_key]],IsITypeList,Table_ExternalData_15[[#This Row],[IType]],IsDList,Table_ExternalData_15[[#Headers],[16]])</f>
        <v>3</v>
      </c>
      <c r="U91" s="10">
        <f>SUMIFS(IsQList,IsIList,Table_ExternalData_15[[#This Row],[item_key]],IsITypeList,Table_ExternalData_15[[#This Row],[IType]],IsDList,Table_ExternalData_15[[#Headers],[17]])</f>
        <v>0</v>
      </c>
      <c r="V91" s="10">
        <f>SUMIFS(IsQList,IsIList,Table_ExternalData_15[[#This Row],[item_key]],IsITypeList,Table_ExternalData_15[[#This Row],[IType]],IsDList,Table_ExternalData_15[[#Headers],[18]])</f>
        <v>0</v>
      </c>
      <c r="W91" s="10">
        <f>SUMIFS(IsQList,IsIList,Table_ExternalData_15[[#This Row],[item_key]],IsITypeList,Table_ExternalData_15[[#This Row],[IType]],IsDList,Table_ExternalData_15[[#Headers],[19]])</f>
        <v>0</v>
      </c>
      <c r="X91" s="10">
        <f>SUMIFS(IsQList,IsIList,Table_ExternalData_15[[#This Row],[item_key]],IsITypeList,Table_ExternalData_15[[#This Row],[IType]],IsDList,Table_ExternalData_15[[#Headers],[20]])</f>
        <v>0</v>
      </c>
      <c r="Y91" s="10">
        <f>SUMIFS(IsQList,IsIList,Table_ExternalData_15[[#This Row],[item_key]],IsITypeList,Table_ExternalData_15[[#This Row],[IType]],IsDList,Table_ExternalData_15[[#Headers],[21]])</f>
        <v>0</v>
      </c>
      <c r="Z91" s="10">
        <f>SUMIFS(IsQList,IsIList,Table_ExternalData_15[[#This Row],[item_key]],IsITypeList,Table_ExternalData_15[[#This Row],[IType]],IsDList,Table_ExternalData_15[[#Headers],[22]])</f>
        <v>0</v>
      </c>
      <c r="AA91" s="10">
        <f>SUMIFS(IsQList,IsIList,Table_ExternalData_15[[#This Row],[item_key]],IsITypeList,Table_ExternalData_15[[#This Row],[IType]],IsDList,Table_ExternalData_15[[#Headers],[23]])</f>
        <v>0</v>
      </c>
      <c r="AB91" s="10">
        <f>SUMIFS(IsQList,IsIList,Table_ExternalData_15[[#This Row],[item_key]],IsITypeList,Table_ExternalData_15[[#This Row],[IType]],IsDList,Table_ExternalData_15[[#Headers],[24]])</f>
        <v>6</v>
      </c>
      <c r="AC91" s="10">
        <f>SUMIFS(IsQList,IsIList,Table_ExternalData_15[[#This Row],[item_key]],IsITypeList,Table_ExternalData_15[[#This Row],[IType]],IsDList,Table_ExternalData_15[[#Headers],[25]])</f>
        <v>0</v>
      </c>
      <c r="AD91" s="10">
        <f>SUMIFS(IsQList,IsIList,Table_ExternalData_15[[#This Row],[item_key]],IsITypeList,Table_ExternalData_15[[#This Row],[IType]],IsDList,Table_ExternalData_15[[#Headers],[26]])</f>
        <v>0</v>
      </c>
      <c r="AE91" s="10">
        <f>SUMIFS(IsQList,IsIList,Table_ExternalData_15[[#This Row],[item_key]],IsITypeList,Table_ExternalData_15[[#This Row],[IType]],IsDList,Table_ExternalData_15[[#Headers],[27]])</f>
        <v>0</v>
      </c>
      <c r="AF91" s="10">
        <f>SUMIFS(IsQList,IsIList,Table_ExternalData_15[[#This Row],[item_key]],IsITypeList,Table_ExternalData_15[[#This Row],[IType]],IsDList,Table_ExternalData_15[[#Headers],[28]])</f>
        <v>0</v>
      </c>
      <c r="AG91" s="10">
        <f>SUMIFS(IsQList,IsIList,Table_ExternalData_15[[#This Row],[item_key]],IsITypeList,Table_ExternalData_15[[#This Row],[IType]],IsDList,Table_ExternalData_15[[#Headers],[29]])</f>
        <v>0</v>
      </c>
      <c r="AH91" s="10">
        <f>SUMIFS(IsQList,IsIList,Table_ExternalData_15[[#This Row],[item_key]],IsITypeList,Table_ExternalData_15[[#This Row],[IType]],IsDList,Table_ExternalData_15[[#Headers],[30]])</f>
        <v>0</v>
      </c>
      <c r="AI91" s="10">
        <f>SUMIFS(IsQList,IsIList,Table_ExternalData_15[[#This Row],[item_key]],IsITypeList,Table_ExternalData_15[[#This Row],[IType]],IsDList,Table_ExternalData_15[[#Headers],[31]])</f>
        <v>0</v>
      </c>
      <c r="AJ91" s="10">
        <f>SUM(Table_ExternalData_15[[#This Row],[1]:[31]])</f>
        <v>19</v>
      </c>
    </row>
    <row r="92" spans="1:36">
      <c r="A92" s="1" t="s">
        <v>433</v>
      </c>
      <c r="B92" s="1" t="s">
        <v>2531</v>
      </c>
      <c r="C92" s="1" t="s">
        <v>2532</v>
      </c>
      <c r="D92" s="11" t="s">
        <v>72</v>
      </c>
      <c r="E92" s="10">
        <f>SUMIFS(IsQList,IsIList,Table_ExternalData_15[[#This Row],[item_key]],IsITypeList,Table_ExternalData_15[[#This Row],[IType]],IsDList,Table_ExternalData_15[[#Headers],[1]])</f>
        <v>0</v>
      </c>
      <c r="F92" s="10">
        <f>SUMIFS(IsQList,IsIList,Table_ExternalData_15[[#This Row],[item_key]],IsITypeList,Table_ExternalData_15[[#This Row],[IType]],IsDList,Table_ExternalData_15[[#Headers],[2]])</f>
        <v>0</v>
      </c>
      <c r="G92" s="10">
        <f>SUMIFS(IsQList,IsIList,Table_ExternalData_15[[#This Row],[item_key]],IsITypeList,Table_ExternalData_15[[#This Row],[IType]],IsDList,Table_ExternalData_15[[#Headers],[3]])</f>
        <v>0</v>
      </c>
      <c r="H92" s="10">
        <f>SUMIFS(IsQList,IsIList,Table_ExternalData_15[[#This Row],[item_key]],IsITypeList,Table_ExternalData_15[[#This Row],[IType]],IsDList,Table_ExternalData_15[[#Headers],[4]])</f>
        <v>0</v>
      </c>
      <c r="I92" s="10">
        <f>SUMIFS(IsQList,IsIList,Table_ExternalData_15[[#This Row],[item_key]],IsITypeList,Table_ExternalData_15[[#This Row],[IType]],IsDList,Table_ExternalData_15[[#Headers],[5]])</f>
        <v>0</v>
      </c>
      <c r="J92" s="10">
        <f>SUMIFS(IsQList,IsIList,Table_ExternalData_15[[#This Row],[item_key]],IsITypeList,Table_ExternalData_15[[#This Row],[IType]],IsDList,Table_ExternalData_15[[#Headers],[6]])</f>
        <v>0</v>
      </c>
      <c r="K92" s="10">
        <f>SUMIFS(IsQList,IsIList,Table_ExternalData_15[[#This Row],[item_key]],IsITypeList,Table_ExternalData_15[[#This Row],[IType]],IsDList,Table_ExternalData_15[[#Headers],[7]])</f>
        <v>0</v>
      </c>
      <c r="L92" s="10">
        <f>SUMIFS(IsQList,IsIList,Table_ExternalData_15[[#This Row],[item_key]],IsITypeList,Table_ExternalData_15[[#This Row],[IType]],IsDList,Table_ExternalData_15[[#Headers],[8]])</f>
        <v>0</v>
      </c>
      <c r="M92" s="10">
        <f>SUMIFS(IsQList,IsIList,Table_ExternalData_15[[#This Row],[item_key]],IsITypeList,Table_ExternalData_15[[#This Row],[IType]],IsDList,Table_ExternalData_15[[#Headers],[9]])</f>
        <v>0</v>
      </c>
      <c r="N92" s="10">
        <f>SUMIFS(IsQList,IsIList,Table_ExternalData_15[[#This Row],[item_key]],IsITypeList,Table_ExternalData_15[[#This Row],[IType]],IsDList,Table_ExternalData_15[[#Headers],[10]])</f>
        <v>0</v>
      </c>
      <c r="O92" s="10">
        <f>SUMIFS(IsQList,IsIList,Table_ExternalData_15[[#This Row],[item_key]],IsITypeList,Table_ExternalData_15[[#This Row],[IType]],IsDList,Table_ExternalData_15[[#Headers],[11]])</f>
        <v>0</v>
      </c>
      <c r="P92" s="10">
        <f>SUMIFS(IsQList,IsIList,Table_ExternalData_15[[#This Row],[item_key]],IsITypeList,Table_ExternalData_15[[#This Row],[IType]],IsDList,Table_ExternalData_15[[#Headers],[12]])</f>
        <v>0</v>
      </c>
      <c r="Q92" s="10">
        <f>SUMIFS(IsQList,IsIList,Table_ExternalData_15[[#This Row],[item_key]],IsITypeList,Table_ExternalData_15[[#This Row],[IType]],IsDList,Table_ExternalData_15[[#Headers],[13]])</f>
        <v>0</v>
      </c>
      <c r="R92" s="10">
        <f>SUMIFS(IsQList,IsIList,Table_ExternalData_15[[#This Row],[item_key]],IsITypeList,Table_ExternalData_15[[#This Row],[IType]],IsDList,Table_ExternalData_15[[#Headers],[14]])</f>
        <v>0</v>
      </c>
      <c r="S92" s="10">
        <f>SUMIFS(IsQList,IsIList,Table_ExternalData_15[[#This Row],[item_key]],IsITypeList,Table_ExternalData_15[[#This Row],[IType]],IsDList,Table_ExternalData_15[[#Headers],[15]])</f>
        <v>0</v>
      </c>
      <c r="T92" s="10">
        <f>SUMIFS(IsQList,IsIList,Table_ExternalData_15[[#This Row],[item_key]],IsITypeList,Table_ExternalData_15[[#This Row],[IType]],IsDList,Table_ExternalData_15[[#Headers],[16]])</f>
        <v>0</v>
      </c>
      <c r="U92" s="10">
        <f>SUMIFS(IsQList,IsIList,Table_ExternalData_15[[#This Row],[item_key]],IsITypeList,Table_ExternalData_15[[#This Row],[IType]],IsDList,Table_ExternalData_15[[#Headers],[17]])</f>
        <v>0</v>
      </c>
      <c r="V92" s="10">
        <f>SUMIFS(IsQList,IsIList,Table_ExternalData_15[[#This Row],[item_key]],IsITypeList,Table_ExternalData_15[[#This Row],[IType]],IsDList,Table_ExternalData_15[[#Headers],[18]])</f>
        <v>0</v>
      </c>
      <c r="W92" s="10">
        <f>SUMIFS(IsQList,IsIList,Table_ExternalData_15[[#This Row],[item_key]],IsITypeList,Table_ExternalData_15[[#This Row],[IType]],IsDList,Table_ExternalData_15[[#Headers],[19]])</f>
        <v>0</v>
      </c>
      <c r="X92" s="10">
        <f>SUMIFS(IsQList,IsIList,Table_ExternalData_15[[#This Row],[item_key]],IsITypeList,Table_ExternalData_15[[#This Row],[IType]],IsDList,Table_ExternalData_15[[#Headers],[20]])</f>
        <v>0</v>
      </c>
      <c r="Y92" s="10">
        <f>SUMIFS(IsQList,IsIList,Table_ExternalData_15[[#This Row],[item_key]],IsITypeList,Table_ExternalData_15[[#This Row],[IType]],IsDList,Table_ExternalData_15[[#Headers],[21]])</f>
        <v>0</v>
      </c>
      <c r="Z92" s="10">
        <f>SUMIFS(IsQList,IsIList,Table_ExternalData_15[[#This Row],[item_key]],IsITypeList,Table_ExternalData_15[[#This Row],[IType]],IsDList,Table_ExternalData_15[[#Headers],[22]])</f>
        <v>0</v>
      </c>
      <c r="AA92" s="10">
        <f>SUMIFS(IsQList,IsIList,Table_ExternalData_15[[#This Row],[item_key]],IsITypeList,Table_ExternalData_15[[#This Row],[IType]],IsDList,Table_ExternalData_15[[#Headers],[23]])</f>
        <v>0</v>
      </c>
      <c r="AB92" s="10">
        <f>SUMIFS(IsQList,IsIList,Table_ExternalData_15[[#This Row],[item_key]],IsITypeList,Table_ExternalData_15[[#This Row],[IType]],IsDList,Table_ExternalData_15[[#Headers],[24]])</f>
        <v>0</v>
      </c>
      <c r="AC92" s="10">
        <f>SUMIFS(IsQList,IsIList,Table_ExternalData_15[[#This Row],[item_key]],IsITypeList,Table_ExternalData_15[[#This Row],[IType]],IsDList,Table_ExternalData_15[[#Headers],[25]])</f>
        <v>0</v>
      </c>
      <c r="AD92" s="10">
        <f>SUMIFS(IsQList,IsIList,Table_ExternalData_15[[#This Row],[item_key]],IsITypeList,Table_ExternalData_15[[#This Row],[IType]],IsDList,Table_ExternalData_15[[#Headers],[26]])</f>
        <v>0</v>
      </c>
      <c r="AE92" s="10">
        <f>SUMIFS(IsQList,IsIList,Table_ExternalData_15[[#This Row],[item_key]],IsITypeList,Table_ExternalData_15[[#This Row],[IType]],IsDList,Table_ExternalData_15[[#Headers],[27]])</f>
        <v>0</v>
      </c>
      <c r="AF92" s="10">
        <f>SUMIFS(IsQList,IsIList,Table_ExternalData_15[[#This Row],[item_key]],IsITypeList,Table_ExternalData_15[[#This Row],[IType]],IsDList,Table_ExternalData_15[[#Headers],[28]])</f>
        <v>0</v>
      </c>
      <c r="AG92" s="10">
        <f>SUMIFS(IsQList,IsIList,Table_ExternalData_15[[#This Row],[item_key]],IsITypeList,Table_ExternalData_15[[#This Row],[IType]],IsDList,Table_ExternalData_15[[#Headers],[29]])</f>
        <v>0</v>
      </c>
      <c r="AH92" s="10">
        <f>SUMIFS(IsQList,IsIList,Table_ExternalData_15[[#This Row],[item_key]],IsITypeList,Table_ExternalData_15[[#This Row],[IType]],IsDList,Table_ExternalData_15[[#Headers],[30]])</f>
        <v>0</v>
      </c>
      <c r="AI92" s="10">
        <f>SUMIFS(IsQList,IsIList,Table_ExternalData_15[[#This Row],[item_key]],IsITypeList,Table_ExternalData_15[[#This Row],[IType]],IsDList,Table_ExternalData_15[[#Headers],[31]])</f>
        <v>0</v>
      </c>
      <c r="AJ92" s="10">
        <f>SUM(Table_ExternalData_15[[#This Row],[1]:[31]])</f>
        <v>0</v>
      </c>
    </row>
    <row r="93" spans="1:36">
      <c r="A93" s="1" t="s">
        <v>434</v>
      </c>
      <c r="B93" s="1" t="s">
        <v>2358</v>
      </c>
      <c r="C93" s="1" t="s">
        <v>2359</v>
      </c>
      <c r="D93" s="11" t="s">
        <v>72</v>
      </c>
      <c r="E93" s="10">
        <f>SUMIFS(IsQList,IsIList,Table_ExternalData_15[[#This Row],[item_key]],IsITypeList,Table_ExternalData_15[[#This Row],[IType]],IsDList,Table_ExternalData_15[[#Headers],[1]])</f>
        <v>0</v>
      </c>
      <c r="F93" s="10">
        <f>SUMIFS(IsQList,IsIList,Table_ExternalData_15[[#This Row],[item_key]],IsITypeList,Table_ExternalData_15[[#This Row],[IType]],IsDList,Table_ExternalData_15[[#Headers],[2]])</f>
        <v>0</v>
      </c>
      <c r="G93" s="10">
        <f>SUMIFS(IsQList,IsIList,Table_ExternalData_15[[#This Row],[item_key]],IsITypeList,Table_ExternalData_15[[#This Row],[IType]],IsDList,Table_ExternalData_15[[#Headers],[3]])</f>
        <v>0</v>
      </c>
      <c r="H93" s="10">
        <f>SUMIFS(IsQList,IsIList,Table_ExternalData_15[[#This Row],[item_key]],IsITypeList,Table_ExternalData_15[[#This Row],[IType]],IsDList,Table_ExternalData_15[[#Headers],[4]])</f>
        <v>0</v>
      </c>
      <c r="I93" s="10">
        <f>SUMIFS(IsQList,IsIList,Table_ExternalData_15[[#This Row],[item_key]],IsITypeList,Table_ExternalData_15[[#This Row],[IType]],IsDList,Table_ExternalData_15[[#Headers],[5]])</f>
        <v>0</v>
      </c>
      <c r="J93" s="10">
        <f>SUMIFS(IsQList,IsIList,Table_ExternalData_15[[#This Row],[item_key]],IsITypeList,Table_ExternalData_15[[#This Row],[IType]],IsDList,Table_ExternalData_15[[#Headers],[6]])</f>
        <v>25</v>
      </c>
      <c r="K93" s="10">
        <f>SUMIFS(IsQList,IsIList,Table_ExternalData_15[[#This Row],[item_key]],IsITypeList,Table_ExternalData_15[[#This Row],[IType]],IsDList,Table_ExternalData_15[[#Headers],[7]])</f>
        <v>0</v>
      </c>
      <c r="L93" s="10">
        <f>SUMIFS(IsQList,IsIList,Table_ExternalData_15[[#This Row],[item_key]],IsITypeList,Table_ExternalData_15[[#This Row],[IType]],IsDList,Table_ExternalData_15[[#Headers],[8]])</f>
        <v>0</v>
      </c>
      <c r="M93" s="10">
        <f>SUMIFS(IsQList,IsIList,Table_ExternalData_15[[#This Row],[item_key]],IsITypeList,Table_ExternalData_15[[#This Row],[IType]],IsDList,Table_ExternalData_15[[#Headers],[9]])</f>
        <v>0</v>
      </c>
      <c r="N93" s="10">
        <f>SUMIFS(IsQList,IsIList,Table_ExternalData_15[[#This Row],[item_key]],IsITypeList,Table_ExternalData_15[[#This Row],[IType]],IsDList,Table_ExternalData_15[[#Headers],[10]])</f>
        <v>0</v>
      </c>
      <c r="O93" s="10">
        <f>SUMIFS(IsQList,IsIList,Table_ExternalData_15[[#This Row],[item_key]],IsITypeList,Table_ExternalData_15[[#This Row],[IType]],IsDList,Table_ExternalData_15[[#Headers],[11]])</f>
        <v>0</v>
      </c>
      <c r="P93" s="10">
        <f>SUMIFS(IsQList,IsIList,Table_ExternalData_15[[#This Row],[item_key]],IsITypeList,Table_ExternalData_15[[#This Row],[IType]],IsDList,Table_ExternalData_15[[#Headers],[12]])</f>
        <v>0</v>
      </c>
      <c r="Q93" s="10">
        <f>SUMIFS(IsQList,IsIList,Table_ExternalData_15[[#This Row],[item_key]],IsITypeList,Table_ExternalData_15[[#This Row],[IType]],IsDList,Table_ExternalData_15[[#Headers],[13]])</f>
        <v>0</v>
      </c>
      <c r="R93" s="10">
        <f>SUMIFS(IsQList,IsIList,Table_ExternalData_15[[#This Row],[item_key]],IsITypeList,Table_ExternalData_15[[#This Row],[IType]],IsDList,Table_ExternalData_15[[#Headers],[14]])</f>
        <v>0</v>
      </c>
      <c r="S93" s="10">
        <f>SUMIFS(IsQList,IsIList,Table_ExternalData_15[[#This Row],[item_key]],IsITypeList,Table_ExternalData_15[[#This Row],[IType]],IsDList,Table_ExternalData_15[[#Headers],[15]])</f>
        <v>0</v>
      </c>
      <c r="T93" s="10">
        <f>SUMIFS(IsQList,IsIList,Table_ExternalData_15[[#This Row],[item_key]],IsITypeList,Table_ExternalData_15[[#This Row],[IType]],IsDList,Table_ExternalData_15[[#Headers],[16]])</f>
        <v>100</v>
      </c>
      <c r="U93" s="10">
        <f>SUMIFS(IsQList,IsIList,Table_ExternalData_15[[#This Row],[item_key]],IsITypeList,Table_ExternalData_15[[#This Row],[IType]],IsDList,Table_ExternalData_15[[#Headers],[17]])</f>
        <v>0</v>
      </c>
      <c r="V93" s="10">
        <f>SUMIFS(IsQList,IsIList,Table_ExternalData_15[[#This Row],[item_key]],IsITypeList,Table_ExternalData_15[[#This Row],[IType]],IsDList,Table_ExternalData_15[[#Headers],[18]])</f>
        <v>0</v>
      </c>
      <c r="W93" s="10">
        <f>SUMIFS(IsQList,IsIList,Table_ExternalData_15[[#This Row],[item_key]],IsITypeList,Table_ExternalData_15[[#This Row],[IType]],IsDList,Table_ExternalData_15[[#Headers],[19]])</f>
        <v>0</v>
      </c>
      <c r="X93" s="10">
        <f>SUMIFS(IsQList,IsIList,Table_ExternalData_15[[#This Row],[item_key]],IsITypeList,Table_ExternalData_15[[#This Row],[IType]],IsDList,Table_ExternalData_15[[#Headers],[20]])</f>
        <v>0</v>
      </c>
      <c r="Y93" s="10">
        <f>SUMIFS(IsQList,IsIList,Table_ExternalData_15[[#This Row],[item_key]],IsITypeList,Table_ExternalData_15[[#This Row],[IType]],IsDList,Table_ExternalData_15[[#Headers],[21]])</f>
        <v>0</v>
      </c>
      <c r="Z93" s="10">
        <f>SUMIFS(IsQList,IsIList,Table_ExternalData_15[[#This Row],[item_key]],IsITypeList,Table_ExternalData_15[[#This Row],[IType]],IsDList,Table_ExternalData_15[[#Headers],[22]])</f>
        <v>0</v>
      </c>
      <c r="AA93" s="10">
        <f>SUMIFS(IsQList,IsIList,Table_ExternalData_15[[#This Row],[item_key]],IsITypeList,Table_ExternalData_15[[#This Row],[IType]],IsDList,Table_ExternalData_15[[#Headers],[23]])</f>
        <v>0</v>
      </c>
      <c r="AB93" s="10">
        <f>SUMIFS(IsQList,IsIList,Table_ExternalData_15[[#This Row],[item_key]],IsITypeList,Table_ExternalData_15[[#This Row],[IType]],IsDList,Table_ExternalData_15[[#Headers],[24]])</f>
        <v>0</v>
      </c>
      <c r="AC93" s="10">
        <f>SUMIFS(IsQList,IsIList,Table_ExternalData_15[[#This Row],[item_key]],IsITypeList,Table_ExternalData_15[[#This Row],[IType]],IsDList,Table_ExternalData_15[[#Headers],[25]])</f>
        <v>0</v>
      </c>
      <c r="AD93" s="10">
        <f>SUMIFS(IsQList,IsIList,Table_ExternalData_15[[#This Row],[item_key]],IsITypeList,Table_ExternalData_15[[#This Row],[IType]],IsDList,Table_ExternalData_15[[#Headers],[26]])</f>
        <v>0</v>
      </c>
      <c r="AE93" s="10">
        <f>SUMIFS(IsQList,IsIList,Table_ExternalData_15[[#This Row],[item_key]],IsITypeList,Table_ExternalData_15[[#This Row],[IType]],IsDList,Table_ExternalData_15[[#Headers],[27]])</f>
        <v>0</v>
      </c>
      <c r="AF93" s="10">
        <f>SUMIFS(IsQList,IsIList,Table_ExternalData_15[[#This Row],[item_key]],IsITypeList,Table_ExternalData_15[[#This Row],[IType]],IsDList,Table_ExternalData_15[[#Headers],[28]])</f>
        <v>0</v>
      </c>
      <c r="AG93" s="10">
        <f>SUMIFS(IsQList,IsIList,Table_ExternalData_15[[#This Row],[item_key]],IsITypeList,Table_ExternalData_15[[#This Row],[IType]],IsDList,Table_ExternalData_15[[#Headers],[29]])</f>
        <v>0</v>
      </c>
      <c r="AH93" s="10">
        <f>SUMIFS(IsQList,IsIList,Table_ExternalData_15[[#This Row],[item_key]],IsITypeList,Table_ExternalData_15[[#This Row],[IType]],IsDList,Table_ExternalData_15[[#Headers],[30]])</f>
        <v>66</v>
      </c>
      <c r="AI93" s="10">
        <f>SUMIFS(IsQList,IsIList,Table_ExternalData_15[[#This Row],[item_key]],IsITypeList,Table_ExternalData_15[[#This Row],[IType]],IsDList,Table_ExternalData_15[[#Headers],[31]])</f>
        <v>0</v>
      </c>
      <c r="AJ93" s="10">
        <f>SUM(Table_ExternalData_15[[#This Row],[1]:[31]])</f>
        <v>191</v>
      </c>
    </row>
    <row r="94" spans="1:36">
      <c r="A94" s="1" t="s">
        <v>435</v>
      </c>
      <c r="B94" s="1" t="s">
        <v>2533</v>
      </c>
      <c r="C94" s="1" t="s">
        <v>2534</v>
      </c>
      <c r="D94" s="11" t="s">
        <v>72</v>
      </c>
      <c r="E94" s="10">
        <f>SUMIFS(IsQList,IsIList,Table_ExternalData_15[[#This Row],[item_key]],IsITypeList,Table_ExternalData_15[[#This Row],[IType]],IsDList,Table_ExternalData_15[[#Headers],[1]])</f>
        <v>0</v>
      </c>
      <c r="F94" s="10">
        <f>SUMIFS(IsQList,IsIList,Table_ExternalData_15[[#This Row],[item_key]],IsITypeList,Table_ExternalData_15[[#This Row],[IType]],IsDList,Table_ExternalData_15[[#Headers],[2]])</f>
        <v>0</v>
      </c>
      <c r="G94" s="10">
        <f>SUMIFS(IsQList,IsIList,Table_ExternalData_15[[#This Row],[item_key]],IsITypeList,Table_ExternalData_15[[#This Row],[IType]],IsDList,Table_ExternalData_15[[#Headers],[3]])</f>
        <v>0</v>
      </c>
      <c r="H94" s="10">
        <f>SUMIFS(IsQList,IsIList,Table_ExternalData_15[[#This Row],[item_key]],IsITypeList,Table_ExternalData_15[[#This Row],[IType]],IsDList,Table_ExternalData_15[[#Headers],[4]])</f>
        <v>0</v>
      </c>
      <c r="I94" s="10">
        <f>SUMIFS(IsQList,IsIList,Table_ExternalData_15[[#This Row],[item_key]],IsITypeList,Table_ExternalData_15[[#This Row],[IType]],IsDList,Table_ExternalData_15[[#Headers],[5]])</f>
        <v>0</v>
      </c>
      <c r="J94" s="10">
        <f>SUMIFS(IsQList,IsIList,Table_ExternalData_15[[#This Row],[item_key]],IsITypeList,Table_ExternalData_15[[#This Row],[IType]],IsDList,Table_ExternalData_15[[#Headers],[6]])</f>
        <v>0</v>
      </c>
      <c r="K94" s="10">
        <f>SUMIFS(IsQList,IsIList,Table_ExternalData_15[[#This Row],[item_key]],IsITypeList,Table_ExternalData_15[[#This Row],[IType]],IsDList,Table_ExternalData_15[[#Headers],[7]])</f>
        <v>0</v>
      </c>
      <c r="L94" s="10">
        <f>SUMIFS(IsQList,IsIList,Table_ExternalData_15[[#This Row],[item_key]],IsITypeList,Table_ExternalData_15[[#This Row],[IType]],IsDList,Table_ExternalData_15[[#Headers],[8]])</f>
        <v>0</v>
      </c>
      <c r="M94" s="10">
        <f>SUMIFS(IsQList,IsIList,Table_ExternalData_15[[#This Row],[item_key]],IsITypeList,Table_ExternalData_15[[#This Row],[IType]],IsDList,Table_ExternalData_15[[#Headers],[9]])</f>
        <v>0</v>
      </c>
      <c r="N94" s="10">
        <f>SUMIFS(IsQList,IsIList,Table_ExternalData_15[[#This Row],[item_key]],IsITypeList,Table_ExternalData_15[[#This Row],[IType]],IsDList,Table_ExternalData_15[[#Headers],[10]])</f>
        <v>0</v>
      </c>
      <c r="O94" s="10">
        <f>SUMIFS(IsQList,IsIList,Table_ExternalData_15[[#This Row],[item_key]],IsITypeList,Table_ExternalData_15[[#This Row],[IType]],IsDList,Table_ExternalData_15[[#Headers],[11]])</f>
        <v>0</v>
      </c>
      <c r="P94" s="10">
        <f>SUMIFS(IsQList,IsIList,Table_ExternalData_15[[#This Row],[item_key]],IsITypeList,Table_ExternalData_15[[#This Row],[IType]],IsDList,Table_ExternalData_15[[#Headers],[12]])</f>
        <v>0</v>
      </c>
      <c r="Q94" s="10">
        <f>SUMIFS(IsQList,IsIList,Table_ExternalData_15[[#This Row],[item_key]],IsITypeList,Table_ExternalData_15[[#This Row],[IType]],IsDList,Table_ExternalData_15[[#Headers],[13]])</f>
        <v>0</v>
      </c>
      <c r="R94" s="10">
        <f>SUMIFS(IsQList,IsIList,Table_ExternalData_15[[#This Row],[item_key]],IsITypeList,Table_ExternalData_15[[#This Row],[IType]],IsDList,Table_ExternalData_15[[#Headers],[14]])</f>
        <v>0</v>
      </c>
      <c r="S94" s="10">
        <f>SUMIFS(IsQList,IsIList,Table_ExternalData_15[[#This Row],[item_key]],IsITypeList,Table_ExternalData_15[[#This Row],[IType]],IsDList,Table_ExternalData_15[[#Headers],[15]])</f>
        <v>0</v>
      </c>
      <c r="T94" s="10">
        <f>SUMIFS(IsQList,IsIList,Table_ExternalData_15[[#This Row],[item_key]],IsITypeList,Table_ExternalData_15[[#This Row],[IType]],IsDList,Table_ExternalData_15[[#Headers],[16]])</f>
        <v>50</v>
      </c>
      <c r="U94" s="10">
        <f>SUMIFS(IsQList,IsIList,Table_ExternalData_15[[#This Row],[item_key]],IsITypeList,Table_ExternalData_15[[#This Row],[IType]],IsDList,Table_ExternalData_15[[#Headers],[17]])</f>
        <v>0</v>
      </c>
      <c r="V94" s="10">
        <f>SUMIFS(IsQList,IsIList,Table_ExternalData_15[[#This Row],[item_key]],IsITypeList,Table_ExternalData_15[[#This Row],[IType]],IsDList,Table_ExternalData_15[[#Headers],[18]])</f>
        <v>0</v>
      </c>
      <c r="W94" s="10">
        <f>SUMIFS(IsQList,IsIList,Table_ExternalData_15[[#This Row],[item_key]],IsITypeList,Table_ExternalData_15[[#This Row],[IType]],IsDList,Table_ExternalData_15[[#Headers],[19]])</f>
        <v>0</v>
      </c>
      <c r="X94" s="10">
        <f>SUMIFS(IsQList,IsIList,Table_ExternalData_15[[#This Row],[item_key]],IsITypeList,Table_ExternalData_15[[#This Row],[IType]],IsDList,Table_ExternalData_15[[#Headers],[20]])</f>
        <v>0</v>
      </c>
      <c r="Y94" s="10">
        <f>SUMIFS(IsQList,IsIList,Table_ExternalData_15[[#This Row],[item_key]],IsITypeList,Table_ExternalData_15[[#This Row],[IType]],IsDList,Table_ExternalData_15[[#Headers],[21]])</f>
        <v>0</v>
      </c>
      <c r="Z94" s="10">
        <f>SUMIFS(IsQList,IsIList,Table_ExternalData_15[[#This Row],[item_key]],IsITypeList,Table_ExternalData_15[[#This Row],[IType]],IsDList,Table_ExternalData_15[[#Headers],[22]])</f>
        <v>0</v>
      </c>
      <c r="AA94" s="10">
        <f>SUMIFS(IsQList,IsIList,Table_ExternalData_15[[#This Row],[item_key]],IsITypeList,Table_ExternalData_15[[#This Row],[IType]],IsDList,Table_ExternalData_15[[#Headers],[23]])</f>
        <v>0</v>
      </c>
      <c r="AB94" s="10">
        <f>SUMIFS(IsQList,IsIList,Table_ExternalData_15[[#This Row],[item_key]],IsITypeList,Table_ExternalData_15[[#This Row],[IType]],IsDList,Table_ExternalData_15[[#Headers],[24]])</f>
        <v>0</v>
      </c>
      <c r="AC94" s="10">
        <f>SUMIFS(IsQList,IsIList,Table_ExternalData_15[[#This Row],[item_key]],IsITypeList,Table_ExternalData_15[[#This Row],[IType]],IsDList,Table_ExternalData_15[[#Headers],[25]])</f>
        <v>0</v>
      </c>
      <c r="AD94" s="10">
        <f>SUMIFS(IsQList,IsIList,Table_ExternalData_15[[#This Row],[item_key]],IsITypeList,Table_ExternalData_15[[#This Row],[IType]],IsDList,Table_ExternalData_15[[#Headers],[26]])</f>
        <v>0</v>
      </c>
      <c r="AE94" s="10">
        <f>SUMIFS(IsQList,IsIList,Table_ExternalData_15[[#This Row],[item_key]],IsITypeList,Table_ExternalData_15[[#This Row],[IType]],IsDList,Table_ExternalData_15[[#Headers],[27]])</f>
        <v>0</v>
      </c>
      <c r="AF94" s="10">
        <f>SUMIFS(IsQList,IsIList,Table_ExternalData_15[[#This Row],[item_key]],IsITypeList,Table_ExternalData_15[[#This Row],[IType]],IsDList,Table_ExternalData_15[[#Headers],[28]])</f>
        <v>0</v>
      </c>
      <c r="AG94" s="10">
        <f>SUMIFS(IsQList,IsIList,Table_ExternalData_15[[#This Row],[item_key]],IsITypeList,Table_ExternalData_15[[#This Row],[IType]],IsDList,Table_ExternalData_15[[#Headers],[29]])</f>
        <v>0</v>
      </c>
      <c r="AH94" s="10">
        <f>SUMIFS(IsQList,IsIList,Table_ExternalData_15[[#This Row],[item_key]],IsITypeList,Table_ExternalData_15[[#This Row],[IType]],IsDList,Table_ExternalData_15[[#Headers],[30]])</f>
        <v>180</v>
      </c>
      <c r="AI94" s="10">
        <f>SUMIFS(IsQList,IsIList,Table_ExternalData_15[[#This Row],[item_key]],IsITypeList,Table_ExternalData_15[[#This Row],[IType]],IsDList,Table_ExternalData_15[[#Headers],[31]])</f>
        <v>0</v>
      </c>
      <c r="AJ94" s="10">
        <f>SUM(Table_ExternalData_15[[#This Row],[1]:[31]])</f>
        <v>230</v>
      </c>
    </row>
    <row r="95" spans="1:36">
      <c r="A95" s="1" t="s">
        <v>1723</v>
      </c>
      <c r="B95" s="1" t="s">
        <v>2535</v>
      </c>
      <c r="C95" s="1" t="s">
        <v>2536</v>
      </c>
      <c r="D95" s="11" t="s">
        <v>72</v>
      </c>
      <c r="E95" s="10">
        <f>SUMIFS(IsQList,IsIList,Table_ExternalData_15[[#This Row],[item_key]],IsITypeList,Table_ExternalData_15[[#This Row],[IType]],IsDList,Table_ExternalData_15[[#Headers],[1]])</f>
        <v>0</v>
      </c>
      <c r="F95" s="10">
        <f>SUMIFS(IsQList,IsIList,Table_ExternalData_15[[#This Row],[item_key]],IsITypeList,Table_ExternalData_15[[#This Row],[IType]],IsDList,Table_ExternalData_15[[#Headers],[2]])</f>
        <v>0</v>
      </c>
      <c r="G95" s="10">
        <f>SUMIFS(IsQList,IsIList,Table_ExternalData_15[[#This Row],[item_key]],IsITypeList,Table_ExternalData_15[[#This Row],[IType]],IsDList,Table_ExternalData_15[[#Headers],[3]])</f>
        <v>0</v>
      </c>
      <c r="H95" s="10">
        <f>SUMIFS(IsQList,IsIList,Table_ExternalData_15[[#This Row],[item_key]],IsITypeList,Table_ExternalData_15[[#This Row],[IType]],IsDList,Table_ExternalData_15[[#Headers],[4]])</f>
        <v>0</v>
      </c>
      <c r="I95" s="10">
        <f>SUMIFS(IsQList,IsIList,Table_ExternalData_15[[#This Row],[item_key]],IsITypeList,Table_ExternalData_15[[#This Row],[IType]],IsDList,Table_ExternalData_15[[#Headers],[5]])</f>
        <v>0</v>
      </c>
      <c r="J95" s="10">
        <f>SUMIFS(IsQList,IsIList,Table_ExternalData_15[[#This Row],[item_key]],IsITypeList,Table_ExternalData_15[[#This Row],[IType]],IsDList,Table_ExternalData_15[[#Headers],[6]])</f>
        <v>0</v>
      </c>
      <c r="K95" s="10">
        <f>SUMIFS(IsQList,IsIList,Table_ExternalData_15[[#This Row],[item_key]],IsITypeList,Table_ExternalData_15[[#This Row],[IType]],IsDList,Table_ExternalData_15[[#Headers],[7]])</f>
        <v>0</v>
      </c>
      <c r="L95" s="10">
        <f>SUMIFS(IsQList,IsIList,Table_ExternalData_15[[#This Row],[item_key]],IsITypeList,Table_ExternalData_15[[#This Row],[IType]],IsDList,Table_ExternalData_15[[#Headers],[8]])</f>
        <v>0</v>
      </c>
      <c r="M95" s="10">
        <f>SUMIFS(IsQList,IsIList,Table_ExternalData_15[[#This Row],[item_key]],IsITypeList,Table_ExternalData_15[[#This Row],[IType]],IsDList,Table_ExternalData_15[[#Headers],[9]])</f>
        <v>0</v>
      </c>
      <c r="N95" s="10">
        <f>SUMIFS(IsQList,IsIList,Table_ExternalData_15[[#This Row],[item_key]],IsITypeList,Table_ExternalData_15[[#This Row],[IType]],IsDList,Table_ExternalData_15[[#Headers],[10]])</f>
        <v>0</v>
      </c>
      <c r="O95" s="10">
        <f>SUMIFS(IsQList,IsIList,Table_ExternalData_15[[#This Row],[item_key]],IsITypeList,Table_ExternalData_15[[#This Row],[IType]],IsDList,Table_ExternalData_15[[#Headers],[11]])</f>
        <v>0</v>
      </c>
      <c r="P95" s="10">
        <f>SUMIFS(IsQList,IsIList,Table_ExternalData_15[[#This Row],[item_key]],IsITypeList,Table_ExternalData_15[[#This Row],[IType]],IsDList,Table_ExternalData_15[[#Headers],[12]])</f>
        <v>0</v>
      </c>
      <c r="Q95" s="10">
        <f>SUMIFS(IsQList,IsIList,Table_ExternalData_15[[#This Row],[item_key]],IsITypeList,Table_ExternalData_15[[#This Row],[IType]],IsDList,Table_ExternalData_15[[#Headers],[13]])</f>
        <v>0</v>
      </c>
      <c r="R95" s="10">
        <f>SUMIFS(IsQList,IsIList,Table_ExternalData_15[[#This Row],[item_key]],IsITypeList,Table_ExternalData_15[[#This Row],[IType]],IsDList,Table_ExternalData_15[[#Headers],[14]])</f>
        <v>0</v>
      </c>
      <c r="S95" s="10">
        <f>SUMIFS(IsQList,IsIList,Table_ExternalData_15[[#This Row],[item_key]],IsITypeList,Table_ExternalData_15[[#This Row],[IType]],IsDList,Table_ExternalData_15[[#Headers],[15]])</f>
        <v>0</v>
      </c>
      <c r="T95" s="10">
        <f>SUMIFS(IsQList,IsIList,Table_ExternalData_15[[#This Row],[item_key]],IsITypeList,Table_ExternalData_15[[#This Row],[IType]],IsDList,Table_ExternalData_15[[#Headers],[16]])</f>
        <v>460</v>
      </c>
      <c r="U95" s="10">
        <f>SUMIFS(IsQList,IsIList,Table_ExternalData_15[[#This Row],[item_key]],IsITypeList,Table_ExternalData_15[[#This Row],[IType]],IsDList,Table_ExternalData_15[[#Headers],[17]])</f>
        <v>0</v>
      </c>
      <c r="V95" s="10">
        <f>SUMIFS(IsQList,IsIList,Table_ExternalData_15[[#This Row],[item_key]],IsITypeList,Table_ExternalData_15[[#This Row],[IType]],IsDList,Table_ExternalData_15[[#Headers],[18]])</f>
        <v>0</v>
      </c>
      <c r="W95" s="10">
        <f>SUMIFS(IsQList,IsIList,Table_ExternalData_15[[#This Row],[item_key]],IsITypeList,Table_ExternalData_15[[#This Row],[IType]],IsDList,Table_ExternalData_15[[#Headers],[19]])</f>
        <v>0</v>
      </c>
      <c r="X95" s="10">
        <f>SUMIFS(IsQList,IsIList,Table_ExternalData_15[[#This Row],[item_key]],IsITypeList,Table_ExternalData_15[[#This Row],[IType]],IsDList,Table_ExternalData_15[[#Headers],[20]])</f>
        <v>0</v>
      </c>
      <c r="Y95" s="10">
        <f>SUMIFS(IsQList,IsIList,Table_ExternalData_15[[#This Row],[item_key]],IsITypeList,Table_ExternalData_15[[#This Row],[IType]],IsDList,Table_ExternalData_15[[#Headers],[21]])</f>
        <v>0</v>
      </c>
      <c r="Z95" s="10">
        <f>SUMIFS(IsQList,IsIList,Table_ExternalData_15[[#This Row],[item_key]],IsITypeList,Table_ExternalData_15[[#This Row],[IType]],IsDList,Table_ExternalData_15[[#Headers],[22]])</f>
        <v>0</v>
      </c>
      <c r="AA95" s="10">
        <f>SUMIFS(IsQList,IsIList,Table_ExternalData_15[[#This Row],[item_key]],IsITypeList,Table_ExternalData_15[[#This Row],[IType]],IsDList,Table_ExternalData_15[[#Headers],[23]])</f>
        <v>0</v>
      </c>
      <c r="AB95" s="10">
        <f>SUMIFS(IsQList,IsIList,Table_ExternalData_15[[#This Row],[item_key]],IsITypeList,Table_ExternalData_15[[#This Row],[IType]],IsDList,Table_ExternalData_15[[#Headers],[24]])</f>
        <v>0</v>
      </c>
      <c r="AC95" s="10">
        <f>SUMIFS(IsQList,IsIList,Table_ExternalData_15[[#This Row],[item_key]],IsITypeList,Table_ExternalData_15[[#This Row],[IType]],IsDList,Table_ExternalData_15[[#Headers],[25]])</f>
        <v>0</v>
      </c>
      <c r="AD95" s="10">
        <f>SUMIFS(IsQList,IsIList,Table_ExternalData_15[[#This Row],[item_key]],IsITypeList,Table_ExternalData_15[[#This Row],[IType]],IsDList,Table_ExternalData_15[[#Headers],[26]])</f>
        <v>0</v>
      </c>
      <c r="AE95" s="10">
        <f>SUMIFS(IsQList,IsIList,Table_ExternalData_15[[#This Row],[item_key]],IsITypeList,Table_ExternalData_15[[#This Row],[IType]],IsDList,Table_ExternalData_15[[#Headers],[27]])</f>
        <v>0</v>
      </c>
      <c r="AF95" s="10">
        <f>SUMIFS(IsQList,IsIList,Table_ExternalData_15[[#This Row],[item_key]],IsITypeList,Table_ExternalData_15[[#This Row],[IType]],IsDList,Table_ExternalData_15[[#Headers],[28]])</f>
        <v>0</v>
      </c>
      <c r="AG95" s="10">
        <f>SUMIFS(IsQList,IsIList,Table_ExternalData_15[[#This Row],[item_key]],IsITypeList,Table_ExternalData_15[[#This Row],[IType]],IsDList,Table_ExternalData_15[[#Headers],[29]])</f>
        <v>0</v>
      </c>
      <c r="AH95" s="10">
        <f>SUMIFS(IsQList,IsIList,Table_ExternalData_15[[#This Row],[item_key]],IsITypeList,Table_ExternalData_15[[#This Row],[IType]],IsDList,Table_ExternalData_15[[#Headers],[30]])</f>
        <v>350</v>
      </c>
      <c r="AI95" s="10">
        <f>SUMIFS(IsQList,IsIList,Table_ExternalData_15[[#This Row],[item_key]],IsITypeList,Table_ExternalData_15[[#This Row],[IType]],IsDList,Table_ExternalData_15[[#Headers],[31]])</f>
        <v>0</v>
      </c>
      <c r="AJ95" s="10">
        <f>SUM(Table_ExternalData_15[[#This Row],[1]:[31]])</f>
        <v>810</v>
      </c>
    </row>
    <row r="96" spans="1:36">
      <c r="A96" s="1" t="s">
        <v>437</v>
      </c>
      <c r="B96" s="1" t="s">
        <v>2537</v>
      </c>
      <c r="C96" s="1" t="s">
        <v>2538</v>
      </c>
      <c r="D96" s="11" t="s">
        <v>72</v>
      </c>
      <c r="E96" s="10">
        <f>SUMIFS(IsQList,IsIList,Table_ExternalData_15[[#This Row],[item_key]],IsITypeList,Table_ExternalData_15[[#This Row],[IType]],IsDList,Table_ExternalData_15[[#Headers],[1]])</f>
        <v>0</v>
      </c>
      <c r="F96" s="10">
        <f>SUMIFS(IsQList,IsIList,Table_ExternalData_15[[#This Row],[item_key]],IsITypeList,Table_ExternalData_15[[#This Row],[IType]],IsDList,Table_ExternalData_15[[#Headers],[2]])</f>
        <v>0</v>
      </c>
      <c r="G96" s="10">
        <f>SUMIFS(IsQList,IsIList,Table_ExternalData_15[[#This Row],[item_key]],IsITypeList,Table_ExternalData_15[[#This Row],[IType]],IsDList,Table_ExternalData_15[[#Headers],[3]])</f>
        <v>0</v>
      </c>
      <c r="H96" s="10">
        <f>SUMIFS(IsQList,IsIList,Table_ExternalData_15[[#This Row],[item_key]],IsITypeList,Table_ExternalData_15[[#This Row],[IType]],IsDList,Table_ExternalData_15[[#Headers],[4]])</f>
        <v>0</v>
      </c>
      <c r="I96" s="10">
        <f>SUMIFS(IsQList,IsIList,Table_ExternalData_15[[#This Row],[item_key]],IsITypeList,Table_ExternalData_15[[#This Row],[IType]],IsDList,Table_ExternalData_15[[#Headers],[5]])</f>
        <v>0</v>
      </c>
      <c r="J96" s="10">
        <f>SUMIFS(IsQList,IsIList,Table_ExternalData_15[[#This Row],[item_key]],IsITypeList,Table_ExternalData_15[[#This Row],[IType]],IsDList,Table_ExternalData_15[[#Headers],[6]])</f>
        <v>0</v>
      </c>
      <c r="K96" s="10">
        <f>SUMIFS(IsQList,IsIList,Table_ExternalData_15[[#This Row],[item_key]],IsITypeList,Table_ExternalData_15[[#This Row],[IType]],IsDList,Table_ExternalData_15[[#Headers],[7]])</f>
        <v>0</v>
      </c>
      <c r="L96" s="10">
        <f>SUMIFS(IsQList,IsIList,Table_ExternalData_15[[#This Row],[item_key]],IsITypeList,Table_ExternalData_15[[#This Row],[IType]],IsDList,Table_ExternalData_15[[#Headers],[8]])</f>
        <v>0</v>
      </c>
      <c r="M96" s="10">
        <f>SUMIFS(IsQList,IsIList,Table_ExternalData_15[[#This Row],[item_key]],IsITypeList,Table_ExternalData_15[[#This Row],[IType]],IsDList,Table_ExternalData_15[[#Headers],[9]])</f>
        <v>0</v>
      </c>
      <c r="N96" s="10">
        <f>SUMIFS(IsQList,IsIList,Table_ExternalData_15[[#This Row],[item_key]],IsITypeList,Table_ExternalData_15[[#This Row],[IType]],IsDList,Table_ExternalData_15[[#Headers],[10]])</f>
        <v>0</v>
      </c>
      <c r="O96" s="10">
        <f>SUMIFS(IsQList,IsIList,Table_ExternalData_15[[#This Row],[item_key]],IsITypeList,Table_ExternalData_15[[#This Row],[IType]],IsDList,Table_ExternalData_15[[#Headers],[11]])</f>
        <v>0</v>
      </c>
      <c r="P96" s="10">
        <f>SUMIFS(IsQList,IsIList,Table_ExternalData_15[[#This Row],[item_key]],IsITypeList,Table_ExternalData_15[[#This Row],[IType]],IsDList,Table_ExternalData_15[[#Headers],[12]])</f>
        <v>0</v>
      </c>
      <c r="Q96" s="10">
        <f>SUMIFS(IsQList,IsIList,Table_ExternalData_15[[#This Row],[item_key]],IsITypeList,Table_ExternalData_15[[#This Row],[IType]],IsDList,Table_ExternalData_15[[#Headers],[13]])</f>
        <v>0</v>
      </c>
      <c r="R96" s="10">
        <f>SUMIFS(IsQList,IsIList,Table_ExternalData_15[[#This Row],[item_key]],IsITypeList,Table_ExternalData_15[[#This Row],[IType]],IsDList,Table_ExternalData_15[[#Headers],[14]])</f>
        <v>0</v>
      </c>
      <c r="S96" s="10">
        <f>SUMIFS(IsQList,IsIList,Table_ExternalData_15[[#This Row],[item_key]],IsITypeList,Table_ExternalData_15[[#This Row],[IType]],IsDList,Table_ExternalData_15[[#Headers],[15]])</f>
        <v>0</v>
      </c>
      <c r="T96" s="10">
        <f>SUMIFS(IsQList,IsIList,Table_ExternalData_15[[#This Row],[item_key]],IsITypeList,Table_ExternalData_15[[#This Row],[IType]],IsDList,Table_ExternalData_15[[#Headers],[16]])</f>
        <v>25</v>
      </c>
      <c r="U96" s="10">
        <f>SUMIFS(IsQList,IsIList,Table_ExternalData_15[[#This Row],[item_key]],IsITypeList,Table_ExternalData_15[[#This Row],[IType]],IsDList,Table_ExternalData_15[[#Headers],[17]])</f>
        <v>0</v>
      </c>
      <c r="V96" s="10">
        <f>SUMIFS(IsQList,IsIList,Table_ExternalData_15[[#This Row],[item_key]],IsITypeList,Table_ExternalData_15[[#This Row],[IType]],IsDList,Table_ExternalData_15[[#Headers],[18]])</f>
        <v>0</v>
      </c>
      <c r="W96" s="10">
        <f>SUMIFS(IsQList,IsIList,Table_ExternalData_15[[#This Row],[item_key]],IsITypeList,Table_ExternalData_15[[#This Row],[IType]],IsDList,Table_ExternalData_15[[#Headers],[19]])</f>
        <v>0</v>
      </c>
      <c r="X96" s="10">
        <f>SUMIFS(IsQList,IsIList,Table_ExternalData_15[[#This Row],[item_key]],IsITypeList,Table_ExternalData_15[[#This Row],[IType]],IsDList,Table_ExternalData_15[[#Headers],[20]])</f>
        <v>0</v>
      </c>
      <c r="Y96" s="10">
        <f>SUMIFS(IsQList,IsIList,Table_ExternalData_15[[#This Row],[item_key]],IsITypeList,Table_ExternalData_15[[#This Row],[IType]],IsDList,Table_ExternalData_15[[#Headers],[21]])</f>
        <v>0</v>
      </c>
      <c r="Z96" s="10">
        <f>SUMIFS(IsQList,IsIList,Table_ExternalData_15[[#This Row],[item_key]],IsITypeList,Table_ExternalData_15[[#This Row],[IType]],IsDList,Table_ExternalData_15[[#Headers],[22]])</f>
        <v>0</v>
      </c>
      <c r="AA96" s="10">
        <f>SUMIFS(IsQList,IsIList,Table_ExternalData_15[[#This Row],[item_key]],IsITypeList,Table_ExternalData_15[[#This Row],[IType]],IsDList,Table_ExternalData_15[[#Headers],[23]])</f>
        <v>0</v>
      </c>
      <c r="AB96" s="10">
        <f>SUMIFS(IsQList,IsIList,Table_ExternalData_15[[#This Row],[item_key]],IsITypeList,Table_ExternalData_15[[#This Row],[IType]],IsDList,Table_ExternalData_15[[#Headers],[24]])</f>
        <v>0</v>
      </c>
      <c r="AC96" s="10">
        <f>SUMIFS(IsQList,IsIList,Table_ExternalData_15[[#This Row],[item_key]],IsITypeList,Table_ExternalData_15[[#This Row],[IType]],IsDList,Table_ExternalData_15[[#Headers],[25]])</f>
        <v>0</v>
      </c>
      <c r="AD96" s="10">
        <f>SUMIFS(IsQList,IsIList,Table_ExternalData_15[[#This Row],[item_key]],IsITypeList,Table_ExternalData_15[[#This Row],[IType]],IsDList,Table_ExternalData_15[[#Headers],[26]])</f>
        <v>0</v>
      </c>
      <c r="AE96" s="10">
        <f>SUMIFS(IsQList,IsIList,Table_ExternalData_15[[#This Row],[item_key]],IsITypeList,Table_ExternalData_15[[#This Row],[IType]],IsDList,Table_ExternalData_15[[#Headers],[27]])</f>
        <v>0</v>
      </c>
      <c r="AF96" s="10">
        <f>SUMIFS(IsQList,IsIList,Table_ExternalData_15[[#This Row],[item_key]],IsITypeList,Table_ExternalData_15[[#This Row],[IType]],IsDList,Table_ExternalData_15[[#Headers],[28]])</f>
        <v>0</v>
      </c>
      <c r="AG96" s="10">
        <f>SUMIFS(IsQList,IsIList,Table_ExternalData_15[[#This Row],[item_key]],IsITypeList,Table_ExternalData_15[[#This Row],[IType]],IsDList,Table_ExternalData_15[[#Headers],[29]])</f>
        <v>0</v>
      </c>
      <c r="AH96" s="10">
        <f>SUMIFS(IsQList,IsIList,Table_ExternalData_15[[#This Row],[item_key]],IsITypeList,Table_ExternalData_15[[#This Row],[IType]],IsDList,Table_ExternalData_15[[#Headers],[30]])</f>
        <v>0</v>
      </c>
      <c r="AI96" s="10">
        <f>SUMIFS(IsQList,IsIList,Table_ExternalData_15[[#This Row],[item_key]],IsITypeList,Table_ExternalData_15[[#This Row],[IType]],IsDList,Table_ExternalData_15[[#Headers],[31]])</f>
        <v>0</v>
      </c>
      <c r="AJ96" s="10">
        <f>SUM(Table_ExternalData_15[[#This Row],[1]:[31]])</f>
        <v>25</v>
      </c>
    </row>
    <row r="97" spans="1:36">
      <c r="A97" s="1" t="s">
        <v>441</v>
      </c>
      <c r="B97" s="1" t="s">
        <v>2539</v>
      </c>
      <c r="C97" s="1" t="s">
        <v>2540</v>
      </c>
      <c r="D97" s="11" t="s">
        <v>72</v>
      </c>
      <c r="E97" s="10">
        <f>SUMIFS(IsQList,IsIList,Table_ExternalData_15[[#This Row],[item_key]],IsITypeList,Table_ExternalData_15[[#This Row],[IType]],IsDList,Table_ExternalData_15[[#Headers],[1]])</f>
        <v>0</v>
      </c>
      <c r="F97" s="10">
        <f>SUMIFS(IsQList,IsIList,Table_ExternalData_15[[#This Row],[item_key]],IsITypeList,Table_ExternalData_15[[#This Row],[IType]],IsDList,Table_ExternalData_15[[#Headers],[2]])</f>
        <v>0</v>
      </c>
      <c r="G97" s="10">
        <f>SUMIFS(IsQList,IsIList,Table_ExternalData_15[[#This Row],[item_key]],IsITypeList,Table_ExternalData_15[[#This Row],[IType]],IsDList,Table_ExternalData_15[[#Headers],[3]])</f>
        <v>0</v>
      </c>
      <c r="H97" s="10">
        <f>SUMIFS(IsQList,IsIList,Table_ExternalData_15[[#This Row],[item_key]],IsITypeList,Table_ExternalData_15[[#This Row],[IType]],IsDList,Table_ExternalData_15[[#Headers],[4]])</f>
        <v>0</v>
      </c>
      <c r="I97" s="10">
        <f>SUMIFS(IsQList,IsIList,Table_ExternalData_15[[#This Row],[item_key]],IsITypeList,Table_ExternalData_15[[#This Row],[IType]],IsDList,Table_ExternalData_15[[#Headers],[5]])</f>
        <v>0</v>
      </c>
      <c r="J97" s="10">
        <f>SUMIFS(IsQList,IsIList,Table_ExternalData_15[[#This Row],[item_key]],IsITypeList,Table_ExternalData_15[[#This Row],[IType]],IsDList,Table_ExternalData_15[[#Headers],[6]])</f>
        <v>0</v>
      </c>
      <c r="K97" s="10">
        <f>SUMIFS(IsQList,IsIList,Table_ExternalData_15[[#This Row],[item_key]],IsITypeList,Table_ExternalData_15[[#This Row],[IType]],IsDList,Table_ExternalData_15[[#Headers],[7]])</f>
        <v>0</v>
      </c>
      <c r="L97" s="10">
        <f>SUMIFS(IsQList,IsIList,Table_ExternalData_15[[#This Row],[item_key]],IsITypeList,Table_ExternalData_15[[#This Row],[IType]],IsDList,Table_ExternalData_15[[#Headers],[8]])</f>
        <v>0</v>
      </c>
      <c r="M97" s="10">
        <f>SUMIFS(IsQList,IsIList,Table_ExternalData_15[[#This Row],[item_key]],IsITypeList,Table_ExternalData_15[[#This Row],[IType]],IsDList,Table_ExternalData_15[[#Headers],[9]])</f>
        <v>0</v>
      </c>
      <c r="N97" s="10">
        <f>SUMIFS(IsQList,IsIList,Table_ExternalData_15[[#This Row],[item_key]],IsITypeList,Table_ExternalData_15[[#This Row],[IType]],IsDList,Table_ExternalData_15[[#Headers],[10]])</f>
        <v>0</v>
      </c>
      <c r="O97" s="10">
        <f>SUMIFS(IsQList,IsIList,Table_ExternalData_15[[#This Row],[item_key]],IsITypeList,Table_ExternalData_15[[#This Row],[IType]],IsDList,Table_ExternalData_15[[#Headers],[11]])</f>
        <v>0</v>
      </c>
      <c r="P97" s="10">
        <f>SUMIFS(IsQList,IsIList,Table_ExternalData_15[[#This Row],[item_key]],IsITypeList,Table_ExternalData_15[[#This Row],[IType]],IsDList,Table_ExternalData_15[[#Headers],[12]])</f>
        <v>0</v>
      </c>
      <c r="Q97" s="10">
        <f>SUMIFS(IsQList,IsIList,Table_ExternalData_15[[#This Row],[item_key]],IsITypeList,Table_ExternalData_15[[#This Row],[IType]],IsDList,Table_ExternalData_15[[#Headers],[13]])</f>
        <v>0</v>
      </c>
      <c r="R97" s="10">
        <f>SUMIFS(IsQList,IsIList,Table_ExternalData_15[[#This Row],[item_key]],IsITypeList,Table_ExternalData_15[[#This Row],[IType]],IsDList,Table_ExternalData_15[[#Headers],[14]])</f>
        <v>0</v>
      </c>
      <c r="S97" s="10">
        <f>SUMIFS(IsQList,IsIList,Table_ExternalData_15[[#This Row],[item_key]],IsITypeList,Table_ExternalData_15[[#This Row],[IType]],IsDList,Table_ExternalData_15[[#Headers],[15]])</f>
        <v>0</v>
      </c>
      <c r="T97" s="10">
        <f>SUMIFS(IsQList,IsIList,Table_ExternalData_15[[#This Row],[item_key]],IsITypeList,Table_ExternalData_15[[#This Row],[IType]],IsDList,Table_ExternalData_15[[#Headers],[16]])</f>
        <v>0</v>
      </c>
      <c r="U97" s="10">
        <f>SUMIFS(IsQList,IsIList,Table_ExternalData_15[[#This Row],[item_key]],IsITypeList,Table_ExternalData_15[[#This Row],[IType]],IsDList,Table_ExternalData_15[[#Headers],[17]])</f>
        <v>0</v>
      </c>
      <c r="V97" s="10">
        <f>SUMIFS(IsQList,IsIList,Table_ExternalData_15[[#This Row],[item_key]],IsITypeList,Table_ExternalData_15[[#This Row],[IType]],IsDList,Table_ExternalData_15[[#Headers],[18]])</f>
        <v>0</v>
      </c>
      <c r="W97" s="10">
        <f>SUMIFS(IsQList,IsIList,Table_ExternalData_15[[#This Row],[item_key]],IsITypeList,Table_ExternalData_15[[#This Row],[IType]],IsDList,Table_ExternalData_15[[#Headers],[19]])</f>
        <v>0</v>
      </c>
      <c r="X97" s="10">
        <f>SUMIFS(IsQList,IsIList,Table_ExternalData_15[[#This Row],[item_key]],IsITypeList,Table_ExternalData_15[[#This Row],[IType]],IsDList,Table_ExternalData_15[[#Headers],[20]])</f>
        <v>0</v>
      </c>
      <c r="Y97" s="10">
        <f>SUMIFS(IsQList,IsIList,Table_ExternalData_15[[#This Row],[item_key]],IsITypeList,Table_ExternalData_15[[#This Row],[IType]],IsDList,Table_ExternalData_15[[#Headers],[21]])</f>
        <v>0</v>
      </c>
      <c r="Z97" s="10">
        <f>SUMIFS(IsQList,IsIList,Table_ExternalData_15[[#This Row],[item_key]],IsITypeList,Table_ExternalData_15[[#This Row],[IType]],IsDList,Table_ExternalData_15[[#Headers],[22]])</f>
        <v>0</v>
      </c>
      <c r="AA97" s="10">
        <f>SUMIFS(IsQList,IsIList,Table_ExternalData_15[[#This Row],[item_key]],IsITypeList,Table_ExternalData_15[[#This Row],[IType]],IsDList,Table_ExternalData_15[[#Headers],[23]])</f>
        <v>0</v>
      </c>
      <c r="AB97" s="10">
        <f>SUMIFS(IsQList,IsIList,Table_ExternalData_15[[#This Row],[item_key]],IsITypeList,Table_ExternalData_15[[#This Row],[IType]],IsDList,Table_ExternalData_15[[#Headers],[24]])</f>
        <v>0</v>
      </c>
      <c r="AC97" s="10">
        <f>SUMIFS(IsQList,IsIList,Table_ExternalData_15[[#This Row],[item_key]],IsITypeList,Table_ExternalData_15[[#This Row],[IType]],IsDList,Table_ExternalData_15[[#Headers],[25]])</f>
        <v>0</v>
      </c>
      <c r="AD97" s="10">
        <f>SUMIFS(IsQList,IsIList,Table_ExternalData_15[[#This Row],[item_key]],IsITypeList,Table_ExternalData_15[[#This Row],[IType]],IsDList,Table_ExternalData_15[[#Headers],[26]])</f>
        <v>0</v>
      </c>
      <c r="AE97" s="10">
        <f>SUMIFS(IsQList,IsIList,Table_ExternalData_15[[#This Row],[item_key]],IsITypeList,Table_ExternalData_15[[#This Row],[IType]],IsDList,Table_ExternalData_15[[#Headers],[27]])</f>
        <v>0</v>
      </c>
      <c r="AF97" s="10">
        <f>SUMIFS(IsQList,IsIList,Table_ExternalData_15[[#This Row],[item_key]],IsITypeList,Table_ExternalData_15[[#This Row],[IType]],IsDList,Table_ExternalData_15[[#Headers],[28]])</f>
        <v>0</v>
      </c>
      <c r="AG97" s="10">
        <f>SUMIFS(IsQList,IsIList,Table_ExternalData_15[[#This Row],[item_key]],IsITypeList,Table_ExternalData_15[[#This Row],[IType]],IsDList,Table_ExternalData_15[[#Headers],[29]])</f>
        <v>0</v>
      </c>
      <c r="AH97" s="10">
        <f>SUMIFS(IsQList,IsIList,Table_ExternalData_15[[#This Row],[item_key]],IsITypeList,Table_ExternalData_15[[#This Row],[IType]],IsDList,Table_ExternalData_15[[#Headers],[30]])</f>
        <v>0</v>
      </c>
      <c r="AI97" s="10">
        <f>SUMIFS(IsQList,IsIList,Table_ExternalData_15[[#This Row],[item_key]],IsITypeList,Table_ExternalData_15[[#This Row],[IType]],IsDList,Table_ExternalData_15[[#Headers],[31]])</f>
        <v>0</v>
      </c>
      <c r="AJ97" s="10">
        <f>SUM(Table_ExternalData_15[[#This Row],[1]:[31]])</f>
        <v>0</v>
      </c>
    </row>
    <row r="98" spans="1:36">
      <c r="A98" s="1" t="s">
        <v>442</v>
      </c>
      <c r="B98" s="1" t="s">
        <v>2541</v>
      </c>
      <c r="C98" s="1" t="s">
        <v>1276</v>
      </c>
      <c r="D98" s="11" t="s">
        <v>72</v>
      </c>
      <c r="E98" s="10">
        <f>SUMIFS(IsQList,IsIList,Table_ExternalData_15[[#This Row],[item_key]],IsITypeList,Table_ExternalData_15[[#This Row],[IType]],IsDList,Table_ExternalData_15[[#Headers],[1]])</f>
        <v>0</v>
      </c>
      <c r="F98" s="10">
        <f>SUMIFS(IsQList,IsIList,Table_ExternalData_15[[#This Row],[item_key]],IsITypeList,Table_ExternalData_15[[#This Row],[IType]],IsDList,Table_ExternalData_15[[#Headers],[2]])</f>
        <v>0</v>
      </c>
      <c r="G98" s="10">
        <f>SUMIFS(IsQList,IsIList,Table_ExternalData_15[[#This Row],[item_key]],IsITypeList,Table_ExternalData_15[[#This Row],[IType]],IsDList,Table_ExternalData_15[[#Headers],[3]])</f>
        <v>0</v>
      </c>
      <c r="H98" s="10">
        <f>SUMIFS(IsQList,IsIList,Table_ExternalData_15[[#This Row],[item_key]],IsITypeList,Table_ExternalData_15[[#This Row],[IType]],IsDList,Table_ExternalData_15[[#Headers],[4]])</f>
        <v>0</v>
      </c>
      <c r="I98" s="10">
        <f>SUMIFS(IsQList,IsIList,Table_ExternalData_15[[#This Row],[item_key]],IsITypeList,Table_ExternalData_15[[#This Row],[IType]],IsDList,Table_ExternalData_15[[#Headers],[5]])</f>
        <v>0</v>
      </c>
      <c r="J98" s="10">
        <f>SUMIFS(IsQList,IsIList,Table_ExternalData_15[[#This Row],[item_key]],IsITypeList,Table_ExternalData_15[[#This Row],[IType]],IsDList,Table_ExternalData_15[[#Headers],[6]])</f>
        <v>0</v>
      </c>
      <c r="K98" s="10">
        <f>SUMIFS(IsQList,IsIList,Table_ExternalData_15[[#This Row],[item_key]],IsITypeList,Table_ExternalData_15[[#This Row],[IType]],IsDList,Table_ExternalData_15[[#Headers],[7]])</f>
        <v>0</v>
      </c>
      <c r="L98" s="10">
        <f>SUMIFS(IsQList,IsIList,Table_ExternalData_15[[#This Row],[item_key]],IsITypeList,Table_ExternalData_15[[#This Row],[IType]],IsDList,Table_ExternalData_15[[#Headers],[8]])</f>
        <v>0</v>
      </c>
      <c r="M98" s="10">
        <f>SUMIFS(IsQList,IsIList,Table_ExternalData_15[[#This Row],[item_key]],IsITypeList,Table_ExternalData_15[[#This Row],[IType]],IsDList,Table_ExternalData_15[[#Headers],[9]])</f>
        <v>0</v>
      </c>
      <c r="N98" s="10">
        <f>SUMIFS(IsQList,IsIList,Table_ExternalData_15[[#This Row],[item_key]],IsITypeList,Table_ExternalData_15[[#This Row],[IType]],IsDList,Table_ExternalData_15[[#Headers],[10]])</f>
        <v>0</v>
      </c>
      <c r="O98" s="10">
        <f>SUMIFS(IsQList,IsIList,Table_ExternalData_15[[#This Row],[item_key]],IsITypeList,Table_ExternalData_15[[#This Row],[IType]],IsDList,Table_ExternalData_15[[#Headers],[11]])</f>
        <v>0</v>
      </c>
      <c r="P98" s="10">
        <f>SUMIFS(IsQList,IsIList,Table_ExternalData_15[[#This Row],[item_key]],IsITypeList,Table_ExternalData_15[[#This Row],[IType]],IsDList,Table_ExternalData_15[[#Headers],[12]])</f>
        <v>0</v>
      </c>
      <c r="Q98" s="10">
        <f>SUMIFS(IsQList,IsIList,Table_ExternalData_15[[#This Row],[item_key]],IsITypeList,Table_ExternalData_15[[#This Row],[IType]],IsDList,Table_ExternalData_15[[#Headers],[13]])</f>
        <v>0</v>
      </c>
      <c r="R98" s="10">
        <f>SUMIFS(IsQList,IsIList,Table_ExternalData_15[[#This Row],[item_key]],IsITypeList,Table_ExternalData_15[[#This Row],[IType]],IsDList,Table_ExternalData_15[[#Headers],[14]])</f>
        <v>0</v>
      </c>
      <c r="S98" s="10">
        <f>SUMIFS(IsQList,IsIList,Table_ExternalData_15[[#This Row],[item_key]],IsITypeList,Table_ExternalData_15[[#This Row],[IType]],IsDList,Table_ExternalData_15[[#Headers],[15]])</f>
        <v>0</v>
      </c>
      <c r="T98" s="10">
        <f>SUMIFS(IsQList,IsIList,Table_ExternalData_15[[#This Row],[item_key]],IsITypeList,Table_ExternalData_15[[#This Row],[IType]],IsDList,Table_ExternalData_15[[#Headers],[16]])</f>
        <v>0</v>
      </c>
      <c r="U98" s="10">
        <f>SUMIFS(IsQList,IsIList,Table_ExternalData_15[[#This Row],[item_key]],IsITypeList,Table_ExternalData_15[[#This Row],[IType]],IsDList,Table_ExternalData_15[[#Headers],[17]])</f>
        <v>0</v>
      </c>
      <c r="V98" s="10">
        <f>SUMIFS(IsQList,IsIList,Table_ExternalData_15[[#This Row],[item_key]],IsITypeList,Table_ExternalData_15[[#This Row],[IType]],IsDList,Table_ExternalData_15[[#Headers],[18]])</f>
        <v>0</v>
      </c>
      <c r="W98" s="10">
        <f>SUMIFS(IsQList,IsIList,Table_ExternalData_15[[#This Row],[item_key]],IsITypeList,Table_ExternalData_15[[#This Row],[IType]],IsDList,Table_ExternalData_15[[#Headers],[19]])</f>
        <v>0</v>
      </c>
      <c r="X98" s="10">
        <f>SUMIFS(IsQList,IsIList,Table_ExternalData_15[[#This Row],[item_key]],IsITypeList,Table_ExternalData_15[[#This Row],[IType]],IsDList,Table_ExternalData_15[[#Headers],[20]])</f>
        <v>0</v>
      </c>
      <c r="Y98" s="10">
        <f>SUMIFS(IsQList,IsIList,Table_ExternalData_15[[#This Row],[item_key]],IsITypeList,Table_ExternalData_15[[#This Row],[IType]],IsDList,Table_ExternalData_15[[#Headers],[21]])</f>
        <v>0</v>
      </c>
      <c r="Z98" s="10">
        <f>SUMIFS(IsQList,IsIList,Table_ExternalData_15[[#This Row],[item_key]],IsITypeList,Table_ExternalData_15[[#This Row],[IType]],IsDList,Table_ExternalData_15[[#Headers],[22]])</f>
        <v>0</v>
      </c>
      <c r="AA98" s="10">
        <f>SUMIFS(IsQList,IsIList,Table_ExternalData_15[[#This Row],[item_key]],IsITypeList,Table_ExternalData_15[[#This Row],[IType]],IsDList,Table_ExternalData_15[[#Headers],[23]])</f>
        <v>0</v>
      </c>
      <c r="AB98" s="10">
        <f>SUMIFS(IsQList,IsIList,Table_ExternalData_15[[#This Row],[item_key]],IsITypeList,Table_ExternalData_15[[#This Row],[IType]],IsDList,Table_ExternalData_15[[#Headers],[24]])</f>
        <v>0</v>
      </c>
      <c r="AC98" s="10">
        <f>SUMIFS(IsQList,IsIList,Table_ExternalData_15[[#This Row],[item_key]],IsITypeList,Table_ExternalData_15[[#This Row],[IType]],IsDList,Table_ExternalData_15[[#Headers],[25]])</f>
        <v>0</v>
      </c>
      <c r="AD98" s="10">
        <f>SUMIFS(IsQList,IsIList,Table_ExternalData_15[[#This Row],[item_key]],IsITypeList,Table_ExternalData_15[[#This Row],[IType]],IsDList,Table_ExternalData_15[[#Headers],[26]])</f>
        <v>0</v>
      </c>
      <c r="AE98" s="10">
        <f>SUMIFS(IsQList,IsIList,Table_ExternalData_15[[#This Row],[item_key]],IsITypeList,Table_ExternalData_15[[#This Row],[IType]],IsDList,Table_ExternalData_15[[#Headers],[27]])</f>
        <v>0</v>
      </c>
      <c r="AF98" s="10">
        <f>SUMIFS(IsQList,IsIList,Table_ExternalData_15[[#This Row],[item_key]],IsITypeList,Table_ExternalData_15[[#This Row],[IType]],IsDList,Table_ExternalData_15[[#Headers],[28]])</f>
        <v>0</v>
      </c>
      <c r="AG98" s="10">
        <f>SUMIFS(IsQList,IsIList,Table_ExternalData_15[[#This Row],[item_key]],IsITypeList,Table_ExternalData_15[[#This Row],[IType]],IsDList,Table_ExternalData_15[[#Headers],[29]])</f>
        <v>0</v>
      </c>
      <c r="AH98" s="10">
        <f>SUMIFS(IsQList,IsIList,Table_ExternalData_15[[#This Row],[item_key]],IsITypeList,Table_ExternalData_15[[#This Row],[IType]],IsDList,Table_ExternalData_15[[#Headers],[30]])</f>
        <v>0</v>
      </c>
      <c r="AI98" s="10">
        <f>SUMIFS(IsQList,IsIList,Table_ExternalData_15[[#This Row],[item_key]],IsITypeList,Table_ExternalData_15[[#This Row],[IType]],IsDList,Table_ExternalData_15[[#Headers],[31]])</f>
        <v>0</v>
      </c>
      <c r="AJ98" s="10">
        <f>SUM(Table_ExternalData_15[[#This Row],[1]:[31]])</f>
        <v>0</v>
      </c>
    </row>
    <row r="99" spans="1:36">
      <c r="A99" s="1" t="s">
        <v>443</v>
      </c>
      <c r="B99" s="1" t="s">
        <v>1275</v>
      </c>
      <c r="C99" s="1" t="s">
        <v>1276</v>
      </c>
      <c r="D99" s="11" t="s">
        <v>72</v>
      </c>
      <c r="E99" s="10">
        <f>SUMIFS(IsQList,IsIList,Table_ExternalData_15[[#This Row],[item_key]],IsITypeList,Table_ExternalData_15[[#This Row],[IType]],IsDList,Table_ExternalData_15[[#Headers],[1]])</f>
        <v>0</v>
      </c>
      <c r="F99" s="10">
        <f>SUMIFS(IsQList,IsIList,Table_ExternalData_15[[#This Row],[item_key]],IsITypeList,Table_ExternalData_15[[#This Row],[IType]],IsDList,Table_ExternalData_15[[#Headers],[2]])</f>
        <v>0</v>
      </c>
      <c r="G99" s="10">
        <f>SUMIFS(IsQList,IsIList,Table_ExternalData_15[[#This Row],[item_key]],IsITypeList,Table_ExternalData_15[[#This Row],[IType]],IsDList,Table_ExternalData_15[[#Headers],[3]])</f>
        <v>0</v>
      </c>
      <c r="H99" s="10">
        <f>SUMIFS(IsQList,IsIList,Table_ExternalData_15[[#This Row],[item_key]],IsITypeList,Table_ExternalData_15[[#This Row],[IType]],IsDList,Table_ExternalData_15[[#Headers],[4]])</f>
        <v>0</v>
      </c>
      <c r="I99" s="10">
        <f>SUMIFS(IsQList,IsIList,Table_ExternalData_15[[#This Row],[item_key]],IsITypeList,Table_ExternalData_15[[#This Row],[IType]],IsDList,Table_ExternalData_15[[#Headers],[5]])</f>
        <v>0</v>
      </c>
      <c r="J99" s="10">
        <f>SUMIFS(IsQList,IsIList,Table_ExternalData_15[[#This Row],[item_key]],IsITypeList,Table_ExternalData_15[[#This Row],[IType]],IsDList,Table_ExternalData_15[[#Headers],[6]])</f>
        <v>50</v>
      </c>
      <c r="K99" s="10">
        <f>SUMIFS(IsQList,IsIList,Table_ExternalData_15[[#This Row],[item_key]],IsITypeList,Table_ExternalData_15[[#This Row],[IType]],IsDList,Table_ExternalData_15[[#Headers],[7]])</f>
        <v>0</v>
      </c>
      <c r="L99" s="10">
        <f>SUMIFS(IsQList,IsIList,Table_ExternalData_15[[#This Row],[item_key]],IsITypeList,Table_ExternalData_15[[#This Row],[IType]],IsDList,Table_ExternalData_15[[#Headers],[8]])</f>
        <v>0</v>
      </c>
      <c r="M99" s="10">
        <f>SUMIFS(IsQList,IsIList,Table_ExternalData_15[[#This Row],[item_key]],IsITypeList,Table_ExternalData_15[[#This Row],[IType]],IsDList,Table_ExternalData_15[[#Headers],[9]])</f>
        <v>0</v>
      </c>
      <c r="N99" s="10">
        <f>SUMIFS(IsQList,IsIList,Table_ExternalData_15[[#This Row],[item_key]],IsITypeList,Table_ExternalData_15[[#This Row],[IType]],IsDList,Table_ExternalData_15[[#Headers],[10]])</f>
        <v>0</v>
      </c>
      <c r="O99" s="10">
        <f>SUMIFS(IsQList,IsIList,Table_ExternalData_15[[#This Row],[item_key]],IsITypeList,Table_ExternalData_15[[#This Row],[IType]],IsDList,Table_ExternalData_15[[#Headers],[11]])</f>
        <v>0</v>
      </c>
      <c r="P99" s="10">
        <f>SUMIFS(IsQList,IsIList,Table_ExternalData_15[[#This Row],[item_key]],IsITypeList,Table_ExternalData_15[[#This Row],[IType]],IsDList,Table_ExternalData_15[[#Headers],[12]])</f>
        <v>0</v>
      </c>
      <c r="Q99" s="10">
        <f>SUMIFS(IsQList,IsIList,Table_ExternalData_15[[#This Row],[item_key]],IsITypeList,Table_ExternalData_15[[#This Row],[IType]],IsDList,Table_ExternalData_15[[#Headers],[13]])</f>
        <v>0</v>
      </c>
      <c r="R99" s="10">
        <f>SUMIFS(IsQList,IsIList,Table_ExternalData_15[[#This Row],[item_key]],IsITypeList,Table_ExternalData_15[[#This Row],[IType]],IsDList,Table_ExternalData_15[[#Headers],[14]])</f>
        <v>0</v>
      </c>
      <c r="S99" s="10">
        <f>SUMIFS(IsQList,IsIList,Table_ExternalData_15[[#This Row],[item_key]],IsITypeList,Table_ExternalData_15[[#This Row],[IType]],IsDList,Table_ExternalData_15[[#Headers],[15]])</f>
        <v>0</v>
      </c>
      <c r="T99" s="10">
        <f>SUMIFS(IsQList,IsIList,Table_ExternalData_15[[#This Row],[item_key]],IsITypeList,Table_ExternalData_15[[#This Row],[IType]],IsDList,Table_ExternalData_15[[#Headers],[16]])</f>
        <v>0</v>
      </c>
      <c r="U99" s="10">
        <f>SUMIFS(IsQList,IsIList,Table_ExternalData_15[[#This Row],[item_key]],IsITypeList,Table_ExternalData_15[[#This Row],[IType]],IsDList,Table_ExternalData_15[[#Headers],[17]])</f>
        <v>0</v>
      </c>
      <c r="V99" s="10">
        <f>SUMIFS(IsQList,IsIList,Table_ExternalData_15[[#This Row],[item_key]],IsITypeList,Table_ExternalData_15[[#This Row],[IType]],IsDList,Table_ExternalData_15[[#Headers],[18]])</f>
        <v>0</v>
      </c>
      <c r="W99" s="10">
        <f>SUMIFS(IsQList,IsIList,Table_ExternalData_15[[#This Row],[item_key]],IsITypeList,Table_ExternalData_15[[#This Row],[IType]],IsDList,Table_ExternalData_15[[#Headers],[19]])</f>
        <v>0</v>
      </c>
      <c r="X99" s="10">
        <f>SUMIFS(IsQList,IsIList,Table_ExternalData_15[[#This Row],[item_key]],IsITypeList,Table_ExternalData_15[[#This Row],[IType]],IsDList,Table_ExternalData_15[[#Headers],[20]])</f>
        <v>0</v>
      </c>
      <c r="Y99" s="10">
        <f>SUMIFS(IsQList,IsIList,Table_ExternalData_15[[#This Row],[item_key]],IsITypeList,Table_ExternalData_15[[#This Row],[IType]],IsDList,Table_ExternalData_15[[#Headers],[21]])</f>
        <v>0</v>
      </c>
      <c r="Z99" s="10">
        <f>SUMIFS(IsQList,IsIList,Table_ExternalData_15[[#This Row],[item_key]],IsITypeList,Table_ExternalData_15[[#This Row],[IType]],IsDList,Table_ExternalData_15[[#Headers],[22]])</f>
        <v>0</v>
      </c>
      <c r="AA99" s="10">
        <f>SUMIFS(IsQList,IsIList,Table_ExternalData_15[[#This Row],[item_key]],IsITypeList,Table_ExternalData_15[[#This Row],[IType]],IsDList,Table_ExternalData_15[[#Headers],[23]])</f>
        <v>0</v>
      </c>
      <c r="AB99" s="10">
        <f>SUMIFS(IsQList,IsIList,Table_ExternalData_15[[#This Row],[item_key]],IsITypeList,Table_ExternalData_15[[#This Row],[IType]],IsDList,Table_ExternalData_15[[#Headers],[24]])</f>
        <v>20</v>
      </c>
      <c r="AC99" s="10">
        <f>SUMIFS(IsQList,IsIList,Table_ExternalData_15[[#This Row],[item_key]],IsITypeList,Table_ExternalData_15[[#This Row],[IType]],IsDList,Table_ExternalData_15[[#Headers],[25]])</f>
        <v>0</v>
      </c>
      <c r="AD99" s="10">
        <f>SUMIFS(IsQList,IsIList,Table_ExternalData_15[[#This Row],[item_key]],IsITypeList,Table_ExternalData_15[[#This Row],[IType]],IsDList,Table_ExternalData_15[[#Headers],[26]])</f>
        <v>0</v>
      </c>
      <c r="AE99" s="10">
        <f>SUMIFS(IsQList,IsIList,Table_ExternalData_15[[#This Row],[item_key]],IsITypeList,Table_ExternalData_15[[#This Row],[IType]],IsDList,Table_ExternalData_15[[#Headers],[27]])</f>
        <v>0</v>
      </c>
      <c r="AF99" s="10">
        <f>SUMIFS(IsQList,IsIList,Table_ExternalData_15[[#This Row],[item_key]],IsITypeList,Table_ExternalData_15[[#This Row],[IType]],IsDList,Table_ExternalData_15[[#Headers],[28]])</f>
        <v>0</v>
      </c>
      <c r="AG99" s="10">
        <f>SUMIFS(IsQList,IsIList,Table_ExternalData_15[[#This Row],[item_key]],IsITypeList,Table_ExternalData_15[[#This Row],[IType]],IsDList,Table_ExternalData_15[[#Headers],[29]])</f>
        <v>0</v>
      </c>
      <c r="AH99" s="10">
        <f>SUMIFS(IsQList,IsIList,Table_ExternalData_15[[#This Row],[item_key]],IsITypeList,Table_ExternalData_15[[#This Row],[IType]],IsDList,Table_ExternalData_15[[#Headers],[30]])</f>
        <v>50</v>
      </c>
      <c r="AI99" s="10">
        <f>SUMIFS(IsQList,IsIList,Table_ExternalData_15[[#This Row],[item_key]],IsITypeList,Table_ExternalData_15[[#This Row],[IType]],IsDList,Table_ExternalData_15[[#Headers],[31]])</f>
        <v>0</v>
      </c>
      <c r="AJ99" s="10">
        <f>SUM(Table_ExternalData_15[[#This Row],[1]:[31]])</f>
        <v>120</v>
      </c>
    </row>
    <row r="100" spans="1:36">
      <c r="A100" s="1" t="s">
        <v>444</v>
      </c>
      <c r="B100" s="1" t="s">
        <v>2542</v>
      </c>
      <c r="C100" s="1" t="s">
        <v>1278</v>
      </c>
      <c r="D100" s="11" t="s">
        <v>72</v>
      </c>
      <c r="E100" s="10">
        <f>SUMIFS(IsQList,IsIList,Table_ExternalData_15[[#This Row],[item_key]],IsITypeList,Table_ExternalData_15[[#This Row],[IType]],IsDList,Table_ExternalData_15[[#Headers],[1]])</f>
        <v>0</v>
      </c>
      <c r="F100" s="10">
        <f>SUMIFS(IsQList,IsIList,Table_ExternalData_15[[#This Row],[item_key]],IsITypeList,Table_ExternalData_15[[#This Row],[IType]],IsDList,Table_ExternalData_15[[#Headers],[2]])</f>
        <v>0</v>
      </c>
      <c r="G100" s="10">
        <f>SUMIFS(IsQList,IsIList,Table_ExternalData_15[[#This Row],[item_key]],IsITypeList,Table_ExternalData_15[[#This Row],[IType]],IsDList,Table_ExternalData_15[[#Headers],[3]])</f>
        <v>0</v>
      </c>
      <c r="H100" s="10">
        <f>SUMIFS(IsQList,IsIList,Table_ExternalData_15[[#This Row],[item_key]],IsITypeList,Table_ExternalData_15[[#This Row],[IType]],IsDList,Table_ExternalData_15[[#Headers],[4]])</f>
        <v>0</v>
      </c>
      <c r="I100" s="10">
        <f>SUMIFS(IsQList,IsIList,Table_ExternalData_15[[#This Row],[item_key]],IsITypeList,Table_ExternalData_15[[#This Row],[IType]],IsDList,Table_ExternalData_15[[#Headers],[5]])</f>
        <v>0</v>
      </c>
      <c r="J100" s="10">
        <f>SUMIFS(IsQList,IsIList,Table_ExternalData_15[[#This Row],[item_key]],IsITypeList,Table_ExternalData_15[[#This Row],[IType]],IsDList,Table_ExternalData_15[[#Headers],[6]])</f>
        <v>0</v>
      </c>
      <c r="K100" s="10">
        <f>SUMIFS(IsQList,IsIList,Table_ExternalData_15[[#This Row],[item_key]],IsITypeList,Table_ExternalData_15[[#This Row],[IType]],IsDList,Table_ExternalData_15[[#Headers],[7]])</f>
        <v>0</v>
      </c>
      <c r="L100" s="10">
        <f>SUMIFS(IsQList,IsIList,Table_ExternalData_15[[#This Row],[item_key]],IsITypeList,Table_ExternalData_15[[#This Row],[IType]],IsDList,Table_ExternalData_15[[#Headers],[8]])</f>
        <v>0</v>
      </c>
      <c r="M100" s="10">
        <f>SUMIFS(IsQList,IsIList,Table_ExternalData_15[[#This Row],[item_key]],IsITypeList,Table_ExternalData_15[[#This Row],[IType]],IsDList,Table_ExternalData_15[[#Headers],[9]])</f>
        <v>0</v>
      </c>
      <c r="N100" s="10">
        <f>SUMIFS(IsQList,IsIList,Table_ExternalData_15[[#This Row],[item_key]],IsITypeList,Table_ExternalData_15[[#This Row],[IType]],IsDList,Table_ExternalData_15[[#Headers],[10]])</f>
        <v>0</v>
      </c>
      <c r="O100" s="10">
        <f>SUMIFS(IsQList,IsIList,Table_ExternalData_15[[#This Row],[item_key]],IsITypeList,Table_ExternalData_15[[#This Row],[IType]],IsDList,Table_ExternalData_15[[#Headers],[11]])</f>
        <v>0</v>
      </c>
      <c r="P100" s="10">
        <f>SUMIFS(IsQList,IsIList,Table_ExternalData_15[[#This Row],[item_key]],IsITypeList,Table_ExternalData_15[[#This Row],[IType]],IsDList,Table_ExternalData_15[[#Headers],[12]])</f>
        <v>0</v>
      </c>
      <c r="Q100" s="10">
        <f>SUMIFS(IsQList,IsIList,Table_ExternalData_15[[#This Row],[item_key]],IsITypeList,Table_ExternalData_15[[#This Row],[IType]],IsDList,Table_ExternalData_15[[#Headers],[13]])</f>
        <v>0</v>
      </c>
      <c r="R100" s="10">
        <f>SUMIFS(IsQList,IsIList,Table_ExternalData_15[[#This Row],[item_key]],IsITypeList,Table_ExternalData_15[[#This Row],[IType]],IsDList,Table_ExternalData_15[[#Headers],[14]])</f>
        <v>0</v>
      </c>
      <c r="S100" s="10">
        <f>SUMIFS(IsQList,IsIList,Table_ExternalData_15[[#This Row],[item_key]],IsITypeList,Table_ExternalData_15[[#This Row],[IType]],IsDList,Table_ExternalData_15[[#Headers],[15]])</f>
        <v>0</v>
      </c>
      <c r="T100" s="10">
        <f>SUMIFS(IsQList,IsIList,Table_ExternalData_15[[#This Row],[item_key]],IsITypeList,Table_ExternalData_15[[#This Row],[IType]],IsDList,Table_ExternalData_15[[#Headers],[16]])</f>
        <v>0</v>
      </c>
      <c r="U100" s="10">
        <f>SUMIFS(IsQList,IsIList,Table_ExternalData_15[[#This Row],[item_key]],IsITypeList,Table_ExternalData_15[[#This Row],[IType]],IsDList,Table_ExternalData_15[[#Headers],[17]])</f>
        <v>0</v>
      </c>
      <c r="V100" s="10">
        <f>SUMIFS(IsQList,IsIList,Table_ExternalData_15[[#This Row],[item_key]],IsITypeList,Table_ExternalData_15[[#This Row],[IType]],IsDList,Table_ExternalData_15[[#Headers],[18]])</f>
        <v>0</v>
      </c>
      <c r="W100" s="10">
        <f>SUMIFS(IsQList,IsIList,Table_ExternalData_15[[#This Row],[item_key]],IsITypeList,Table_ExternalData_15[[#This Row],[IType]],IsDList,Table_ExternalData_15[[#Headers],[19]])</f>
        <v>0</v>
      </c>
      <c r="X100" s="10">
        <f>SUMIFS(IsQList,IsIList,Table_ExternalData_15[[#This Row],[item_key]],IsITypeList,Table_ExternalData_15[[#This Row],[IType]],IsDList,Table_ExternalData_15[[#Headers],[20]])</f>
        <v>0</v>
      </c>
      <c r="Y100" s="10">
        <f>SUMIFS(IsQList,IsIList,Table_ExternalData_15[[#This Row],[item_key]],IsITypeList,Table_ExternalData_15[[#This Row],[IType]],IsDList,Table_ExternalData_15[[#Headers],[21]])</f>
        <v>0</v>
      </c>
      <c r="Z100" s="10">
        <f>SUMIFS(IsQList,IsIList,Table_ExternalData_15[[#This Row],[item_key]],IsITypeList,Table_ExternalData_15[[#This Row],[IType]],IsDList,Table_ExternalData_15[[#Headers],[22]])</f>
        <v>0</v>
      </c>
      <c r="AA100" s="10">
        <f>SUMIFS(IsQList,IsIList,Table_ExternalData_15[[#This Row],[item_key]],IsITypeList,Table_ExternalData_15[[#This Row],[IType]],IsDList,Table_ExternalData_15[[#Headers],[23]])</f>
        <v>0</v>
      </c>
      <c r="AB100" s="10">
        <f>SUMIFS(IsQList,IsIList,Table_ExternalData_15[[#This Row],[item_key]],IsITypeList,Table_ExternalData_15[[#This Row],[IType]],IsDList,Table_ExternalData_15[[#Headers],[24]])</f>
        <v>0</v>
      </c>
      <c r="AC100" s="10">
        <f>SUMIFS(IsQList,IsIList,Table_ExternalData_15[[#This Row],[item_key]],IsITypeList,Table_ExternalData_15[[#This Row],[IType]],IsDList,Table_ExternalData_15[[#Headers],[25]])</f>
        <v>0</v>
      </c>
      <c r="AD100" s="10">
        <f>SUMIFS(IsQList,IsIList,Table_ExternalData_15[[#This Row],[item_key]],IsITypeList,Table_ExternalData_15[[#This Row],[IType]],IsDList,Table_ExternalData_15[[#Headers],[26]])</f>
        <v>0</v>
      </c>
      <c r="AE100" s="10">
        <f>SUMIFS(IsQList,IsIList,Table_ExternalData_15[[#This Row],[item_key]],IsITypeList,Table_ExternalData_15[[#This Row],[IType]],IsDList,Table_ExternalData_15[[#Headers],[27]])</f>
        <v>0</v>
      </c>
      <c r="AF100" s="10">
        <f>SUMIFS(IsQList,IsIList,Table_ExternalData_15[[#This Row],[item_key]],IsITypeList,Table_ExternalData_15[[#This Row],[IType]],IsDList,Table_ExternalData_15[[#Headers],[28]])</f>
        <v>0</v>
      </c>
      <c r="AG100" s="10">
        <f>SUMIFS(IsQList,IsIList,Table_ExternalData_15[[#This Row],[item_key]],IsITypeList,Table_ExternalData_15[[#This Row],[IType]],IsDList,Table_ExternalData_15[[#Headers],[29]])</f>
        <v>0</v>
      </c>
      <c r="AH100" s="10">
        <f>SUMIFS(IsQList,IsIList,Table_ExternalData_15[[#This Row],[item_key]],IsITypeList,Table_ExternalData_15[[#This Row],[IType]],IsDList,Table_ExternalData_15[[#Headers],[30]])</f>
        <v>0</v>
      </c>
      <c r="AI100" s="10">
        <f>SUMIFS(IsQList,IsIList,Table_ExternalData_15[[#This Row],[item_key]],IsITypeList,Table_ExternalData_15[[#This Row],[IType]],IsDList,Table_ExternalData_15[[#Headers],[31]])</f>
        <v>0</v>
      </c>
      <c r="AJ100" s="10">
        <f>SUM(Table_ExternalData_15[[#This Row],[1]:[31]])</f>
        <v>0</v>
      </c>
    </row>
    <row r="101" spans="1:36">
      <c r="A101" s="1" t="s">
        <v>445</v>
      </c>
      <c r="B101" s="1" t="s">
        <v>1277</v>
      </c>
      <c r="C101" s="1" t="s">
        <v>1278</v>
      </c>
      <c r="D101" s="11" t="s">
        <v>72</v>
      </c>
      <c r="E101" s="10">
        <f>SUMIFS(IsQList,IsIList,Table_ExternalData_15[[#This Row],[item_key]],IsITypeList,Table_ExternalData_15[[#This Row],[IType]],IsDList,Table_ExternalData_15[[#Headers],[1]])</f>
        <v>0</v>
      </c>
      <c r="F101" s="10">
        <f>SUMIFS(IsQList,IsIList,Table_ExternalData_15[[#This Row],[item_key]],IsITypeList,Table_ExternalData_15[[#This Row],[IType]],IsDList,Table_ExternalData_15[[#Headers],[2]])</f>
        <v>0</v>
      </c>
      <c r="G101" s="10">
        <f>SUMIFS(IsQList,IsIList,Table_ExternalData_15[[#This Row],[item_key]],IsITypeList,Table_ExternalData_15[[#This Row],[IType]],IsDList,Table_ExternalData_15[[#Headers],[3]])</f>
        <v>0</v>
      </c>
      <c r="H101" s="10">
        <f>SUMIFS(IsQList,IsIList,Table_ExternalData_15[[#This Row],[item_key]],IsITypeList,Table_ExternalData_15[[#This Row],[IType]],IsDList,Table_ExternalData_15[[#Headers],[4]])</f>
        <v>0</v>
      </c>
      <c r="I101" s="10">
        <f>SUMIFS(IsQList,IsIList,Table_ExternalData_15[[#This Row],[item_key]],IsITypeList,Table_ExternalData_15[[#This Row],[IType]],IsDList,Table_ExternalData_15[[#Headers],[5]])</f>
        <v>0</v>
      </c>
      <c r="J101" s="10">
        <f>SUMIFS(IsQList,IsIList,Table_ExternalData_15[[#This Row],[item_key]],IsITypeList,Table_ExternalData_15[[#This Row],[IType]],IsDList,Table_ExternalData_15[[#Headers],[6]])</f>
        <v>50</v>
      </c>
      <c r="K101" s="10">
        <f>SUMIFS(IsQList,IsIList,Table_ExternalData_15[[#This Row],[item_key]],IsITypeList,Table_ExternalData_15[[#This Row],[IType]],IsDList,Table_ExternalData_15[[#Headers],[7]])</f>
        <v>0</v>
      </c>
      <c r="L101" s="10">
        <f>SUMIFS(IsQList,IsIList,Table_ExternalData_15[[#This Row],[item_key]],IsITypeList,Table_ExternalData_15[[#This Row],[IType]],IsDList,Table_ExternalData_15[[#Headers],[8]])</f>
        <v>0</v>
      </c>
      <c r="M101" s="10">
        <f>SUMIFS(IsQList,IsIList,Table_ExternalData_15[[#This Row],[item_key]],IsITypeList,Table_ExternalData_15[[#This Row],[IType]],IsDList,Table_ExternalData_15[[#Headers],[9]])</f>
        <v>0</v>
      </c>
      <c r="N101" s="10">
        <f>SUMIFS(IsQList,IsIList,Table_ExternalData_15[[#This Row],[item_key]],IsITypeList,Table_ExternalData_15[[#This Row],[IType]],IsDList,Table_ExternalData_15[[#Headers],[10]])</f>
        <v>0</v>
      </c>
      <c r="O101" s="10">
        <f>SUMIFS(IsQList,IsIList,Table_ExternalData_15[[#This Row],[item_key]],IsITypeList,Table_ExternalData_15[[#This Row],[IType]],IsDList,Table_ExternalData_15[[#Headers],[11]])</f>
        <v>0</v>
      </c>
      <c r="P101" s="10">
        <f>SUMIFS(IsQList,IsIList,Table_ExternalData_15[[#This Row],[item_key]],IsITypeList,Table_ExternalData_15[[#This Row],[IType]],IsDList,Table_ExternalData_15[[#Headers],[12]])</f>
        <v>0</v>
      </c>
      <c r="Q101" s="10">
        <f>SUMIFS(IsQList,IsIList,Table_ExternalData_15[[#This Row],[item_key]],IsITypeList,Table_ExternalData_15[[#This Row],[IType]],IsDList,Table_ExternalData_15[[#Headers],[13]])</f>
        <v>0</v>
      </c>
      <c r="R101" s="10">
        <f>SUMIFS(IsQList,IsIList,Table_ExternalData_15[[#This Row],[item_key]],IsITypeList,Table_ExternalData_15[[#This Row],[IType]],IsDList,Table_ExternalData_15[[#Headers],[14]])</f>
        <v>0</v>
      </c>
      <c r="S101" s="10">
        <f>SUMIFS(IsQList,IsIList,Table_ExternalData_15[[#This Row],[item_key]],IsITypeList,Table_ExternalData_15[[#This Row],[IType]],IsDList,Table_ExternalData_15[[#Headers],[15]])</f>
        <v>0</v>
      </c>
      <c r="T101" s="10">
        <f>SUMIFS(IsQList,IsIList,Table_ExternalData_15[[#This Row],[item_key]],IsITypeList,Table_ExternalData_15[[#This Row],[IType]],IsDList,Table_ExternalData_15[[#Headers],[16]])</f>
        <v>0</v>
      </c>
      <c r="U101" s="10">
        <f>SUMIFS(IsQList,IsIList,Table_ExternalData_15[[#This Row],[item_key]],IsITypeList,Table_ExternalData_15[[#This Row],[IType]],IsDList,Table_ExternalData_15[[#Headers],[17]])</f>
        <v>0</v>
      </c>
      <c r="V101" s="10">
        <f>SUMIFS(IsQList,IsIList,Table_ExternalData_15[[#This Row],[item_key]],IsITypeList,Table_ExternalData_15[[#This Row],[IType]],IsDList,Table_ExternalData_15[[#Headers],[18]])</f>
        <v>0</v>
      </c>
      <c r="W101" s="10">
        <f>SUMIFS(IsQList,IsIList,Table_ExternalData_15[[#This Row],[item_key]],IsITypeList,Table_ExternalData_15[[#This Row],[IType]],IsDList,Table_ExternalData_15[[#Headers],[19]])</f>
        <v>0</v>
      </c>
      <c r="X101" s="10">
        <f>SUMIFS(IsQList,IsIList,Table_ExternalData_15[[#This Row],[item_key]],IsITypeList,Table_ExternalData_15[[#This Row],[IType]],IsDList,Table_ExternalData_15[[#Headers],[20]])</f>
        <v>0</v>
      </c>
      <c r="Y101" s="10">
        <f>SUMIFS(IsQList,IsIList,Table_ExternalData_15[[#This Row],[item_key]],IsITypeList,Table_ExternalData_15[[#This Row],[IType]],IsDList,Table_ExternalData_15[[#Headers],[21]])</f>
        <v>0</v>
      </c>
      <c r="Z101" s="10">
        <f>SUMIFS(IsQList,IsIList,Table_ExternalData_15[[#This Row],[item_key]],IsITypeList,Table_ExternalData_15[[#This Row],[IType]],IsDList,Table_ExternalData_15[[#Headers],[22]])</f>
        <v>0</v>
      </c>
      <c r="AA101" s="10">
        <f>SUMIFS(IsQList,IsIList,Table_ExternalData_15[[#This Row],[item_key]],IsITypeList,Table_ExternalData_15[[#This Row],[IType]],IsDList,Table_ExternalData_15[[#Headers],[23]])</f>
        <v>0</v>
      </c>
      <c r="AB101" s="10">
        <f>SUMIFS(IsQList,IsIList,Table_ExternalData_15[[#This Row],[item_key]],IsITypeList,Table_ExternalData_15[[#This Row],[IType]],IsDList,Table_ExternalData_15[[#Headers],[24]])</f>
        <v>20</v>
      </c>
      <c r="AC101" s="10">
        <f>SUMIFS(IsQList,IsIList,Table_ExternalData_15[[#This Row],[item_key]],IsITypeList,Table_ExternalData_15[[#This Row],[IType]],IsDList,Table_ExternalData_15[[#Headers],[25]])</f>
        <v>0</v>
      </c>
      <c r="AD101" s="10">
        <f>SUMIFS(IsQList,IsIList,Table_ExternalData_15[[#This Row],[item_key]],IsITypeList,Table_ExternalData_15[[#This Row],[IType]],IsDList,Table_ExternalData_15[[#Headers],[26]])</f>
        <v>0</v>
      </c>
      <c r="AE101" s="10">
        <f>SUMIFS(IsQList,IsIList,Table_ExternalData_15[[#This Row],[item_key]],IsITypeList,Table_ExternalData_15[[#This Row],[IType]],IsDList,Table_ExternalData_15[[#Headers],[27]])</f>
        <v>0</v>
      </c>
      <c r="AF101" s="10">
        <f>SUMIFS(IsQList,IsIList,Table_ExternalData_15[[#This Row],[item_key]],IsITypeList,Table_ExternalData_15[[#This Row],[IType]],IsDList,Table_ExternalData_15[[#Headers],[28]])</f>
        <v>0</v>
      </c>
      <c r="AG101" s="10">
        <f>SUMIFS(IsQList,IsIList,Table_ExternalData_15[[#This Row],[item_key]],IsITypeList,Table_ExternalData_15[[#This Row],[IType]],IsDList,Table_ExternalData_15[[#Headers],[29]])</f>
        <v>0</v>
      </c>
      <c r="AH101" s="10">
        <f>SUMIFS(IsQList,IsIList,Table_ExternalData_15[[#This Row],[item_key]],IsITypeList,Table_ExternalData_15[[#This Row],[IType]],IsDList,Table_ExternalData_15[[#Headers],[30]])</f>
        <v>50</v>
      </c>
      <c r="AI101" s="10">
        <f>SUMIFS(IsQList,IsIList,Table_ExternalData_15[[#This Row],[item_key]],IsITypeList,Table_ExternalData_15[[#This Row],[IType]],IsDList,Table_ExternalData_15[[#Headers],[31]])</f>
        <v>0</v>
      </c>
      <c r="AJ101" s="10">
        <f>SUM(Table_ExternalData_15[[#This Row],[1]:[31]])</f>
        <v>120</v>
      </c>
    </row>
    <row r="102" spans="1:36">
      <c r="A102" s="1" t="s">
        <v>456</v>
      </c>
      <c r="B102" s="1" t="s">
        <v>1280</v>
      </c>
      <c r="C102" s="1" t="s">
        <v>1279</v>
      </c>
      <c r="D102" s="11" t="s">
        <v>72</v>
      </c>
      <c r="E102" s="10">
        <f>SUMIFS(IsQList,IsIList,Table_ExternalData_15[[#This Row],[item_key]],IsITypeList,Table_ExternalData_15[[#This Row],[IType]],IsDList,Table_ExternalData_15[[#Headers],[1]])</f>
        <v>0</v>
      </c>
      <c r="F102" s="10">
        <f>SUMIFS(IsQList,IsIList,Table_ExternalData_15[[#This Row],[item_key]],IsITypeList,Table_ExternalData_15[[#This Row],[IType]],IsDList,Table_ExternalData_15[[#Headers],[2]])</f>
        <v>0</v>
      </c>
      <c r="G102" s="10">
        <f>SUMIFS(IsQList,IsIList,Table_ExternalData_15[[#This Row],[item_key]],IsITypeList,Table_ExternalData_15[[#This Row],[IType]],IsDList,Table_ExternalData_15[[#Headers],[3]])</f>
        <v>0</v>
      </c>
      <c r="H102" s="10">
        <f>SUMIFS(IsQList,IsIList,Table_ExternalData_15[[#This Row],[item_key]],IsITypeList,Table_ExternalData_15[[#This Row],[IType]],IsDList,Table_ExternalData_15[[#Headers],[4]])</f>
        <v>0</v>
      </c>
      <c r="I102" s="10">
        <f>SUMIFS(IsQList,IsIList,Table_ExternalData_15[[#This Row],[item_key]],IsITypeList,Table_ExternalData_15[[#This Row],[IType]],IsDList,Table_ExternalData_15[[#Headers],[5]])</f>
        <v>0</v>
      </c>
      <c r="J102" s="10">
        <f>SUMIFS(IsQList,IsIList,Table_ExternalData_15[[#This Row],[item_key]],IsITypeList,Table_ExternalData_15[[#This Row],[IType]],IsDList,Table_ExternalData_15[[#Headers],[6]])</f>
        <v>0</v>
      </c>
      <c r="K102" s="10">
        <f>SUMIFS(IsQList,IsIList,Table_ExternalData_15[[#This Row],[item_key]],IsITypeList,Table_ExternalData_15[[#This Row],[IType]],IsDList,Table_ExternalData_15[[#Headers],[7]])</f>
        <v>0</v>
      </c>
      <c r="L102" s="10">
        <f>SUMIFS(IsQList,IsIList,Table_ExternalData_15[[#This Row],[item_key]],IsITypeList,Table_ExternalData_15[[#This Row],[IType]],IsDList,Table_ExternalData_15[[#Headers],[8]])</f>
        <v>0</v>
      </c>
      <c r="M102" s="10">
        <f>SUMIFS(IsQList,IsIList,Table_ExternalData_15[[#This Row],[item_key]],IsITypeList,Table_ExternalData_15[[#This Row],[IType]],IsDList,Table_ExternalData_15[[#Headers],[9]])</f>
        <v>0</v>
      </c>
      <c r="N102" s="10">
        <f>SUMIFS(IsQList,IsIList,Table_ExternalData_15[[#This Row],[item_key]],IsITypeList,Table_ExternalData_15[[#This Row],[IType]],IsDList,Table_ExternalData_15[[#Headers],[10]])</f>
        <v>0</v>
      </c>
      <c r="O102" s="10">
        <f>SUMIFS(IsQList,IsIList,Table_ExternalData_15[[#This Row],[item_key]],IsITypeList,Table_ExternalData_15[[#This Row],[IType]],IsDList,Table_ExternalData_15[[#Headers],[11]])</f>
        <v>0</v>
      </c>
      <c r="P102" s="10">
        <f>SUMIFS(IsQList,IsIList,Table_ExternalData_15[[#This Row],[item_key]],IsITypeList,Table_ExternalData_15[[#This Row],[IType]],IsDList,Table_ExternalData_15[[#Headers],[12]])</f>
        <v>0</v>
      </c>
      <c r="Q102" s="10">
        <f>SUMIFS(IsQList,IsIList,Table_ExternalData_15[[#This Row],[item_key]],IsITypeList,Table_ExternalData_15[[#This Row],[IType]],IsDList,Table_ExternalData_15[[#Headers],[13]])</f>
        <v>0</v>
      </c>
      <c r="R102" s="10">
        <f>SUMIFS(IsQList,IsIList,Table_ExternalData_15[[#This Row],[item_key]],IsITypeList,Table_ExternalData_15[[#This Row],[IType]],IsDList,Table_ExternalData_15[[#Headers],[14]])</f>
        <v>0</v>
      </c>
      <c r="S102" s="10">
        <f>SUMIFS(IsQList,IsIList,Table_ExternalData_15[[#This Row],[item_key]],IsITypeList,Table_ExternalData_15[[#This Row],[IType]],IsDList,Table_ExternalData_15[[#Headers],[15]])</f>
        <v>0</v>
      </c>
      <c r="T102" s="10">
        <f>SUMIFS(IsQList,IsIList,Table_ExternalData_15[[#This Row],[item_key]],IsITypeList,Table_ExternalData_15[[#This Row],[IType]],IsDList,Table_ExternalData_15[[#Headers],[16]])</f>
        <v>0</v>
      </c>
      <c r="U102" s="10">
        <f>SUMIFS(IsQList,IsIList,Table_ExternalData_15[[#This Row],[item_key]],IsITypeList,Table_ExternalData_15[[#This Row],[IType]],IsDList,Table_ExternalData_15[[#Headers],[17]])</f>
        <v>0</v>
      </c>
      <c r="V102" s="10">
        <f>SUMIFS(IsQList,IsIList,Table_ExternalData_15[[#This Row],[item_key]],IsITypeList,Table_ExternalData_15[[#This Row],[IType]],IsDList,Table_ExternalData_15[[#Headers],[18]])</f>
        <v>0</v>
      </c>
      <c r="W102" s="10">
        <f>SUMIFS(IsQList,IsIList,Table_ExternalData_15[[#This Row],[item_key]],IsITypeList,Table_ExternalData_15[[#This Row],[IType]],IsDList,Table_ExternalData_15[[#Headers],[19]])</f>
        <v>0</v>
      </c>
      <c r="X102" s="10">
        <f>SUMIFS(IsQList,IsIList,Table_ExternalData_15[[#This Row],[item_key]],IsITypeList,Table_ExternalData_15[[#This Row],[IType]],IsDList,Table_ExternalData_15[[#Headers],[20]])</f>
        <v>0</v>
      </c>
      <c r="Y102" s="10">
        <f>SUMIFS(IsQList,IsIList,Table_ExternalData_15[[#This Row],[item_key]],IsITypeList,Table_ExternalData_15[[#This Row],[IType]],IsDList,Table_ExternalData_15[[#Headers],[21]])</f>
        <v>0</v>
      </c>
      <c r="Z102" s="10">
        <f>SUMIFS(IsQList,IsIList,Table_ExternalData_15[[#This Row],[item_key]],IsITypeList,Table_ExternalData_15[[#This Row],[IType]],IsDList,Table_ExternalData_15[[#Headers],[22]])</f>
        <v>0</v>
      </c>
      <c r="AA102" s="10">
        <f>SUMIFS(IsQList,IsIList,Table_ExternalData_15[[#This Row],[item_key]],IsITypeList,Table_ExternalData_15[[#This Row],[IType]],IsDList,Table_ExternalData_15[[#Headers],[23]])</f>
        <v>0</v>
      </c>
      <c r="AB102" s="10">
        <f>SUMIFS(IsQList,IsIList,Table_ExternalData_15[[#This Row],[item_key]],IsITypeList,Table_ExternalData_15[[#This Row],[IType]],IsDList,Table_ExternalData_15[[#Headers],[24]])</f>
        <v>0</v>
      </c>
      <c r="AC102" s="10">
        <f>SUMIFS(IsQList,IsIList,Table_ExternalData_15[[#This Row],[item_key]],IsITypeList,Table_ExternalData_15[[#This Row],[IType]],IsDList,Table_ExternalData_15[[#Headers],[25]])</f>
        <v>0</v>
      </c>
      <c r="AD102" s="10">
        <f>SUMIFS(IsQList,IsIList,Table_ExternalData_15[[#This Row],[item_key]],IsITypeList,Table_ExternalData_15[[#This Row],[IType]],IsDList,Table_ExternalData_15[[#Headers],[26]])</f>
        <v>0</v>
      </c>
      <c r="AE102" s="10">
        <f>SUMIFS(IsQList,IsIList,Table_ExternalData_15[[#This Row],[item_key]],IsITypeList,Table_ExternalData_15[[#This Row],[IType]],IsDList,Table_ExternalData_15[[#Headers],[27]])</f>
        <v>0</v>
      </c>
      <c r="AF102" s="10">
        <f>SUMIFS(IsQList,IsIList,Table_ExternalData_15[[#This Row],[item_key]],IsITypeList,Table_ExternalData_15[[#This Row],[IType]],IsDList,Table_ExternalData_15[[#Headers],[28]])</f>
        <v>0</v>
      </c>
      <c r="AG102" s="10">
        <f>SUMIFS(IsQList,IsIList,Table_ExternalData_15[[#This Row],[item_key]],IsITypeList,Table_ExternalData_15[[#This Row],[IType]],IsDList,Table_ExternalData_15[[#Headers],[29]])</f>
        <v>0</v>
      </c>
      <c r="AH102" s="10">
        <f>SUMIFS(IsQList,IsIList,Table_ExternalData_15[[#This Row],[item_key]],IsITypeList,Table_ExternalData_15[[#This Row],[IType]],IsDList,Table_ExternalData_15[[#Headers],[30]])</f>
        <v>9</v>
      </c>
      <c r="AI102" s="10">
        <f>SUMIFS(IsQList,IsIList,Table_ExternalData_15[[#This Row],[item_key]],IsITypeList,Table_ExternalData_15[[#This Row],[IType]],IsDList,Table_ExternalData_15[[#Headers],[31]])</f>
        <v>0</v>
      </c>
      <c r="AJ102" s="10">
        <f>SUM(Table_ExternalData_15[[#This Row],[1]:[31]])</f>
        <v>9</v>
      </c>
    </row>
    <row r="103" spans="1:36">
      <c r="A103" s="1" t="s">
        <v>462</v>
      </c>
      <c r="B103" s="1" t="s">
        <v>2370</v>
      </c>
      <c r="C103" s="1" t="s">
        <v>2371</v>
      </c>
      <c r="D103" s="11" t="s">
        <v>72</v>
      </c>
      <c r="E103" s="10">
        <f>SUMIFS(IsQList,IsIList,Table_ExternalData_15[[#This Row],[item_key]],IsITypeList,Table_ExternalData_15[[#This Row],[IType]],IsDList,Table_ExternalData_15[[#Headers],[1]])</f>
        <v>0</v>
      </c>
      <c r="F103" s="10">
        <f>SUMIFS(IsQList,IsIList,Table_ExternalData_15[[#This Row],[item_key]],IsITypeList,Table_ExternalData_15[[#This Row],[IType]],IsDList,Table_ExternalData_15[[#Headers],[2]])</f>
        <v>0</v>
      </c>
      <c r="G103" s="10">
        <f>SUMIFS(IsQList,IsIList,Table_ExternalData_15[[#This Row],[item_key]],IsITypeList,Table_ExternalData_15[[#This Row],[IType]],IsDList,Table_ExternalData_15[[#Headers],[3]])</f>
        <v>0</v>
      </c>
      <c r="H103" s="10">
        <f>SUMIFS(IsQList,IsIList,Table_ExternalData_15[[#This Row],[item_key]],IsITypeList,Table_ExternalData_15[[#This Row],[IType]],IsDList,Table_ExternalData_15[[#Headers],[4]])</f>
        <v>0</v>
      </c>
      <c r="I103" s="10">
        <f>SUMIFS(IsQList,IsIList,Table_ExternalData_15[[#This Row],[item_key]],IsITypeList,Table_ExternalData_15[[#This Row],[IType]],IsDList,Table_ExternalData_15[[#Headers],[5]])</f>
        <v>0</v>
      </c>
      <c r="J103" s="10">
        <f>SUMIFS(IsQList,IsIList,Table_ExternalData_15[[#This Row],[item_key]],IsITypeList,Table_ExternalData_15[[#This Row],[IType]],IsDList,Table_ExternalData_15[[#Headers],[6]])</f>
        <v>2</v>
      </c>
      <c r="K103" s="10">
        <f>SUMIFS(IsQList,IsIList,Table_ExternalData_15[[#This Row],[item_key]],IsITypeList,Table_ExternalData_15[[#This Row],[IType]],IsDList,Table_ExternalData_15[[#Headers],[7]])</f>
        <v>0</v>
      </c>
      <c r="L103" s="10">
        <f>SUMIFS(IsQList,IsIList,Table_ExternalData_15[[#This Row],[item_key]],IsITypeList,Table_ExternalData_15[[#This Row],[IType]],IsDList,Table_ExternalData_15[[#Headers],[8]])</f>
        <v>0</v>
      </c>
      <c r="M103" s="10">
        <f>SUMIFS(IsQList,IsIList,Table_ExternalData_15[[#This Row],[item_key]],IsITypeList,Table_ExternalData_15[[#This Row],[IType]],IsDList,Table_ExternalData_15[[#Headers],[9]])</f>
        <v>0</v>
      </c>
      <c r="N103" s="10">
        <f>SUMIFS(IsQList,IsIList,Table_ExternalData_15[[#This Row],[item_key]],IsITypeList,Table_ExternalData_15[[#This Row],[IType]],IsDList,Table_ExternalData_15[[#Headers],[10]])</f>
        <v>0</v>
      </c>
      <c r="O103" s="10">
        <f>SUMIFS(IsQList,IsIList,Table_ExternalData_15[[#This Row],[item_key]],IsITypeList,Table_ExternalData_15[[#This Row],[IType]],IsDList,Table_ExternalData_15[[#Headers],[11]])</f>
        <v>0</v>
      </c>
      <c r="P103" s="10">
        <f>SUMIFS(IsQList,IsIList,Table_ExternalData_15[[#This Row],[item_key]],IsITypeList,Table_ExternalData_15[[#This Row],[IType]],IsDList,Table_ExternalData_15[[#Headers],[12]])</f>
        <v>0</v>
      </c>
      <c r="Q103" s="10">
        <f>SUMIFS(IsQList,IsIList,Table_ExternalData_15[[#This Row],[item_key]],IsITypeList,Table_ExternalData_15[[#This Row],[IType]],IsDList,Table_ExternalData_15[[#Headers],[13]])</f>
        <v>0</v>
      </c>
      <c r="R103" s="10">
        <f>SUMIFS(IsQList,IsIList,Table_ExternalData_15[[#This Row],[item_key]],IsITypeList,Table_ExternalData_15[[#This Row],[IType]],IsDList,Table_ExternalData_15[[#Headers],[14]])</f>
        <v>0</v>
      </c>
      <c r="S103" s="10">
        <f>SUMIFS(IsQList,IsIList,Table_ExternalData_15[[#This Row],[item_key]],IsITypeList,Table_ExternalData_15[[#This Row],[IType]],IsDList,Table_ExternalData_15[[#Headers],[15]])</f>
        <v>0</v>
      </c>
      <c r="T103" s="10">
        <f>SUMIFS(IsQList,IsIList,Table_ExternalData_15[[#This Row],[item_key]],IsITypeList,Table_ExternalData_15[[#This Row],[IType]],IsDList,Table_ExternalData_15[[#Headers],[16]])</f>
        <v>5</v>
      </c>
      <c r="U103" s="10">
        <f>SUMIFS(IsQList,IsIList,Table_ExternalData_15[[#This Row],[item_key]],IsITypeList,Table_ExternalData_15[[#This Row],[IType]],IsDList,Table_ExternalData_15[[#Headers],[17]])</f>
        <v>0</v>
      </c>
      <c r="V103" s="10">
        <f>SUMIFS(IsQList,IsIList,Table_ExternalData_15[[#This Row],[item_key]],IsITypeList,Table_ExternalData_15[[#This Row],[IType]],IsDList,Table_ExternalData_15[[#Headers],[18]])</f>
        <v>0</v>
      </c>
      <c r="W103" s="10">
        <f>SUMIFS(IsQList,IsIList,Table_ExternalData_15[[#This Row],[item_key]],IsITypeList,Table_ExternalData_15[[#This Row],[IType]],IsDList,Table_ExternalData_15[[#Headers],[19]])</f>
        <v>0</v>
      </c>
      <c r="X103" s="10">
        <f>SUMIFS(IsQList,IsIList,Table_ExternalData_15[[#This Row],[item_key]],IsITypeList,Table_ExternalData_15[[#This Row],[IType]],IsDList,Table_ExternalData_15[[#Headers],[20]])</f>
        <v>0</v>
      </c>
      <c r="Y103" s="10">
        <f>SUMIFS(IsQList,IsIList,Table_ExternalData_15[[#This Row],[item_key]],IsITypeList,Table_ExternalData_15[[#This Row],[IType]],IsDList,Table_ExternalData_15[[#Headers],[21]])</f>
        <v>0</v>
      </c>
      <c r="Z103" s="10">
        <f>SUMIFS(IsQList,IsIList,Table_ExternalData_15[[#This Row],[item_key]],IsITypeList,Table_ExternalData_15[[#This Row],[IType]],IsDList,Table_ExternalData_15[[#Headers],[22]])</f>
        <v>0</v>
      </c>
      <c r="AA103" s="10">
        <f>SUMIFS(IsQList,IsIList,Table_ExternalData_15[[#This Row],[item_key]],IsITypeList,Table_ExternalData_15[[#This Row],[IType]],IsDList,Table_ExternalData_15[[#Headers],[23]])</f>
        <v>0</v>
      </c>
      <c r="AB103" s="10">
        <f>SUMIFS(IsQList,IsIList,Table_ExternalData_15[[#This Row],[item_key]],IsITypeList,Table_ExternalData_15[[#This Row],[IType]],IsDList,Table_ExternalData_15[[#Headers],[24]])</f>
        <v>2</v>
      </c>
      <c r="AC103" s="10">
        <f>SUMIFS(IsQList,IsIList,Table_ExternalData_15[[#This Row],[item_key]],IsITypeList,Table_ExternalData_15[[#This Row],[IType]],IsDList,Table_ExternalData_15[[#Headers],[25]])</f>
        <v>0</v>
      </c>
      <c r="AD103" s="10">
        <f>SUMIFS(IsQList,IsIList,Table_ExternalData_15[[#This Row],[item_key]],IsITypeList,Table_ExternalData_15[[#This Row],[IType]],IsDList,Table_ExternalData_15[[#Headers],[26]])</f>
        <v>0</v>
      </c>
      <c r="AE103" s="10">
        <f>SUMIFS(IsQList,IsIList,Table_ExternalData_15[[#This Row],[item_key]],IsITypeList,Table_ExternalData_15[[#This Row],[IType]],IsDList,Table_ExternalData_15[[#Headers],[27]])</f>
        <v>0</v>
      </c>
      <c r="AF103" s="10">
        <f>SUMIFS(IsQList,IsIList,Table_ExternalData_15[[#This Row],[item_key]],IsITypeList,Table_ExternalData_15[[#This Row],[IType]],IsDList,Table_ExternalData_15[[#Headers],[28]])</f>
        <v>0</v>
      </c>
      <c r="AG103" s="10">
        <f>SUMIFS(IsQList,IsIList,Table_ExternalData_15[[#This Row],[item_key]],IsITypeList,Table_ExternalData_15[[#This Row],[IType]],IsDList,Table_ExternalData_15[[#Headers],[29]])</f>
        <v>0</v>
      </c>
      <c r="AH103" s="10">
        <f>SUMIFS(IsQList,IsIList,Table_ExternalData_15[[#This Row],[item_key]],IsITypeList,Table_ExternalData_15[[#This Row],[IType]],IsDList,Table_ExternalData_15[[#Headers],[30]])</f>
        <v>0</v>
      </c>
      <c r="AI103" s="10">
        <f>SUMIFS(IsQList,IsIList,Table_ExternalData_15[[#This Row],[item_key]],IsITypeList,Table_ExternalData_15[[#This Row],[IType]],IsDList,Table_ExternalData_15[[#Headers],[31]])</f>
        <v>0</v>
      </c>
      <c r="AJ103" s="10">
        <f>SUM(Table_ExternalData_15[[#This Row],[1]:[31]])</f>
        <v>9</v>
      </c>
    </row>
    <row r="104" spans="1:36">
      <c r="A104" s="1" t="s">
        <v>464</v>
      </c>
      <c r="B104" s="1" t="s">
        <v>1281</v>
      </c>
      <c r="C104" s="1" t="s">
        <v>1282</v>
      </c>
      <c r="D104" s="11" t="s">
        <v>72</v>
      </c>
      <c r="E104" s="10">
        <f>SUMIFS(IsQList,IsIList,Table_ExternalData_15[[#This Row],[item_key]],IsITypeList,Table_ExternalData_15[[#This Row],[IType]],IsDList,Table_ExternalData_15[[#Headers],[1]])</f>
        <v>0</v>
      </c>
      <c r="F104" s="10">
        <f>SUMIFS(IsQList,IsIList,Table_ExternalData_15[[#This Row],[item_key]],IsITypeList,Table_ExternalData_15[[#This Row],[IType]],IsDList,Table_ExternalData_15[[#Headers],[2]])</f>
        <v>0</v>
      </c>
      <c r="G104" s="10">
        <f>SUMIFS(IsQList,IsIList,Table_ExternalData_15[[#This Row],[item_key]],IsITypeList,Table_ExternalData_15[[#This Row],[IType]],IsDList,Table_ExternalData_15[[#Headers],[3]])</f>
        <v>0</v>
      </c>
      <c r="H104" s="10">
        <f>SUMIFS(IsQList,IsIList,Table_ExternalData_15[[#This Row],[item_key]],IsITypeList,Table_ExternalData_15[[#This Row],[IType]],IsDList,Table_ExternalData_15[[#Headers],[4]])</f>
        <v>0</v>
      </c>
      <c r="I104" s="10">
        <f>SUMIFS(IsQList,IsIList,Table_ExternalData_15[[#This Row],[item_key]],IsITypeList,Table_ExternalData_15[[#This Row],[IType]],IsDList,Table_ExternalData_15[[#Headers],[5]])</f>
        <v>0</v>
      </c>
      <c r="J104" s="10">
        <f>SUMIFS(IsQList,IsIList,Table_ExternalData_15[[#This Row],[item_key]],IsITypeList,Table_ExternalData_15[[#This Row],[IType]],IsDList,Table_ExternalData_15[[#Headers],[6]])</f>
        <v>0</v>
      </c>
      <c r="K104" s="10">
        <f>SUMIFS(IsQList,IsIList,Table_ExternalData_15[[#This Row],[item_key]],IsITypeList,Table_ExternalData_15[[#This Row],[IType]],IsDList,Table_ExternalData_15[[#Headers],[7]])</f>
        <v>0</v>
      </c>
      <c r="L104" s="10">
        <f>SUMIFS(IsQList,IsIList,Table_ExternalData_15[[#This Row],[item_key]],IsITypeList,Table_ExternalData_15[[#This Row],[IType]],IsDList,Table_ExternalData_15[[#Headers],[8]])</f>
        <v>0</v>
      </c>
      <c r="M104" s="10">
        <f>SUMIFS(IsQList,IsIList,Table_ExternalData_15[[#This Row],[item_key]],IsITypeList,Table_ExternalData_15[[#This Row],[IType]],IsDList,Table_ExternalData_15[[#Headers],[9]])</f>
        <v>0</v>
      </c>
      <c r="N104" s="10">
        <f>SUMIFS(IsQList,IsIList,Table_ExternalData_15[[#This Row],[item_key]],IsITypeList,Table_ExternalData_15[[#This Row],[IType]],IsDList,Table_ExternalData_15[[#Headers],[10]])</f>
        <v>0</v>
      </c>
      <c r="O104" s="10">
        <f>SUMIFS(IsQList,IsIList,Table_ExternalData_15[[#This Row],[item_key]],IsITypeList,Table_ExternalData_15[[#This Row],[IType]],IsDList,Table_ExternalData_15[[#Headers],[11]])</f>
        <v>0</v>
      </c>
      <c r="P104" s="10">
        <f>SUMIFS(IsQList,IsIList,Table_ExternalData_15[[#This Row],[item_key]],IsITypeList,Table_ExternalData_15[[#This Row],[IType]],IsDList,Table_ExternalData_15[[#Headers],[12]])</f>
        <v>0</v>
      </c>
      <c r="Q104" s="10">
        <f>SUMIFS(IsQList,IsIList,Table_ExternalData_15[[#This Row],[item_key]],IsITypeList,Table_ExternalData_15[[#This Row],[IType]],IsDList,Table_ExternalData_15[[#Headers],[13]])</f>
        <v>0</v>
      </c>
      <c r="R104" s="10">
        <f>SUMIFS(IsQList,IsIList,Table_ExternalData_15[[#This Row],[item_key]],IsITypeList,Table_ExternalData_15[[#This Row],[IType]],IsDList,Table_ExternalData_15[[#Headers],[14]])</f>
        <v>0</v>
      </c>
      <c r="S104" s="10">
        <f>SUMIFS(IsQList,IsIList,Table_ExternalData_15[[#This Row],[item_key]],IsITypeList,Table_ExternalData_15[[#This Row],[IType]],IsDList,Table_ExternalData_15[[#Headers],[15]])</f>
        <v>0</v>
      </c>
      <c r="T104" s="10">
        <f>SUMIFS(IsQList,IsIList,Table_ExternalData_15[[#This Row],[item_key]],IsITypeList,Table_ExternalData_15[[#This Row],[IType]],IsDList,Table_ExternalData_15[[#Headers],[16]])</f>
        <v>2</v>
      </c>
      <c r="U104" s="10">
        <f>SUMIFS(IsQList,IsIList,Table_ExternalData_15[[#This Row],[item_key]],IsITypeList,Table_ExternalData_15[[#This Row],[IType]],IsDList,Table_ExternalData_15[[#Headers],[17]])</f>
        <v>0</v>
      </c>
      <c r="V104" s="10">
        <f>SUMIFS(IsQList,IsIList,Table_ExternalData_15[[#This Row],[item_key]],IsITypeList,Table_ExternalData_15[[#This Row],[IType]],IsDList,Table_ExternalData_15[[#Headers],[18]])</f>
        <v>0</v>
      </c>
      <c r="W104" s="10">
        <f>SUMIFS(IsQList,IsIList,Table_ExternalData_15[[#This Row],[item_key]],IsITypeList,Table_ExternalData_15[[#This Row],[IType]],IsDList,Table_ExternalData_15[[#Headers],[19]])</f>
        <v>0</v>
      </c>
      <c r="X104" s="10">
        <f>SUMIFS(IsQList,IsIList,Table_ExternalData_15[[#This Row],[item_key]],IsITypeList,Table_ExternalData_15[[#This Row],[IType]],IsDList,Table_ExternalData_15[[#Headers],[20]])</f>
        <v>0</v>
      </c>
      <c r="Y104" s="10">
        <f>SUMIFS(IsQList,IsIList,Table_ExternalData_15[[#This Row],[item_key]],IsITypeList,Table_ExternalData_15[[#This Row],[IType]],IsDList,Table_ExternalData_15[[#Headers],[21]])</f>
        <v>0</v>
      </c>
      <c r="Z104" s="10">
        <f>SUMIFS(IsQList,IsIList,Table_ExternalData_15[[#This Row],[item_key]],IsITypeList,Table_ExternalData_15[[#This Row],[IType]],IsDList,Table_ExternalData_15[[#Headers],[22]])</f>
        <v>0</v>
      </c>
      <c r="AA104" s="10">
        <f>SUMIFS(IsQList,IsIList,Table_ExternalData_15[[#This Row],[item_key]],IsITypeList,Table_ExternalData_15[[#This Row],[IType]],IsDList,Table_ExternalData_15[[#Headers],[23]])</f>
        <v>0</v>
      </c>
      <c r="AB104" s="10">
        <f>SUMIFS(IsQList,IsIList,Table_ExternalData_15[[#This Row],[item_key]],IsITypeList,Table_ExternalData_15[[#This Row],[IType]],IsDList,Table_ExternalData_15[[#Headers],[24]])</f>
        <v>0</v>
      </c>
      <c r="AC104" s="10">
        <f>SUMIFS(IsQList,IsIList,Table_ExternalData_15[[#This Row],[item_key]],IsITypeList,Table_ExternalData_15[[#This Row],[IType]],IsDList,Table_ExternalData_15[[#Headers],[25]])</f>
        <v>0</v>
      </c>
      <c r="AD104" s="10">
        <f>SUMIFS(IsQList,IsIList,Table_ExternalData_15[[#This Row],[item_key]],IsITypeList,Table_ExternalData_15[[#This Row],[IType]],IsDList,Table_ExternalData_15[[#Headers],[26]])</f>
        <v>0</v>
      </c>
      <c r="AE104" s="10">
        <f>SUMIFS(IsQList,IsIList,Table_ExternalData_15[[#This Row],[item_key]],IsITypeList,Table_ExternalData_15[[#This Row],[IType]],IsDList,Table_ExternalData_15[[#Headers],[27]])</f>
        <v>0</v>
      </c>
      <c r="AF104" s="10">
        <f>SUMIFS(IsQList,IsIList,Table_ExternalData_15[[#This Row],[item_key]],IsITypeList,Table_ExternalData_15[[#This Row],[IType]],IsDList,Table_ExternalData_15[[#Headers],[28]])</f>
        <v>0</v>
      </c>
      <c r="AG104" s="10">
        <f>SUMIFS(IsQList,IsIList,Table_ExternalData_15[[#This Row],[item_key]],IsITypeList,Table_ExternalData_15[[#This Row],[IType]],IsDList,Table_ExternalData_15[[#Headers],[29]])</f>
        <v>0</v>
      </c>
      <c r="AH104" s="10">
        <f>SUMIFS(IsQList,IsIList,Table_ExternalData_15[[#This Row],[item_key]],IsITypeList,Table_ExternalData_15[[#This Row],[IType]],IsDList,Table_ExternalData_15[[#Headers],[30]])</f>
        <v>0</v>
      </c>
      <c r="AI104" s="10">
        <f>SUMIFS(IsQList,IsIList,Table_ExternalData_15[[#This Row],[item_key]],IsITypeList,Table_ExternalData_15[[#This Row],[IType]],IsDList,Table_ExternalData_15[[#Headers],[31]])</f>
        <v>0</v>
      </c>
      <c r="AJ104" s="10">
        <f>SUM(Table_ExternalData_15[[#This Row],[1]:[31]])</f>
        <v>2</v>
      </c>
    </row>
    <row r="105" spans="1:36">
      <c r="A105" s="1" t="s">
        <v>467</v>
      </c>
      <c r="B105" s="1" t="s">
        <v>1284</v>
      </c>
      <c r="C105" s="1" t="s">
        <v>1283</v>
      </c>
      <c r="D105" s="11" t="s">
        <v>72</v>
      </c>
      <c r="E105" s="10">
        <f>SUMIFS(IsQList,IsIList,Table_ExternalData_15[[#This Row],[item_key]],IsITypeList,Table_ExternalData_15[[#This Row],[IType]],IsDList,Table_ExternalData_15[[#Headers],[1]])</f>
        <v>0</v>
      </c>
      <c r="F105" s="10">
        <f>SUMIFS(IsQList,IsIList,Table_ExternalData_15[[#This Row],[item_key]],IsITypeList,Table_ExternalData_15[[#This Row],[IType]],IsDList,Table_ExternalData_15[[#Headers],[2]])</f>
        <v>0</v>
      </c>
      <c r="G105" s="10">
        <f>SUMIFS(IsQList,IsIList,Table_ExternalData_15[[#This Row],[item_key]],IsITypeList,Table_ExternalData_15[[#This Row],[IType]],IsDList,Table_ExternalData_15[[#Headers],[3]])</f>
        <v>0</v>
      </c>
      <c r="H105" s="10">
        <f>SUMIFS(IsQList,IsIList,Table_ExternalData_15[[#This Row],[item_key]],IsITypeList,Table_ExternalData_15[[#This Row],[IType]],IsDList,Table_ExternalData_15[[#Headers],[4]])</f>
        <v>0</v>
      </c>
      <c r="I105" s="10">
        <f>SUMIFS(IsQList,IsIList,Table_ExternalData_15[[#This Row],[item_key]],IsITypeList,Table_ExternalData_15[[#This Row],[IType]],IsDList,Table_ExternalData_15[[#Headers],[5]])</f>
        <v>0</v>
      </c>
      <c r="J105" s="10">
        <f>SUMIFS(IsQList,IsIList,Table_ExternalData_15[[#This Row],[item_key]],IsITypeList,Table_ExternalData_15[[#This Row],[IType]],IsDList,Table_ExternalData_15[[#Headers],[6]])</f>
        <v>0</v>
      </c>
      <c r="K105" s="10">
        <f>SUMIFS(IsQList,IsIList,Table_ExternalData_15[[#This Row],[item_key]],IsITypeList,Table_ExternalData_15[[#This Row],[IType]],IsDList,Table_ExternalData_15[[#Headers],[7]])</f>
        <v>0</v>
      </c>
      <c r="L105" s="10">
        <f>SUMIFS(IsQList,IsIList,Table_ExternalData_15[[#This Row],[item_key]],IsITypeList,Table_ExternalData_15[[#This Row],[IType]],IsDList,Table_ExternalData_15[[#Headers],[8]])</f>
        <v>0</v>
      </c>
      <c r="M105" s="10">
        <f>SUMIFS(IsQList,IsIList,Table_ExternalData_15[[#This Row],[item_key]],IsITypeList,Table_ExternalData_15[[#This Row],[IType]],IsDList,Table_ExternalData_15[[#Headers],[9]])</f>
        <v>0</v>
      </c>
      <c r="N105" s="10">
        <f>SUMIFS(IsQList,IsIList,Table_ExternalData_15[[#This Row],[item_key]],IsITypeList,Table_ExternalData_15[[#This Row],[IType]],IsDList,Table_ExternalData_15[[#Headers],[10]])</f>
        <v>0</v>
      </c>
      <c r="O105" s="10">
        <f>SUMIFS(IsQList,IsIList,Table_ExternalData_15[[#This Row],[item_key]],IsITypeList,Table_ExternalData_15[[#This Row],[IType]],IsDList,Table_ExternalData_15[[#Headers],[11]])</f>
        <v>0</v>
      </c>
      <c r="P105" s="10">
        <f>SUMIFS(IsQList,IsIList,Table_ExternalData_15[[#This Row],[item_key]],IsITypeList,Table_ExternalData_15[[#This Row],[IType]],IsDList,Table_ExternalData_15[[#Headers],[12]])</f>
        <v>0</v>
      </c>
      <c r="Q105" s="10">
        <f>SUMIFS(IsQList,IsIList,Table_ExternalData_15[[#This Row],[item_key]],IsITypeList,Table_ExternalData_15[[#This Row],[IType]],IsDList,Table_ExternalData_15[[#Headers],[13]])</f>
        <v>0</v>
      </c>
      <c r="R105" s="10">
        <f>SUMIFS(IsQList,IsIList,Table_ExternalData_15[[#This Row],[item_key]],IsITypeList,Table_ExternalData_15[[#This Row],[IType]],IsDList,Table_ExternalData_15[[#Headers],[14]])</f>
        <v>0</v>
      </c>
      <c r="S105" s="10">
        <f>SUMIFS(IsQList,IsIList,Table_ExternalData_15[[#This Row],[item_key]],IsITypeList,Table_ExternalData_15[[#This Row],[IType]],IsDList,Table_ExternalData_15[[#Headers],[15]])</f>
        <v>0</v>
      </c>
      <c r="T105" s="10">
        <f>SUMIFS(IsQList,IsIList,Table_ExternalData_15[[#This Row],[item_key]],IsITypeList,Table_ExternalData_15[[#This Row],[IType]],IsDList,Table_ExternalData_15[[#Headers],[16]])</f>
        <v>0</v>
      </c>
      <c r="U105" s="10">
        <f>SUMIFS(IsQList,IsIList,Table_ExternalData_15[[#This Row],[item_key]],IsITypeList,Table_ExternalData_15[[#This Row],[IType]],IsDList,Table_ExternalData_15[[#Headers],[17]])</f>
        <v>0</v>
      </c>
      <c r="V105" s="10">
        <f>SUMIFS(IsQList,IsIList,Table_ExternalData_15[[#This Row],[item_key]],IsITypeList,Table_ExternalData_15[[#This Row],[IType]],IsDList,Table_ExternalData_15[[#Headers],[18]])</f>
        <v>0</v>
      </c>
      <c r="W105" s="10">
        <f>SUMIFS(IsQList,IsIList,Table_ExternalData_15[[#This Row],[item_key]],IsITypeList,Table_ExternalData_15[[#This Row],[IType]],IsDList,Table_ExternalData_15[[#Headers],[19]])</f>
        <v>0</v>
      </c>
      <c r="X105" s="10">
        <f>SUMIFS(IsQList,IsIList,Table_ExternalData_15[[#This Row],[item_key]],IsITypeList,Table_ExternalData_15[[#This Row],[IType]],IsDList,Table_ExternalData_15[[#Headers],[20]])</f>
        <v>0</v>
      </c>
      <c r="Y105" s="10">
        <f>SUMIFS(IsQList,IsIList,Table_ExternalData_15[[#This Row],[item_key]],IsITypeList,Table_ExternalData_15[[#This Row],[IType]],IsDList,Table_ExternalData_15[[#Headers],[21]])</f>
        <v>0</v>
      </c>
      <c r="Z105" s="10">
        <f>SUMIFS(IsQList,IsIList,Table_ExternalData_15[[#This Row],[item_key]],IsITypeList,Table_ExternalData_15[[#This Row],[IType]],IsDList,Table_ExternalData_15[[#Headers],[22]])</f>
        <v>0</v>
      </c>
      <c r="AA105" s="10">
        <f>SUMIFS(IsQList,IsIList,Table_ExternalData_15[[#This Row],[item_key]],IsITypeList,Table_ExternalData_15[[#This Row],[IType]],IsDList,Table_ExternalData_15[[#Headers],[23]])</f>
        <v>0</v>
      </c>
      <c r="AB105" s="10">
        <f>SUMIFS(IsQList,IsIList,Table_ExternalData_15[[#This Row],[item_key]],IsITypeList,Table_ExternalData_15[[#This Row],[IType]],IsDList,Table_ExternalData_15[[#Headers],[24]])</f>
        <v>0</v>
      </c>
      <c r="AC105" s="10">
        <f>SUMIFS(IsQList,IsIList,Table_ExternalData_15[[#This Row],[item_key]],IsITypeList,Table_ExternalData_15[[#This Row],[IType]],IsDList,Table_ExternalData_15[[#Headers],[25]])</f>
        <v>0</v>
      </c>
      <c r="AD105" s="10">
        <f>SUMIFS(IsQList,IsIList,Table_ExternalData_15[[#This Row],[item_key]],IsITypeList,Table_ExternalData_15[[#This Row],[IType]],IsDList,Table_ExternalData_15[[#Headers],[26]])</f>
        <v>0</v>
      </c>
      <c r="AE105" s="10">
        <f>SUMIFS(IsQList,IsIList,Table_ExternalData_15[[#This Row],[item_key]],IsITypeList,Table_ExternalData_15[[#This Row],[IType]],IsDList,Table_ExternalData_15[[#Headers],[27]])</f>
        <v>0</v>
      </c>
      <c r="AF105" s="10">
        <f>SUMIFS(IsQList,IsIList,Table_ExternalData_15[[#This Row],[item_key]],IsITypeList,Table_ExternalData_15[[#This Row],[IType]],IsDList,Table_ExternalData_15[[#Headers],[28]])</f>
        <v>0</v>
      </c>
      <c r="AG105" s="10">
        <f>SUMIFS(IsQList,IsIList,Table_ExternalData_15[[#This Row],[item_key]],IsITypeList,Table_ExternalData_15[[#This Row],[IType]],IsDList,Table_ExternalData_15[[#Headers],[29]])</f>
        <v>0</v>
      </c>
      <c r="AH105" s="10">
        <f>SUMIFS(IsQList,IsIList,Table_ExternalData_15[[#This Row],[item_key]],IsITypeList,Table_ExternalData_15[[#This Row],[IType]],IsDList,Table_ExternalData_15[[#Headers],[30]])</f>
        <v>0</v>
      </c>
      <c r="AI105" s="10">
        <f>SUMIFS(IsQList,IsIList,Table_ExternalData_15[[#This Row],[item_key]],IsITypeList,Table_ExternalData_15[[#This Row],[IType]],IsDList,Table_ExternalData_15[[#Headers],[31]])</f>
        <v>0</v>
      </c>
      <c r="AJ105" s="10">
        <f>SUM(Table_ExternalData_15[[#This Row],[1]:[31]])</f>
        <v>0</v>
      </c>
    </row>
    <row r="106" spans="1:36">
      <c r="A106" s="1" t="s">
        <v>1728</v>
      </c>
      <c r="C106" s="1" t="s">
        <v>2543</v>
      </c>
      <c r="D106" s="11" t="s">
        <v>72</v>
      </c>
      <c r="E106" s="10">
        <f>SUMIFS(IsQList,IsIList,Table_ExternalData_15[[#This Row],[item_key]],IsITypeList,Table_ExternalData_15[[#This Row],[IType]],IsDList,Table_ExternalData_15[[#Headers],[1]])</f>
        <v>0</v>
      </c>
      <c r="F106" s="10">
        <f>SUMIFS(IsQList,IsIList,Table_ExternalData_15[[#This Row],[item_key]],IsITypeList,Table_ExternalData_15[[#This Row],[IType]],IsDList,Table_ExternalData_15[[#Headers],[2]])</f>
        <v>0</v>
      </c>
      <c r="G106" s="10">
        <f>SUMIFS(IsQList,IsIList,Table_ExternalData_15[[#This Row],[item_key]],IsITypeList,Table_ExternalData_15[[#This Row],[IType]],IsDList,Table_ExternalData_15[[#Headers],[3]])</f>
        <v>0</v>
      </c>
      <c r="H106" s="10">
        <f>SUMIFS(IsQList,IsIList,Table_ExternalData_15[[#This Row],[item_key]],IsITypeList,Table_ExternalData_15[[#This Row],[IType]],IsDList,Table_ExternalData_15[[#Headers],[4]])</f>
        <v>0</v>
      </c>
      <c r="I106" s="10">
        <f>SUMIFS(IsQList,IsIList,Table_ExternalData_15[[#This Row],[item_key]],IsITypeList,Table_ExternalData_15[[#This Row],[IType]],IsDList,Table_ExternalData_15[[#Headers],[5]])</f>
        <v>0</v>
      </c>
      <c r="J106" s="10">
        <f>SUMIFS(IsQList,IsIList,Table_ExternalData_15[[#This Row],[item_key]],IsITypeList,Table_ExternalData_15[[#This Row],[IType]],IsDList,Table_ExternalData_15[[#Headers],[6]])</f>
        <v>0</v>
      </c>
      <c r="K106" s="10">
        <f>SUMIFS(IsQList,IsIList,Table_ExternalData_15[[#This Row],[item_key]],IsITypeList,Table_ExternalData_15[[#This Row],[IType]],IsDList,Table_ExternalData_15[[#Headers],[7]])</f>
        <v>0</v>
      </c>
      <c r="L106" s="10">
        <f>SUMIFS(IsQList,IsIList,Table_ExternalData_15[[#This Row],[item_key]],IsITypeList,Table_ExternalData_15[[#This Row],[IType]],IsDList,Table_ExternalData_15[[#Headers],[8]])</f>
        <v>0</v>
      </c>
      <c r="M106" s="10">
        <f>SUMIFS(IsQList,IsIList,Table_ExternalData_15[[#This Row],[item_key]],IsITypeList,Table_ExternalData_15[[#This Row],[IType]],IsDList,Table_ExternalData_15[[#Headers],[9]])</f>
        <v>0</v>
      </c>
      <c r="N106" s="10">
        <f>SUMIFS(IsQList,IsIList,Table_ExternalData_15[[#This Row],[item_key]],IsITypeList,Table_ExternalData_15[[#This Row],[IType]],IsDList,Table_ExternalData_15[[#Headers],[10]])</f>
        <v>20</v>
      </c>
      <c r="O106" s="10">
        <f>SUMIFS(IsQList,IsIList,Table_ExternalData_15[[#This Row],[item_key]],IsITypeList,Table_ExternalData_15[[#This Row],[IType]],IsDList,Table_ExternalData_15[[#Headers],[11]])</f>
        <v>0</v>
      </c>
      <c r="P106" s="10">
        <f>SUMIFS(IsQList,IsIList,Table_ExternalData_15[[#This Row],[item_key]],IsITypeList,Table_ExternalData_15[[#This Row],[IType]],IsDList,Table_ExternalData_15[[#Headers],[12]])</f>
        <v>0</v>
      </c>
      <c r="Q106" s="10">
        <f>SUMIFS(IsQList,IsIList,Table_ExternalData_15[[#This Row],[item_key]],IsITypeList,Table_ExternalData_15[[#This Row],[IType]],IsDList,Table_ExternalData_15[[#Headers],[13]])</f>
        <v>0</v>
      </c>
      <c r="R106" s="10">
        <f>SUMIFS(IsQList,IsIList,Table_ExternalData_15[[#This Row],[item_key]],IsITypeList,Table_ExternalData_15[[#This Row],[IType]],IsDList,Table_ExternalData_15[[#Headers],[14]])</f>
        <v>0</v>
      </c>
      <c r="S106" s="10">
        <f>SUMIFS(IsQList,IsIList,Table_ExternalData_15[[#This Row],[item_key]],IsITypeList,Table_ExternalData_15[[#This Row],[IType]],IsDList,Table_ExternalData_15[[#Headers],[15]])</f>
        <v>0</v>
      </c>
      <c r="T106" s="10">
        <f>SUMIFS(IsQList,IsIList,Table_ExternalData_15[[#This Row],[item_key]],IsITypeList,Table_ExternalData_15[[#This Row],[IType]],IsDList,Table_ExternalData_15[[#Headers],[16]])</f>
        <v>10</v>
      </c>
      <c r="U106" s="10">
        <f>SUMIFS(IsQList,IsIList,Table_ExternalData_15[[#This Row],[item_key]],IsITypeList,Table_ExternalData_15[[#This Row],[IType]],IsDList,Table_ExternalData_15[[#Headers],[17]])</f>
        <v>0</v>
      </c>
      <c r="V106" s="10">
        <f>SUMIFS(IsQList,IsIList,Table_ExternalData_15[[#This Row],[item_key]],IsITypeList,Table_ExternalData_15[[#This Row],[IType]],IsDList,Table_ExternalData_15[[#Headers],[18]])</f>
        <v>0</v>
      </c>
      <c r="W106" s="10">
        <f>SUMIFS(IsQList,IsIList,Table_ExternalData_15[[#This Row],[item_key]],IsITypeList,Table_ExternalData_15[[#This Row],[IType]],IsDList,Table_ExternalData_15[[#Headers],[19]])</f>
        <v>0</v>
      </c>
      <c r="X106" s="10">
        <f>SUMIFS(IsQList,IsIList,Table_ExternalData_15[[#This Row],[item_key]],IsITypeList,Table_ExternalData_15[[#This Row],[IType]],IsDList,Table_ExternalData_15[[#Headers],[20]])</f>
        <v>0</v>
      </c>
      <c r="Y106" s="10">
        <f>SUMIFS(IsQList,IsIList,Table_ExternalData_15[[#This Row],[item_key]],IsITypeList,Table_ExternalData_15[[#This Row],[IType]],IsDList,Table_ExternalData_15[[#Headers],[21]])</f>
        <v>0</v>
      </c>
      <c r="Z106" s="10">
        <f>SUMIFS(IsQList,IsIList,Table_ExternalData_15[[#This Row],[item_key]],IsITypeList,Table_ExternalData_15[[#This Row],[IType]],IsDList,Table_ExternalData_15[[#Headers],[22]])</f>
        <v>0</v>
      </c>
      <c r="AA106" s="10">
        <f>SUMIFS(IsQList,IsIList,Table_ExternalData_15[[#This Row],[item_key]],IsITypeList,Table_ExternalData_15[[#This Row],[IType]],IsDList,Table_ExternalData_15[[#Headers],[23]])</f>
        <v>0</v>
      </c>
      <c r="AB106" s="10">
        <f>SUMIFS(IsQList,IsIList,Table_ExternalData_15[[#This Row],[item_key]],IsITypeList,Table_ExternalData_15[[#This Row],[IType]],IsDList,Table_ExternalData_15[[#Headers],[24]])</f>
        <v>0</v>
      </c>
      <c r="AC106" s="10">
        <f>SUMIFS(IsQList,IsIList,Table_ExternalData_15[[#This Row],[item_key]],IsITypeList,Table_ExternalData_15[[#This Row],[IType]],IsDList,Table_ExternalData_15[[#Headers],[25]])</f>
        <v>0</v>
      </c>
      <c r="AD106" s="10">
        <f>SUMIFS(IsQList,IsIList,Table_ExternalData_15[[#This Row],[item_key]],IsITypeList,Table_ExternalData_15[[#This Row],[IType]],IsDList,Table_ExternalData_15[[#Headers],[26]])</f>
        <v>0</v>
      </c>
      <c r="AE106" s="10">
        <f>SUMIFS(IsQList,IsIList,Table_ExternalData_15[[#This Row],[item_key]],IsITypeList,Table_ExternalData_15[[#This Row],[IType]],IsDList,Table_ExternalData_15[[#Headers],[27]])</f>
        <v>0</v>
      </c>
      <c r="AF106" s="10">
        <f>SUMIFS(IsQList,IsIList,Table_ExternalData_15[[#This Row],[item_key]],IsITypeList,Table_ExternalData_15[[#This Row],[IType]],IsDList,Table_ExternalData_15[[#Headers],[28]])</f>
        <v>0</v>
      </c>
      <c r="AG106" s="10">
        <f>SUMIFS(IsQList,IsIList,Table_ExternalData_15[[#This Row],[item_key]],IsITypeList,Table_ExternalData_15[[#This Row],[IType]],IsDList,Table_ExternalData_15[[#Headers],[29]])</f>
        <v>0</v>
      </c>
      <c r="AH106" s="10">
        <f>SUMIFS(IsQList,IsIList,Table_ExternalData_15[[#This Row],[item_key]],IsITypeList,Table_ExternalData_15[[#This Row],[IType]],IsDList,Table_ExternalData_15[[#Headers],[30]])</f>
        <v>10</v>
      </c>
      <c r="AI106" s="10">
        <f>SUMIFS(IsQList,IsIList,Table_ExternalData_15[[#This Row],[item_key]],IsITypeList,Table_ExternalData_15[[#This Row],[IType]],IsDList,Table_ExternalData_15[[#Headers],[31]])</f>
        <v>0</v>
      </c>
      <c r="AJ106" s="10">
        <f>SUM(Table_ExternalData_15[[#This Row],[1]:[31]])</f>
        <v>40</v>
      </c>
    </row>
    <row r="107" spans="1:36">
      <c r="A107" s="1" t="s">
        <v>480</v>
      </c>
      <c r="B107" s="1" t="s">
        <v>2544</v>
      </c>
      <c r="C107" s="1" t="s">
        <v>2545</v>
      </c>
      <c r="D107" s="11" t="s">
        <v>72</v>
      </c>
      <c r="E107" s="10">
        <f>SUMIFS(IsQList,IsIList,Table_ExternalData_15[[#This Row],[item_key]],IsITypeList,Table_ExternalData_15[[#This Row],[IType]],IsDList,Table_ExternalData_15[[#Headers],[1]])</f>
        <v>0</v>
      </c>
      <c r="F107" s="10">
        <f>SUMIFS(IsQList,IsIList,Table_ExternalData_15[[#This Row],[item_key]],IsITypeList,Table_ExternalData_15[[#This Row],[IType]],IsDList,Table_ExternalData_15[[#Headers],[2]])</f>
        <v>0</v>
      </c>
      <c r="G107" s="10">
        <f>SUMIFS(IsQList,IsIList,Table_ExternalData_15[[#This Row],[item_key]],IsITypeList,Table_ExternalData_15[[#This Row],[IType]],IsDList,Table_ExternalData_15[[#Headers],[3]])</f>
        <v>0</v>
      </c>
      <c r="H107" s="10">
        <f>SUMIFS(IsQList,IsIList,Table_ExternalData_15[[#This Row],[item_key]],IsITypeList,Table_ExternalData_15[[#This Row],[IType]],IsDList,Table_ExternalData_15[[#Headers],[4]])</f>
        <v>0</v>
      </c>
      <c r="I107" s="10">
        <f>SUMIFS(IsQList,IsIList,Table_ExternalData_15[[#This Row],[item_key]],IsITypeList,Table_ExternalData_15[[#This Row],[IType]],IsDList,Table_ExternalData_15[[#Headers],[5]])</f>
        <v>0</v>
      </c>
      <c r="J107" s="10">
        <f>SUMIFS(IsQList,IsIList,Table_ExternalData_15[[#This Row],[item_key]],IsITypeList,Table_ExternalData_15[[#This Row],[IType]],IsDList,Table_ExternalData_15[[#Headers],[6]])</f>
        <v>0</v>
      </c>
      <c r="K107" s="10">
        <f>SUMIFS(IsQList,IsIList,Table_ExternalData_15[[#This Row],[item_key]],IsITypeList,Table_ExternalData_15[[#This Row],[IType]],IsDList,Table_ExternalData_15[[#Headers],[7]])</f>
        <v>0</v>
      </c>
      <c r="L107" s="10">
        <f>SUMIFS(IsQList,IsIList,Table_ExternalData_15[[#This Row],[item_key]],IsITypeList,Table_ExternalData_15[[#This Row],[IType]],IsDList,Table_ExternalData_15[[#Headers],[8]])</f>
        <v>0</v>
      </c>
      <c r="M107" s="10">
        <f>SUMIFS(IsQList,IsIList,Table_ExternalData_15[[#This Row],[item_key]],IsITypeList,Table_ExternalData_15[[#This Row],[IType]],IsDList,Table_ExternalData_15[[#Headers],[9]])</f>
        <v>0</v>
      </c>
      <c r="N107" s="10">
        <f>SUMIFS(IsQList,IsIList,Table_ExternalData_15[[#This Row],[item_key]],IsITypeList,Table_ExternalData_15[[#This Row],[IType]],IsDList,Table_ExternalData_15[[#Headers],[10]])</f>
        <v>0</v>
      </c>
      <c r="O107" s="10">
        <f>SUMIFS(IsQList,IsIList,Table_ExternalData_15[[#This Row],[item_key]],IsITypeList,Table_ExternalData_15[[#This Row],[IType]],IsDList,Table_ExternalData_15[[#Headers],[11]])</f>
        <v>0</v>
      </c>
      <c r="P107" s="10">
        <f>SUMIFS(IsQList,IsIList,Table_ExternalData_15[[#This Row],[item_key]],IsITypeList,Table_ExternalData_15[[#This Row],[IType]],IsDList,Table_ExternalData_15[[#Headers],[12]])</f>
        <v>0</v>
      </c>
      <c r="Q107" s="10">
        <f>SUMIFS(IsQList,IsIList,Table_ExternalData_15[[#This Row],[item_key]],IsITypeList,Table_ExternalData_15[[#This Row],[IType]],IsDList,Table_ExternalData_15[[#Headers],[13]])</f>
        <v>0</v>
      </c>
      <c r="R107" s="10">
        <f>SUMIFS(IsQList,IsIList,Table_ExternalData_15[[#This Row],[item_key]],IsITypeList,Table_ExternalData_15[[#This Row],[IType]],IsDList,Table_ExternalData_15[[#Headers],[14]])</f>
        <v>0</v>
      </c>
      <c r="S107" s="10">
        <f>SUMIFS(IsQList,IsIList,Table_ExternalData_15[[#This Row],[item_key]],IsITypeList,Table_ExternalData_15[[#This Row],[IType]],IsDList,Table_ExternalData_15[[#Headers],[15]])</f>
        <v>0</v>
      </c>
      <c r="T107" s="10">
        <f>SUMIFS(IsQList,IsIList,Table_ExternalData_15[[#This Row],[item_key]],IsITypeList,Table_ExternalData_15[[#This Row],[IType]],IsDList,Table_ExternalData_15[[#Headers],[16]])</f>
        <v>10</v>
      </c>
      <c r="U107" s="10">
        <f>SUMIFS(IsQList,IsIList,Table_ExternalData_15[[#This Row],[item_key]],IsITypeList,Table_ExternalData_15[[#This Row],[IType]],IsDList,Table_ExternalData_15[[#Headers],[17]])</f>
        <v>0</v>
      </c>
      <c r="V107" s="10">
        <f>SUMIFS(IsQList,IsIList,Table_ExternalData_15[[#This Row],[item_key]],IsITypeList,Table_ExternalData_15[[#This Row],[IType]],IsDList,Table_ExternalData_15[[#Headers],[18]])</f>
        <v>0</v>
      </c>
      <c r="W107" s="10">
        <f>SUMIFS(IsQList,IsIList,Table_ExternalData_15[[#This Row],[item_key]],IsITypeList,Table_ExternalData_15[[#This Row],[IType]],IsDList,Table_ExternalData_15[[#Headers],[19]])</f>
        <v>0</v>
      </c>
      <c r="X107" s="10">
        <f>SUMIFS(IsQList,IsIList,Table_ExternalData_15[[#This Row],[item_key]],IsITypeList,Table_ExternalData_15[[#This Row],[IType]],IsDList,Table_ExternalData_15[[#Headers],[20]])</f>
        <v>0</v>
      </c>
      <c r="Y107" s="10">
        <f>SUMIFS(IsQList,IsIList,Table_ExternalData_15[[#This Row],[item_key]],IsITypeList,Table_ExternalData_15[[#This Row],[IType]],IsDList,Table_ExternalData_15[[#Headers],[21]])</f>
        <v>0</v>
      </c>
      <c r="Z107" s="10">
        <f>SUMIFS(IsQList,IsIList,Table_ExternalData_15[[#This Row],[item_key]],IsITypeList,Table_ExternalData_15[[#This Row],[IType]],IsDList,Table_ExternalData_15[[#Headers],[22]])</f>
        <v>0</v>
      </c>
      <c r="AA107" s="10">
        <f>SUMIFS(IsQList,IsIList,Table_ExternalData_15[[#This Row],[item_key]],IsITypeList,Table_ExternalData_15[[#This Row],[IType]],IsDList,Table_ExternalData_15[[#Headers],[23]])</f>
        <v>0</v>
      </c>
      <c r="AB107" s="10">
        <f>SUMIFS(IsQList,IsIList,Table_ExternalData_15[[#This Row],[item_key]],IsITypeList,Table_ExternalData_15[[#This Row],[IType]],IsDList,Table_ExternalData_15[[#Headers],[24]])</f>
        <v>0</v>
      </c>
      <c r="AC107" s="10">
        <f>SUMIFS(IsQList,IsIList,Table_ExternalData_15[[#This Row],[item_key]],IsITypeList,Table_ExternalData_15[[#This Row],[IType]],IsDList,Table_ExternalData_15[[#Headers],[25]])</f>
        <v>0</v>
      </c>
      <c r="AD107" s="10">
        <f>SUMIFS(IsQList,IsIList,Table_ExternalData_15[[#This Row],[item_key]],IsITypeList,Table_ExternalData_15[[#This Row],[IType]],IsDList,Table_ExternalData_15[[#Headers],[26]])</f>
        <v>0</v>
      </c>
      <c r="AE107" s="10">
        <f>SUMIFS(IsQList,IsIList,Table_ExternalData_15[[#This Row],[item_key]],IsITypeList,Table_ExternalData_15[[#This Row],[IType]],IsDList,Table_ExternalData_15[[#Headers],[27]])</f>
        <v>0</v>
      </c>
      <c r="AF107" s="10">
        <f>SUMIFS(IsQList,IsIList,Table_ExternalData_15[[#This Row],[item_key]],IsITypeList,Table_ExternalData_15[[#This Row],[IType]],IsDList,Table_ExternalData_15[[#Headers],[28]])</f>
        <v>0</v>
      </c>
      <c r="AG107" s="10">
        <f>SUMIFS(IsQList,IsIList,Table_ExternalData_15[[#This Row],[item_key]],IsITypeList,Table_ExternalData_15[[#This Row],[IType]],IsDList,Table_ExternalData_15[[#Headers],[29]])</f>
        <v>0</v>
      </c>
      <c r="AH107" s="10">
        <f>SUMIFS(IsQList,IsIList,Table_ExternalData_15[[#This Row],[item_key]],IsITypeList,Table_ExternalData_15[[#This Row],[IType]],IsDList,Table_ExternalData_15[[#Headers],[30]])</f>
        <v>0</v>
      </c>
      <c r="AI107" s="10">
        <f>SUMIFS(IsQList,IsIList,Table_ExternalData_15[[#This Row],[item_key]],IsITypeList,Table_ExternalData_15[[#This Row],[IType]],IsDList,Table_ExternalData_15[[#Headers],[31]])</f>
        <v>0</v>
      </c>
      <c r="AJ107" s="10">
        <f>SUM(Table_ExternalData_15[[#This Row],[1]:[31]])</f>
        <v>10</v>
      </c>
    </row>
    <row r="108" spans="1:36">
      <c r="A108" s="1" t="s">
        <v>489</v>
      </c>
      <c r="B108" s="1" t="s">
        <v>2546</v>
      </c>
      <c r="C108" s="1" t="s">
        <v>2547</v>
      </c>
      <c r="D108" s="11" t="s">
        <v>72</v>
      </c>
      <c r="E108" s="10">
        <f>SUMIFS(IsQList,IsIList,Table_ExternalData_15[[#This Row],[item_key]],IsITypeList,Table_ExternalData_15[[#This Row],[IType]],IsDList,Table_ExternalData_15[[#Headers],[1]])</f>
        <v>0</v>
      </c>
      <c r="F108" s="10">
        <f>SUMIFS(IsQList,IsIList,Table_ExternalData_15[[#This Row],[item_key]],IsITypeList,Table_ExternalData_15[[#This Row],[IType]],IsDList,Table_ExternalData_15[[#Headers],[2]])</f>
        <v>0</v>
      </c>
      <c r="G108" s="10">
        <f>SUMIFS(IsQList,IsIList,Table_ExternalData_15[[#This Row],[item_key]],IsITypeList,Table_ExternalData_15[[#This Row],[IType]],IsDList,Table_ExternalData_15[[#Headers],[3]])</f>
        <v>0</v>
      </c>
      <c r="H108" s="10">
        <f>SUMIFS(IsQList,IsIList,Table_ExternalData_15[[#This Row],[item_key]],IsITypeList,Table_ExternalData_15[[#This Row],[IType]],IsDList,Table_ExternalData_15[[#Headers],[4]])</f>
        <v>0</v>
      </c>
      <c r="I108" s="10">
        <f>SUMIFS(IsQList,IsIList,Table_ExternalData_15[[#This Row],[item_key]],IsITypeList,Table_ExternalData_15[[#This Row],[IType]],IsDList,Table_ExternalData_15[[#Headers],[5]])</f>
        <v>0</v>
      </c>
      <c r="J108" s="10">
        <f>SUMIFS(IsQList,IsIList,Table_ExternalData_15[[#This Row],[item_key]],IsITypeList,Table_ExternalData_15[[#This Row],[IType]],IsDList,Table_ExternalData_15[[#Headers],[6]])</f>
        <v>0</v>
      </c>
      <c r="K108" s="10">
        <f>SUMIFS(IsQList,IsIList,Table_ExternalData_15[[#This Row],[item_key]],IsITypeList,Table_ExternalData_15[[#This Row],[IType]],IsDList,Table_ExternalData_15[[#Headers],[7]])</f>
        <v>0</v>
      </c>
      <c r="L108" s="10">
        <f>SUMIFS(IsQList,IsIList,Table_ExternalData_15[[#This Row],[item_key]],IsITypeList,Table_ExternalData_15[[#This Row],[IType]],IsDList,Table_ExternalData_15[[#Headers],[8]])</f>
        <v>0</v>
      </c>
      <c r="M108" s="10">
        <f>SUMIFS(IsQList,IsIList,Table_ExternalData_15[[#This Row],[item_key]],IsITypeList,Table_ExternalData_15[[#This Row],[IType]],IsDList,Table_ExternalData_15[[#Headers],[9]])</f>
        <v>0</v>
      </c>
      <c r="N108" s="10">
        <f>SUMIFS(IsQList,IsIList,Table_ExternalData_15[[#This Row],[item_key]],IsITypeList,Table_ExternalData_15[[#This Row],[IType]],IsDList,Table_ExternalData_15[[#Headers],[10]])</f>
        <v>0</v>
      </c>
      <c r="O108" s="10">
        <f>SUMIFS(IsQList,IsIList,Table_ExternalData_15[[#This Row],[item_key]],IsITypeList,Table_ExternalData_15[[#This Row],[IType]],IsDList,Table_ExternalData_15[[#Headers],[11]])</f>
        <v>0</v>
      </c>
      <c r="P108" s="10">
        <f>SUMIFS(IsQList,IsIList,Table_ExternalData_15[[#This Row],[item_key]],IsITypeList,Table_ExternalData_15[[#This Row],[IType]],IsDList,Table_ExternalData_15[[#Headers],[12]])</f>
        <v>0</v>
      </c>
      <c r="Q108" s="10">
        <f>SUMIFS(IsQList,IsIList,Table_ExternalData_15[[#This Row],[item_key]],IsITypeList,Table_ExternalData_15[[#This Row],[IType]],IsDList,Table_ExternalData_15[[#Headers],[13]])</f>
        <v>0</v>
      </c>
      <c r="R108" s="10">
        <f>SUMIFS(IsQList,IsIList,Table_ExternalData_15[[#This Row],[item_key]],IsITypeList,Table_ExternalData_15[[#This Row],[IType]],IsDList,Table_ExternalData_15[[#Headers],[14]])</f>
        <v>0</v>
      </c>
      <c r="S108" s="10">
        <f>SUMIFS(IsQList,IsIList,Table_ExternalData_15[[#This Row],[item_key]],IsITypeList,Table_ExternalData_15[[#This Row],[IType]],IsDList,Table_ExternalData_15[[#Headers],[15]])</f>
        <v>0</v>
      </c>
      <c r="T108" s="10">
        <f>SUMIFS(IsQList,IsIList,Table_ExternalData_15[[#This Row],[item_key]],IsITypeList,Table_ExternalData_15[[#This Row],[IType]],IsDList,Table_ExternalData_15[[#Headers],[16]])</f>
        <v>0</v>
      </c>
      <c r="U108" s="10">
        <f>SUMIFS(IsQList,IsIList,Table_ExternalData_15[[#This Row],[item_key]],IsITypeList,Table_ExternalData_15[[#This Row],[IType]],IsDList,Table_ExternalData_15[[#Headers],[17]])</f>
        <v>0</v>
      </c>
      <c r="V108" s="10">
        <f>SUMIFS(IsQList,IsIList,Table_ExternalData_15[[#This Row],[item_key]],IsITypeList,Table_ExternalData_15[[#This Row],[IType]],IsDList,Table_ExternalData_15[[#Headers],[18]])</f>
        <v>0</v>
      </c>
      <c r="W108" s="10">
        <f>SUMIFS(IsQList,IsIList,Table_ExternalData_15[[#This Row],[item_key]],IsITypeList,Table_ExternalData_15[[#This Row],[IType]],IsDList,Table_ExternalData_15[[#Headers],[19]])</f>
        <v>0</v>
      </c>
      <c r="X108" s="10">
        <f>SUMIFS(IsQList,IsIList,Table_ExternalData_15[[#This Row],[item_key]],IsITypeList,Table_ExternalData_15[[#This Row],[IType]],IsDList,Table_ExternalData_15[[#Headers],[20]])</f>
        <v>0</v>
      </c>
      <c r="Y108" s="10">
        <f>SUMIFS(IsQList,IsIList,Table_ExternalData_15[[#This Row],[item_key]],IsITypeList,Table_ExternalData_15[[#This Row],[IType]],IsDList,Table_ExternalData_15[[#Headers],[21]])</f>
        <v>0</v>
      </c>
      <c r="Z108" s="10">
        <f>SUMIFS(IsQList,IsIList,Table_ExternalData_15[[#This Row],[item_key]],IsITypeList,Table_ExternalData_15[[#This Row],[IType]],IsDList,Table_ExternalData_15[[#Headers],[22]])</f>
        <v>0</v>
      </c>
      <c r="AA108" s="10">
        <f>SUMIFS(IsQList,IsIList,Table_ExternalData_15[[#This Row],[item_key]],IsITypeList,Table_ExternalData_15[[#This Row],[IType]],IsDList,Table_ExternalData_15[[#Headers],[23]])</f>
        <v>0</v>
      </c>
      <c r="AB108" s="10">
        <f>SUMIFS(IsQList,IsIList,Table_ExternalData_15[[#This Row],[item_key]],IsITypeList,Table_ExternalData_15[[#This Row],[IType]],IsDList,Table_ExternalData_15[[#Headers],[24]])</f>
        <v>0</v>
      </c>
      <c r="AC108" s="10">
        <f>SUMIFS(IsQList,IsIList,Table_ExternalData_15[[#This Row],[item_key]],IsITypeList,Table_ExternalData_15[[#This Row],[IType]],IsDList,Table_ExternalData_15[[#Headers],[25]])</f>
        <v>0</v>
      </c>
      <c r="AD108" s="10">
        <f>SUMIFS(IsQList,IsIList,Table_ExternalData_15[[#This Row],[item_key]],IsITypeList,Table_ExternalData_15[[#This Row],[IType]],IsDList,Table_ExternalData_15[[#Headers],[26]])</f>
        <v>0</v>
      </c>
      <c r="AE108" s="10">
        <f>SUMIFS(IsQList,IsIList,Table_ExternalData_15[[#This Row],[item_key]],IsITypeList,Table_ExternalData_15[[#This Row],[IType]],IsDList,Table_ExternalData_15[[#Headers],[27]])</f>
        <v>0</v>
      </c>
      <c r="AF108" s="10">
        <f>SUMIFS(IsQList,IsIList,Table_ExternalData_15[[#This Row],[item_key]],IsITypeList,Table_ExternalData_15[[#This Row],[IType]],IsDList,Table_ExternalData_15[[#Headers],[28]])</f>
        <v>0</v>
      </c>
      <c r="AG108" s="10">
        <f>SUMIFS(IsQList,IsIList,Table_ExternalData_15[[#This Row],[item_key]],IsITypeList,Table_ExternalData_15[[#This Row],[IType]],IsDList,Table_ExternalData_15[[#Headers],[29]])</f>
        <v>0</v>
      </c>
      <c r="AH108" s="10">
        <f>SUMIFS(IsQList,IsIList,Table_ExternalData_15[[#This Row],[item_key]],IsITypeList,Table_ExternalData_15[[#This Row],[IType]],IsDList,Table_ExternalData_15[[#Headers],[30]])</f>
        <v>10</v>
      </c>
      <c r="AI108" s="10">
        <f>SUMIFS(IsQList,IsIList,Table_ExternalData_15[[#This Row],[item_key]],IsITypeList,Table_ExternalData_15[[#This Row],[IType]],IsDList,Table_ExternalData_15[[#Headers],[31]])</f>
        <v>0</v>
      </c>
      <c r="AJ108" s="10">
        <f>SUM(Table_ExternalData_15[[#This Row],[1]:[31]])</f>
        <v>10</v>
      </c>
    </row>
    <row r="109" spans="1:36">
      <c r="A109" s="1" t="s">
        <v>491</v>
      </c>
      <c r="B109" s="1" t="s">
        <v>2372</v>
      </c>
      <c r="C109" s="1" t="s">
        <v>1513</v>
      </c>
      <c r="D109" s="11" t="s">
        <v>72</v>
      </c>
      <c r="E109" s="10">
        <f>SUMIFS(IsQList,IsIList,Table_ExternalData_15[[#This Row],[item_key]],IsITypeList,Table_ExternalData_15[[#This Row],[IType]],IsDList,Table_ExternalData_15[[#Headers],[1]])</f>
        <v>0</v>
      </c>
      <c r="F109" s="10">
        <f>SUMIFS(IsQList,IsIList,Table_ExternalData_15[[#This Row],[item_key]],IsITypeList,Table_ExternalData_15[[#This Row],[IType]],IsDList,Table_ExternalData_15[[#Headers],[2]])</f>
        <v>0</v>
      </c>
      <c r="G109" s="10">
        <f>SUMIFS(IsQList,IsIList,Table_ExternalData_15[[#This Row],[item_key]],IsITypeList,Table_ExternalData_15[[#This Row],[IType]],IsDList,Table_ExternalData_15[[#Headers],[3]])</f>
        <v>0</v>
      </c>
      <c r="H109" s="10">
        <f>SUMIFS(IsQList,IsIList,Table_ExternalData_15[[#This Row],[item_key]],IsITypeList,Table_ExternalData_15[[#This Row],[IType]],IsDList,Table_ExternalData_15[[#Headers],[4]])</f>
        <v>0</v>
      </c>
      <c r="I109" s="10">
        <f>SUMIFS(IsQList,IsIList,Table_ExternalData_15[[#This Row],[item_key]],IsITypeList,Table_ExternalData_15[[#This Row],[IType]],IsDList,Table_ExternalData_15[[#Headers],[5]])</f>
        <v>0</v>
      </c>
      <c r="J109" s="10">
        <f>SUMIFS(IsQList,IsIList,Table_ExternalData_15[[#This Row],[item_key]],IsITypeList,Table_ExternalData_15[[#This Row],[IType]],IsDList,Table_ExternalData_15[[#Headers],[6]])</f>
        <v>0</v>
      </c>
      <c r="K109" s="10">
        <f>SUMIFS(IsQList,IsIList,Table_ExternalData_15[[#This Row],[item_key]],IsITypeList,Table_ExternalData_15[[#This Row],[IType]],IsDList,Table_ExternalData_15[[#Headers],[7]])</f>
        <v>0</v>
      </c>
      <c r="L109" s="10">
        <f>SUMIFS(IsQList,IsIList,Table_ExternalData_15[[#This Row],[item_key]],IsITypeList,Table_ExternalData_15[[#This Row],[IType]],IsDList,Table_ExternalData_15[[#Headers],[8]])</f>
        <v>0</v>
      </c>
      <c r="M109" s="10">
        <f>SUMIFS(IsQList,IsIList,Table_ExternalData_15[[#This Row],[item_key]],IsITypeList,Table_ExternalData_15[[#This Row],[IType]],IsDList,Table_ExternalData_15[[#Headers],[9]])</f>
        <v>0</v>
      </c>
      <c r="N109" s="10">
        <f>SUMIFS(IsQList,IsIList,Table_ExternalData_15[[#This Row],[item_key]],IsITypeList,Table_ExternalData_15[[#This Row],[IType]],IsDList,Table_ExternalData_15[[#Headers],[10]])</f>
        <v>0</v>
      </c>
      <c r="O109" s="10">
        <f>SUMIFS(IsQList,IsIList,Table_ExternalData_15[[#This Row],[item_key]],IsITypeList,Table_ExternalData_15[[#This Row],[IType]],IsDList,Table_ExternalData_15[[#Headers],[11]])</f>
        <v>0</v>
      </c>
      <c r="P109" s="10">
        <f>SUMIFS(IsQList,IsIList,Table_ExternalData_15[[#This Row],[item_key]],IsITypeList,Table_ExternalData_15[[#This Row],[IType]],IsDList,Table_ExternalData_15[[#Headers],[12]])</f>
        <v>0</v>
      </c>
      <c r="Q109" s="10">
        <f>SUMIFS(IsQList,IsIList,Table_ExternalData_15[[#This Row],[item_key]],IsITypeList,Table_ExternalData_15[[#This Row],[IType]],IsDList,Table_ExternalData_15[[#Headers],[13]])</f>
        <v>0</v>
      </c>
      <c r="R109" s="10">
        <f>SUMIFS(IsQList,IsIList,Table_ExternalData_15[[#This Row],[item_key]],IsITypeList,Table_ExternalData_15[[#This Row],[IType]],IsDList,Table_ExternalData_15[[#Headers],[14]])</f>
        <v>0</v>
      </c>
      <c r="S109" s="10">
        <f>SUMIFS(IsQList,IsIList,Table_ExternalData_15[[#This Row],[item_key]],IsITypeList,Table_ExternalData_15[[#This Row],[IType]],IsDList,Table_ExternalData_15[[#Headers],[15]])</f>
        <v>0</v>
      </c>
      <c r="T109" s="10">
        <f>SUMIFS(IsQList,IsIList,Table_ExternalData_15[[#This Row],[item_key]],IsITypeList,Table_ExternalData_15[[#This Row],[IType]],IsDList,Table_ExternalData_15[[#Headers],[16]])</f>
        <v>2</v>
      </c>
      <c r="U109" s="10">
        <f>SUMIFS(IsQList,IsIList,Table_ExternalData_15[[#This Row],[item_key]],IsITypeList,Table_ExternalData_15[[#This Row],[IType]],IsDList,Table_ExternalData_15[[#Headers],[17]])</f>
        <v>0</v>
      </c>
      <c r="V109" s="10">
        <f>SUMIFS(IsQList,IsIList,Table_ExternalData_15[[#This Row],[item_key]],IsITypeList,Table_ExternalData_15[[#This Row],[IType]],IsDList,Table_ExternalData_15[[#Headers],[18]])</f>
        <v>0</v>
      </c>
      <c r="W109" s="10">
        <f>SUMIFS(IsQList,IsIList,Table_ExternalData_15[[#This Row],[item_key]],IsITypeList,Table_ExternalData_15[[#This Row],[IType]],IsDList,Table_ExternalData_15[[#Headers],[19]])</f>
        <v>0</v>
      </c>
      <c r="X109" s="10">
        <f>SUMIFS(IsQList,IsIList,Table_ExternalData_15[[#This Row],[item_key]],IsITypeList,Table_ExternalData_15[[#This Row],[IType]],IsDList,Table_ExternalData_15[[#Headers],[20]])</f>
        <v>0</v>
      </c>
      <c r="Y109" s="10">
        <f>SUMIFS(IsQList,IsIList,Table_ExternalData_15[[#This Row],[item_key]],IsITypeList,Table_ExternalData_15[[#This Row],[IType]],IsDList,Table_ExternalData_15[[#Headers],[21]])</f>
        <v>0</v>
      </c>
      <c r="Z109" s="10">
        <f>SUMIFS(IsQList,IsIList,Table_ExternalData_15[[#This Row],[item_key]],IsITypeList,Table_ExternalData_15[[#This Row],[IType]],IsDList,Table_ExternalData_15[[#Headers],[22]])</f>
        <v>0</v>
      </c>
      <c r="AA109" s="10">
        <f>SUMIFS(IsQList,IsIList,Table_ExternalData_15[[#This Row],[item_key]],IsITypeList,Table_ExternalData_15[[#This Row],[IType]],IsDList,Table_ExternalData_15[[#Headers],[23]])</f>
        <v>0</v>
      </c>
      <c r="AB109" s="10">
        <f>SUMIFS(IsQList,IsIList,Table_ExternalData_15[[#This Row],[item_key]],IsITypeList,Table_ExternalData_15[[#This Row],[IType]],IsDList,Table_ExternalData_15[[#Headers],[24]])</f>
        <v>2</v>
      </c>
      <c r="AC109" s="10">
        <f>SUMIFS(IsQList,IsIList,Table_ExternalData_15[[#This Row],[item_key]],IsITypeList,Table_ExternalData_15[[#This Row],[IType]],IsDList,Table_ExternalData_15[[#Headers],[25]])</f>
        <v>0</v>
      </c>
      <c r="AD109" s="10">
        <f>SUMIFS(IsQList,IsIList,Table_ExternalData_15[[#This Row],[item_key]],IsITypeList,Table_ExternalData_15[[#This Row],[IType]],IsDList,Table_ExternalData_15[[#Headers],[26]])</f>
        <v>0</v>
      </c>
      <c r="AE109" s="10">
        <f>SUMIFS(IsQList,IsIList,Table_ExternalData_15[[#This Row],[item_key]],IsITypeList,Table_ExternalData_15[[#This Row],[IType]],IsDList,Table_ExternalData_15[[#Headers],[27]])</f>
        <v>0</v>
      </c>
      <c r="AF109" s="10">
        <f>SUMIFS(IsQList,IsIList,Table_ExternalData_15[[#This Row],[item_key]],IsITypeList,Table_ExternalData_15[[#This Row],[IType]],IsDList,Table_ExternalData_15[[#Headers],[28]])</f>
        <v>0</v>
      </c>
      <c r="AG109" s="10">
        <f>SUMIFS(IsQList,IsIList,Table_ExternalData_15[[#This Row],[item_key]],IsITypeList,Table_ExternalData_15[[#This Row],[IType]],IsDList,Table_ExternalData_15[[#Headers],[29]])</f>
        <v>0</v>
      </c>
      <c r="AH109" s="10">
        <f>SUMIFS(IsQList,IsIList,Table_ExternalData_15[[#This Row],[item_key]],IsITypeList,Table_ExternalData_15[[#This Row],[IType]],IsDList,Table_ExternalData_15[[#Headers],[30]])</f>
        <v>30</v>
      </c>
      <c r="AI109" s="10">
        <f>SUMIFS(IsQList,IsIList,Table_ExternalData_15[[#This Row],[item_key]],IsITypeList,Table_ExternalData_15[[#This Row],[IType]],IsDList,Table_ExternalData_15[[#Headers],[31]])</f>
        <v>0</v>
      </c>
      <c r="AJ109" s="10">
        <f>SUM(Table_ExternalData_15[[#This Row],[1]:[31]])</f>
        <v>34</v>
      </c>
    </row>
    <row r="110" spans="1:36">
      <c r="A110" s="1" t="s">
        <v>1733</v>
      </c>
      <c r="B110" s="1" t="s">
        <v>2548</v>
      </c>
      <c r="C110" s="1" t="s">
        <v>1513</v>
      </c>
      <c r="D110" s="11" t="s">
        <v>72</v>
      </c>
      <c r="E110" s="10">
        <f>SUMIFS(IsQList,IsIList,Table_ExternalData_15[[#This Row],[item_key]],IsITypeList,Table_ExternalData_15[[#This Row],[IType]],IsDList,Table_ExternalData_15[[#Headers],[1]])</f>
        <v>0</v>
      </c>
      <c r="F110" s="10">
        <f>SUMIFS(IsQList,IsIList,Table_ExternalData_15[[#This Row],[item_key]],IsITypeList,Table_ExternalData_15[[#This Row],[IType]],IsDList,Table_ExternalData_15[[#Headers],[2]])</f>
        <v>0</v>
      </c>
      <c r="G110" s="10">
        <f>SUMIFS(IsQList,IsIList,Table_ExternalData_15[[#This Row],[item_key]],IsITypeList,Table_ExternalData_15[[#This Row],[IType]],IsDList,Table_ExternalData_15[[#Headers],[3]])</f>
        <v>0</v>
      </c>
      <c r="H110" s="10">
        <f>SUMIFS(IsQList,IsIList,Table_ExternalData_15[[#This Row],[item_key]],IsITypeList,Table_ExternalData_15[[#This Row],[IType]],IsDList,Table_ExternalData_15[[#Headers],[4]])</f>
        <v>0</v>
      </c>
      <c r="I110" s="10">
        <f>SUMIFS(IsQList,IsIList,Table_ExternalData_15[[#This Row],[item_key]],IsITypeList,Table_ExternalData_15[[#This Row],[IType]],IsDList,Table_ExternalData_15[[#Headers],[5]])</f>
        <v>0</v>
      </c>
      <c r="J110" s="10">
        <f>SUMIFS(IsQList,IsIList,Table_ExternalData_15[[#This Row],[item_key]],IsITypeList,Table_ExternalData_15[[#This Row],[IType]],IsDList,Table_ExternalData_15[[#Headers],[6]])</f>
        <v>5</v>
      </c>
      <c r="K110" s="10">
        <f>SUMIFS(IsQList,IsIList,Table_ExternalData_15[[#This Row],[item_key]],IsITypeList,Table_ExternalData_15[[#This Row],[IType]],IsDList,Table_ExternalData_15[[#Headers],[7]])</f>
        <v>0</v>
      </c>
      <c r="L110" s="10">
        <f>SUMIFS(IsQList,IsIList,Table_ExternalData_15[[#This Row],[item_key]],IsITypeList,Table_ExternalData_15[[#This Row],[IType]],IsDList,Table_ExternalData_15[[#Headers],[8]])</f>
        <v>0</v>
      </c>
      <c r="M110" s="10">
        <f>SUMIFS(IsQList,IsIList,Table_ExternalData_15[[#This Row],[item_key]],IsITypeList,Table_ExternalData_15[[#This Row],[IType]],IsDList,Table_ExternalData_15[[#Headers],[9]])</f>
        <v>0</v>
      </c>
      <c r="N110" s="10">
        <f>SUMIFS(IsQList,IsIList,Table_ExternalData_15[[#This Row],[item_key]],IsITypeList,Table_ExternalData_15[[#This Row],[IType]],IsDList,Table_ExternalData_15[[#Headers],[10]])</f>
        <v>0</v>
      </c>
      <c r="O110" s="10">
        <f>SUMIFS(IsQList,IsIList,Table_ExternalData_15[[#This Row],[item_key]],IsITypeList,Table_ExternalData_15[[#This Row],[IType]],IsDList,Table_ExternalData_15[[#Headers],[11]])</f>
        <v>0</v>
      </c>
      <c r="P110" s="10">
        <f>SUMIFS(IsQList,IsIList,Table_ExternalData_15[[#This Row],[item_key]],IsITypeList,Table_ExternalData_15[[#This Row],[IType]],IsDList,Table_ExternalData_15[[#Headers],[12]])</f>
        <v>0</v>
      </c>
      <c r="Q110" s="10">
        <f>SUMIFS(IsQList,IsIList,Table_ExternalData_15[[#This Row],[item_key]],IsITypeList,Table_ExternalData_15[[#This Row],[IType]],IsDList,Table_ExternalData_15[[#Headers],[13]])</f>
        <v>0</v>
      </c>
      <c r="R110" s="10">
        <f>SUMIFS(IsQList,IsIList,Table_ExternalData_15[[#This Row],[item_key]],IsITypeList,Table_ExternalData_15[[#This Row],[IType]],IsDList,Table_ExternalData_15[[#Headers],[14]])</f>
        <v>0</v>
      </c>
      <c r="S110" s="10">
        <f>SUMIFS(IsQList,IsIList,Table_ExternalData_15[[#This Row],[item_key]],IsITypeList,Table_ExternalData_15[[#This Row],[IType]],IsDList,Table_ExternalData_15[[#Headers],[15]])</f>
        <v>0</v>
      </c>
      <c r="T110" s="10">
        <f>SUMIFS(IsQList,IsIList,Table_ExternalData_15[[#This Row],[item_key]],IsITypeList,Table_ExternalData_15[[#This Row],[IType]],IsDList,Table_ExternalData_15[[#Headers],[16]])</f>
        <v>2</v>
      </c>
      <c r="U110" s="10">
        <f>SUMIFS(IsQList,IsIList,Table_ExternalData_15[[#This Row],[item_key]],IsITypeList,Table_ExternalData_15[[#This Row],[IType]],IsDList,Table_ExternalData_15[[#Headers],[17]])</f>
        <v>0</v>
      </c>
      <c r="V110" s="10">
        <f>SUMIFS(IsQList,IsIList,Table_ExternalData_15[[#This Row],[item_key]],IsITypeList,Table_ExternalData_15[[#This Row],[IType]],IsDList,Table_ExternalData_15[[#Headers],[18]])</f>
        <v>0</v>
      </c>
      <c r="W110" s="10">
        <f>SUMIFS(IsQList,IsIList,Table_ExternalData_15[[#This Row],[item_key]],IsITypeList,Table_ExternalData_15[[#This Row],[IType]],IsDList,Table_ExternalData_15[[#Headers],[19]])</f>
        <v>0</v>
      </c>
      <c r="X110" s="10">
        <f>SUMIFS(IsQList,IsIList,Table_ExternalData_15[[#This Row],[item_key]],IsITypeList,Table_ExternalData_15[[#This Row],[IType]],IsDList,Table_ExternalData_15[[#Headers],[20]])</f>
        <v>0</v>
      </c>
      <c r="Y110" s="10">
        <f>SUMIFS(IsQList,IsIList,Table_ExternalData_15[[#This Row],[item_key]],IsITypeList,Table_ExternalData_15[[#This Row],[IType]],IsDList,Table_ExternalData_15[[#Headers],[21]])</f>
        <v>0</v>
      </c>
      <c r="Z110" s="10">
        <f>SUMIFS(IsQList,IsIList,Table_ExternalData_15[[#This Row],[item_key]],IsITypeList,Table_ExternalData_15[[#This Row],[IType]],IsDList,Table_ExternalData_15[[#Headers],[22]])</f>
        <v>0</v>
      </c>
      <c r="AA110" s="10">
        <f>SUMIFS(IsQList,IsIList,Table_ExternalData_15[[#This Row],[item_key]],IsITypeList,Table_ExternalData_15[[#This Row],[IType]],IsDList,Table_ExternalData_15[[#Headers],[23]])</f>
        <v>0</v>
      </c>
      <c r="AB110" s="10">
        <f>SUMIFS(IsQList,IsIList,Table_ExternalData_15[[#This Row],[item_key]],IsITypeList,Table_ExternalData_15[[#This Row],[IType]],IsDList,Table_ExternalData_15[[#Headers],[24]])</f>
        <v>0</v>
      </c>
      <c r="AC110" s="10">
        <f>SUMIFS(IsQList,IsIList,Table_ExternalData_15[[#This Row],[item_key]],IsITypeList,Table_ExternalData_15[[#This Row],[IType]],IsDList,Table_ExternalData_15[[#Headers],[25]])</f>
        <v>0</v>
      </c>
      <c r="AD110" s="10">
        <f>SUMIFS(IsQList,IsIList,Table_ExternalData_15[[#This Row],[item_key]],IsITypeList,Table_ExternalData_15[[#This Row],[IType]],IsDList,Table_ExternalData_15[[#Headers],[26]])</f>
        <v>0</v>
      </c>
      <c r="AE110" s="10">
        <f>SUMIFS(IsQList,IsIList,Table_ExternalData_15[[#This Row],[item_key]],IsITypeList,Table_ExternalData_15[[#This Row],[IType]],IsDList,Table_ExternalData_15[[#Headers],[27]])</f>
        <v>0</v>
      </c>
      <c r="AF110" s="10">
        <f>SUMIFS(IsQList,IsIList,Table_ExternalData_15[[#This Row],[item_key]],IsITypeList,Table_ExternalData_15[[#This Row],[IType]],IsDList,Table_ExternalData_15[[#Headers],[28]])</f>
        <v>0</v>
      </c>
      <c r="AG110" s="10">
        <f>SUMIFS(IsQList,IsIList,Table_ExternalData_15[[#This Row],[item_key]],IsITypeList,Table_ExternalData_15[[#This Row],[IType]],IsDList,Table_ExternalData_15[[#Headers],[29]])</f>
        <v>0</v>
      </c>
      <c r="AH110" s="10">
        <f>SUMIFS(IsQList,IsIList,Table_ExternalData_15[[#This Row],[item_key]],IsITypeList,Table_ExternalData_15[[#This Row],[IType]],IsDList,Table_ExternalData_15[[#Headers],[30]])</f>
        <v>10</v>
      </c>
      <c r="AI110" s="10">
        <f>SUMIFS(IsQList,IsIList,Table_ExternalData_15[[#This Row],[item_key]],IsITypeList,Table_ExternalData_15[[#This Row],[IType]],IsDList,Table_ExternalData_15[[#Headers],[31]])</f>
        <v>0</v>
      </c>
      <c r="AJ110" s="10">
        <f>SUM(Table_ExternalData_15[[#This Row],[1]:[31]])</f>
        <v>17</v>
      </c>
    </row>
    <row r="111" spans="1:36">
      <c r="A111" s="1" t="s">
        <v>492</v>
      </c>
      <c r="B111" s="1" t="s">
        <v>2549</v>
      </c>
      <c r="C111" s="1" t="s">
        <v>2550</v>
      </c>
      <c r="D111" s="11" t="s">
        <v>72</v>
      </c>
      <c r="E111" s="10">
        <f>SUMIFS(IsQList,IsIList,Table_ExternalData_15[[#This Row],[item_key]],IsITypeList,Table_ExternalData_15[[#This Row],[IType]],IsDList,Table_ExternalData_15[[#Headers],[1]])</f>
        <v>0</v>
      </c>
      <c r="F111" s="10">
        <f>SUMIFS(IsQList,IsIList,Table_ExternalData_15[[#This Row],[item_key]],IsITypeList,Table_ExternalData_15[[#This Row],[IType]],IsDList,Table_ExternalData_15[[#Headers],[2]])</f>
        <v>0</v>
      </c>
      <c r="G111" s="10">
        <f>SUMIFS(IsQList,IsIList,Table_ExternalData_15[[#This Row],[item_key]],IsITypeList,Table_ExternalData_15[[#This Row],[IType]],IsDList,Table_ExternalData_15[[#Headers],[3]])</f>
        <v>0</v>
      </c>
      <c r="H111" s="10">
        <f>SUMIFS(IsQList,IsIList,Table_ExternalData_15[[#This Row],[item_key]],IsITypeList,Table_ExternalData_15[[#This Row],[IType]],IsDList,Table_ExternalData_15[[#Headers],[4]])</f>
        <v>0</v>
      </c>
      <c r="I111" s="10">
        <f>SUMIFS(IsQList,IsIList,Table_ExternalData_15[[#This Row],[item_key]],IsITypeList,Table_ExternalData_15[[#This Row],[IType]],IsDList,Table_ExternalData_15[[#Headers],[5]])</f>
        <v>0</v>
      </c>
      <c r="J111" s="10">
        <f>SUMIFS(IsQList,IsIList,Table_ExternalData_15[[#This Row],[item_key]],IsITypeList,Table_ExternalData_15[[#This Row],[IType]],IsDList,Table_ExternalData_15[[#Headers],[6]])</f>
        <v>0</v>
      </c>
      <c r="K111" s="10">
        <f>SUMIFS(IsQList,IsIList,Table_ExternalData_15[[#This Row],[item_key]],IsITypeList,Table_ExternalData_15[[#This Row],[IType]],IsDList,Table_ExternalData_15[[#Headers],[7]])</f>
        <v>0</v>
      </c>
      <c r="L111" s="10">
        <f>SUMIFS(IsQList,IsIList,Table_ExternalData_15[[#This Row],[item_key]],IsITypeList,Table_ExternalData_15[[#This Row],[IType]],IsDList,Table_ExternalData_15[[#Headers],[8]])</f>
        <v>0</v>
      </c>
      <c r="M111" s="10">
        <f>SUMIFS(IsQList,IsIList,Table_ExternalData_15[[#This Row],[item_key]],IsITypeList,Table_ExternalData_15[[#This Row],[IType]],IsDList,Table_ExternalData_15[[#Headers],[9]])</f>
        <v>0</v>
      </c>
      <c r="N111" s="10">
        <f>SUMIFS(IsQList,IsIList,Table_ExternalData_15[[#This Row],[item_key]],IsITypeList,Table_ExternalData_15[[#This Row],[IType]],IsDList,Table_ExternalData_15[[#Headers],[10]])</f>
        <v>50</v>
      </c>
      <c r="O111" s="10">
        <f>SUMIFS(IsQList,IsIList,Table_ExternalData_15[[#This Row],[item_key]],IsITypeList,Table_ExternalData_15[[#This Row],[IType]],IsDList,Table_ExternalData_15[[#Headers],[11]])</f>
        <v>0</v>
      </c>
      <c r="P111" s="10">
        <f>SUMIFS(IsQList,IsIList,Table_ExternalData_15[[#This Row],[item_key]],IsITypeList,Table_ExternalData_15[[#This Row],[IType]],IsDList,Table_ExternalData_15[[#Headers],[12]])</f>
        <v>0</v>
      </c>
      <c r="Q111" s="10">
        <f>SUMIFS(IsQList,IsIList,Table_ExternalData_15[[#This Row],[item_key]],IsITypeList,Table_ExternalData_15[[#This Row],[IType]],IsDList,Table_ExternalData_15[[#Headers],[13]])</f>
        <v>0</v>
      </c>
      <c r="R111" s="10">
        <f>SUMIFS(IsQList,IsIList,Table_ExternalData_15[[#This Row],[item_key]],IsITypeList,Table_ExternalData_15[[#This Row],[IType]],IsDList,Table_ExternalData_15[[#Headers],[14]])</f>
        <v>0</v>
      </c>
      <c r="S111" s="10">
        <f>SUMIFS(IsQList,IsIList,Table_ExternalData_15[[#This Row],[item_key]],IsITypeList,Table_ExternalData_15[[#This Row],[IType]],IsDList,Table_ExternalData_15[[#Headers],[15]])</f>
        <v>0</v>
      </c>
      <c r="T111" s="10">
        <f>SUMIFS(IsQList,IsIList,Table_ExternalData_15[[#This Row],[item_key]],IsITypeList,Table_ExternalData_15[[#This Row],[IType]],IsDList,Table_ExternalData_15[[#Headers],[16]])</f>
        <v>35</v>
      </c>
      <c r="U111" s="10">
        <f>SUMIFS(IsQList,IsIList,Table_ExternalData_15[[#This Row],[item_key]],IsITypeList,Table_ExternalData_15[[#This Row],[IType]],IsDList,Table_ExternalData_15[[#Headers],[17]])</f>
        <v>0</v>
      </c>
      <c r="V111" s="10">
        <f>SUMIFS(IsQList,IsIList,Table_ExternalData_15[[#This Row],[item_key]],IsITypeList,Table_ExternalData_15[[#This Row],[IType]],IsDList,Table_ExternalData_15[[#Headers],[18]])</f>
        <v>0</v>
      </c>
      <c r="W111" s="10">
        <f>SUMIFS(IsQList,IsIList,Table_ExternalData_15[[#This Row],[item_key]],IsITypeList,Table_ExternalData_15[[#This Row],[IType]],IsDList,Table_ExternalData_15[[#Headers],[19]])</f>
        <v>0</v>
      </c>
      <c r="X111" s="10">
        <f>SUMIFS(IsQList,IsIList,Table_ExternalData_15[[#This Row],[item_key]],IsITypeList,Table_ExternalData_15[[#This Row],[IType]],IsDList,Table_ExternalData_15[[#Headers],[20]])</f>
        <v>0</v>
      </c>
      <c r="Y111" s="10">
        <f>SUMIFS(IsQList,IsIList,Table_ExternalData_15[[#This Row],[item_key]],IsITypeList,Table_ExternalData_15[[#This Row],[IType]],IsDList,Table_ExternalData_15[[#Headers],[21]])</f>
        <v>0</v>
      </c>
      <c r="Z111" s="10">
        <f>SUMIFS(IsQList,IsIList,Table_ExternalData_15[[#This Row],[item_key]],IsITypeList,Table_ExternalData_15[[#This Row],[IType]],IsDList,Table_ExternalData_15[[#Headers],[22]])</f>
        <v>0</v>
      </c>
      <c r="AA111" s="10">
        <f>SUMIFS(IsQList,IsIList,Table_ExternalData_15[[#This Row],[item_key]],IsITypeList,Table_ExternalData_15[[#This Row],[IType]],IsDList,Table_ExternalData_15[[#Headers],[23]])</f>
        <v>0</v>
      </c>
      <c r="AB111" s="10">
        <f>SUMIFS(IsQList,IsIList,Table_ExternalData_15[[#This Row],[item_key]],IsITypeList,Table_ExternalData_15[[#This Row],[IType]],IsDList,Table_ExternalData_15[[#Headers],[24]])</f>
        <v>0</v>
      </c>
      <c r="AC111" s="10">
        <f>SUMIFS(IsQList,IsIList,Table_ExternalData_15[[#This Row],[item_key]],IsITypeList,Table_ExternalData_15[[#This Row],[IType]],IsDList,Table_ExternalData_15[[#Headers],[25]])</f>
        <v>0</v>
      </c>
      <c r="AD111" s="10">
        <f>SUMIFS(IsQList,IsIList,Table_ExternalData_15[[#This Row],[item_key]],IsITypeList,Table_ExternalData_15[[#This Row],[IType]],IsDList,Table_ExternalData_15[[#Headers],[26]])</f>
        <v>0</v>
      </c>
      <c r="AE111" s="10">
        <f>SUMIFS(IsQList,IsIList,Table_ExternalData_15[[#This Row],[item_key]],IsITypeList,Table_ExternalData_15[[#This Row],[IType]],IsDList,Table_ExternalData_15[[#Headers],[27]])</f>
        <v>0</v>
      </c>
      <c r="AF111" s="10">
        <f>SUMIFS(IsQList,IsIList,Table_ExternalData_15[[#This Row],[item_key]],IsITypeList,Table_ExternalData_15[[#This Row],[IType]],IsDList,Table_ExternalData_15[[#Headers],[28]])</f>
        <v>0</v>
      </c>
      <c r="AG111" s="10">
        <f>SUMIFS(IsQList,IsIList,Table_ExternalData_15[[#This Row],[item_key]],IsITypeList,Table_ExternalData_15[[#This Row],[IType]],IsDList,Table_ExternalData_15[[#Headers],[29]])</f>
        <v>0</v>
      </c>
      <c r="AH111" s="10">
        <f>SUMIFS(IsQList,IsIList,Table_ExternalData_15[[#This Row],[item_key]],IsITypeList,Table_ExternalData_15[[#This Row],[IType]],IsDList,Table_ExternalData_15[[#Headers],[30]])</f>
        <v>20</v>
      </c>
      <c r="AI111" s="10">
        <f>SUMIFS(IsQList,IsIList,Table_ExternalData_15[[#This Row],[item_key]],IsITypeList,Table_ExternalData_15[[#This Row],[IType]],IsDList,Table_ExternalData_15[[#Headers],[31]])</f>
        <v>0</v>
      </c>
      <c r="AJ111" s="10">
        <f>SUM(Table_ExternalData_15[[#This Row],[1]:[31]])</f>
        <v>105</v>
      </c>
    </row>
    <row r="112" spans="1:36">
      <c r="A112" s="1" t="s">
        <v>493</v>
      </c>
      <c r="B112" s="1" t="s">
        <v>1286</v>
      </c>
      <c r="C112" s="1" t="s">
        <v>1287</v>
      </c>
      <c r="D112" s="11" t="s">
        <v>72</v>
      </c>
      <c r="E112" s="10">
        <f>SUMIFS(IsQList,IsIList,Table_ExternalData_15[[#This Row],[item_key]],IsITypeList,Table_ExternalData_15[[#This Row],[IType]],IsDList,Table_ExternalData_15[[#Headers],[1]])</f>
        <v>0</v>
      </c>
      <c r="F112" s="10">
        <f>SUMIFS(IsQList,IsIList,Table_ExternalData_15[[#This Row],[item_key]],IsITypeList,Table_ExternalData_15[[#This Row],[IType]],IsDList,Table_ExternalData_15[[#Headers],[2]])</f>
        <v>0</v>
      </c>
      <c r="G112" s="10">
        <f>SUMIFS(IsQList,IsIList,Table_ExternalData_15[[#This Row],[item_key]],IsITypeList,Table_ExternalData_15[[#This Row],[IType]],IsDList,Table_ExternalData_15[[#Headers],[3]])</f>
        <v>0</v>
      </c>
      <c r="H112" s="10">
        <f>SUMIFS(IsQList,IsIList,Table_ExternalData_15[[#This Row],[item_key]],IsITypeList,Table_ExternalData_15[[#This Row],[IType]],IsDList,Table_ExternalData_15[[#Headers],[4]])</f>
        <v>0</v>
      </c>
      <c r="I112" s="10">
        <f>SUMIFS(IsQList,IsIList,Table_ExternalData_15[[#This Row],[item_key]],IsITypeList,Table_ExternalData_15[[#This Row],[IType]],IsDList,Table_ExternalData_15[[#Headers],[5]])</f>
        <v>0</v>
      </c>
      <c r="J112" s="10">
        <f>SUMIFS(IsQList,IsIList,Table_ExternalData_15[[#This Row],[item_key]],IsITypeList,Table_ExternalData_15[[#This Row],[IType]],IsDList,Table_ExternalData_15[[#Headers],[6]])</f>
        <v>0</v>
      </c>
      <c r="K112" s="10">
        <f>SUMIFS(IsQList,IsIList,Table_ExternalData_15[[#This Row],[item_key]],IsITypeList,Table_ExternalData_15[[#This Row],[IType]],IsDList,Table_ExternalData_15[[#Headers],[7]])</f>
        <v>0</v>
      </c>
      <c r="L112" s="10">
        <f>SUMIFS(IsQList,IsIList,Table_ExternalData_15[[#This Row],[item_key]],IsITypeList,Table_ExternalData_15[[#This Row],[IType]],IsDList,Table_ExternalData_15[[#Headers],[8]])</f>
        <v>0</v>
      </c>
      <c r="M112" s="10">
        <f>SUMIFS(IsQList,IsIList,Table_ExternalData_15[[#This Row],[item_key]],IsITypeList,Table_ExternalData_15[[#This Row],[IType]],IsDList,Table_ExternalData_15[[#Headers],[9]])</f>
        <v>0</v>
      </c>
      <c r="N112" s="10">
        <f>SUMIFS(IsQList,IsIList,Table_ExternalData_15[[#This Row],[item_key]],IsITypeList,Table_ExternalData_15[[#This Row],[IType]],IsDList,Table_ExternalData_15[[#Headers],[10]])</f>
        <v>31</v>
      </c>
      <c r="O112" s="10">
        <f>SUMIFS(IsQList,IsIList,Table_ExternalData_15[[#This Row],[item_key]],IsITypeList,Table_ExternalData_15[[#This Row],[IType]],IsDList,Table_ExternalData_15[[#Headers],[11]])</f>
        <v>0</v>
      </c>
      <c r="P112" s="10">
        <f>SUMIFS(IsQList,IsIList,Table_ExternalData_15[[#This Row],[item_key]],IsITypeList,Table_ExternalData_15[[#This Row],[IType]],IsDList,Table_ExternalData_15[[#Headers],[12]])</f>
        <v>0</v>
      </c>
      <c r="Q112" s="10">
        <f>SUMIFS(IsQList,IsIList,Table_ExternalData_15[[#This Row],[item_key]],IsITypeList,Table_ExternalData_15[[#This Row],[IType]],IsDList,Table_ExternalData_15[[#Headers],[13]])</f>
        <v>0</v>
      </c>
      <c r="R112" s="10">
        <f>SUMIFS(IsQList,IsIList,Table_ExternalData_15[[#This Row],[item_key]],IsITypeList,Table_ExternalData_15[[#This Row],[IType]],IsDList,Table_ExternalData_15[[#Headers],[14]])</f>
        <v>0</v>
      </c>
      <c r="S112" s="10">
        <f>SUMIFS(IsQList,IsIList,Table_ExternalData_15[[#This Row],[item_key]],IsITypeList,Table_ExternalData_15[[#This Row],[IType]],IsDList,Table_ExternalData_15[[#Headers],[15]])</f>
        <v>0</v>
      </c>
      <c r="T112" s="10">
        <f>SUMIFS(IsQList,IsIList,Table_ExternalData_15[[#This Row],[item_key]],IsITypeList,Table_ExternalData_15[[#This Row],[IType]],IsDList,Table_ExternalData_15[[#Headers],[16]])</f>
        <v>0</v>
      </c>
      <c r="U112" s="10">
        <f>SUMIFS(IsQList,IsIList,Table_ExternalData_15[[#This Row],[item_key]],IsITypeList,Table_ExternalData_15[[#This Row],[IType]],IsDList,Table_ExternalData_15[[#Headers],[17]])</f>
        <v>0</v>
      </c>
      <c r="V112" s="10">
        <f>SUMIFS(IsQList,IsIList,Table_ExternalData_15[[#This Row],[item_key]],IsITypeList,Table_ExternalData_15[[#This Row],[IType]],IsDList,Table_ExternalData_15[[#Headers],[18]])</f>
        <v>0</v>
      </c>
      <c r="W112" s="10">
        <f>SUMIFS(IsQList,IsIList,Table_ExternalData_15[[#This Row],[item_key]],IsITypeList,Table_ExternalData_15[[#This Row],[IType]],IsDList,Table_ExternalData_15[[#Headers],[19]])</f>
        <v>0</v>
      </c>
      <c r="X112" s="10">
        <f>SUMIFS(IsQList,IsIList,Table_ExternalData_15[[#This Row],[item_key]],IsITypeList,Table_ExternalData_15[[#This Row],[IType]],IsDList,Table_ExternalData_15[[#Headers],[20]])</f>
        <v>0</v>
      </c>
      <c r="Y112" s="10">
        <f>SUMIFS(IsQList,IsIList,Table_ExternalData_15[[#This Row],[item_key]],IsITypeList,Table_ExternalData_15[[#This Row],[IType]],IsDList,Table_ExternalData_15[[#Headers],[21]])</f>
        <v>0</v>
      </c>
      <c r="Z112" s="10">
        <f>SUMIFS(IsQList,IsIList,Table_ExternalData_15[[#This Row],[item_key]],IsITypeList,Table_ExternalData_15[[#This Row],[IType]],IsDList,Table_ExternalData_15[[#Headers],[22]])</f>
        <v>0</v>
      </c>
      <c r="AA112" s="10">
        <f>SUMIFS(IsQList,IsIList,Table_ExternalData_15[[#This Row],[item_key]],IsITypeList,Table_ExternalData_15[[#This Row],[IType]],IsDList,Table_ExternalData_15[[#Headers],[23]])</f>
        <v>0</v>
      </c>
      <c r="AB112" s="10">
        <f>SUMIFS(IsQList,IsIList,Table_ExternalData_15[[#This Row],[item_key]],IsITypeList,Table_ExternalData_15[[#This Row],[IType]],IsDList,Table_ExternalData_15[[#Headers],[24]])</f>
        <v>0</v>
      </c>
      <c r="AC112" s="10">
        <f>SUMIFS(IsQList,IsIList,Table_ExternalData_15[[#This Row],[item_key]],IsITypeList,Table_ExternalData_15[[#This Row],[IType]],IsDList,Table_ExternalData_15[[#Headers],[25]])</f>
        <v>0</v>
      </c>
      <c r="AD112" s="10">
        <f>SUMIFS(IsQList,IsIList,Table_ExternalData_15[[#This Row],[item_key]],IsITypeList,Table_ExternalData_15[[#This Row],[IType]],IsDList,Table_ExternalData_15[[#Headers],[26]])</f>
        <v>0</v>
      </c>
      <c r="AE112" s="10">
        <f>SUMIFS(IsQList,IsIList,Table_ExternalData_15[[#This Row],[item_key]],IsITypeList,Table_ExternalData_15[[#This Row],[IType]],IsDList,Table_ExternalData_15[[#Headers],[27]])</f>
        <v>0</v>
      </c>
      <c r="AF112" s="10">
        <f>SUMIFS(IsQList,IsIList,Table_ExternalData_15[[#This Row],[item_key]],IsITypeList,Table_ExternalData_15[[#This Row],[IType]],IsDList,Table_ExternalData_15[[#Headers],[28]])</f>
        <v>0</v>
      </c>
      <c r="AG112" s="10">
        <f>SUMIFS(IsQList,IsIList,Table_ExternalData_15[[#This Row],[item_key]],IsITypeList,Table_ExternalData_15[[#This Row],[IType]],IsDList,Table_ExternalData_15[[#Headers],[29]])</f>
        <v>0</v>
      </c>
      <c r="AH112" s="10">
        <f>SUMIFS(IsQList,IsIList,Table_ExternalData_15[[#This Row],[item_key]],IsITypeList,Table_ExternalData_15[[#This Row],[IType]],IsDList,Table_ExternalData_15[[#Headers],[30]])</f>
        <v>0</v>
      </c>
      <c r="AI112" s="10">
        <f>SUMIFS(IsQList,IsIList,Table_ExternalData_15[[#This Row],[item_key]],IsITypeList,Table_ExternalData_15[[#This Row],[IType]],IsDList,Table_ExternalData_15[[#Headers],[31]])</f>
        <v>0</v>
      </c>
      <c r="AJ112" s="10">
        <f>SUM(Table_ExternalData_15[[#This Row],[1]:[31]])</f>
        <v>31</v>
      </c>
    </row>
    <row r="113" spans="1:36">
      <c r="A113" s="1" t="s">
        <v>1734</v>
      </c>
      <c r="B113" s="1" t="s">
        <v>2551</v>
      </c>
      <c r="C113" s="1" t="s">
        <v>2552</v>
      </c>
      <c r="D113" s="11" t="s">
        <v>72</v>
      </c>
      <c r="E113" s="10">
        <f>SUMIFS(IsQList,IsIList,Table_ExternalData_15[[#This Row],[item_key]],IsITypeList,Table_ExternalData_15[[#This Row],[IType]],IsDList,Table_ExternalData_15[[#Headers],[1]])</f>
        <v>0</v>
      </c>
      <c r="F113" s="10">
        <f>SUMIFS(IsQList,IsIList,Table_ExternalData_15[[#This Row],[item_key]],IsITypeList,Table_ExternalData_15[[#This Row],[IType]],IsDList,Table_ExternalData_15[[#Headers],[2]])</f>
        <v>0</v>
      </c>
      <c r="G113" s="10">
        <f>SUMIFS(IsQList,IsIList,Table_ExternalData_15[[#This Row],[item_key]],IsITypeList,Table_ExternalData_15[[#This Row],[IType]],IsDList,Table_ExternalData_15[[#Headers],[3]])</f>
        <v>0</v>
      </c>
      <c r="H113" s="10">
        <f>SUMIFS(IsQList,IsIList,Table_ExternalData_15[[#This Row],[item_key]],IsITypeList,Table_ExternalData_15[[#This Row],[IType]],IsDList,Table_ExternalData_15[[#Headers],[4]])</f>
        <v>0</v>
      </c>
      <c r="I113" s="10">
        <f>SUMIFS(IsQList,IsIList,Table_ExternalData_15[[#This Row],[item_key]],IsITypeList,Table_ExternalData_15[[#This Row],[IType]],IsDList,Table_ExternalData_15[[#Headers],[5]])</f>
        <v>0</v>
      </c>
      <c r="J113" s="10">
        <f>SUMIFS(IsQList,IsIList,Table_ExternalData_15[[#This Row],[item_key]],IsITypeList,Table_ExternalData_15[[#This Row],[IType]],IsDList,Table_ExternalData_15[[#Headers],[6]])</f>
        <v>2</v>
      </c>
      <c r="K113" s="10">
        <f>SUMIFS(IsQList,IsIList,Table_ExternalData_15[[#This Row],[item_key]],IsITypeList,Table_ExternalData_15[[#This Row],[IType]],IsDList,Table_ExternalData_15[[#Headers],[7]])</f>
        <v>0</v>
      </c>
      <c r="L113" s="10">
        <f>SUMIFS(IsQList,IsIList,Table_ExternalData_15[[#This Row],[item_key]],IsITypeList,Table_ExternalData_15[[#This Row],[IType]],IsDList,Table_ExternalData_15[[#Headers],[8]])</f>
        <v>0</v>
      </c>
      <c r="M113" s="10">
        <f>SUMIFS(IsQList,IsIList,Table_ExternalData_15[[#This Row],[item_key]],IsITypeList,Table_ExternalData_15[[#This Row],[IType]],IsDList,Table_ExternalData_15[[#Headers],[9]])</f>
        <v>0</v>
      </c>
      <c r="N113" s="10">
        <f>SUMIFS(IsQList,IsIList,Table_ExternalData_15[[#This Row],[item_key]],IsITypeList,Table_ExternalData_15[[#This Row],[IType]],IsDList,Table_ExternalData_15[[#Headers],[10]])</f>
        <v>0</v>
      </c>
      <c r="O113" s="10">
        <f>SUMIFS(IsQList,IsIList,Table_ExternalData_15[[#This Row],[item_key]],IsITypeList,Table_ExternalData_15[[#This Row],[IType]],IsDList,Table_ExternalData_15[[#Headers],[11]])</f>
        <v>0</v>
      </c>
      <c r="P113" s="10">
        <f>SUMIFS(IsQList,IsIList,Table_ExternalData_15[[#This Row],[item_key]],IsITypeList,Table_ExternalData_15[[#This Row],[IType]],IsDList,Table_ExternalData_15[[#Headers],[12]])</f>
        <v>0</v>
      </c>
      <c r="Q113" s="10">
        <f>SUMIFS(IsQList,IsIList,Table_ExternalData_15[[#This Row],[item_key]],IsITypeList,Table_ExternalData_15[[#This Row],[IType]],IsDList,Table_ExternalData_15[[#Headers],[13]])</f>
        <v>0</v>
      </c>
      <c r="R113" s="10">
        <f>SUMIFS(IsQList,IsIList,Table_ExternalData_15[[#This Row],[item_key]],IsITypeList,Table_ExternalData_15[[#This Row],[IType]],IsDList,Table_ExternalData_15[[#Headers],[14]])</f>
        <v>0</v>
      </c>
      <c r="S113" s="10">
        <f>SUMIFS(IsQList,IsIList,Table_ExternalData_15[[#This Row],[item_key]],IsITypeList,Table_ExternalData_15[[#This Row],[IType]],IsDList,Table_ExternalData_15[[#Headers],[15]])</f>
        <v>0</v>
      </c>
      <c r="T113" s="10">
        <f>SUMIFS(IsQList,IsIList,Table_ExternalData_15[[#This Row],[item_key]],IsITypeList,Table_ExternalData_15[[#This Row],[IType]],IsDList,Table_ExternalData_15[[#Headers],[16]])</f>
        <v>0</v>
      </c>
      <c r="U113" s="10">
        <f>SUMIFS(IsQList,IsIList,Table_ExternalData_15[[#This Row],[item_key]],IsITypeList,Table_ExternalData_15[[#This Row],[IType]],IsDList,Table_ExternalData_15[[#Headers],[17]])</f>
        <v>0</v>
      </c>
      <c r="V113" s="10">
        <f>SUMIFS(IsQList,IsIList,Table_ExternalData_15[[#This Row],[item_key]],IsITypeList,Table_ExternalData_15[[#This Row],[IType]],IsDList,Table_ExternalData_15[[#Headers],[18]])</f>
        <v>0</v>
      </c>
      <c r="W113" s="10">
        <f>SUMIFS(IsQList,IsIList,Table_ExternalData_15[[#This Row],[item_key]],IsITypeList,Table_ExternalData_15[[#This Row],[IType]],IsDList,Table_ExternalData_15[[#Headers],[19]])</f>
        <v>0</v>
      </c>
      <c r="X113" s="10">
        <f>SUMIFS(IsQList,IsIList,Table_ExternalData_15[[#This Row],[item_key]],IsITypeList,Table_ExternalData_15[[#This Row],[IType]],IsDList,Table_ExternalData_15[[#Headers],[20]])</f>
        <v>0</v>
      </c>
      <c r="Y113" s="10">
        <f>SUMIFS(IsQList,IsIList,Table_ExternalData_15[[#This Row],[item_key]],IsITypeList,Table_ExternalData_15[[#This Row],[IType]],IsDList,Table_ExternalData_15[[#Headers],[21]])</f>
        <v>0</v>
      </c>
      <c r="Z113" s="10">
        <f>SUMIFS(IsQList,IsIList,Table_ExternalData_15[[#This Row],[item_key]],IsITypeList,Table_ExternalData_15[[#This Row],[IType]],IsDList,Table_ExternalData_15[[#Headers],[22]])</f>
        <v>0</v>
      </c>
      <c r="AA113" s="10">
        <f>SUMIFS(IsQList,IsIList,Table_ExternalData_15[[#This Row],[item_key]],IsITypeList,Table_ExternalData_15[[#This Row],[IType]],IsDList,Table_ExternalData_15[[#Headers],[23]])</f>
        <v>0</v>
      </c>
      <c r="AB113" s="10">
        <f>SUMIFS(IsQList,IsIList,Table_ExternalData_15[[#This Row],[item_key]],IsITypeList,Table_ExternalData_15[[#This Row],[IType]],IsDList,Table_ExternalData_15[[#Headers],[24]])</f>
        <v>0</v>
      </c>
      <c r="AC113" s="10">
        <f>SUMIFS(IsQList,IsIList,Table_ExternalData_15[[#This Row],[item_key]],IsITypeList,Table_ExternalData_15[[#This Row],[IType]],IsDList,Table_ExternalData_15[[#Headers],[25]])</f>
        <v>0</v>
      </c>
      <c r="AD113" s="10">
        <f>SUMIFS(IsQList,IsIList,Table_ExternalData_15[[#This Row],[item_key]],IsITypeList,Table_ExternalData_15[[#This Row],[IType]],IsDList,Table_ExternalData_15[[#Headers],[26]])</f>
        <v>0</v>
      </c>
      <c r="AE113" s="10">
        <f>SUMIFS(IsQList,IsIList,Table_ExternalData_15[[#This Row],[item_key]],IsITypeList,Table_ExternalData_15[[#This Row],[IType]],IsDList,Table_ExternalData_15[[#Headers],[27]])</f>
        <v>0</v>
      </c>
      <c r="AF113" s="10">
        <f>SUMIFS(IsQList,IsIList,Table_ExternalData_15[[#This Row],[item_key]],IsITypeList,Table_ExternalData_15[[#This Row],[IType]],IsDList,Table_ExternalData_15[[#Headers],[28]])</f>
        <v>0</v>
      </c>
      <c r="AG113" s="10">
        <f>SUMIFS(IsQList,IsIList,Table_ExternalData_15[[#This Row],[item_key]],IsITypeList,Table_ExternalData_15[[#This Row],[IType]],IsDList,Table_ExternalData_15[[#Headers],[29]])</f>
        <v>0</v>
      </c>
      <c r="AH113" s="10">
        <f>SUMIFS(IsQList,IsIList,Table_ExternalData_15[[#This Row],[item_key]],IsITypeList,Table_ExternalData_15[[#This Row],[IType]],IsDList,Table_ExternalData_15[[#Headers],[30]])</f>
        <v>30</v>
      </c>
      <c r="AI113" s="10">
        <f>SUMIFS(IsQList,IsIList,Table_ExternalData_15[[#This Row],[item_key]],IsITypeList,Table_ExternalData_15[[#This Row],[IType]],IsDList,Table_ExternalData_15[[#Headers],[31]])</f>
        <v>0</v>
      </c>
      <c r="AJ113" s="10">
        <f>SUM(Table_ExternalData_15[[#This Row],[1]:[31]])</f>
        <v>32</v>
      </c>
    </row>
    <row r="114" spans="1:36">
      <c r="A114" s="1" t="s">
        <v>1735</v>
      </c>
      <c r="B114" s="1" t="s">
        <v>2553</v>
      </c>
      <c r="C114" s="1" t="s">
        <v>2552</v>
      </c>
      <c r="D114" s="11" t="s">
        <v>72</v>
      </c>
      <c r="E114" s="10">
        <f>SUMIFS(IsQList,IsIList,Table_ExternalData_15[[#This Row],[item_key]],IsITypeList,Table_ExternalData_15[[#This Row],[IType]],IsDList,Table_ExternalData_15[[#Headers],[1]])</f>
        <v>0</v>
      </c>
      <c r="F114" s="10">
        <f>SUMIFS(IsQList,IsIList,Table_ExternalData_15[[#This Row],[item_key]],IsITypeList,Table_ExternalData_15[[#This Row],[IType]],IsDList,Table_ExternalData_15[[#Headers],[2]])</f>
        <v>0</v>
      </c>
      <c r="G114" s="10">
        <f>SUMIFS(IsQList,IsIList,Table_ExternalData_15[[#This Row],[item_key]],IsITypeList,Table_ExternalData_15[[#This Row],[IType]],IsDList,Table_ExternalData_15[[#Headers],[3]])</f>
        <v>0</v>
      </c>
      <c r="H114" s="10">
        <f>SUMIFS(IsQList,IsIList,Table_ExternalData_15[[#This Row],[item_key]],IsITypeList,Table_ExternalData_15[[#This Row],[IType]],IsDList,Table_ExternalData_15[[#Headers],[4]])</f>
        <v>0</v>
      </c>
      <c r="I114" s="10">
        <f>SUMIFS(IsQList,IsIList,Table_ExternalData_15[[#This Row],[item_key]],IsITypeList,Table_ExternalData_15[[#This Row],[IType]],IsDList,Table_ExternalData_15[[#Headers],[5]])</f>
        <v>0</v>
      </c>
      <c r="J114" s="10">
        <f>SUMIFS(IsQList,IsIList,Table_ExternalData_15[[#This Row],[item_key]],IsITypeList,Table_ExternalData_15[[#This Row],[IType]],IsDList,Table_ExternalData_15[[#Headers],[6]])</f>
        <v>2</v>
      </c>
      <c r="K114" s="10">
        <f>SUMIFS(IsQList,IsIList,Table_ExternalData_15[[#This Row],[item_key]],IsITypeList,Table_ExternalData_15[[#This Row],[IType]],IsDList,Table_ExternalData_15[[#Headers],[7]])</f>
        <v>0</v>
      </c>
      <c r="L114" s="10">
        <f>SUMIFS(IsQList,IsIList,Table_ExternalData_15[[#This Row],[item_key]],IsITypeList,Table_ExternalData_15[[#This Row],[IType]],IsDList,Table_ExternalData_15[[#Headers],[8]])</f>
        <v>0</v>
      </c>
      <c r="M114" s="10">
        <f>SUMIFS(IsQList,IsIList,Table_ExternalData_15[[#This Row],[item_key]],IsITypeList,Table_ExternalData_15[[#This Row],[IType]],IsDList,Table_ExternalData_15[[#Headers],[9]])</f>
        <v>0</v>
      </c>
      <c r="N114" s="10">
        <f>SUMIFS(IsQList,IsIList,Table_ExternalData_15[[#This Row],[item_key]],IsITypeList,Table_ExternalData_15[[#This Row],[IType]],IsDList,Table_ExternalData_15[[#Headers],[10]])</f>
        <v>0</v>
      </c>
      <c r="O114" s="10">
        <f>SUMIFS(IsQList,IsIList,Table_ExternalData_15[[#This Row],[item_key]],IsITypeList,Table_ExternalData_15[[#This Row],[IType]],IsDList,Table_ExternalData_15[[#Headers],[11]])</f>
        <v>0</v>
      </c>
      <c r="P114" s="10">
        <f>SUMIFS(IsQList,IsIList,Table_ExternalData_15[[#This Row],[item_key]],IsITypeList,Table_ExternalData_15[[#This Row],[IType]],IsDList,Table_ExternalData_15[[#Headers],[12]])</f>
        <v>0</v>
      </c>
      <c r="Q114" s="10">
        <f>SUMIFS(IsQList,IsIList,Table_ExternalData_15[[#This Row],[item_key]],IsITypeList,Table_ExternalData_15[[#This Row],[IType]],IsDList,Table_ExternalData_15[[#Headers],[13]])</f>
        <v>0</v>
      </c>
      <c r="R114" s="10">
        <f>SUMIFS(IsQList,IsIList,Table_ExternalData_15[[#This Row],[item_key]],IsITypeList,Table_ExternalData_15[[#This Row],[IType]],IsDList,Table_ExternalData_15[[#Headers],[14]])</f>
        <v>0</v>
      </c>
      <c r="S114" s="10">
        <f>SUMIFS(IsQList,IsIList,Table_ExternalData_15[[#This Row],[item_key]],IsITypeList,Table_ExternalData_15[[#This Row],[IType]],IsDList,Table_ExternalData_15[[#Headers],[15]])</f>
        <v>0</v>
      </c>
      <c r="T114" s="10">
        <f>SUMIFS(IsQList,IsIList,Table_ExternalData_15[[#This Row],[item_key]],IsITypeList,Table_ExternalData_15[[#This Row],[IType]],IsDList,Table_ExternalData_15[[#Headers],[16]])</f>
        <v>0</v>
      </c>
      <c r="U114" s="10">
        <f>SUMIFS(IsQList,IsIList,Table_ExternalData_15[[#This Row],[item_key]],IsITypeList,Table_ExternalData_15[[#This Row],[IType]],IsDList,Table_ExternalData_15[[#Headers],[17]])</f>
        <v>0</v>
      </c>
      <c r="V114" s="10">
        <f>SUMIFS(IsQList,IsIList,Table_ExternalData_15[[#This Row],[item_key]],IsITypeList,Table_ExternalData_15[[#This Row],[IType]],IsDList,Table_ExternalData_15[[#Headers],[18]])</f>
        <v>0</v>
      </c>
      <c r="W114" s="10">
        <f>SUMIFS(IsQList,IsIList,Table_ExternalData_15[[#This Row],[item_key]],IsITypeList,Table_ExternalData_15[[#This Row],[IType]],IsDList,Table_ExternalData_15[[#Headers],[19]])</f>
        <v>0</v>
      </c>
      <c r="X114" s="10">
        <f>SUMIFS(IsQList,IsIList,Table_ExternalData_15[[#This Row],[item_key]],IsITypeList,Table_ExternalData_15[[#This Row],[IType]],IsDList,Table_ExternalData_15[[#Headers],[20]])</f>
        <v>0</v>
      </c>
      <c r="Y114" s="10">
        <f>SUMIFS(IsQList,IsIList,Table_ExternalData_15[[#This Row],[item_key]],IsITypeList,Table_ExternalData_15[[#This Row],[IType]],IsDList,Table_ExternalData_15[[#Headers],[21]])</f>
        <v>0</v>
      </c>
      <c r="Z114" s="10">
        <f>SUMIFS(IsQList,IsIList,Table_ExternalData_15[[#This Row],[item_key]],IsITypeList,Table_ExternalData_15[[#This Row],[IType]],IsDList,Table_ExternalData_15[[#Headers],[22]])</f>
        <v>0</v>
      </c>
      <c r="AA114" s="10">
        <f>SUMIFS(IsQList,IsIList,Table_ExternalData_15[[#This Row],[item_key]],IsITypeList,Table_ExternalData_15[[#This Row],[IType]],IsDList,Table_ExternalData_15[[#Headers],[23]])</f>
        <v>0</v>
      </c>
      <c r="AB114" s="10">
        <f>SUMIFS(IsQList,IsIList,Table_ExternalData_15[[#This Row],[item_key]],IsITypeList,Table_ExternalData_15[[#This Row],[IType]],IsDList,Table_ExternalData_15[[#Headers],[24]])</f>
        <v>0</v>
      </c>
      <c r="AC114" s="10">
        <f>SUMIFS(IsQList,IsIList,Table_ExternalData_15[[#This Row],[item_key]],IsITypeList,Table_ExternalData_15[[#This Row],[IType]],IsDList,Table_ExternalData_15[[#Headers],[25]])</f>
        <v>0</v>
      </c>
      <c r="AD114" s="10">
        <f>SUMIFS(IsQList,IsIList,Table_ExternalData_15[[#This Row],[item_key]],IsITypeList,Table_ExternalData_15[[#This Row],[IType]],IsDList,Table_ExternalData_15[[#Headers],[26]])</f>
        <v>0</v>
      </c>
      <c r="AE114" s="10">
        <f>SUMIFS(IsQList,IsIList,Table_ExternalData_15[[#This Row],[item_key]],IsITypeList,Table_ExternalData_15[[#This Row],[IType]],IsDList,Table_ExternalData_15[[#Headers],[27]])</f>
        <v>0</v>
      </c>
      <c r="AF114" s="10">
        <f>SUMIFS(IsQList,IsIList,Table_ExternalData_15[[#This Row],[item_key]],IsITypeList,Table_ExternalData_15[[#This Row],[IType]],IsDList,Table_ExternalData_15[[#Headers],[28]])</f>
        <v>0</v>
      </c>
      <c r="AG114" s="10">
        <f>SUMIFS(IsQList,IsIList,Table_ExternalData_15[[#This Row],[item_key]],IsITypeList,Table_ExternalData_15[[#This Row],[IType]],IsDList,Table_ExternalData_15[[#Headers],[29]])</f>
        <v>0</v>
      </c>
      <c r="AH114" s="10">
        <f>SUMIFS(IsQList,IsIList,Table_ExternalData_15[[#This Row],[item_key]],IsITypeList,Table_ExternalData_15[[#This Row],[IType]],IsDList,Table_ExternalData_15[[#Headers],[30]])</f>
        <v>33</v>
      </c>
      <c r="AI114" s="10">
        <f>SUMIFS(IsQList,IsIList,Table_ExternalData_15[[#This Row],[item_key]],IsITypeList,Table_ExternalData_15[[#This Row],[IType]],IsDList,Table_ExternalData_15[[#Headers],[31]])</f>
        <v>0</v>
      </c>
      <c r="AJ114" s="10">
        <f>SUM(Table_ExternalData_15[[#This Row],[1]:[31]])</f>
        <v>35</v>
      </c>
    </row>
    <row r="115" spans="1:36">
      <c r="A115" s="1" t="s">
        <v>495</v>
      </c>
      <c r="B115" s="1" t="s">
        <v>1288</v>
      </c>
      <c r="C115" s="1" t="s">
        <v>1289</v>
      </c>
      <c r="D115" s="11" t="s">
        <v>72</v>
      </c>
      <c r="E115" s="10">
        <f>SUMIFS(IsQList,IsIList,Table_ExternalData_15[[#This Row],[item_key]],IsITypeList,Table_ExternalData_15[[#This Row],[IType]],IsDList,Table_ExternalData_15[[#Headers],[1]])</f>
        <v>0</v>
      </c>
      <c r="F115" s="10">
        <f>SUMIFS(IsQList,IsIList,Table_ExternalData_15[[#This Row],[item_key]],IsITypeList,Table_ExternalData_15[[#This Row],[IType]],IsDList,Table_ExternalData_15[[#Headers],[2]])</f>
        <v>0</v>
      </c>
      <c r="G115" s="10">
        <f>SUMIFS(IsQList,IsIList,Table_ExternalData_15[[#This Row],[item_key]],IsITypeList,Table_ExternalData_15[[#This Row],[IType]],IsDList,Table_ExternalData_15[[#Headers],[3]])</f>
        <v>0</v>
      </c>
      <c r="H115" s="10">
        <f>SUMIFS(IsQList,IsIList,Table_ExternalData_15[[#This Row],[item_key]],IsITypeList,Table_ExternalData_15[[#This Row],[IType]],IsDList,Table_ExternalData_15[[#Headers],[4]])</f>
        <v>0</v>
      </c>
      <c r="I115" s="10">
        <f>SUMIFS(IsQList,IsIList,Table_ExternalData_15[[#This Row],[item_key]],IsITypeList,Table_ExternalData_15[[#This Row],[IType]],IsDList,Table_ExternalData_15[[#Headers],[5]])</f>
        <v>0</v>
      </c>
      <c r="J115" s="10">
        <f>SUMIFS(IsQList,IsIList,Table_ExternalData_15[[#This Row],[item_key]],IsITypeList,Table_ExternalData_15[[#This Row],[IType]],IsDList,Table_ExternalData_15[[#Headers],[6]])</f>
        <v>0</v>
      </c>
      <c r="K115" s="10">
        <f>SUMIFS(IsQList,IsIList,Table_ExternalData_15[[#This Row],[item_key]],IsITypeList,Table_ExternalData_15[[#This Row],[IType]],IsDList,Table_ExternalData_15[[#Headers],[7]])</f>
        <v>0</v>
      </c>
      <c r="L115" s="10">
        <f>SUMIFS(IsQList,IsIList,Table_ExternalData_15[[#This Row],[item_key]],IsITypeList,Table_ExternalData_15[[#This Row],[IType]],IsDList,Table_ExternalData_15[[#Headers],[8]])</f>
        <v>0</v>
      </c>
      <c r="M115" s="10">
        <f>SUMIFS(IsQList,IsIList,Table_ExternalData_15[[#This Row],[item_key]],IsITypeList,Table_ExternalData_15[[#This Row],[IType]],IsDList,Table_ExternalData_15[[#Headers],[9]])</f>
        <v>0</v>
      </c>
      <c r="N115" s="10">
        <f>SUMIFS(IsQList,IsIList,Table_ExternalData_15[[#This Row],[item_key]],IsITypeList,Table_ExternalData_15[[#This Row],[IType]],IsDList,Table_ExternalData_15[[#Headers],[10]])</f>
        <v>0</v>
      </c>
      <c r="O115" s="10">
        <f>SUMIFS(IsQList,IsIList,Table_ExternalData_15[[#This Row],[item_key]],IsITypeList,Table_ExternalData_15[[#This Row],[IType]],IsDList,Table_ExternalData_15[[#Headers],[11]])</f>
        <v>0</v>
      </c>
      <c r="P115" s="10">
        <f>SUMIFS(IsQList,IsIList,Table_ExternalData_15[[#This Row],[item_key]],IsITypeList,Table_ExternalData_15[[#This Row],[IType]],IsDList,Table_ExternalData_15[[#Headers],[12]])</f>
        <v>0</v>
      </c>
      <c r="Q115" s="10">
        <f>SUMIFS(IsQList,IsIList,Table_ExternalData_15[[#This Row],[item_key]],IsITypeList,Table_ExternalData_15[[#This Row],[IType]],IsDList,Table_ExternalData_15[[#Headers],[13]])</f>
        <v>0</v>
      </c>
      <c r="R115" s="10">
        <f>SUMIFS(IsQList,IsIList,Table_ExternalData_15[[#This Row],[item_key]],IsITypeList,Table_ExternalData_15[[#This Row],[IType]],IsDList,Table_ExternalData_15[[#Headers],[14]])</f>
        <v>0</v>
      </c>
      <c r="S115" s="10">
        <f>SUMIFS(IsQList,IsIList,Table_ExternalData_15[[#This Row],[item_key]],IsITypeList,Table_ExternalData_15[[#This Row],[IType]],IsDList,Table_ExternalData_15[[#Headers],[15]])</f>
        <v>0</v>
      </c>
      <c r="T115" s="10">
        <f>SUMIFS(IsQList,IsIList,Table_ExternalData_15[[#This Row],[item_key]],IsITypeList,Table_ExternalData_15[[#This Row],[IType]],IsDList,Table_ExternalData_15[[#Headers],[16]])</f>
        <v>47</v>
      </c>
      <c r="U115" s="10">
        <f>SUMIFS(IsQList,IsIList,Table_ExternalData_15[[#This Row],[item_key]],IsITypeList,Table_ExternalData_15[[#This Row],[IType]],IsDList,Table_ExternalData_15[[#Headers],[17]])</f>
        <v>0</v>
      </c>
      <c r="V115" s="10">
        <f>SUMIFS(IsQList,IsIList,Table_ExternalData_15[[#This Row],[item_key]],IsITypeList,Table_ExternalData_15[[#This Row],[IType]],IsDList,Table_ExternalData_15[[#Headers],[18]])</f>
        <v>0</v>
      </c>
      <c r="W115" s="10">
        <f>SUMIFS(IsQList,IsIList,Table_ExternalData_15[[#This Row],[item_key]],IsITypeList,Table_ExternalData_15[[#This Row],[IType]],IsDList,Table_ExternalData_15[[#Headers],[19]])</f>
        <v>0</v>
      </c>
      <c r="X115" s="10">
        <f>SUMIFS(IsQList,IsIList,Table_ExternalData_15[[#This Row],[item_key]],IsITypeList,Table_ExternalData_15[[#This Row],[IType]],IsDList,Table_ExternalData_15[[#Headers],[20]])</f>
        <v>0</v>
      </c>
      <c r="Y115" s="10">
        <f>SUMIFS(IsQList,IsIList,Table_ExternalData_15[[#This Row],[item_key]],IsITypeList,Table_ExternalData_15[[#This Row],[IType]],IsDList,Table_ExternalData_15[[#Headers],[21]])</f>
        <v>0</v>
      </c>
      <c r="Z115" s="10">
        <f>SUMIFS(IsQList,IsIList,Table_ExternalData_15[[#This Row],[item_key]],IsITypeList,Table_ExternalData_15[[#This Row],[IType]],IsDList,Table_ExternalData_15[[#Headers],[22]])</f>
        <v>0</v>
      </c>
      <c r="AA115" s="10">
        <f>SUMIFS(IsQList,IsIList,Table_ExternalData_15[[#This Row],[item_key]],IsITypeList,Table_ExternalData_15[[#This Row],[IType]],IsDList,Table_ExternalData_15[[#Headers],[23]])</f>
        <v>0</v>
      </c>
      <c r="AB115" s="10">
        <f>SUMIFS(IsQList,IsIList,Table_ExternalData_15[[#This Row],[item_key]],IsITypeList,Table_ExternalData_15[[#This Row],[IType]],IsDList,Table_ExternalData_15[[#Headers],[24]])</f>
        <v>0</v>
      </c>
      <c r="AC115" s="10">
        <f>SUMIFS(IsQList,IsIList,Table_ExternalData_15[[#This Row],[item_key]],IsITypeList,Table_ExternalData_15[[#This Row],[IType]],IsDList,Table_ExternalData_15[[#Headers],[25]])</f>
        <v>0</v>
      </c>
      <c r="AD115" s="10">
        <f>SUMIFS(IsQList,IsIList,Table_ExternalData_15[[#This Row],[item_key]],IsITypeList,Table_ExternalData_15[[#This Row],[IType]],IsDList,Table_ExternalData_15[[#Headers],[26]])</f>
        <v>0</v>
      </c>
      <c r="AE115" s="10">
        <f>SUMIFS(IsQList,IsIList,Table_ExternalData_15[[#This Row],[item_key]],IsITypeList,Table_ExternalData_15[[#This Row],[IType]],IsDList,Table_ExternalData_15[[#Headers],[27]])</f>
        <v>0</v>
      </c>
      <c r="AF115" s="10">
        <f>SUMIFS(IsQList,IsIList,Table_ExternalData_15[[#This Row],[item_key]],IsITypeList,Table_ExternalData_15[[#This Row],[IType]],IsDList,Table_ExternalData_15[[#Headers],[28]])</f>
        <v>0</v>
      </c>
      <c r="AG115" s="10">
        <f>SUMIFS(IsQList,IsIList,Table_ExternalData_15[[#This Row],[item_key]],IsITypeList,Table_ExternalData_15[[#This Row],[IType]],IsDList,Table_ExternalData_15[[#Headers],[29]])</f>
        <v>0</v>
      </c>
      <c r="AH115" s="10">
        <f>SUMIFS(IsQList,IsIList,Table_ExternalData_15[[#This Row],[item_key]],IsITypeList,Table_ExternalData_15[[#This Row],[IType]],IsDList,Table_ExternalData_15[[#Headers],[30]])</f>
        <v>104</v>
      </c>
      <c r="AI115" s="10">
        <f>SUMIFS(IsQList,IsIList,Table_ExternalData_15[[#This Row],[item_key]],IsITypeList,Table_ExternalData_15[[#This Row],[IType]],IsDList,Table_ExternalData_15[[#Headers],[31]])</f>
        <v>0</v>
      </c>
      <c r="AJ115" s="10">
        <f>SUM(Table_ExternalData_15[[#This Row],[1]:[31]])</f>
        <v>151</v>
      </c>
    </row>
    <row r="116" spans="1:36">
      <c r="A116" s="1" t="s">
        <v>1736</v>
      </c>
      <c r="B116" s="1" t="s">
        <v>2554</v>
      </c>
      <c r="C116" s="1" t="s">
        <v>2555</v>
      </c>
      <c r="D116" s="11" t="s">
        <v>72</v>
      </c>
      <c r="E116" s="10">
        <f>SUMIFS(IsQList,IsIList,Table_ExternalData_15[[#This Row],[item_key]],IsITypeList,Table_ExternalData_15[[#This Row],[IType]],IsDList,Table_ExternalData_15[[#Headers],[1]])</f>
        <v>0</v>
      </c>
      <c r="F116" s="10">
        <f>SUMIFS(IsQList,IsIList,Table_ExternalData_15[[#This Row],[item_key]],IsITypeList,Table_ExternalData_15[[#This Row],[IType]],IsDList,Table_ExternalData_15[[#Headers],[2]])</f>
        <v>0</v>
      </c>
      <c r="G116" s="10">
        <f>SUMIFS(IsQList,IsIList,Table_ExternalData_15[[#This Row],[item_key]],IsITypeList,Table_ExternalData_15[[#This Row],[IType]],IsDList,Table_ExternalData_15[[#Headers],[3]])</f>
        <v>0</v>
      </c>
      <c r="H116" s="10">
        <f>SUMIFS(IsQList,IsIList,Table_ExternalData_15[[#This Row],[item_key]],IsITypeList,Table_ExternalData_15[[#This Row],[IType]],IsDList,Table_ExternalData_15[[#Headers],[4]])</f>
        <v>0</v>
      </c>
      <c r="I116" s="10">
        <f>SUMIFS(IsQList,IsIList,Table_ExternalData_15[[#This Row],[item_key]],IsITypeList,Table_ExternalData_15[[#This Row],[IType]],IsDList,Table_ExternalData_15[[#Headers],[5]])</f>
        <v>0</v>
      </c>
      <c r="J116" s="10">
        <f>SUMIFS(IsQList,IsIList,Table_ExternalData_15[[#This Row],[item_key]],IsITypeList,Table_ExternalData_15[[#This Row],[IType]],IsDList,Table_ExternalData_15[[#Headers],[6]])</f>
        <v>0</v>
      </c>
      <c r="K116" s="10">
        <f>SUMIFS(IsQList,IsIList,Table_ExternalData_15[[#This Row],[item_key]],IsITypeList,Table_ExternalData_15[[#This Row],[IType]],IsDList,Table_ExternalData_15[[#Headers],[7]])</f>
        <v>0</v>
      </c>
      <c r="L116" s="10">
        <f>SUMIFS(IsQList,IsIList,Table_ExternalData_15[[#This Row],[item_key]],IsITypeList,Table_ExternalData_15[[#This Row],[IType]],IsDList,Table_ExternalData_15[[#Headers],[8]])</f>
        <v>0</v>
      </c>
      <c r="M116" s="10">
        <f>SUMIFS(IsQList,IsIList,Table_ExternalData_15[[#This Row],[item_key]],IsITypeList,Table_ExternalData_15[[#This Row],[IType]],IsDList,Table_ExternalData_15[[#Headers],[9]])</f>
        <v>0</v>
      </c>
      <c r="N116" s="10">
        <f>SUMIFS(IsQList,IsIList,Table_ExternalData_15[[#This Row],[item_key]],IsITypeList,Table_ExternalData_15[[#This Row],[IType]],IsDList,Table_ExternalData_15[[#Headers],[10]])</f>
        <v>0</v>
      </c>
      <c r="O116" s="10">
        <f>SUMIFS(IsQList,IsIList,Table_ExternalData_15[[#This Row],[item_key]],IsITypeList,Table_ExternalData_15[[#This Row],[IType]],IsDList,Table_ExternalData_15[[#Headers],[11]])</f>
        <v>0</v>
      </c>
      <c r="P116" s="10">
        <f>SUMIFS(IsQList,IsIList,Table_ExternalData_15[[#This Row],[item_key]],IsITypeList,Table_ExternalData_15[[#This Row],[IType]],IsDList,Table_ExternalData_15[[#Headers],[12]])</f>
        <v>0</v>
      </c>
      <c r="Q116" s="10">
        <f>SUMIFS(IsQList,IsIList,Table_ExternalData_15[[#This Row],[item_key]],IsITypeList,Table_ExternalData_15[[#This Row],[IType]],IsDList,Table_ExternalData_15[[#Headers],[13]])</f>
        <v>0</v>
      </c>
      <c r="R116" s="10">
        <f>SUMIFS(IsQList,IsIList,Table_ExternalData_15[[#This Row],[item_key]],IsITypeList,Table_ExternalData_15[[#This Row],[IType]],IsDList,Table_ExternalData_15[[#Headers],[14]])</f>
        <v>0</v>
      </c>
      <c r="S116" s="10">
        <f>SUMIFS(IsQList,IsIList,Table_ExternalData_15[[#This Row],[item_key]],IsITypeList,Table_ExternalData_15[[#This Row],[IType]],IsDList,Table_ExternalData_15[[#Headers],[15]])</f>
        <v>0</v>
      </c>
      <c r="T116" s="10">
        <f>SUMIFS(IsQList,IsIList,Table_ExternalData_15[[#This Row],[item_key]],IsITypeList,Table_ExternalData_15[[#This Row],[IType]],IsDList,Table_ExternalData_15[[#Headers],[16]])</f>
        <v>0</v>
      </c>
      <c r="U116" s="10">
        <f>SUMIFS(IsQList,IsIList,Table_ExternalData_15[[#This Row],[item_key]],IsITypeList,Table_ExternalData_15[[#This Row],[IType]],IsDList,Table_ExternalData_15[[#Headers],[17]])</f>
        <v>0</v>
      </c>
      <c r="V116" s="10">
        <f>SUMIFS(IsQList,IsIList,Table_ExternalData_15[[#This Row],[item_key]],IsITypeList,Table_ExternalData_15[[#This Row],[IType]],IsDList,Table_ExternalData_15[[#Headers],[18]])</f>
        <v>0</v>
      </c>
      <c r="W116" s="10">
        <f>SUMIFS(IsQList,IsIList,Table_ExternalData_15[[#This Row],[item_key]],IsITypeList,Table_ExternalData_15[[#This Row],[IType]],IsDList,Table_ExternalData_15[[#Headers],[19]])</f>
        <v>0</v>
      </c>
      <c r="X116" s="10">
        <f>SUMIFS(IsQList,IsIList,Table_ExternalData_15[[#This Row],[item_key]],IsITypeList,Table_ExternalData_15[[#This Row],[IType]],IsDList,Table_ExternalData_15[[#Headers],[20]])</f>
        <v>0</v>
      </c>
      <c r="Y116" s="10">
        <f>SUMIFS(IsQList,IsIList,Table_ExternalData_15[[#This Row],[item_key]],IsITypeList,Table_ExternalData_15[[#This Row],[IType]],IsDList,Table_ExternalData_15[[#Headers],[21]])</f>
        <v>0</v>
      </c>
      <c r="Z116" s="10">
        <f>SUMIFS(IsQList,IsIList,Table_ExternalData_15[[#This Row],[item_key]],IsITypeList,Table_ExternalData_15[[#This Row],[IType]],IsDList,Table_ExternalData_15[[#Headers],[22]])</f>
        <v>0</v>
      </c>
      <c r="AA116" s="10">
        <f>SUMIFS(IsQList,IsIList,Table_ExternalData_15[[#This Row],[item_key]],IsITypeList,Table_ExternalData_15[[#This Row],[IType]],IsDList,Table_ExternalData_15[[#Headers],[23]])</f>
        <v>0</v>
      </c>
      <c r="AB116" s="10">
        <f>SUMIFS(IsQList,IsIList,Table_ExternalData_15[[#This Row],[item_key]],IsITypeList,Table_ExternalData_15[[#This Row],[IType]],IsDList,Table_ExternalData_15[[#Headers],[24]])</f>
        <v>0</v>
      </c>
      <c r="AC116" s="10">
        <f>SUMIFS(IsQList,IsIList,Table_ExternalData_15[[#This Row],[item_key]],IsITypeList,Table_ExternalData_15[[#This Row],[IType]],IsDList,Table_ExternalData_15[[#Headers],[25]])</f>
        <v>0</v>
      </c>
      <c r="AD116" s="10">
        <f>SUMIFS(IsQList,IsIList,Table_ExternalData_15[[#This Row],[item_key]],IsITypeList,Table_ExternalData_15[[#This Row],[IType]],IsDList,Table_ExternalData_15[[#Headers],[26]])</f>
        <v>0</v>
      </c>
      <c r="AE116" s="10">
        <f>SUMIFS(IsQList,IsIList,Table_ExternalData_15[[#This Row],[item_key]],IsITypeList,Table_ExternalData_15[[#This Row],[IType]],IsDList,Table_ExternalData_15[[#Headers],[27]])</f>
        <v>0</v>
      </c>
      <c r="AF116" s="10">
        <f>SUMIFS(IsQList,IsIList,Table_ExternalData_15[[#This Row],[item_key]],IsITypeList,Table_ExternalData_15[[#This Row],[IType]],IsDList,Table_ExternalData_15[[#Headers],[28]])</f>
        <v>0</v>
      </c>
      <c r="AG116" s="10">
        <f>SUMIFS(IsQList,IsIList,Table_ExternalData_15[[#This Row],[item_key]],IsITypeList,Table_ExternalData_15[[#This Row],[IType]],IsDList,Table_ExternalData_15[[#Headers],[29]])</f>
        <v>0</v>
      </c>
      <c r="AH116" s="10">
        <f>SUMIFS(IsQList,IsIList,Table_ExternalData_15[[#This Row],[item_key]],IsITypeList,Table_ExternalData_15[[#This Row],[IType]],IsDList,Table_ExternalData_15[[#Headers],[30]])</f>
        <v>200</v>
      </c>
      <c r="AI116" s="10">
        <f>SUMIFS(IsQList,IsIList,Table_ExternalData_15[[#This Row],[item_key]],IsITypeList,Table_ExternalData_15[[#This Row],[IType]],IsDList,Table_ExternalData_15[[#Headers],[31]])</f>
        <v>0</v>
      </c>
      <c r="AJ116" s="10">
        <f>SUM(Table_ExternalData_15[[#This Row],[1]:[31]])</f>
        <v>200</v>
      </c>
    </row>
    <row r="117" spans="1:36">
      <c r="A117" s="1" t="s">
        <v>1737</v>
      </c>
      <c r="B117" s="1" t="s">
        <v>2556</v>
      </c>
      <c r="C117" s="1" t="s">
        <v>2557</v>
      </c>
      <c r="D117" s="11" t="s">
        <v>72</v>
      </c>
      <c r="E117" s="10">
        <f>SUMIFS(IsQList,IsIList,Table_ExternalData_15[[#This Row],[item_key]],IsITypeList,Table_ExternalData_15[[#This Row],[IType]],IsDList,Table_ExternalData_15[[#Headers],[1]])</f>
        <v>0</v>
      </c>
      <c r="F117" s="10">
        <f>SUMIFS(IsQList,IsIList,Table_ExternalData_15[[#This Row],[item_key]],IsITypeList,Table_ExternalData_15[[#This Row],[IType]],IsDList,Table_ExternalData_15[[#Headers],[2]])</f>
        <v>0</v>
      </c>
      <c r="G117" s="10">
        <f>SUMIFS(IsQList,IsIList,Table_ExternalData_15[[#This Row],[item_key]],IsITypeList,Table_ExternalData_15[[#This Row],[IType]],IsDList,Table_ExternalData_15[[#Headers],[3]])</f>
        <v>0</v>
      </c>
      <c r="H117" s="10">
        <f>SUMIFS(IsQList,IsIList,Table_ExternalData_15[[#This Row],[item_key]],IsITypeList,Table_ExternalData_15[[#This Row],[IType]],IsDList,Table_ExternalData_15[[#Headers],[4]])</f>
        <v>0</v>
      </c>
      <c r="I117" s="10">
        <f>SUMIFS(IsQList,IsIList,Table_ExternalData_15[[#This Row],[item_key]],IsITypeList,Table_ExternalData_15[[#This Row],[IType]],IsDList,Table_ExternalData_15[[#Headers],[5]])</f>
        <v>0</v>
      </c>
      <c r="J117" s="10">
        <f>SUMIFS(IsQList,IsIList,Table_ExternalData_15[[#This Row],[item_key]],IsITypeList,Table_ExternalData_15[[#This Row],[IType]],IsDList,Table_ExternalData_15[[#Headers],[6]])</f>
        <v>0</v>
      </c>
      <c r="K117" s="10">
        <f>SUMIFS(IsQList,IsIList,Table_ExternalData_15[[#This Row],[item_key]],IsITypeList,Table_ExternalData_15[[#This Row],[IType]],IsDList,Table_ExternalData_15[[#Headers],[7]])</f>
        <v>0</v>
      </c>
      <c r="L117" s="10">
        <f>SUMIFS(IsQList,IsIList,Table_ExternalData_15[[#This Row],[item_key]],IsITypeList,Table_ExternalData_15[[#This Row],[IType]],IsDList,Table_ExternalData_15[[#Headers],[8]])</f>
        <v>0</v>
      </c>
      <c r="M117" s="10">
        <f>SUMIFS(IsQList,IsIList,Table_ExternalData_15[[#This Row],[item_key]],IsITypeList,Table_ExternalData_15[[#This Row],[IType]],IsDList,Table_ExternalData_15[[#Headers],[9]])</f>
        <v>0</v>
      </c>
      <c r="N117" s="10">
        <f>SUMIFS(IsQList,IsIList,Table_ExternalData_15[[#This Row],[item_key]],IsITypeList,Table_ExternalData_15[[#This Row],[IType]],IsDList,Table_ExternalData_15[[#Headers],[10]])</f>
        <v>0</v>
      </c>
      <c r="O117" s="10">
        <f>SUMIFS(IsQList,IsIList,Table_ExternalData_15[[#This Row],[item_key]],IsITypeList,Table_ExternalData_15[[#This Row],[IType]],IsDList,Table_ExternalData_15[[#Headers],[11]])</f>
        <v>0</v>
      </c>
      <c r="P117" s="10">
        <f>SUMIFS(IsQList,IsIList,Table_ExternalData_15[[#This Row],[item_key]],IsITypeList,Table_ExternalData_15[[#This Row],[IType]],IsDList,Table_ExternalData_15[[#Headers],[12]])</f>
        <v>0</v>
      </c>
      <c r="Q117" s="10">
        <f>SUMIFS(IsQList,IsIList,Table_ExternalData_15[[#This Row],[item_key]],IsITypeList,Table_ExternalData_15[[#This Row],[IType]],IsDList,Table_ExternalData_15[[#Headers],[13]])</f>
        <v>0</v>
      </c>
      <c r="R117" s="10">
        <f>SUMIFS(IsQList,IsIList,Table_ExternalData_15[[#This Row],[item_key]],IsITypeList,Table_ExternalData_15[[#This Row],[IType]],IsDList,Table_ExternalData_15[[#Headers],[14]])</f>
        <v>0</v>
      </c>
      <c r="S117" s="10">
        <f>SUMIFS(IsQList,IsIList,Table_ExternalData_15[[#This Row],[item_key]],IsITypeList,Table_ExternalData_15[[#This Row],[IType]],IsDList,Table_ExternalData_15[[#Headers],[15]])</f>
        <v>0</v>
      </c>
      <c r="T117" s="10">
        <f>SUMIFS(IsQList,IsIList,Table_ExternalData_15[[#This Row],[item_key]],IsITypeList,Table_ExternalData_15[[#This Row],[IType]],IsDList,Table_ExternalData_15[[#Headers],[16]])</f>
        <v>0</v>
      </c>
      <c r="U117" s="10">
        <f>SUMIFS(IsQList,IsIList,Table_ExternalData_15[[#This Row],[item_key]],IsITypeList,Table_ExternalData_15[[#This Row],[IType]],IsDList,Table_ExternalData_15[[#Headers],[17]])</f>
        <v>0</v>
      </c>
      <c r="V117" s="10">
        <f>SUMIFS(IsQList,IsIList,Table_ExternalData_15[[#This Row],[item_key]],IsITypeList,Table_ExternalData_15[[#This Row],[IType]],IsDList,Table_ExternalData_15[[#Headers],[18]])</f>
        <v>0</v>
      </c>
      <c r="W117" s="10">
        <f>SUMIFS(IsQList,IsIList,Table_ExternalData_15[[#This Row],[item_key]],IsITypeList,Table_ExternalData_15[[#This Row],[IType]],IsDList,Table_ExternalData_15[[#Headers],[19]])</f>
        <v>0</v>
      </c>
      <c r="X117" s="10">
        <f>SUMIFS(IsQList,IsIList,Table_ExternalData_15[[#This Row],[item_key]],IsITypeList,Table_ExternalData_15[[#This Row],[IType]],IsDList,Table_ExternalData_15[[#Headers],[20]])</f>
        <v>0</v>
      </c>
      <c r="Y117" s="10">
        <f>SUMIFS(IsQList,IsIList,Table_ExternalData_15[[#This Row],[item_key]],IsITypeList,Table_ExternalData_15[[#This Row],[IType]],IsDList,Table_ExternalData_15[[#Headers],[21]])</f>
        <v>0</v>
      </c>
      <c r="Z117" s="10">
        <f>SUMIFS(IsQList,IsIList,Table_ExternalData_15[[#This Row],[item_key]],IsITypeList,Table_ExternalData_15[[#This Row],[IType]],IsDList,Table_ExternalData_15[[#Headers],[22]])</f>
        <v>0</v>
      </c>
      <c r="AA117" s="10">
        <f>SUMIFS(IsQList,IsIList,Table_ExternalData_15[[#This Row],[item_key]],IsITypeList,Table_ExternalData_15[[#This Row],[IType]],IsDList,Table_ExternalData_15[[#Headers],[23]])</f>
        <v>0</v>
      </c>
      <c r="AB117" s="10">
        <f>SUMIFS(IsQList,IsIList,Table_ExternalData_15[[#This Row],[item_key]],IsITypeList,Table_ExternalData_15[[#This Row],[IType]],IsDList,Table_ExternalData_15[[#Headers],[24]])</f>
        <v>2</v>
      </c>
      <c r="AC117" s="10">
        <f>SUMIFS(IsQList,IsIList,Table_ExternalData_15[[#This Row],[item_key]],IsITypeList,Table_ExternalData_15[[#This Row],[IType]],IsDList,Table_ExternalData_15[[#Headers],[25]])</f>
        <v>0</v>
      </c>
      <c r="AD117" s="10">
        <f>SUMIFS(IsQList,IsIList,Table_ExternalData_15[[#This Row],[item_key]],IsITypeList,Table_ExternalData_15[[#This Row],[IType]],IsDList,Table_ExternalData_15[[#Headers],[26]])</f>
        <v>0</v>
      </c>
      <c r="AE117" s="10">
        <f>SUMIFS(IsQList,IsIList,Table_ExternalData_15[[#This Row],[item_key]],IsITypeList,Table_ExternalData_15[[#This Row],[IType]],IsDList,Table_ExternalData_15[[#Headers],[27]])</f>
        <v>0</v>
      </c>
      <c r="AF117" s="10">
        <f>SUMIFS(IsQList,IsIList,Table_ExternalData_15[[#This Row],[item_key]],IsITypeList,Table_ExternalData_15[[#This Row],[IType]],IsDList,Table_ExternalData_15[[#Headers],[28]])</f>
        <v>0</v>
      </c>
      <c r="AG117" s="10">
        <f>SUMIFS(IsQList,IsIList,Table_ExternalData_15[[#This Row],[item_key]],IsITypeList,Table_ExternalData_15[[#This Row],[IType]],IsDList,Table_ExternalData_15[[#Headers],[29]])</f>
        <v>0</v>
      </c>
      <c r="AH117" s="10">
        <f>SUMIFS(IsQList,IsIList,Table_ExternalData_15[[#This Row],[item_key]],IsITypeList,Table_ExternalData_15[[#This Row],[IType]],IsDList,Table_ExternalData_15[[#Headers],[30]])</f>
        <v>20</v>
      </c>
      <c r="AI117" s="10">
        <f>SUMIFS(IsQList,IsIList,Table_ExternalData_15[[#This Row],[item_key]],IsITypeList,Table_ExternalData_15[[#This Row],[IType]],IsDList,Table_ExternalData_15[[#Headers],[31]])</f>
        <v>0</v>
      </c>
      <c r="AJ117" s="10">
        <f>SUM(Table_ExternalData_15[[#This Row],[1]:[31]])</f>
        <v>22</v>
      </c>
    </row>
    <row r="118" spans="1:36">
      <c r="A118" s="1" t="s">
        <v>512</v>
      </c>
      <c r="B118" s="1" t="s">
        <v>2558</v>
      </c>
      <c r="C118" s="1" t="s">
        <v>1486</v>
      </c>
      <c r="D118" s="11" t="s">
        <v>72</v>
      </c>
      <c r="E118" s="10">
        <f>SUMIFS(IsQList,IsIList,Table_ExternalData_15[[#This Row],[item_key]],IsITypeList,Table_ExternalData_15[[#This Row],[IType]],IsDList,Table_ExternalData_15[[#Headers],[1]])</f>
        <v>0</v>
      </c>
      <c r="F118" s="10">
        <f>SUMIFS(IsQList,IsIList,Table_ExternalData_15[[#This Row],[item_key]],IsITypeList,Table_ExternalData_15[[#This Row],[IType]],IsDList,Table_ExternalData_15[[#Headers],[2]])</f>
        <v>0</v>
      </c>
      <c r="G118" s="10">
        <f>SUMIFS(IsQList,IsIList,Table_ExternalData_15[[#This Row],[item_key]],IsITypeList,Table_ExternalData_15[[#This Row],[IType]],IsDList,Table_ExternalData_15[[#Headers],[3]])</f>
        <v>0</v>
      </c>
      <c r="H118" s="10">
        <f>SUMIFS(IsQList,IsIList,Table_ExternalData_15[[#This Row],[item_key]],IsITypeList,Table_ExternalData_15[[#This Row],[IType]],IsDList,Table_ExternalData_15[[#Headers],[4]])</f>
        <v>0</v>
      </c>
      <c r="I118" s="10">
        <f>SUMIFS(IsQList,IsIList,Table_ExternalData_15[[#This Row],[item_key]],IsITypeList,Table_ExternalData_15[[#This Row],[IType]],IsDList,Table_ExternalData_15[[#Headers],[5]])</f>
        <v>0</v>
      </c>
      <c r="J118" s="10">
        <f>SUMIFS(IsQList,IsIList,Table_ExternalData_15[[#This Row],[item_key]],IsITypeList,Table_ExternalData_15[[#This Row],[IType]],IsDList,Table_ExternalData_15[[#Headers],[6]])</f>
        <v>0</v>
      </c>
      <c r="K118" s="10">
        <f>SUMIFS(IsQList,IsIList,Table_ExternalData_15[[#This Row],[item_key]],IsITypeList,Table_ExternalData_15[[#This Row],[IType]],IsDList,Table_ExternalData_15[[#Headers],[7]])</f>
        <v>0</v>
      </c>
      <c r="L118" s="10">
        <f>SUMIFS(IsQList,IsIList,Table_ExternalData_15[[#This Row],[item_key]],IsITypeList,Table_ExternalData_15[[#This Row],[IType]],IsDList,Table_ExternalData_15[[#Headers],[8]])</f>
        <v>0</v>
      </c>
      <c r="M118" s="10">
        <f>SUMIFS(IsQList,IsIList,Table_ExternalData_15[[#This Row],[item_key]],IsITypeList,Table_ExternalData_15[[#This Row],[IType]],IsDList,Table_ExternalData_15[[#Headers],[9]])</f>
        <v>0</v>
      </c>
      <c r="N118" s="10">
        <f>SUMIFS(IsQList,IsIList,Table_ExternalData_15[[#This Row],[item_key]],IsITypeList,Table_ExternalData_15[[#This Row],[IType]],IsDList,Table_ExternalData_15[[#Headers],[10]])</f>
        <v>0</v>
      </c>
      <c r="O118" s="10">
        <f>SUMIFS(IsQList,IsIList,Table_ExternalData_15[[#This Row],[item_key]],IsITypeList,Table_ExternalData_15[[#This Row],[IType]],IsDList,Table_ExternalData_15[[#Headers],[11]])</f>
        <v>0</v>
      </c>
      <c r="P118" s="10">
        <f>SUMIFS(IsQList,IsIList,Table_ExternalData_15[[#This Row],[item_key]],IsITypeList,Table_ExternalData_15[[#This Row],[IType]],IsDList,Table_ExternalData_15[[#Headers],[12]])</f>
        <v>0</v>
      </c>
      <c r="Q118" s="10">
        <f>SUMIFS(IsQList,IsIList,Table_ExternalData_15[[#This Row],[item_key]],IsITypeList,Table_ExternalData_15[[#This Row],[IType]],IsDList,Table_ExternalData_15[[#Headers],[13]])</f>
        <v>0</v>
      </c>
      <c r="R118" s="10">
        <f>SUMIFS(IsQList,IsIList,Table_ExternalData_15[[#This Row],[item_key]],IsITypeList,Table_ExternalData_15[[#This Row],[IType]],IsDList,Table_ExternalData_15[[#Headers],[14]])</f>
        <v>0</v>
      </c>
      <c r="S118" s="10">
        <f>SUMIFS(IsQList,IsIList,Table_ExternalData_15[[#This Row],[item_key]],IsITypeList,Table_ExternalData_15[[#This Row],[IType]],IsDList,Table_ExternalData_15[[#Headers],[15]])</f>
        <v>0</v>
      </c>
      <c r="T118" s="10">
        <f>SUMIFS(IsQList,IsIList,Table_ExternalData_15[[#This Row],[item_key]],IsITypeList,Table_ExternalData_15[[#This Row],[IType]],IsDList,Table_ExternalData_15[[#Headers],[16]])</f>
        <v>10</v>
      </c>
      <c r="U118" s="10">
        <f>SUMIFS(IsQList,IsIList,Table_ExternalData_15[[#This Row],[item_key]],IsITypeList,Table_ExternalData_15[[#This Row],[IType]],IsDList,Table_ExternalData_15[[#Headers],[17]])</f>
        <v>0</v>
      </c>
      <c r="V118" s="10">
        <f>SUMIFS(IsQList,IsIList,Table_ExternalData_15[[#This Row],[item_key]],IsITypeList,Table_ExternalData_15[[#This Row],[IType]],IsDList,Table_ExternalData_15[[#Headers],[18]])</f>
        <v>0</v>
      </c>
      <c r="W118" s="10">
        <f>SUMIFS(IsQList,IsIList,Table_ExternalData_15[[#This Row],[item_key]],IsITypeList,Table_ExternalData_15[[#This Row],[IType]],IsDList,Table_ExternalData_15[[#Headers],[19]])</f>
        <v>0</v>
      </c>
      <c r="X118" s="10">
        <f>SUMIFS(IsQList,IsIList,Table_ExternalData_15[[#This Row],[item_key]],IsITypeList,Table_ExternalData_15[[#This Row],[IType]],IsDList,Table_ExternalData_15[[#Headers],[20]])</f>
        <v>0</v>
      </c>
      <c r="Y118" s="10">
        <f>SUMIFS(IsQList,IsIList,Table_ExternalData_15[[#This Row],[item_key]],IsITypeList,Table_ExternalData_15[[#This Row],[IType]],IsDList,Table_ExternalData_15[[#Headers],[21]])</f>
        <v>0</v>
      </c>
      <c r="Z118" s="10">
        <f>SUMIFS(IsQList,IsIList,Table_ExternalData_15[[#This Row],[item_key]],IsITypeList,Table_ExternalData_15[[#This Row],[IType]],IsDList,Table_ExternalData_15[[#Headers],[22]])</f>
        <v>0</v>
      </c>
      <c r="AA118" s="10">
        <f>SUMIFS(IsQList,IsIList,Table_ExternalData_15[[#This Row],[item_key]],IsITypeList,Table_ExternalData_15[[#This Row],[IType]],IsDList,Table_ExternalData_15[[#Headers],[23]])</f>
        <v>0</v>
      </c>
      <c r="AB118" s="10">
        <f>SUMIFS(IsQList,IsIList,Table_ExternalData_15[[#This Row],[item_key]],IsITypeList,Table_ExternalData_15[[#This Row],[IType]],IsDList,Table_ExternalData_15[[#Headers],[24]])</f>
        <v>0</v>
      </c>
      <c r="AC118" s="10">
        <f>SUMIFS(IsQList,IsIList,Table_ExternalData_15[[#This Row],[item_key]],IsITypeList,Table_ExternalData_15[[#This Row],[IType]],IsDList,Table_ExternalData_15[[#Headers],[25]])</f>
        <v>0</v>
      </c>
      <c r="AD118" s="10">
        <f>SUMIFS(IsQList,IsIList,Table_ExternalData_15[[#This Row],[item_key]],IsITypeList,Table_ExternalData_15[[#This Row],[IType]],IsDList,Table_ExternalData_15[[#Headers],[26]])</f>
        <v>0</v>
      </c>
      <c r="AE118" s="10">
        <f>SUMIFS(IsQList,IsIList,Table_ExternalData_15[[#This Row],[item_key]],IsITypeList,Table_ExternalData_15[[#This Row],[IType]],IsDList,Table_ExternalData_15[[#Headers],[27]])</f>
        <v>0</v>
      </c>
      <c r="AF118" s="10">
        <f>SUMIFS(IsQList,IsIList,Table_ExternalData_15[[#This Row],[item_key]],IsITypeList,Table_ExternalData_15[[#This Row],[IType]],IsDList,Table_ExternalData_15[[#Headers],[28]])</f>
        <v>0</v>
      </c>
      <c r="AG118" s="10">
        <f>SUMIFS(IsQList,IsIList,Table_ExternalData_15[[#This Row],[item_key]],IsITypeList,Table_ExternalData_15[[#This Row],[IType]],IsDList,Table_ExternalData_15[[#Headers],[29]])</f>
        <v>0</v>
      </c>
      <c r="AH118" s="10">
        <f>SUMIFS(IsQList,IsIList,Table_ExternalData_15[[#This Row],[item_key]],IsITypeList,Table_ExternalData_15[[#This Row],[IType]],IsDList,Table_ExternalData_15[[#Headers],[30]])</f>
        <v>0</v>
      </c>
      <c r="AI118" s="10">
        <f>SUMIFS(IsQList,IsIList,Table_ExternalData_15[[#This Row],[item_key]],IsITypeList,Table_ExternalData_15[[#This Row],[IType]],IsDList,Table_ExternalData_15[[#Headers],[31]])</f>
        <v>0</v>
      </c>
      <c r="AJ118" s="10">
        <f>SUM(Table_ExternalData_15[[#This Row],[1]:[31]])</f>
        <v>10</v>
      </c>
    </row>
    <row r="119" spans="1:36">
      <c r="A119" s="1" t="s">
        <v>517</v>
      </c>
      <c r="B119" s="1" t="s">
        <v>1290</v>
      </c>
      <c r="C119" s="1" t="s">
        <v>1291</v>
      </c>
      <c r="D119" s="11" t="s">
        <v>72</v>
      </c>
      <c r="E119" s="10">
        <f>SUMIFS(IsQList,IsIList,Table_ExternalData_15[[#This Row],[item_key]],IsITypeList,Table_ExternalData_15[[#This Row],[IType]],IsDList,Table_ExternalData_15[[#Headers],[1]])</f>
        <v>0</v>
      </c>
      <c r="F119" s="10">
        <f>SUMIFS(IsQList,IsIList,Table_ExternalData_15[[#This Row],[item_key]],IsITypeList,Table_ExternalData_15[[#This Row],[IType]],IsDList,Table_ExternalData_15[[#Headers],[2]])</f>
        <v>0</v>
      </c>
      <c r="G119" s="10">
        <f>SUMIFS(IsQList,IsIList,Table_ExternalData_15[[#This Row],[item_key]],IsITypeList,Table_ExternalData_15[[#This Row],[IType]],IsDList,Table_ExternalData_15[[#Headers],[3]])</f>
        <v>0</v>
      </c>
      <c r="H119" s="10">
        <f>SUMIFS(IsQList,IsIList,Table_ExternalData_15[[#This Row],[item_key]],IsITypeList,Table_ExternalData_15[[#This Row],[IType]],IsDList,Table_ExternalData_15[[#Headers],[4]])</f>
        <v>0</v>
      </c>
      <c r="I119" s="10">
        <f>SUMIFS(IsQList,IsIList,Table_ExternalData_15[[#This Row],[item_key]],IsITypeList,Table_ExternalData_15[[#This Row],[IType]],IsDList,Table_ExternalData_15[[#Headers],[5]])</f>
        <v>0</v>
      </c>
      <c r="J119" s="10">
        <f>SUMIFS(IsQList,IsIList,Table_ExternalData_15[[#This Row],[item_key]],IsITypeList,Table_ExternalData_15[[#This Row],[IType]],IsDList,Table_ExternalData_15[[#Headers],[6]])</f>
        <v>0</v>
      </c>
      <c r="K119" s="10">
        <f>SUMIFS(IsQList,IsIList,Table_ExternalData_15[[#This Row],[item_key]],IsITypeList,Table_ExternalData_15[[#This Row],[IType]],IsDList,Table_ExternalData_15[[#Headers],[7]])</f>
        <v>0</v>
      </c>
      <c r="L119" s="10">
        <f>SUMIFS(IsQList,IsIList,Table_ExternalData_15[[#This Row],[item_key]],IsITypeList,Table_ExternalData_15[[#This Row],[IType]],IsDList,Table_ExternalData_15[[#Headers],[8]])</f>
        <v>0</v>
      </c>
      <c r="M119" s="10">
        <f>SUMIFS(IsQList,IsIList,Table_ExternalData_15[[#This Row],[item_key]],IsITypeList,Table_ExternalData_15[[#This Row],[IType]],IsDList,Table_ExternalData_15[[#Headers],[9]])</f>
        <v>0</v>
      </c>
      <c r="N119" s="10">
        <f>SUMIFS(IsQList,IsIList,Table_ExternalData_15[[#This Row],[item_key]],IsITypeList,Table_ExternalData_15[[#This Row],[IType]],IsDList,Table_ExternalData_15[[#Headers],[10]])</f>
        <v>0</v>
      </c>
      <c r="O119" s="10">
        <f>SUMIFS(IsQList,IsIList,Table_ExternalData_15[[#This Row],[item_key]],IsITypeList,Table_ExternalData_15[[#This Row],[IType]],IsDList,Table_ExternalData_15[[#Headers],[11]])</f>
        <v>0</v>
      </c>
      <c r="P119" s="10">
        <f>SUMIFS(IsQList,IsIList,Table_ExternalData_15[[#This Row],[item_key]],IsITypeList,Table_ExternalData_15[[#This Row],[IType]],IsDList,Table_ExternalData_15[[#Headers],[12]])</f>
        <v>0</v>
      </c>
      <c r="Q119" s="10">
        <f>SUMIFS(IsQList,IsIList,Table_ExternalData_15[[#This Row],[item_key]],IsITypeList,Table_ExternalData_15[[#This Row],[IType]],IsDList,Table_ExternalData_15[[#Headers],[13]])</f>
        <v>0</v>
      </c>
      <c r="R119" s="10">
        <f>SUMIFS(IsQList,IsIList,Table_ExternalData_15[[#This Row],[item_key]],IsITypeList,Table_ExternalData_15[[#This Row],[IType]],IsDList,Table_ExternalData_15[[#Headers],[14]])</f>
        <v>0</v>
      </c>
      <c r="S119" s="10">
        <f>SUMIFS(IsQList,IsIList,Table_ExternalData_15[[#This Row],[item_key]],IsITypeList,Table_ExternalData_15[[#This Row],[IType]],IsDList,Table_ExternalData_15[[#Headers],[15]])</f>
        <v>0</v>
      </c>
      <c r="T119" s="10">
        <f>SUMIFS(IsQList,IsIList,Table_ExternalData_15[[#This Row],[item_key]],IsITypeList,Table_ExternalData_15[[#This Row],[IType]],IsDList,Table_ExternalData_15[[#Headers],[16]])</f>
        <v>0</v>
      </c>
      <c r="U119" s="10">
        <f>SUMIFS(IsQList,IsIList,Table_ExternalData_15[[#This Row],[item_key]],IsITypeList,Table_ExternalData_15[[#This Row],[IType]],IsDList,Table_ExternalData_15[[#Headers],[17]])</f>
        <v>0</v>
      </c>
      <c r="V119" s="10">
        <f>SUMIFS(IsQList,IsIList,Table_ExternalData_15[[#This Row],[item_key]],IsITypeList,Table_ExternalData_15[[#This Row],[IType]],IsDList,Table_ExternalData_15[[#Headers],[18]])</f>
        <v>0</v>
      </c>
      <c r="W119" s="10">
        <f>SUMIFS(IsQList,IsIList,Table_ExternalData_15[[#This Row],[item_key]],IsITypeList,Table_ExternalData_15[[#This Row],[IType]],IsDList,Table_ExternalData_15[[#Headers],[19]])</f>
        <v>0</v>
      </c>
      <c r="X119" s="10">
        <f>SUMIFS(IsQList,IsIList,Table_ExternalData_15[[#This Row],[item_key]],IsITypeList,Table_ExternalData_15[[#This Row],[IType]],IsDList,Table_ExternalData_15[[#Headers],[20]])</f>
        <v>0</v>
      </c>
      <c r="Y119" s="10">
        <f>SUMIFS(IsQList,IsIList,Table_ExternalData_15[[#This Row],[item_key]],IsITypeList,Table_ExternalData_15[[#This Row],[IType]],IsDList,Table_ExternalData_15[[#Headers],[21]])</f>
        <v>0</v>
      </c>
      <c r="Z119" s="10">
        <f>SUMIFS(IsQList,IsIList,Table_ExternalData_15[[#This Row],[item_key]],IsITypeList,Table_ExternalData_15[[#This Row],[IType]],IsDList,Table_ExternalData_15[[#Headers],[22]])</f>
        <v>0</v>
      </c>
      <c r="AA119" s="10">
        <f>SUMIFS(IsQList,IsIList,Table_ExternalData_15[[#This Row],[item_key]],IsITypeList,Table_ExternalData_15[[#This Row],[IType]],IsDList,Table_ExternalData_15[[#Headers],[23]])</f>
        <v>0</v>
      </c>
      <c r="AB119" s="10">
        <f>SUMIFS(IsQList,IsIList,Table_ExternalData_15[[#This Row],[item_key]],IsITypeList,Table_ExternalData_15[[#This Row],[IType]],IsDList,Table_ExternalData_15[[#Headers],[24]])</f>
        <v>0</v>
      </c>
      <c r="AC119" s="10">
        <f>SUMIFS(IsQList,IsIList,Table_ExternalData_15[[#This Row],[item_key]],IsITypeList,Table_ExternalData_15[[#This Row],[IType]],IsDList,Table_ExternalData_15[[#Headers],[25]])</f>
        <v>0</v>
      </c>
      <c r="AD119" s="10">
        <f>SUMIFS(IsQList,IsIList,Table_ExternalData_15[[#This Row],[item_key]],IsITypeList,Table_ExternalData_15[[#This Row],[IType]],IsDList,Table_ExternalData_15[[#Headers],[26]])</f>
        <v>0</v>
      </c>
      <c r="AE119" s="10">
        <f>SUMIFS(IsQList,IsIList,Table_ExternalData_15[[#This Row],[item_key]],IsITypeList,Table_ExternalData_15[[#This Row],[IType]],IsDList,Table_ExternalData_15[[#Headers],[27]])</f>
        <v>0</v>
      </c>
      <c r="AF119" s="10">
        <f>SUMIFS(IsQList,IsIList,Table_ExternalData_15[[#This Row],[item_key]],IsITypeList,Table_ExternalData_15[[#This Row],[IType]],IsDList,Table_ExternalData_15[[#Headers],[28]])</f>
        <v>0</v>
      </c>
      <c r="AG119" s="10">
        <f>SUMIFS(IsQList,IsIList,Table_ExternalData_15[[#This Row],[item_key]],IsITypeList,Table_ExternalData_15[[#This Row],[IType]],IsDList,Table_ExternalData_15[[#Headers],[29]])</f>
        <v>0</v>
      </c>
      <c r="AH119" s="10">
        <f>SUMIFS(IsQList,IsIList,Table_ExternalData_15[[#This Row],[item_key]],IsITypeList,Table_ExternalData_15[[#This Row],[IType]],IsDList,Table_ExternalData_15[[#Headers],[30]])</f>
        <v>0</v>
      </c>
      <c r="AI119" s="10">
        <f>SUMIFS(IsQList,IsIList,Table_ExternalData_15[[#This Row],[item_key]],IsITypeList,Table_ExternalData_15[[#This Row],[IType]],IsDList,Table_ExternalData_15[[#Headers],[31]])</f>
        <v>0</v>
      </c>
      <c r="AJ119" s="10">
        <f>SUM(Table_ExternalData_15[[#This Row],[1]:[31]])</f>
        <v>0</v>
      </c>
    </row>
    <row r="120" spans="1:36">
      <c r="A120" s="1" t="s">
        <v>518</v>
      </c>
      <c r="B120" s="1" t="s">
        <v>1292</v>
      </c>
      <c r="C120" s="1" t="s">
        <v>1293</v>
      </c>
      <c r="D120" s="11" t="s">
        <v>72</v>
      </c>
      <c r="E120" s="10">
        <f>SUMIFS(IsQList,IsIList,Table_ExternalData_15[[#This Row],[item_key]],IsITypeList,Table_ExternalData_15[[#This Row],[IType]],IsDList,Table_ExternalData_15[[#Headers],[1]])</f>
        <v>0</v>
      </c>
      <c r="F120" s="10">
        <f>SUMIFS(IsQList,IsIList,Table_ExternalData_15[[#This Row],[item_key]],IsITypeList,Table_ExternalData_15[[#This Row],[IType]],IsDList,Table_ExternalData_15[[#Headers],[2]])</f>
        <v>0</v>
      </c>
      <c r="G120" s="10">
        <f>SUMIFS(IsQList,IsIList,Table_ExternalData_15[[#This Row],[item_key]],IsITypeList,Table_ExternalData_15[[#This Row],[IType]],IsDList,Table_ExternalData_15[[#Headers],[3]])</f>
        <v>0</v>
      </c>
      <c r="H120" s="10">
        <f>SUMIFS(IsQList,IsIList,Table_ExternalData_15[[#This Row],[item_key]],IsITypeList,Table_ExternalData_15[[#This Row],[IType]],IsDList,Table_ExternalData_15[[#Headers],[4]])</f>
        <v>0</v>
      </c>
      <c r="I120" s="10">
        <f>SUMIFS(IsQList,IsIList,Table_ExternalData_15[[#This Row],[item_key]],IsITypeList,Table_ExternalData_15[[#This Row],[IType]],IsDList,Table_ExternalData_15[[#Headers],[5]])</f>
        <v>0</v>
      </c>
      <c r="J120" s="10">
        <f>SUMIFS(IsQList,IsIList,Table_ExternalData_15[[#This Row],[item_key]],IsITypeList,Table_ExternalData_15[[#This Row],[IType]],IsDList,Table_ExternalData_15[[#Headers],[6]])</f>
        <v>5</v>
      </c>
      <c r="K120" s="10">
        <f>SUMIFS(IsQList,IsIList,Table_ExternalData_15[[#This Row],[item_key]],IsITypeList,Table_ExternalData_15[[#This Row],[IType]],IsDList,Table_ExternalData_15[[#Headers],[7]])</f>
        <v>0</v>
      </c>
      <c r="L120" s="10">
        <f>SUMIFS(IsQList,IsIList,Table_ExternalData_15[[#This Row],[item_key]],IsITypeList,Table_ExternalData_15[[#This Row],[IType]],IsDList,Table_ExternalData_15[[#Headers],[8]])</f>
        <v>0</v>
      </c>
      <c r="M120" s="10">
        <f>SUMIFS(IsQList,IsIList,Table_ExternalData_15[[#This Row],[item_key]],IsITypeList,Table_ExternalData_15[[#This Row],[IType]],IsDList,Table_ExternalData_15[[#Headers],[9]])</f>
        <v>0</v>
      </c>
      <c r="N120" s="10">
        <f>SUMIFS(IsQList,IsIList,Table_ExternalData_15[[#This Row],[item_key]],IsITypeList,Table_ExternalData_15[[#This Row],[IType]],IsDList,Table_ExternalData_15[[#Headers],[10]])</f>
        <v>0</v>
      </c>
      <c r="O120" s="10">
        <f>SUMIFS(IsQList,IsIList,Table_ExternalData_15[[#This Row],[item_key]],IsITypeList,Table_ExternalData_15[[#This Row],[IType]],IsDList,Table_ExternalData_15[[#Headers],[11]])</f>
        <v>0</v>
      </c>
      <c r="P120" s="10">
        <f>SUMIFS(IsQList,IsIList,Table_ExternalData_15[[#This Row],[item_key]],IsITypeList,Table_ExternalData_15[[#This Row],[IType]],IsDList,Table_ExternalData_15[[#Headers],[12]])</f>
        <v>0</v>
      </c>
      <c r="Q120" s="10">
        <f>SUMIFS(IsQList,IsIList,Table_ExternalData_15[[#This Row],[item_key]],IsITypeList,Table_ExternalData_15[[#This Row],[IType]],IsDList,Table_ExternalData_15[[#Headers],[13]])</f>
        <v>0</v>
      </c>
      <c r="R120" s="10">
        <f>SUMIFS(IsQList,IsIList,Table_ExternalData_15[[#This Row],[item_key]],IsITypeList,Table_ExternalData_15[[#This Row],[IType]],IsDList,Table_ExternalData_15[[#Headers],[14]])</f>
        <v>0</v>
      </c>
      <c r="S120" s="10">
        <f>SUMIFS(IsQList,IsIList,Table_ExternalData_15[[#This Row],[item_key]],IsITypeList,Table_ExternalData_15[[#This Row],[IType]],IsDList,Table_ExternalData_15[[#Headers],[15]])</f>
        <v>0</v>
      </c>
      <c r="T120" s="10">
        <f>SUMIFS(IsQList,IsIList,Table_ExternalData_15[[#This Row],[item_key]],IsITypeList,Table_ExternalData_15[[#This Row],[IType]],IsDList,Table_ExternalData_15[[#Headers],[16]])</f>
        <v>3</v>
      </c>
      <c r="U120" s="10">
        <f>SUMIFS(IsQList,IsIList,Table_ExternalData_15[[#This Row],[item_key]],IsITypeList,Table_ExternalData_15[[#This Row],[IType]],IsDList,Table_ExternalData_15[[#Headers],[17]])</f>
        <v>0</v>
      </c>
      <c r="V120" s="10">
        <f>SUMIFS(IsQList,IsIList,Table_ExternalData_15[[#This Row],[item_key]],IsITypeList,Table_ExternalData_15[[#This Row],[IType]],IsDList,Table_ExternalData_15[[#Headers],[18]])</f>
        <v>0</v>
      </c>
      <c r="W120" s="10">
        <f>SUMIFS(IsQList,IsIList,Table_ExternalData_15[[#This Row],[item_key]],IsITypeList,Table_ExternalData_15[[#This Row],[IType]],IsDList,Table_ExternalData_15[[#Headers],[19]])</f>
        <v>0</v>
      </c>
      <c r="X120" s="10">
        <f>SUMIFS(IsQList,IsIList,Table_ExternalData_15[[#This Row],[item_key]],IsITypeList,Table_ExternalData_15[[#This Row],[IType]],IsDList,Table_ExternalData_15[[#Headers],[20]])</f>
        <v>0</v>
      </c>
      <c r="Y120" s="10">
        <f>SUMIFS(IsQList,IsIList,Table_ExternalData_15[[#This Row],[item_key]],IsITypeList,Table_ExternalData_15[[#This Row],[IType]],IsDList,Table_ExternalData_15[[#Headers],[21]])</f>
        <v>0</v>
      </c>
      <c r="Z120" s="10">
        <f>SUMIFS(IsQList,IsIList,Table_ExternalData_15[[#This Row],[item_key]],IsITypeList,Table_ExternalData_15[[#This Row],[IType]],IsDList,Table_ExternalData_15[[#Headers],[22]])</f>
        <v>0</v>
      </c>
      <c r="AA120" s="10">
        <f>SUMIFS(IsQList,IsIList,Table_ExternalData_15[[#This Row],[item_key]],IsITypeList,Table_ExternalData_15[[#This Row],[IType]],IsDList,Table_ExternalData_15[[#Headers],[23]])</f>
        <v>0</v>
      </c>
      <c r="AB120" s="10">
        <f>SUMIFS(IsQList,IsIList,Table_ExternalData_15[[#This Row],[item_key]],IsITypeList,Table_ExternalData_15[[#This Row],[IType]],IsDList,Table_ExternalData_15[[#Headers],[24]])</f>
        <v>0</v>
      </c>
      <c r="AC120" s="10">
        <f>SUMIFS(IsQList,IsIList,Table_ExternalData_15[[#This Row],[item_key]],IsITypeList,Table_ExternalData_15[[#This Row],[IType]],IsDList,Table_ExternalData_15[[#Headers],[25]])</f>
        <v>0</v>
      </c>
      <c r="AD120" s="10">
        <f>SUMIFS(IsQList,IsIList,Table_ExternalData_15[[#This Row],[item_key]],IsITypeList,Table_ExternalData_15[[#This Row],[IType]],IsDList,Table_ExternalData_15[[#Headers],[26]])</f>
        <v>0</v>
      </c>
      <c r="AE120" s="10">
        <f>SUMIFS(IsQList,IsIList,Table_ExternalData_15[[#This Row],[item_key]],IsITypeList,Table_ExternalData_15[[#This Row],[IType]],IsDList,Table_ExternalData_15[[#Headers],[27]])</f>
        <v>0</v>
      </c>
      <c r="AF120" s="10">
        <f>SUMIFS(IsQList,IsIList,Table_ExternalData_15[[#This Row],[item_key]],IsITypeList,Table_ExternalData_15[[#This Row],[IType]],IsDList,Table_ExternalData_15[[#Headers],[28]])</f>
        <v>0</v>
      </c>
      <c r="AG120" s="10">
        <f>SUMIFS(IsQList,IsIList,Table_ExternalData_15[[#This Row],[item_key]],IsITypeList,Table_ExternalData_15[[#This Row],[IType]],IsDList,Table_ExternalData_15[[#Headers],[29]])</f>
        <v>0</v>
      </c>
      <c r="AH120" s="10">
        <f>SUMIFS(IsQList,IsIList,Table_ExternalData_15[[#This Row],[item_key]],IsITypeList,Table_ExternalData_15[[#This Row],[IType]],IsDList,Table_ExternalData_15[[#Headers],[30]])</f>
        <v>0</v>
      </c>
      <c r="AI120" s="10">
        <f>SUMIFS(IsQList,IsIList,Table_ExternalData_15[[#This Row],[item_key]],IsITypeList,Table_ExternalData_15[[#This Row],[IType]],IsDList,Table_ExternalData_15[[#Headers],[31]])</f>
        <v>0</v>
      </c>
      <c r="AJ120" s="10">
        <f>SUM(Table_ExternalData_15[[#This Row],[1]:[31]])</f>
        <v>8</v>
      </c>
    </row>
    <row r="121" spans="1:36">
      <c r="A121" s="1" t="s">
        <v>519</v>
      </c>
      <c r="B121" s="1" t="s">
        <v>1294</v>
      </c>
      <c r="C121" s="1" t="s">
        <v>1295</v>
      </c>
      <c r="D121" s="11" t="s">
        <v>72</v>
      </c>
      <c r="E121" s="10">
        <f>SUMIFS(IsQList,IsIList,Table_ExternalData_15[[#This Row],[item_key]],IsITypeList,Table_ExternalData_15[[#This Row],[IType]],IsDList,Table_ExternalData_15[[#Headers],[1]])</f>
        <v>0</v>
      </c>
      <c r="F121" s="10">
        <f>SUMIFS(IsQList,IsIList,Table_ExternalData_15[[#This Row],[item_key]],IsITypeList,Table_ExternalData_15[[#This Row],[IType]],IsDList,Table_ExternalData_15[[#Headers],[2]])</f>
        <v>0</v>
      </c>
      <c r="G121" s="10">
        <f>SUMIFS(IsQList,IsIList,Table_ExternalData_15[[#This Row],[item_key]],IsITypeList,Table_ExternalData_15[[#This Row],[IType]],IsDList,Table_ExternalData_15[[#Headers],[3]])</f>
        <v>0</v>
      </c>
      <c r="H121" s="10">
        <f>SUMIFS(IsQList,IsIList,Table_ExternalData_15[[#This Row],[item_key]],IsITypeList,Table_ExternalData_15[[#This Row],[IType]],IsDList,Table_ExternalData_15[[#Headers],[4]])</f>
        <v>0</v>
      </c>
      <c r="I121" s="10">
        <f>SUMIFS(IsQList,IsIList,Table_ExternalData_15[[#This Row],[item_key]],IsITypeList,Table_ExternalData_15[[#This Row],[IType]],IsDList,Table_ExternalData_15[[#Headers],[5]])</f>
        <v>0</v>
      </c>
      <c r="J121" s="10">
        <f>SUMIFS(IsQList,IsIList,Table_ExternalData_15[[#This Row],[item_key]],IsITypeList,Table_ExternalData_15[[#This Row],[IType]],IsDList,Table_ExternalData_15[[#Headers],[6]])</f>
        <v>0</v>
      </c>
      <c r="K121" s="10">
        <f>SUMIFS(IsQList,IsIList,Table_ExternalData_15[[#This Row],[item_key]],IsITypeList,Table_ExternalData_15[[#This Row],[IType]],IsDList,Table_ExternalData_15[[#Headers],[7]])</f>
        <v>0</v>
      </c>
      <c r="L121" s="10">
        <f>SUMIFS(IsQList,IsIList,Table_ExternalData_15[[#This Row],[item_key]],IsITypeList,Table_ExternalData_15[[#This Row],[IType]],IsDList,Table_ExternalData_15[[#Headers],[8]])</f>
        <v>0</v>
      </c>
      <c r="M121" s="10">
        <f>SUMIFS(IsQList,IsIList,Table_ExternalData_15[[#This Row],[item_key]],IsITypeList,Table_ExternalData_15[[#This Row],[IType]],IsDList,Table_ExternalData_15[[#Headers],[9]])</f>
        <v>0</v>
      </c>
      <c r="N121" s="10">
        <f>SUMIFS(IsQList,IsIList,Table_ExternalData_15[[#This Row],[item_key]],IsITypeList,Table_ExternalData_15[[#This Row],[IType]],IsDList,Table_ExternalData_15[[#Headers],[10]])</f>
        <v>0</v>
      </c>
      <c r="O121" s="10">
        <f>SUMIFS(IsQList,IsIList,Table_ExternalData_15[[#This Row],[item_key]],IsITypeList,Table_ExternalData_15[[#This Row],[IType]],IsDList,Table_ExternalData_15[[#Headers],[11]])</f>
        <v>0</v>
      </c>
      <c r="P121" s="10">
        <f>SUMIFS(IsQList,IsIList,Table_ExternalData_15[[#This Row],[item_key]],IsITypeList,Table_ExternalData_15[[#This Row],[IType]],IsDList,Table_ExternalData_15[[#Headers],[12]])</f>
        <v>0</v>
      </c>
      <c r="Q121" s="10">
        <f>SUMIFS(IsQList,IsIList,Table_ExternalData_15[[#This Row],[item_key]],IsITypeList,Table_ExternalData_15[[#This Row],[IType]],IsDList,Table_ExternalData_15[[#Headers],[13]])</f>
        <v>0</v>
      </c>
      <c r="R121" s="10">
        <f>SUMIFS(IsQList,IsIList,Table_ExternalData_15[[#This Row],[item_key]],IsITypeList,Table_ExternalData_15[[#This Row],[IType]],IsDList,Table_ExternalData_15[[#Headers],[14]])</f>
        <v>0</v>
      </c>
      <c r="S121" s="10">
        <f>SUMIFS(IsQList,IsIList,Table_ExternalData_15[[#This Row],[item_key]],IsITypeList,Table_ExternalData_15[[#This Row],[IType]],IsDList,Table_ExternalData_15[[#Headers],[15]])</f>
        <v>0</v>
      </c>
      <c r="T121" s="10">
        <f>SUMIFS(IsQList,IsIList,Table_ExternalData_15[[#This Row],[item_key]],IsITypeList,Table_ExternalData_15[[#This Row],[IType]],IsDList,Table_ExternalData_15[[#Headers],[16]])</f>
        <v>0</v>
      </c>
      <c r="U121" s="10">
        <f>SUMIFS(IsQList,IsIList,Table_ExternalData_15[[#This Row],[item_key]],IsITypeList,Table_ExternalData_15[[#This Row],[IType]],IsDList,Table_ExternalData_15[[#Headers],[17]])</f>
        <v>0</v>
      </c>
      <c r="V121" s="10">
        <f>SUMIFS(IsQList,IsIList,Table_ExternalData_15[[#This Row],[item_key]],IsITypeList,Table_ExternalData_15[[#This Row],[IType]],IsDList,Table_ExternalData_15[[#Headers],[18]])</f>
        <v>0</v>
      </c>
      <c r="W121" s="10">
        <f>SUMIFS(IsQList,IsIList,Table_ExternalData_15[[#This Row],[item_key]],IsITypeList,Table_ExternalData_15[[#This Row],[IType]],IsDList,Table_ExternalData_15[[#Headers],[19]])</f>
        <v>0</v>
      </c>
      <c r="X121" s="10">
        <f>SUMIFS(IsQList,IsIList,Table_ExternalData_15[[#This Row],[item_key]],IsITypeList,Table_ExternalData_15[[#This Row],[IType]],IsDList,Table_ExternalData_15[[#Headers],[20]])</f>
        <v>0</v>
      </c>
      <c r="Y121" s="10">
        <f>SUMIFS(IsQList,IsIList,Table_ExternalData_15[[#This Row],[item_key]],IsITypeList,Table_ExternalData_15[[#This Row],[IType]],IsDList,Table_ExternalData_15[[#Headers],[21]])</f>
        <v>0</v>
      </c>
      <c r="Z121" s="10">
        <f>SUMIFS(IsQList,IsIList,Table_ExternalData_15[[#This Row],[item_key]],IsITypeList,Table_ExternalData_15[[#This Row],[IType]],IsDList,Table_ExternalData_15[[#Headers],[22]])</f>
        <v>0</v>
      </c>
      <c r="AA121" s="10">
        <f>SUMIFS(IsQList,IsIList,Table_ExternalData_15[[#This Row],[item_key]],IsITypeList,Table_ExternalData_15[[#This Row],[IType]],IsDList,Table_ExternalData_15[[#Headers],[23]])</f>
        <v>0</v>
      </c>
      <c r="AB121" s="10">
        <f>SUMIFS(IsQList,IsIList,Table_ExternalData_15[[#This Row],[item_key]],IsITypeList,Table_ExternalData_15[[#This Row],[IType]],IsDList,Table_ExternalData_15[[#Headers],[24]])</f>
        <v>20</v>
      </c>
      <c r="AC121" s="10">
        <f>SUMIFS(IsQList,IsIList,Table_ExternalData_15[[#This Row],[item_key]],IsITypeList,Table_ExternalData_15[[#This Row],[IType]],IsDList,Table_ExternalData_15[[#Headers],[25]])</f>
        <v>0</v>
      </c>
      <c r="AD121" s="10">
        <f>SUMIFS(IsQList,IsIList,Table_ExternalData_15[[#This Row],[item_key]],IsITypeList,Table_ExternalData_15[[#This Row],[IType]],IsDList,Table_ExternalData_15[[#Headers],[26]])</f>
        <v>0</v>
      </c>
      <c r="AE121" s="10">
        <f>SUMIFS(IsQList,IsIList,Table_ExternalData_15[[#This Row],[item_key]],IsITypeList,Table_ExternalData_15[[#This Row],[IType]],IsDList,Table_ExternalData_15[[#Headers],[27]])</f>
        <v>0</v>
      </c>
      <c r="AF121" s="10">
        <f>SUMIFS(IsQList,IsIList,Table_ExternalData_15[[#This Row],[item_key]],IsITypeList,Table_ExternalData_15[[#This Row],[IType]],IsDList,Table_ExternalData_15[[#Headers],[28]])</f>
        <v>0</v>
      </c>
      <c r="AG121" s="10">
        <f>SUMIFS(IsQList,IsIList,Table_ExternalData_15[[#This Row],[item_key]],IsITypeList,Table_ExternalData_15[[#This Row],[IType]],IsDList,Table_ExternalData_15[[#Headers],[29]])</f>
        <v>0</v>
      </c>
      <c r="AH121" s="10">
        <f>SUMIFS(IsQList,IsIList,Table_ExternalData_15[[#This Row],[item_key]],IsITypeList,Table_ExternalData_15[[#This Row],[IType]],IsDList,Table_ExternalData_15[[#Headers],[30]])</f>
        <v>0</v>
      </c>
      <c r="AI121" s="10">
        <f>SUMIFS(IsQList,IsIList,Table_ExternalData_15[[#This Row],[item_key]],IsITypeList,Table_ExternalData_15[[#This Row],[IType]],IsDList,Table_ExternalData_15[[#Headers],[31]])</f>
        <v>0</v>
      </c>
      <c r="AJ121" s="10">
        <f>SUM(Table_ExternalData_15[[#This Row],[1]:[31]])</f>
        <v>20</v>
      </c>
    </row>
    <row r="122" spans="1:36">
      <c r="A122" s="1" t="s">
        <v>1743</v>
      </c>
      <c r="B122" s="1" t="s">
        <v>2559</v>
      </c>
      <c r="C122" s="1" t="s">
        <v>2560</v>
      </c>
      <c r="D122" s="11" t="s">
        <v>72</v>
      </c>
      <c r="E122" s="10">
        <f>SUMIFS(IsQList,IsIList,Table_ExternalData_15[[#This Row],[item_key]],IsITypeList,Table_ExternalData_15[[#This Row],[IType]],IsDList,Table_ExternalData_15[[#Headers],[1]])</f>
        <v>0</v>
      </c>
      <c r="F122" s="10">
        <f>SUMIFS(IsQList,IsIList,Table_ExternalData_15[[#This Row],[item_key]],IsITypeList,Table_ExternalData_15[[#This Row],[IType]],IsDList,Table_ExternalData_15[[#Headers],[2]])</f>
        <v>0</v>
      </c>
      <c r="G122" s="10">
        <f>SUMIFS(IsQList,IsIList,Table_ExternalData_15[[#This Row],[item_key]],IsITypeList,Table_ExternalData_15[[#This Row],[IType]],IsDList,Table_ExternalData_15[[#Headers],[3]])</f>
        <v>0</v>
      </c>
      <c r="H122" s="10">
        <f>SUMIFS(IsQList,IsIList,Table_ExternalData_15[[#This Row],[item_key]],IsITypeList,Table_ExternalData_15[[#This Row],[IType]],IsDList,Table_ExternalData_15[[#Headers],[4]])</f>
        <v>0</v>
      </c>
      <c r="I122" s="10">
        <f>SUMIFS(IsQList,IsIList,Table_ExternalData_15[[#This Row],[item_key]],IsITypeList,Table_ExternalData_15[[#This Row],[IType]],IsDList,Table_ExternalData_15[[#Headers],[5]])</f>
        <v>0</v>
      </c>
      <c r="J122" s="10">
        <f>SUMIFS(IsQList,IsIList,Table_ExternalData_15[[#This Row],[item_key]],IsITypeList,Table_ExternalData_15[[#This Row],[IType]],IsDList,Table_ExternalData_15[[#Headers],[6]])</f>
        <v>10</v>
      </c>
      <c r="K122" s="10">
        <f>SUMIFS(IsQList,IsIList,Table_ExternalData_15[[#This Row],[item_key]],IsITypeList,Table_ExternalData_15[[#This Row],[IType]],IsDList,Table_ExternalData_15[[#Headers],[7]])</f>
        <v>0</v>
      </c>
      <c r="L122" s="10">
        <f>SUMIFS(IsQList,IsIList,Table_ExternalData_15[[#This Row],[item_key]],IsITypeList,Table_ExternalData_15[[#This Row],[IType]],IsDList,Table_ExternalData_15[[#Headers],[8]])</f>
        <v>0</v>
      </c>
      <c r="M122" s="10">
        <f>SUMIFS(IsQList,IsIList,Table_ExternalData_15[[#This Row],[item_key]],IsITypeList,Table_ExternalData_15[[#This Row],[IType]],IsDList,Table_ExternalData_15[[#Headers],[9]])</f>
        <v>0</v>
      </c>
      <c r="N122" s="10">
        <f>SUMIFS(IsQList,IsIList,Table_ExternalData_15[[#This Row],[item_key]],IsITypeList,Table_ExternalData_15[[#This Row],[IType]],IsDList,Table_ExternalData_15[[#Headers],[10]])</f>
        <v>0</v>
      </c>
      <c r="O122" s="10">
        <f>SUMIFS(IsQList,IsIList,Table_ExternalData_15[[#This Row],[item_key]],IsITypeList,Table_ExternalData_15[[#This Row],[IType]],IsDList,Table_ExternalData_15[[#Headers],[11]])</f>
        <v>0</v>
      </c>
      <c r="P122" s="10">
        <f>SUMIFS(IsQList,IsIList,Table_ExternalData_15[[#This Row],[item_key]],IsITypeList,Table_ExternalData_15[[#This Row],[IType]],IsDList,Table_ExternalData_15[[#Headers],[12]])</f>
        <v>0</v>
      </c>
      <c r="Q122" s="10">
        <f>SUMIFS(IsQList,IsIList,Table_ExternalData_15[[#This Row],[item_key]],IsITypeList,Table_ExternalData_15[[#This Row],[IType]],IsDList,Table_ExternalData_15[[#Headers],[13]])</f>
        <v>0</v>
      </c>
      <c r="R122" s="10">
        <f>SUMIFS(IsQList,IsIList,Table_ExternalData_15[[#This Row],[item_key]],IsITypeList,Table_ExternalData_15[[#This Row],[IType]],IsDList,Table_ExternalData_15[[#Headers],[14]])</f>
        <v>0</v>
      </c>
      <c r="S122" s="10">
        <f>SUMIFS(IsQList,IsIList,Table_ExternalData_15[[#This Row],[item_key]],IsITypeList,Table_ExternalData_15[[#This Row],[IType]],IsDList,Table_ExternalData_15[[#Headers],[15]])</f>
        <v>0</v>
      </c>
      <c r="T122" s="10">
        <f>SUMIFS(IsQList,IsIList,Table_ExternalData_15[[#This Row],[item_key]],IsITypeList,Table_ExternalData_15[[#This Row],[IType]],IsDList,Table_ExternalData_15[[#Headers],[16]])</f>
        <v>0</v>
      </c>
      <c r="U122" s="10">
        <f>SUMIFS(IsQList,IsIList,Table_ExternalData_15[[#This Row],[item_key]],IsITypeList,Table_ExternalData_15[[#This Row],[IType]],IsDList,Table_ExternalData_15[[#Headers],[17]])</f>
        <v>0</v>
      </c>
      <c r="V122" s="10">
        <f>SUMIFS(IsQList,IsIList,Table_ExternalData_15[[#This Row],[item_key]],IsITypeList,Table_ExternalData_15[[#This Row],[IType]],IsDList,Table_ExternalData_15[[#Headers],[18]])</f>
        <v>0</v>
      </c>
      <c r="W122" s="10">
        <f>SUMIFS(IsQList,IsIList,Table_ExternalData_15[[#This Row],[item_key]],IsITypeList,Table_ExternalData_15[[#This Row],[IType]],IsDList,Table_ExternalData_15[[#Headers],[19]])</f>
        <v>0</v>
      </c>
      <c r="X122" s="10">
        <f>SUMIFS(IsQList,IsIList,Table_ExternalData_15[[#This Row],[item_key]],IsITypeList,Table_ExternalData_15[[#This Row],[IType]],IsDList,Table_ExternalData_15[[#Headers],[20]])</f>
        <v>0</v>
      </c>
      <c r="Y122" s="10">
        <f>SUMIFS(IsQList,IsIList,Table_ExternalData_15[[#This Row],[item_key]],IsITypeList,Table_ExternalData_15[[#This Row],[IType]],IsDList,Table_ExternalData_15[[#Headers],[21]])</f>
        <v>0</v>
      </c>
      <c r="Z122" s="10">
        <f>SUMIFS(IsQList,IsIList,Table_ExternalData_15[[#This Row],[item_key]],IsITypeList,Table_ExternalData_15[[#This Row],[IType]],IsDList,Table_ExternalData_15[[#Headers],[22]])</f>
        <v>0</v>
      </c>
      <c r="AA122" s="10">
        <f>SUMIFS(IsQList,IsIList,Table_ExternalData_15[[#This Row],[item_key]],IsITypeList,Table_ExternalData_15[[#This Row],[IType]],IsDList,Table_ExternalData_15[[#Headers],[23]])</f>
        <v>0</v>
      </c>
      <c r="AB122" s="10">
        <f>SUMIFS(IsQList,IsIList,Table_ExternalData_15[[#This Row],[item_key]],IsITypeList,Table_ExternalData_15[[#This Row],[IType]],IsDList,Table_ExternalData_15[[#Headers],[24]])</f>
        <v>10</v>
      </c>
      <c r="AC122" s="10">
        <f>SUMIFS(IsQList,IsIList,Table_ExternalData_15[[#This Row],[item_key]],IsITypeList,Table_ExternalData_15[[#This Row],[IType]],IsDList,Table_ExternalData_15[[#Headers],[25]])</f>
        <v>0</v>
      </c>
      <c r="AD122" s="10">
        <f>SUMIFS(IsQList,IsIList,Table_ExternalData_15[[#This Row],[item_key]],IsITypeList,Table_ExternalData_15[[#This Row],[IType]],IsDList,Table_ExternalData_15[[#Headers],[26]])</f>
        <v>0</v>
      </c>
      <c r="AE122" s="10">
        <f>SUMIFS(IsQList,IsIList,Table_ExternalData_15[[#This Row],[item_key]],IsITypeList,Table_ExternalData_15[[#This Row],[IType]],IsDList,Table_ExternalData_15[[#Headers],[27]])</f>
        <v>0</v>
      </c>
      <c r="AF122" s="10">
        <f>SUMIFS(IsQList,IsIList,Table_ExternalData_15[[#This Row],[item_key]],IsITypeList,Table_ExternalData_15[[#This Row],[IType]],IsDList,Table_ExternalData_15[[#Headers],[28]])</f>
        <v>0</v>
      </c>
      <c r="AG122" s="10">
        <f>SUMIFS(IsQList,IsIList,Table_ExternalData_15[[#This Row],[item_key]],IsITypeList,Table_ExternalData_15[[#This Row],[IType]],IsDList,Table_ExternalData_15[[#Headers],[29]])</f>
        <v>0</v>
      </c>
      <c r="AH122" s="10">
        <f>SUMIFS(IsQList,IsIList,Table_ExternalData_15[[#This Row],[item_key]],IsITypeList,Table_ExternalData_15[[#This Row],[IType]],IsDList,Table_ExternalData_15[[#Headers],[30]])</f>
        <v>30</v>
      </c>
      <c r="AI122" s="10">
        <f>SUMIFS(IsQList,IsIList,Table_ExternalData_15[[#This Row],[item_key]],IsITypeList,Table_ExternalData_15[[#This Row],[IType]],IsDList,Table_ExternalData_15[[#Headers],[31]])</f>
        <v>0</v>
      </c>
      <c r="AJ122" s="10">
        <f>SUM(Table_ExternalData_15[[#This Row],[1]:[31]])</f>
        <v>50</v>
      </c>
    </row>
    <row r="123" spans="1:36">
      <c r="A123" s="1" t="s">
        <v>520</v>
      </c>
      <c r="B123" s="1" t="s">
        <v>2561</v>
      </c>
      <c r="C123" s="1" t="s">
        <v>2562</v>
      </c>
      <c r="D123" s="11" t="s">
        <v>72</v>
      </c>
      <c r="E123" s="10">
        <f>SUMIFS(IsQList,IsIList,Table_ExternalData_15[[#This Row],[item_key]],IsITypeList,Table_ExternalData_15[[#This Row],[IType]],IsDList,Table_ExternalData_15[[#Headers],[1]])</f>
        <v>0</v>
      </c>
      <c r="F123" s="10">
        <f>SUMIFS(IsQList,IsIList,Table_ExternalData_15[[#This Row],[item_key]],IsITypeList,Table_ExternalData_15[[#This Row],[IType]],IsDList,Table_ExternalData_15[[#Headers],[2]])</f>
        <v>0</v>
      </c>
      <c r="G123" s="10">
        <f>SUMIFS(IsQList,IsIList,Table_ExternalData_15[[#This Row],[item_key]],IsITypeList,Table_ExternalData_15[[#This Row],[IType]],IsDList,Table_ExternalData_15[[#Headers],[3]])</f>
        <v>0</v>
      </c>
      <c r="H123" s="10">
        <f>SUMIFS(IsQList,IsIList,Table_ExternalData_15[[#This Row],[item_key]],IsITypeList,Table_ExternalData_15[[#This Row],[IType]],IsDList,Table_ExternalData_15[[#Headers],[4]])</f>
        <v>0</v>
      </c>
      <c r="I123" s="10">
        <f>SUMIFS(IsQList,IsIList,Table_ExternalData_15[[#This Row],[item_key]],IsITypeList,Table_ExternalData_15[[#This Row],[IType]],IsDList,Table_ExternalData_15[[#Headers],[5]])</f>
        <v>0</v>
      </c>
      <c r="J123" s="10">
        <f>SUMIFS(IsQList,IsIList,Table_ExternalData_15[[#This Row],[item_key]],IsITypeList,Table_ExternalData_15[[#This Row],[IType]],IsDList,Table_ExternalData_15[[#Headers],[6]])</f>
        <v>30</v>
      </c>
      <c r="K123" s="10">
        <f>SUMIFS(IsQList,IsIList,Table_ExternalData_15[[#This Row],[item_key]],IsITypeList,Table_ExternalData_15[[#This Row],[IType]],IsDList,Table_ExternalData_15[[#Headers],[7]])</f>
        <v>0</v>
      </c>
      <c r="L123" s="10">
        <f>SUMIFS(IsQList,IsIList,Table_ExternalData_15[[#This Row],[item_key]],IsITypeList,Table_ExternalData_15[[#This Row],[IType]],IsDList,Table_ExternalData_15[[#Headers],[8]])</f>
        <v>0</v>
      </c>
      <c r="M123" s="10">
        <f>SUMIFS(IsQList,IsIList,Table_ExternalData_15[[#This Row],[item_key]],IsITypeList,Table_ExternalData_15[[#This Row],[IType]],IsDList,Table_ExternalData_15[[#Headers],[9]])</f>
        <v>0</v>
      </c>
      <c r="N123" s="10">
        <f>SUMIFS(IsQList,IsIList,Table_ExternalData_15[[#This Row],[item_key]],IsITypeList,Table_ExternalData_15[[#This Row],[IType]],IsDList,Table_ExternalData_15[[#Headers],[10]])</f>
        <v>0</v>
      </c>
      <c r="O123" s="10">
        <f>SUMIFS(IsQList,IsIList,Table_ExternalData_15[[#This Row],[item_key]],IsITypeList,Table_ExternalData_15[[#This Row],[IType]],IsDList,Table_ExternalData_15[[#Headers],[11]])</f>
        <v>0</v>
      </c>
      <c r="P123" s="10">
        <f>SUMIFS(IsQList,IsIList,Table_ExternalData_15[[#This Row],[item_key]],IsITypeList,Table_ExternalData_15[[#This Row],[IType]],IsDList,Table_ExternalData_15[[#Headers],[12]])</f>
        <v>0</v>
      </c>
      <c r="Q123" s="10">
        <f>SUMIFS(IsQList,IsIList,Table_ExternalData_15[[#This Row],[item_key]],IsITypeList,Table_ExternalData_15[[#This Row],[IType]],IsDList,Table_ExternalData_15[[#Headers],[13]])</f>
        <v>0</v>
      </c>
      <c r="R123" s="10">
        <f>SUMIFS(IsQList,IsIList,Table_ExternalData_15[[#This Row],[item_key]],IsITypeList,Table_ExternalData_15[[#This Row],[IType]],IsDList,Table_ExternalData_15[[#Headers],[14]])</f>
        <v>0</v>
      </c>
      <c r="S123" s="10">
        <f>SUMIFS(IsQList,IsIList,Table_ExternalData_15[[#This Row],[item_key]],IsITypeList,Table_ExternalData_15[[#This Row],[IType]],IsDList,Table_ExternalData_15[[#Headers],[15]])</f>
        <v>0</v>
      </c>
      <c r="T123" s="10">
        <f>SUMIFS(IsQList,IsIList,Table_ExternalData_15[[#This Row],[item_key]],IsITypeList,Table_ExternalData_15[[#This Row],[IType]],IsDList,Table_ExternalData_15[[#Headers],[16]])</f>
        <v>0</v>
      </c>
      <c r="U123" s="10">
        <f>SUMIFS(IsQList,IsIList,Table_ExternalData_15[[#This Row],[item_key]],IsITypeList,Table_ExternalData_15[[#This Row],[IType]],IsDList,Table_ExternalData_15[[#Headers],[17]])</f>
        <v>0</v>
      </c>
      <c r="V123" s="10">
        <f>SUMIFS(IsQList,IsIList,Table_ExternalData_15[[#This Row],[item_key]],IsITypeList,Table_ExternalData_15[[#This Row],[IType]],IsDList,Table_ExternalData_15[[#Headers],[18]])</f>
        <v>0</v>
      </c>
      <c r="W123" s="10">
        <f>SUMIFS(IsQList,IsIList,Table_ExternalData_15[[#This Row],[item_key]],IsITypeList,Table_ExternalData_15[[#This Row],[IType]],IsDList,Table_ExternalData_15[[#Headers],[19]])</f>
        <v>0</v>
      </c>
      <c r="X123" s="10">
        <f>SUMIFS(IsQList,IsIList,Table_ExternalData_15[[#This Row],[item_key]],IsITypeList,Table_ExternalData_15[[#This Row],[IType]],IsDList,Table_ExternalData_15[[#Headers],[20]])</f>
        <v>0</v>
      </c>
      <c r="Y123" s="10">
        <f>SUMIFS(IsQList,IsIList,Table_ExternalData_15[[#This Row],[item_key]],IsITypeList,Table_ExternalData_15[[#This Row],[IType]],IsDList,Table_ExternalData_15[[#Headers],[21]])</f>
        <v>0</v>
      </c>
      <c r="Z123" s="10">
        <f>SUMIFS(IsQList,IsIList,Table_ExternalData_15[[#This Row],[item_key]],IsITypeList,Table_ExternalData_15[[#This Row],[IType]],IsDList,Table_ExternalData_15[[#Headers],[22]])</f>
        <v>0</v>
      </c>
      <c r="AA123" s="10">
        <f>SUMIFS(IsQList,IsIList,Table_ExternalData_15[[#This Row],[item_key]],IsITypeList,Table_ExternalData_15[[#This Row],[IType]],IsDList,Table_ExternalData_15[[#Headers],[23]])</f>
        <v>0</v>
      </c>
      <c r="AB123" s="10">
        <f>SUMIFS(IsQList,IsIList,Table_ExternalData_15[[#This Row],[item_key]],IsITypeList,Table_ExternalData_15[[#This Row],[IType]],IsDList,Table_ExternalData_15[[#Headers],[24]])</f>
        <v>0</v>
      </c>
      <c r="AC123" s="10">
        <f>SUMIFS(IsQList,IsIList,Table_ExternalData_15[[#This Row],[item_key]],IsITypeList,Table_ExternalData_15[[#This Row],[IType]],IsDList,Table_ExternalData_15[[#Headers],[25]])</f>
        <v>0</v>
      </c>
      <c r="AD123" s="10">
        <f>SUMIFS(IsQList,IsIList,Table_ExternalData_15[[#This Row],[item_key]],IsITypeList,Table_ExternalData_15[[#This Row],[IType]],IsDList,Table_ExternalData_15[[#Headers],[26]])</f>
        <v>0</v>
      </c>
      <c r="AE123" s="10">
        <f>SUMIFS(IsQList,IsIList,Table_ExternalData_15[[#This Row],[item_key]],IsITypeList,Table_ExternalData_15[[#This Row],[IType]],IsDList,Table_ExternalData_15[[#Headers],[27]])</f>
        <v>0</v>
      </c>
      <c r="AF123" s="10">
        <f>SUMIFS(IsQList,IsIList,Table_ExternalData_15[[#This Row],[item_key]],IsITypeList,Table_ExternalData_15[[#This Row],[IType]],IsDList,Table_ExternalData_15[[#Headers],[28]])</f>
        <v>0</v>
      </c>
      <c r="AG123" s="10">
        <f>SUMIFS(IsQList,IsIList,Table_ExternalData_15[[#This Row],[item_key]],IsITypeList,Table_ExternalData_15[[#This Row],[IType]],IsDList,Table_ExternalData_15[[#Headers],[29]])</f>
        <v>0</v>
      </c>
      <c r="AH123" s="10">
        <f>SUMIFS(IsQList,IsIList,Table_ExternalData_15[[#This Row],[item_key]],IsITypeList,Table_ExternalData_15[[#This Row],[IType]],IsDList,Table_ExternalData_15[[#Headers],[30]])</f>
        <v>20</v>
      </c>
      <c r="AI123" s="10">
        <f>SUMIFS(IsQList,IsIList,Table_ExternalData_15[[#This Row],[item_key]],IsITypeList,Table_ExternalData_15[[#This Row],[IType]],IsDList,Table_ExternalData_15[[#Headers],[31]])</f>
        <v>0</v>
      </c>
      <c r="AJ123" s="10">
        <f>SUM(Table_ExternalData_15[[#This Row],[1]:[31]])</f>
        <v>50</v>
      </c>
    </row>
    <row r="124" spans="1:36">
      <c r="A124" s="1" t="s">
        <v>523</v>
      </c>
      <c r="B124" s="1" t="s">
        <v>2563</v>
      </c>
      <c r="C124" s="1" t="s">
        <v>2564</v>
      </c>
      <c r="D124" s="11" t="s">
        <v>72</v>
      </c>
      <c r="E124" s="10">
        <f>SUMIFS(IsQList,IsIList,Table_ExternalData_15[[#This Row],[item_key]],IsITypeList,Table_ExternalData_15[[#This Row],[IType]],IsDList,Table_ExternalData_15[[#Headers],[1]])</f>
        <v>0</v>
      </c>
      <c r="F124" s="10">
        <f>SUMIFS(IsQList,IsIList,Table_ExternalData_15[[#This Row],[item_key]],IsITypeList,Table_ExternalData_15[[#This Row],[IType]],IsDList,Table_ExternalData_15[[#Headers],[2]])</f>
        <v>0</v>
      </c>
      <c r="G124" s="10">
        <f>SUMIFS(IsQList,IsIList,Table_ExternalData_15[[#This Row],[item_key]],IsITypeList,Table_ExternalData_15[[#This Row],[IType]],IsDList,Table_ExternalData_15[[#Headers],[3]])</f>
        <v>0</v>
      </c>
      <c r="H124" s="10">
        <f>SUMIFS(IsQList,IsIList,Table_ExternalData_15[[#This Row],[item_key]],IsITypeList,Table_ExternalData_15[[#This Row],[IType]],IsDList,Table_ExternalData_15[[#Headers],[4]])</f>
        <v>0</v>
      </c>
      <c r="I124" s="10">
        <f>SUMIFS(IsQList,IsIList,Table_ExternalData_15[[#This Row],[item_key]],IsITypeList,Table_ExternalData_15[[#This Row],[IType]],IsDList,Table_ExternalData_15[[#Headers],[5]])</f>
        <v>0</v>
      </c>
      <c r="J124" s="10">
        <f>SUMIFS(IsQList,IsIList,Table_ExternalData_15[[#This Row],[item_key]],IsITypeList,Table_ExternalData_15[[#This Row],[IType]],IsDList,Table_ExternalData_15[[#Headers],[6]])</f>
        <v>15</v>
      </c>
      <c r="K124" s="10">
        <f>SUMIFS(IsQList,IsIList,Table_ExternalData_15[[#This Row],[item_key]],IsITypeList,Table_ExternalData_15[[#This Row],[IType]],IsDList,Table_ExternalData_15[[#Headers],[7]])</f>
        <v>0</v>
      </c>
      <c r="L124" s="10">
        <f>SUMIFS(IsQList,IsIList,Table_ExternalData_15[[#This Row],[item_key]],IsITypeList,Table_ExternalData_15[[#This Row],[IType]],IsDList,Table_ExternalData_15[[#Headers],[8]])</f>
        <v>0</v>
      </c>
      <c r="M124" s="10">
        <f>SUMIFS(IsQList,IsIList,Table_ExternalData_15[[#This Row],[item_key]],IsITypeList,Table_ExternalData_15[[#This Row],[IType]],IsDList,Table_ExternalData_15[[#Headers],[9]])</f>
        <v>0</v>
      </c>
      <c r="N124" s="10">
        <f>SUMIFS(IsQList,IsIList,Table_ExternalData_15[[#This Row],[item_key]],IsITypeList,Table_ExternalData_15[[#This Row],[IType]],IsDList,Table_ExternalData_15[[#Headers],[10]])</f>
        <v>0</v>
      </c>
      <c r="O124" s="10">
        <f>SUMIFS(IsQList,IsIList,Table_ExternalData_15[[#This Row],[item_key]],IsITypeList,Table_ExternalData_15[[#This Row],[IType]],IsDList,Table_ExternalData_15[[#Headers],[11]])</f>
        <v>0</v>
      </c>
      <c r="P124" s="10">
        <f>SUMIFS(IsQList,IsIList,Table_ExternalData_15[[#This Row],[item_key]],IsITypeList,Table_ExternalData_15[[#This Row],[IType]],IsDList,Table_ExternalData_15[[#Headers],[12]])</f>
        <v>0</v>
      </c>
      <c r="Q124" s="10">
        <f>SUMIFS(IsQList,IsIList,Table_ExternalData_15[[#This Row],[item_key]],IsITypeList,Table_ExternalData_15[[#This Row],[IType]],IsDList,Table_ExternalData_15[[#Headers],[13]])</f>
        <v>0</v>
      </c>
      <c r="R124" s="10">
        <f>SUMIFS(IsQList,IsIList,Table_ExternalData_15[[#This Row],[item_key]],IsITypeList,Table_ExternalData_15[[#This Row],[IType]],IsDList,Table_ExternalData_15[[#Headers],[14]])</f>
        <v>0</v>
      </c>
      <c r="S124" s="10">
        <f>SUMIFS(IsQList,IsIList,Table_ExternalData_15[[#This Row],[item_key]],IsITypeList,Table_ExternalData_15[[#This Row],[IType]],IsDList,Table_ExternalData_15[[#Headers],[15]])</f>
        <v>0</v>
      </c>
      <c r="T124" s="10">
        <f>SUMIFS(IsQList,IsIList,Table_ExternalData_15[[#This Row],[item_key]],IsITypeList,Table_ExternalData_15[[#This Row],[IType]],IsDList,Table_ExternalData_15[[#Headers],[16]])</f>
        <v>0</v>
      </c>
      <c r="U124" s="10">
        <f>SUMIFS(IsQList,IsIList,Table_ExternalData_15[[#This Row],[item_key]],IsITypeList,Table_ExternalData_15[[#This Row],[IType]],IsDList,Table_ExternalData_15[[#Headers],[17]])</f>
        <v>0</v>
      </c>
      <c r="V124" s="10">
        <f>SUMIFS(IsQList,IsIList,Table_ExternalData_15[[#This Row],[item_key]],IsITypeList,Table_ExternalData_15[[#This Row],[IType]],IsDList,Table_ExternalData_15[[#Headers],[18]])</f>
        <v>0</v>
      </c>
      <c r="W124" s="10">
        <f>SUMIFS(IsQList,IsIList,Table_ExternalData_15[[#This Row],[item_key]],IsITypeList,Table_ExternalData_15[[#This Row],[IType]],IsDList,Table_ExternalData_15[[#Headers],[19]])</f>
        <v>0</v>
      </c>
      <c r="X124" s="10">
        <f>SUMIFS(IsQList,IsIList,Table_ExternalData_15[[#This Row],[item_key]],IsITypeList,Table_ExternalData_15[[#This Row],[IType]],IsDList,Table_ExternalData_15[[#Headers],[20]])</f>
        <v>0</v>
      </c>
      <c r="Y124" s="10">
        <f>SUMIFS(IsQList,IsIList,Table_ExternalData_15[[#This Row],[item_key]],IsITypeList,Table_ExternalData_15[[#This Row],[IType]],IsDList,Table_ExternalData_15[[#Headers],[21]])</f>
        <v>0</v>
      </c>
      <c r="Z124" s="10">
        <f>SUMIFS(IsQList,IsIList,Table_ExternalData_15[[#This Row],[item_key]],IsITypeList,Table_ExternalData_15[[#This Row],[IType]],IsDList,Table_ExternalData_15[[#Headers],[22]])</f>
        <v>0</v>
      </c>
      <c r="AA124" s="10">
        <f>SUMIFS(IsQList,IsIList,Table_ExternalData_15[[#This Row],[item_key]],IsITypeList,Table_ExternalData_15[[#This Row],[IType]],IsDList,Table_ExternalData_15[[#Headers],[23]])</f>
        <v>0</v>
      </c>
      <c r="AB124" s="10">
        <f>SUMIFS(IsQList,IsIList,Table_ExternalData_15[[#This Row],[item_key]],IsITypeList,Table_ExternalData_15[[#This Row],[IType]],IsDList,Table_ExternalData_15[[#Headers],[24]])</f>
        <v>0</v>
      </c>
      <c r="AC124" s="10">
        <f>SUMIFS(IsQList,IsIList,Table_ExternalData_15[[#This Row],[item_key]],IsITypeList,Table_ExternalData_15[[#This Row],[IType]],IsDList,Table_ExternalData_15[[#Headers],[25]])</f>
        <v>0</v>
      </c>
      <c r="AD124" s="10">
        <f>SUMIFS(IsQList,IsIList,Table_ExternalData_15[[#This Row],[item_key]],IsITypeList,Table_ExternalData_15[[#This Row],[IType]],IsDList,Table_ExternalData_15[[#Headers],[26]])</f>
        <v>0</v>
      </c>
      <c r="AE124" s="10">
        <f>SUMIFS(IsQList,IsIList,Table_ExternalData_15[[#This Row],[item_key]],IsITypeList,Table_ExternalData_15[[#This Row],[IType]],IsDList,Table_ExternalData_15[[#Headers],[27]])</f>
        <v>0</v>
      </c>
      <c r="AF124" s="10">
        <f>SUMIFS(IsQList,IsIList,Table_ExternalData_15[[#This Row],[item_key]],IsITypeList,Table_ExternalData_15[[#This Row],[IType]],IsDList,Table_ExternalData_15[[#Headers],[28]])</f>
        <v>0</v>
      </c>
      <c r="AG124" s="10">
        <f>SUMIFS(IsQList,IsIList,Table_ExternalData_15[[#This Row],[item_key]],IsITypeList,Table_ExternalData_15[[#This Row],[IType]],IsDList,Table_ExternalData_15[[#Headers],[29]])</f>
        <v>0</v>
      </c>
      <c r="AH124" s="10">
        <f>SUMIFS(IsQList,IsIList,Table_ExternalData_15[[#This Row],[item_key]],IsITypeList,Table_ExternalData_15[[#This Row],[IType]],IsDList,Table_ExternalData_15[[#Headers],[30]])</f>
        <v>0</v>
      </c>
      <c r="AI124" s="10">
        <f>SUMIFS(IsQList,IsIList,Table_ExternalData_15[[#This Row],[item_key]],IsITypeList,Table_ExternalData_15[[#This Row],[IType]],IsDList,Table_ExternalData_15[[#Headers],[31]])</f>
        <v>0</v>
      </c>
      <c r="AJ124" s="10">
        <f>SUM(Table_ExternalData_15[[#This Row],[1]:[31]])</f>
        <v>15</v>
      </c>
    </row>
    <row r="125" spans="1:36">
      <c r="A125" s="1" t="s">
        <v>524</v>
      </c>
      <c r="B125" s="1" t="s">
        <v>2565</v>
      </c>
      <c r="C125" s="1" t="s">
        <v>2564</v>
      </c>
      <c r="D125" s="11" t="s">
        <v>72</v>
      </c>
      <c r="E125" s="10">
        <f>SUMIFS(IsQList,IsIList,Table_ExternalData_15[[#This Row],[item_key]],IsITypeList,Table_ExternalData_15[[#This Row],[IType]],IsDList,Table_ExternalData_15[[#Headers],[1]])</f>
        <v>0</v>
      </c>
      <c r="F125" s="10">
        <f>SUMIFS(IsQList,IsIList,Table_ExternalData_15[[#This Row],[item_key]],IsITypeList,Table_ExternalData_15[[#This Row],[IType]],IsDList,Table_ExternalData_15[[#Headers],[2]])</f>
        <v>0</v>
      </c>
      <c r="G125" s="10">
        <f>SUMIFS(IsQList,IsIList,Table_ExternalData_15[[#This Row],[item_key]],IsITypeList,Table_ExternalData_15[[#This Row],[IType]],IsDList,Table_ExternalData_15[[#Headers],[3]])</f>
        <v>0</v>
      </c>
      <c r="H125" s="10">
        <f>SUMIFS(IsQList,IsIList,Table_ExternalData_15[[#This Row],[item_key]],IsITypeList,Table_ExternalData_15[[#This Row],[IType]],IsDList,Table_ExternalData_15[[#Headers],[4]])</f>
        <v>0</v>
      </c>
      <c r="I125" s="10">
        <f>SUMIFS(IsQList,IsIList,Table_ExternalData_15[[#This Row],[item_key]],IsITypeList,Table_ExternalData_15[[#This Row],[IType]],IsDList,Table_ExternalData_15[[#Headers],[5]])</f>
        <v>0</v>
      </c>
      <c r="J125" s="10">
        <f>SUMIFS(IsQList,IsIList,Table_ExternalData_15[[#This Row],[item_key]],IsITypeList,Table_ExternalData_15[[#This Row],[IType]],IsDList,Table_ExternalData_15[[#Headers],[6]])</f>
        <v>0</v>
      </c>
      <c r="K125" s="10">
        <f>SUMIFS(IsQList,IsIList,Table_ExternalData_15[[#This Row],[item_key]],IsITypeList,Table_ExternalData_15[[#This Row],[IType]],IsDList,Table_ExternalData_15[[#Headers],[7]])</f>
        <v>0</v>
      </c>
      <c r="L125" s="10">
        <f>SUMIFS(IsQList,IsIList,Table_ExternalData_15[[#This Row],[item_key]],IsITypeList,Table_ExternalData_15[[#This Row],[IType]],IsDList,Table_ExternalData_15[[#Headers],[8]])</f>
        <v>0</v>
      </c>
      <c r="M125" s="10">
        <f>SUMIFS(IsQList,IsIList,Table_ExternalData_15[[#This Row],[item_key]],IsITypeList,Table_ExternalData_15[[#This Row],[IType]],IsDList,Table_ExternalData_15[[#Headers],[9]])</f>
        <v>0</v>
      </c>
      <c r="N125" s="10">
        <f>SUMIFS(IsQList,IsIList,Table_ExternalData_15[[#This Row],[item_key]],IsITypeList,Table_ExternalData_15[[#This Row],[IType]],IsDList,Table_ExternalData_15[[#Headers],[10]])</f>
        <v>0</v>
      </c>
      <c r="O125" s="10">
        <f>SUMIFS(IsQList,IsIList,Table_ExternalData_15[[#This Row],[item_key]],IsITypeList,Table_ExternalData_15[[#This Row],[IType]],IsDList,Table_ExternalData_15[[#Headers],[11]])</f>
        <v>0</v>
      </c>
      <c r="P125" s="10">
        <f>SUMIFS(IsQList,IsIList,Table_ExternalData_15[[#This Row],[item_key]],IsITypeList,Table_ExternalData_15[[#This Row],[IType]],IsDList,Table_ExternalData_15[[#Headers],[12]])</f>
        <v>0</v>
      </c>
      <c r="Q125" s="10">
        <f>SUMIFS(IsQList,IsIList,Table_ExternalData_15[[#This Row],[item_key]],IsITypeList,Table_ExternalData_15[[#This Row],[IType]],IsDList,Table_ExternalData_15[[#Headers],[13]])</f>
        <v>0</v>
      </c>
      <c r="R125" s="10">
        <f>SUMIFS(IsQList,IsIList,Table_ExternalData_15[[#This Row],[item_key]],IsITypeList,Table_ExternalData_15[[#This Row],[IType]],IsDList,Table_ExternalData_15[[#Headers],[14]])</f>
        <v>0</v>
      </c>
      <c r="S125" s="10">
        <f>SUMIFS(IsQList,IsIList,Table_ExternalData_15[[#This Row],[item_key]],IsITypeList,Table_ExternalData_15[[#This Row],[IType]],IsDList,Table_ExternalData_15[[#Headers],[15]])</f>
        <v>0</v>
      </c>
      <c r="T125" s="10">
        <f>SUMIFS(IsQList,IsIList,Table_ExternalData_15[[#This Row],[item_key]],IsITypeList,Table_ExternalData_15[[#This Row],[IType]],IsDList,Table_ExternalData_15[[#Headers],[16]])</f>
        <v>0</v>
      </c>
      <c r="U125" s="10">
        <f>SUMIFS(IsQList,IsIList,Table_ExternalData_15[[#This Row],[item_key]],IsITypeList,Table_ExternalData_15[[#This Row],[IType]],IsDList,Table_ExternalData_15[[#Headers],[17]])</f>
        <v>0</v>
      </c>
      <c r="V125" s="10">
        <f>SUMIFS(IsQList,IsIList,Table_ExternalData_15[[#This Row],[item_key]],IsITypeList,Table_ExternalData_15[[#This Row],[IType]],IsDList,Table_ExternalData_15[[#Headers],[18]])</f>
        <v>0</v>
      </c>
      <c r="W125" s="10">
        <f>SUMIFS(IsQList,IsIList,Table_ExternalData_15[[#This Row],[item_key]],IsITypeList,Table_ExternalData_15[[#This Row],[IType]],IsDList,Table_ExternalData_15[[#Headers],[19]])</f>
        <v>0</v>
      </c>
      <c r="X125" s="10">
        <f>SUMIFS(IsQList,IsIList,Table_ExternalData_15[[#This Row],[item_key]],IsITypeList,Table_ExternalData_15[[#This Row],[IType]],IsDList,Table_ExternalData_15[[#Headers],[20]])</f>
        <v>0</v>
      </c>
      <c r="Y125" s="10">
        <f>SUMIFS(IsQList,IsIList,Table_ExternalData_15[[#This Row],[item_key]],IsITypeList,Table_ExternalData_15[[#This Row],[IType]],IsDList,Table_ExternalData_15[[#Headers],[21]])</f>
        <v>0</v>
      </c>
      <c r="Z125" s="10">
        <f>SUMIFS(IsQList,IsIList,Table_ExternalData_15[[#This Row],[item_key]],IsITypeList,Table_ExternalData_15[[#This Row],[IType]],IsDList,Table_ExternalData_15[[#Headers],[22]])</f>
        <v>0</v>
      </c>
      <c r="AA125" s="10">
        <f>SUMIFS(IsQList,IsIList,Table_ExternalData_15[[#This Row],[item_key]],IsITypeList,Table_ExternalData_15[[#This Row],[IType]],IsDList,Table_ExternalData_15[[#Headers],[23]])</f>
        <v>0</v>
      </c>
      <c r="AB125" s="10">
        <f>SUMIFS(IsQList,IsIList,Table_ExternalData_15[[#This Row],[item_key]],IsITypeList,Table_ExternalData_15[[#This Row],[IType]],IsDList,Table_ExternalData_15[[#Headers],[24]])</f>
        <v>0</v>
      </c>
      <c r="AC125" s="10">
        <f>SUMIFS(IsQList,IsIList,Table_ExternalData_15[[#This Row],[item_key]],IsITypeList,Table_ExternalData_15[[#This Row],[IType]],IsDList,Table_ExternalData_15[[#Headers],[25]])</f>
        <v>0</v>
      </c>
      <c r="AD125" s="10">
        <f>SUMIFS(IsQList,IsIList,Table_ExternalData_15[[#This Row],[item_key]],IsITypeList,Table_ExternalData_15[[#This Row],[IType]],IsDList,Table_ExternalData_15[[#Headers],[26]])</f>
        <v>0</v>
      </c>
      <c r="AE125" s="10">
        <f>SUMIFS(IsQList,IsIList,Table_ExternalData_15[[#This Row],[item_key]],IsITypeList,Table_ExternalData_15[[#This Row],[IType]],IsDList,Table_ExternalData_15[[#Headers],[27]])</f>
        <v>0</v>
      </c>
      <c r="AF125" s="10">
        <f>SUMIFS(IsQList,IsIList,Table_ExternalData_15[[#This Row],[item_key]],IsITypeList,Table_ExternalData_15[[#This Row],[IType]],IsDList,Table_ExternalData_15[[#Headers],[28]])</f>
        <v>0</v>
      </c>
      <c r="AG125" s="10">
        <f>SUMIFS(IsQList,IsIList,Table_ExternalData_15[[#This Row],[item_key]],IsITypeList,Table_ExternalData_15[[#This Row],[IType]],IsDList,Table_ExternalData_15[[#Headers],[29]])</f>
        <v>0</v>
      </c>
      <c r="AH125" s="10">
        <f>SUMIFS(IsQList,IsIList,Table_ExternalData_15[[#This Row],[item_key]],IsITypeList,Table_ExternalData_15[[#This Row],[IType]],IsDList,Table_ExternalData_15[[#Headers],[30]])</f>
        <v>0</v>
      </c>
      <c r="AI125" s="10">
        <f>SUMIFS(IsQList,IsIList,Table_ExternalData_15[[#This Row],[item_key]],IsITypeList,Table_ExternalData_15[[#This Row],[IType]],IsDList,Table_ExternalData_15[[#Headers],[31]])</f>
        <v>0</v>
      </c>
      <c r="AJ125" s="10">
        <f>SUM(Table_ExternalData_15[[#This Row],[1]:[31]])</f>
        <v>0</v>
      </c>
    </row>
    <row r="126" spans="1:36">
      <c r="A126" s="1" t="s">
        <v>528</v>
      </c>
      <c r="B126" s="1" t="s">
        <v>2566</v>
      </c>
      <c r="C126" s="1" t="s">
        <v>2567</v>
      </c>
      <c r="D126" s="11" t="s">
        <v>72</v>
      </c>
      <c r="E126" s="10">
        <f>SUMIFS(IsQList,IsIList,Table_ExternalData_15[[#This Row],[item_key]],IsITypeList,Table_ExternalData_15[[#This Row],[IType]],IsDList,Table_ExternalData_15[[#Headers],[1]])</f>
        <v>0</v>
      </c>
      <c r="F126" s="10">
        <f>SUMIFS(IsQList,IsIList,Table_ExternalData_15[[#This Row],[item_key]],IsITypeList,Table_ExternalData_15[[#This Row],[IType]],IsDList,Table_ExternalData_15[[#Headers],[2]])</f>
        <v>0</v>
      </c>
      <c r="G126" s="10">
        <f>SUMIFS(IsQList,IsIList,Table_ExternalData_15[[#This Row],[item_key]],IsITypeList,Table_ExternalData_15[[#This Row],[IType]],IsDList,Table_ExternalData_15[[#Headers],[3]])</f>
        <v>0</v>
      </c>
      <c r="H126" s="10">
        <f>SUMIFS(IsQList,IsIList,Table_ExternalData_15[[#This Row],[item_key]],IsITypeList,Table_ExternalData_15[[#This Row],[IType]],IsDList,Table_ExternalData_15[[#Headers],[4]])</f>
        <v>0</v>
      </c>
      <c r="I126" s="10">
        <f>SUMIFS(IsQList,IsIList,Table_ExternalData_15[[#This Row],[item_key]],IsITypeList,Table_ExternalData_15[[#This Row],[IType]],IsDList,Table_ExternalData_15[[#Headers],[5]])</f>
        <v>0</v>
      </c>
      <c r="J126" s="10">
        <f>SUMIFS(IsQList,IsIList,Table_ExternalData_15[[#This Row],[item_key]],IsITypeList,Table_ExternalData_15[[#This Row],[IType]],IsDList,Table_ExternalData_15[[#Headers],[6]])</f>
        <v>0</v>
      </c>
      <c r="K126" s="10">
        <f>SUMIFS(IsQList,IsIList,Table_ExternalData_15[[#This Row],[item_key]],IsITypeList,Table_ExternalData_15[[#This Row],[IType]],IsDList,Table_ExternalData_15[[#Headers],[7]])</f>
        <v>0</v>
      </c>
      <c r="L126" s="10">
        <f>SUMIFS(IsQList,IsIList,Table_ExternalData_15[[#This Row],[item_key]],IsITypeList,Table_ExternalData_15[[#This Row],[IType]],IsDList,Table_ExternalData_15[[#Headers],[8]])</f>
        <v>0</v>
      </c>
      <c r="M126" s="10">
        <f>SUMIFS(IsQList,IsIList,Table_ExternalData_15[[#This Row],[item_key]],IsITypeList,Table_ExternalData_15[[#This Row],[IType]],IsDList,Table_ExternalData_15[[#Headers],[9]])</f>
        <v>0</v>
      </c>
      <c r="N126" s="10">
        <f>SUMIFS(IsQList,IsIList,Table_ExternalData_15[[#This Row],[item_key]],IsITypeList,Table_ExternalData_15[[#This Row],[IType]],IsDList,Table_ExternalData_15[[#Headers],[10]])</f>
        <v>0</v>
      </c>
      <c r="O126" s="10">
        <f>SUMIFS(IsQList,IsIList,Table_ExternalData_15[[#This Row],[item_key]],IsITypeList,Table_ExternalData_15[[#This Row],[IType]],IsDList,Table_ExternalData_15[[#Headers],[11]])</f>
        <v>0</v>
      </c>
      <c r="P126" s="10">
        <f>SUMIFS(IsQList,IsIList,Table_ExternalData_15[[#This Row],[item_key]],IsITypeList,Table_ExternalData_15[[#This Row],[IType]],IsDList,Table_ExternalData_15[[#Headers],[12]])</f>
        <v>0</v>
      </c>
      <c r="Q126" s="10">
        <f>SUMIFS(IsQList,IsIList,Table_ExternalData_15[[#This Row],[item_key]],IsITypeList,Table_ExternalData_15[[#This Row],[IType]],IsDList,Table_ExternalData_15[[#Headers],[13]])</f>
        <v>0</v>
      </c>
      <c r="R126" s="10">
        <f>SUMIFS(IsQList,IsIList,Table_ExternalData_15[[#This Row],[item_key]],IsITypeList,Table_ExternalData_15[[#This Row],[IType]],IsDList,Table_ExternalData_15[[#Headers],[14]])</f>
        <v>0</v>
      </c>
      <c r="S126" s="10">
        <f>SUMIFS(IsQList,IsIList,Table_ExternalData_15[[#This Row],[item_key]],IsITypeList,Table_ExternalData_15[[#This Row],[IType]],IsDList,Table_ExternalData_15[[#Headers],[15]])</f>
        <v>0</v>
      </c>
      <c r="T126" s="10">
        <f>SUMIFS(IsQList,IsIList,Table_ExternalData_15[[#This Row],[item_key]],IsITypeList,Table_ExternalData_15[[#This Row],[IType]],IsDList,Table_ExternalData_15[[#Headers],[16]])</f>
        <v>0</v>
      </c>
      <c r="U126" s="10">
        <f>SUMIFS(IsQList,IsIList,Table_ExternalData_15[[#This Row],[item_key]],IsITypeList,Table_ExternalData_15[[#This Row],[IType]],IsDList,Table_ExternalData_15[[#Headers],[17]])</f>
        <v>0</v>
      </c>
      <c r="V126" s="10">
        <f>SUMIFS(IsQList,IsIList,Table_ExternalData_15[[#This Row],[item_key]],IsITypeList,Table_ExternalData_15[[#This Row],[IType]],IsDList,Table_ExternalData_15[[#Headers],[18]])</f>
        <v>0</v>
      </c>
      <c r="W126" s="10">
        <f>SUMIFS(IsQList,IsIList,Table_ExternalData_15[[#This Row],[item_key]],IsITypeList,Table_ExternalData_15[[#This Row],[IType]],IsDList,Table_ExternalData_15[[#Headers],[19]])</f>
        <v>0</v>
      </c>
      <c r="X126" s="10">
        <f>SUMIFS(IsQList,IsIList,Table_ExternalData_15[[#This Row],[item_key]],IsITypeList,Table_ExternalData_15[[#This Row],[IType]],IsDList,Table_ExternalData_15[[#Headers],[20]])</f>
        <v>0</v>
      </c>
      <c r="Y126" s="10">
        <f>SUMIFS(IsQList,IsIList,Table_ExternalData_15[[#This Row],[item_key]],IsITypeList,Table_ExternalData_15[[#This Row],[IType]],IsDList,Table_ExternalData_15[[#Headers],[21]])</f>
        <v>0</v>
      </c>
      <c r="Z126" s="10">
        <f>SUMIFS(IsQList,IsIList,Table_ExternalData_15[[#This Row],[item_key]],IsITypeList,Table_ExternalData_15[[#This Row],[IType]],IsDList,Table_ExternalData_15[[#Headers],[22]])</f>
        <v>0</v>
      </c>
      <c r="AA126" s="10">
        <f>SUMIFS(IsQList,IsIList,Table_ExternalData_15[[#This Row],[item_key]],IsITypeList,Table_ExternalData_15[[#This Row],[IType]],IsDList,Table_ExternalData_15[[#Headers],[23]])</f>
        <v>0</v>
      </c>
      <c r="AB126" s="10">
        <f>SUMIFS(IsQList,IsIList,Table_ExternalData_15[[#This Row],[item_key]],IsITypeList,Table_ExternalData_15[[#This Row],[IType]],IsDList,Table_ExternalData_15[[#Headers],[24]])</f>
        <v>54</v>
      </c>
      <c r="AC126" s="10">
        <f>SUMIFS(IsQList,IsIList,Table_ExternalData_15[[#This Row],[item_key]],IsITypeList,Table_ExternalData_15[[#This Row],[IType]],IsDList,Table_ExternalData_15[[#Headers],[25]])</f>
        <v>0</v>
      </c>
      <c r="AD126" s="10">
        <f>SUMIFS(IsQList,IsIList,Table_ExternalData_15[[#This Row],[item_key]],IsITypeList,Table_ExternalData_15[[#This Row],[IType]],IsDList,Table_ExternalData_15[[#Headers],[26]])</f>
        <v>0</v>
      </c>
      <c r="AE126" s="10">
        <f>SUMIFS(IsQList,IsIList,Table_ExternalData_15[[#This Row],[item_key]],IsITypeList,Table_ExternalData_15[[#This Row],[IType]],IsDList,Table_ExternalData_15[[#Headers],[27]])</f>
        <v>0</v>
      </c>
      <c r="AF126" s="10">
        <f>SUMIFS(IsQList,IsIList,Table_ExternalData_15[[#This Row],[item_key]],IsITypeList,Table_ExternalData_15[[#This Row],[IType]],IsDList,Table_ExternalData_15[[#Headers],[28]])</f>
        <v>0</v>
      </c>
      <c r="AG126" s="10">
        <f>SUMIFS(IsQList,IsIList,Table_ExternalData_15[[#This Row],[item_key]],IsITypeList,Table_ExternalData_15[[#This Row],[IType]],IsDList,Table_ExternalData_15[[#Headers],[29]])</f>
        <v>0</v>
      </c>
      <c r="AH126" s="10">
        <f>SUMIFS(IsQList,IsIList,Table_ExternalData_15[[#This Row],[item_key]],IsITypeList,Table_ExternalData_15[[#This Row],[IType]],IsDList,Table_ExternalData_15[[#Headers],[30]])</f>
        <v>10</v>
      </c>
      <c r="AI126" s="10">
        <f>SUMIFS(IsQList,IsIList,Table_ExternalData_15[[#This Row],[item_key]],IsITypeList,Table_ExternalData_15[[#This Row],[IType]],IsDList,Table_ExternalData_15[[#Headers],[31]])</f>
        <v>0</v>
      </c>
      <c r="AJ126" s="10">
        <f>SUM(Table_ExternalData_15[[#This Row],[1]:[31]])</f>
        <v>64</v>
      </c>
    </row>
    <row r="127" spans="1:36">
      <c r="A127" s="1" t="s">
        <v>529</v>
      </c>
      <c r="B127" s="1" t="s">
        <v>2568</v>
      </c>
      <c r="C127" s="1" t="s">
        <v>2569</v>
      </c>
      <c r="D127" s="11" t="s">
        <v>72</v>
      </c>
      <c r="E127" s="10">
        <f>SUMIFS(IsQList,IsIList,Table_ExternalData_15[[#This Row],[item_key]],IsITypeList,Table_ExternalData_15[[#This Row],[IType]],IsDList,Table_ExternalData_15[[#Headers],[1]])</f>
        <v>0</v>
      </c>
      <c r="F127" s="10">
        <f>SUMIFS(IsQList,IsIList,Table_ExternalData_15[[#This Row],[item_key]],IsITypeList,Table_ExternalData_15[[#This Row],[IType]],IsDList,Table_ExternalData_15[[#Headers],[2]])</f>
        <v>0</v>
      </c>
      <c r="G127" s="10">
        <f>SUMIFS(IsQList,IsIList,Table_ExternalData_15[[#This Row],[item_key]],IsITypeList,Table_ExternalData_15[[#This Row],[IType]],IsDList,Table_ExternalData_15[[#Headers],[3]])</f>
        <v>0</v>
      </c>
      <c r="H127" s="10">
        <f>SUMIFS(IsQList,IsIList,Table_ExternalData_15[[#This Row],[item_key]],IsITypeList,Table_ExternalData_15[[#This Row],[IType]],IsDList,Table_ExternalData_15[[#Headers],[4]])</f>
        <v>0</v>
      </c>
      <c r="I127" s="10">
        <f>SUMIFS(IsQList,IsIList,Table_ExternalData_15[[#This Row],[item_key]],IsITypeList,Table_ExternalData_15[[#This Row],[IType]],IsDList,Table_ExternalData_15[[#Headers],[5]])</f>
        <v>0</v>
      </c>
      <c r="J127" s="10">
        <f>SUMIFS(IsQList,IsIList,Table_ExternalData_15[[#This Row],[item_key]],IsITypeList,Table_ExternalData_15[[#This Row],[IType]],IsDList,Table_ExternalData_15[[#Headers],[6]])</f>
        <v>0</v>
      </c>
      <c r="K127" s="10">
        <f>SUMIFS(IsQList,IsIList,Table_ExternalData_15[[#This Row],[item_key]],IsITypeList,Table_ExternalData_15[[#This Row],[IType]],IsDList,Table_ExternalData_15[[#Headers],[7]])</f>
        <v>0</v>
      </c>
      <c r="L127" s="10">
        <f>SUMIFS(IsQList,IsIList,Table_ExternalData_15[[#This Row],[item_key]],IsITypeList,Table_ExternalData_15[[#This Row],[IType]],IsDList,Table_ExternalData_15[[#Headers],[8]])</f>
        <v>0</v>
      </c>
      <c r="M127" s="10">
        <f>SUMIFS(IsQList,IsIList,Table_ExternalData_15[[#This Row],[item_key]],IsITypeList,Table_ExternalData_15[[#This Row],[IType]],IsDList,Table_ExternalData_15[[#Headers],[9]])</f>
        <v>0</v>
      </c>
      <c r="N127" s="10">
        <f>SUMIFS(IsQList,IsIList,Table_ExternalData_15[[#This Row],[item_key]],IsITypeList,Table_ExternalData_15[[#This Row],[IType]],IsDList,Table_ExternalData_15[[#Headers],[10]])</f>
        <v>0</v>
      </c>
      <c r="O127" s="10">
        <f>SUMIFS(IsQList,IsIList,Table_ExternalData_15[[#This Row],[item_key]],IsITypeList,Table_ExternalData_15[[#This Row],[IType]],IsDList,Table_ExternalData_15[[#Headers],[11]])</f>
        <v>0</v>
      </c>
      <c r="P127" s="10">
        <f>SUMIFS(IsQList,IsIList,Table_ExternalData_15[[#This Row],[item_key]],IsITypeList,Table_ExternalData_15[[#This Row],[IType]],IsDList,Table_ExternalData_15[[#Headers],[12]])</f>
        <v>0</v>
      </c>
      <c r="Q127" s="10">
        <f>SUMIFS(IsQList,IsIList,Table_ExternalData_15[[#This Row],[item_key]],IsITypeList,Table_ExternalData_15[[#This Row],[IType]],IsDList,Table_ExternalData_15[[#Headers],[13]])</f>
        <v>0</v>
      </c>
      <c r="R127" s="10">
        <f>SUMIFS(IsQList,IsIList,Table_ExternalData_15[[#This Row],[item_key]],IsITypeList,Table_ExternalData_15[[#This Row],[IType]],IsDList,Table_ExternalData_15[[#Headers],[14]])</f>
        <v>0</v>
      </c>
      <c r="S127" s="10">
        <f>SUMIFS(IsQList,IsIList,Table_ExternalData_15[[#This Row],[item_key]],IsITypeList,Table_ExternalData_15[[#This Row],[IType]],IsDList,Table_ExternalData_15[[#Headers],[15]])</f>
        <v>0</v>
      </c>
      <c r="T127" s="10">
        <f>SUMIFS(IsQList,IsIList,Table_ExternalData_15[[#This Row],[item_key]],IsITypeList,Table_ExternalData_15[[#This Row],[IType]],IsDList,Table_ExternalData_15[[#Headers],[16]])</f>
        <v>10</v>
      </c>
      <c r="U127" s="10">
        <f>SUMIFS(IsQList,IsIList,Table_ExternalData_15[[#This Row],[item_key]],IsITypeList,Table_ExternalData_15[[#This Row],[IType]],IsDList,Table_ExternalData_15[[#Headers],[17]])</f>
        <v>0</v>
      </c>
      <c r="V127" s="10">
        <f>SUMIFS(IsQList,IsIList,Table_ExternalData_15[[#This Row],[item_key]],IsITypeList,Table_ExternalData_15[[#This Row],[IType]],IsDList,Table_ExternalData_15[[#Headers],[18]])</f>
        <v>0</v>
      </c>
      <c r="W127" s="10">
        <f>SUMIFS(IsQList,IsIList,Table_ExternalData_15[[#This Row],[item_key]],IsITypeList,Table_ExternalData_15[[#This Row],[IType]],IsDList,Table_ExternalData_15[[#Headers],[19]])</f>
        <v>0</v>
      </c>
      <c r="X127" s="10">
        <f>SUMIFS(IsQList,IsIList,Table_ExternalData_15[[#This Row],[item_key]],IsITypeList,Table_ExternalData_15[[#This Row],[IType]],IsDList,Table_ExternalData_15[[#Headers],[20]])</f>
        <v>0</v>
      </c>
      <c r="Y127" s="10">
        <f>SUMIFS(IsQList,IsIList,Table_ExternalData_15[[#This Row],[item_key]],IsITypeList,Table_ExternalData_15[[#This Row],[IType]],IsDList,Table_ExternalData_15[[#Headers],[21]])</f>
        <v>0</v>
      </c>
      <c r="Z127" s="10">
        <f>SUMIFS(IsQList,IsIList,Table_ExternalData_15[[#This Row],[item_key]],IsITypeList,Table_ExternalData_15[[#This Row],[IType]],IsDList,Table_ExternalData_15[[#Headers],[22]])</f>
        <v>0</v>
      </c>
      <c r="AA127" s="10">
        <f>SUMIFS(IsQList,IsIList,Table_ExternalData_15[[#This Row],[item_key]],IsITypeList,Table_ExternalData_15[[#This Row],[IType]],IsDList,Table_ExternalData_15[[#Headers],[23]])</f>
        <v>0</v>
      </c>
      <c r="AB127" s="10">
        <f>SUMIFS(IsQList,IsIList,Table_ExternalData_15[[#This Row],[item_key]],IsITypeList,Table_ExternalData_15[[#This Row],[IType]],IsDList,Table_ExternalData_15[[#Headers],[24]])</f>
        <v>0</v>
      </c>
      <c r="AC127" s="10">
        <f>SUMIFS(IsQList,IsIList,Table_ExternalData_15[[#This Row],[item_key]],IsITypeList,Table_ExternalData_15[[#This Row],[IType]],IsDList,Table_ExternalData_15[[#Headers],[25]])</f>
        <v>0</v>
      </c>
      <c r="AD127" s="10">
        <f>SUMIFS(IsQList,IsIList,Table_ExternalData_15[[#This Row],[item_key]],IsITypeList,Table_ExternalData_15[[#This Row],[IType]],IsDList,Table_ExternalData_15[[#Headers],[26]])</f>
        <v>0</v>
      </c>
      <c r="AE127" s="10">
        <f>SUMIFS(IsQList,IsIList,Table_ExternalData_15[[#This Row],[item_key]],IsITypeList,Table_ExternalData_15[[#This Row],[IType]],IsDList,Table_ExternalData_15[[#Headers],[27]])</f>
        <v>0</v>
      </c>
      <c r="AF127" s="10">
        <f>SUMIFS(IsQList,IsIList,Table_ExternalData_15[[#This Row],[item_key]],IsITypeList,Table_ExternalData_15[[#This Row],[IType]],IsDList,Table_ExternalData_15[[#Headers],[28]])</f>
        <v>0</v>
      </c>
      <c r="AG127" s="10">
        <f>SUMIFS(IsQList,IsIList,Table_ExternalData_15[[#This Row],[item_key]],IsITypeList,Table_ExternalData_15[[#This Row],[IType]],IsDList,Table_ExternalData_15[[#Headers],[29]])</f>
        <v>0</v>
      </c>
      <c r="AH127" s="10">
        <f>SUMIFS(IsQList,IsIList,Table_ExternalData_15[[#This Row],[item_key]],IsITypeList,Table_ExternalData_15[[#This Row],[IType]],IsDList,Table_ExternalData_15[[#Headers],[30]])</f>
        <v>10</v>
      </c>
      <c r="AI127" s="10">
        <f>SUMIFS(IsQList,IsIList,Table_ExternalData_15[[#This Row],[item_key]],IsITypeList,Table_ExternalData_15[[#This Row],[IType]],IsDList,Table_ExternalData_15[[#Headers],[31]])</f>
        <v>0</v>
      </c>
      <c r="AJ127" s="10">
        <f>SUM(Table_ExternalData_15[[#This Row],[1]:[31]])</f>
        <v>20</v>
      </c>
    </row>
    <row r="128" spans="1:36">
      <c r="A128" s="1" t="s">
        <v>530</v>
      </c>
      <c r="B128" s="1" t="s">
        <v>2570</v>
      </c>
      <c r="C128" s="1" t="s">
        <v>2571</v>
      </c>
      <c r="D128" s="11" t="s">
        <v>72</v>
      </c>
      <c r="E128" s="10">
        <f>SUMIFS(IsQList,IsIList,Table_ExternalData_15[[#This Row],[item_key]],IsITypeList,Table_ExternalData_15[[#This Row],[IType]],IsDList,Table_ExternalData_15[[#Headers],[1]])</f>
        <v>0</v>
      </c>
      <c r="F128" s="10">
        <f>SUMIFS(IsQList,IsIList,Table_ExternalData_15[[#This Row],[item_key]],IsITypeList,Table_ExternalData_15[[#This Row],[IType]],IsDList,Table_ExternalData_15[[#Headers],[2]])</f>
        <v>0</v>
      </c>
      <c r="G128" s="10">
        <f>SUMIFS(IsQList,IsIList,Table_ExternalData_15[[#This Row],[item_key]],IsITypeList,Table_ExternalData_15[[#This Row],[IType]],IsDList,Table_ExternalData_15[[#Headers],[3]])</f>
        <v>0</v>
      </c>
      <c r="H128" s="10">
        <f>SUMIFS(IsQList,IsIList,Table_ExternalData_15[[#This Row],[item_key]],IsITypeList,Table_ExternalData_15[[#This Row],[IType]],IsDList,Table_ExternalData_15[[#Headers],[4]])</f>
        <v>0</v>
      </c>
      <c r="I128" s="10">
        <f>SUMIFS(IsQList,IsIList,Table_ExternalData_15[[#This Row],[item_key]],IsITypeList,Table_ExternalData_15[[#This Row],[IType]],IsDList,Table_ExternalData_15[[#Headers],[5]])</f>
        <v>0</v>
      </c>
      <c r="J128" s="10">
        <f>SUMIFS(IsQList,IsIList,Table_ExternalData_15[[#This Row],[item_key]],IsITypeList,Table_ExternalData_15[[#This Row],[IType]],IsDList,Table_ExternalData_15[[#Headers],[6]])</f>
        <v>0</v>
      </c>
      <c r="K128" s="10">
        <f>SUMIFS(IsQList,IsIList,Table_ExternalData_15[[#This Row],[item_key]],IsITypeList,Table_ExternalData_15[[#This Row],[IType]],IsDList,Table_ExternalData_15[[#Headers],[7]])</f>
        <v>0</v>
      </c>
      <c r="L128" s="10">
        <f>SUMIFS(IsQList,IsIList,Table_ExternalData_15[[#This Row],[item_key]],IsITypeList,Table_ExternalData_15[[#This Row],[IType]],IsDList,Table_ExternalData_15[[#Headers],[8]])</f>
        <v>0</v>
      </c>
      <c r="M128" s="10">
        <f>SUMIFS(IsQList,IsIList,Table_ExternalData_15[[#This Row],[item_key]],IsITypeList,Table_ExternalData_15[[#This Row],[IType]],IsDList,Table_ExternalData_15[[#Headers],[9]])</f>
        <v>0</v>
      </c>
      <c r="N128" s="10">
        <f>SUMIFS(IsQList,IsIList,Table_ExternalData_15[[#This Row],[item_key]],IsITypeList,Table_ExternalData_15[[#This Row],[IType]],IsDList,Table_ExternalData_15[[#Headers],[10]])</f>
        <v>0</v>
      </c>
      <c r="O128" s="10">
        <f>SUMIFS(IsQList,IsIList,Table_ExternalData_15[[#This Row],[item_key]],IsITypeList,Table_ExternalData_15[[#This Row],[IType]],IsDList,Table_ExternalData_15[[#Headers],[11]])</f>
        <v>0</v>
      </c>
      <c r="P128" s="10">
        <f>SUMIFS(IsQList,IsIList,Table_ExternalData_15[[#This Row],[item_key]],IsITypeList,Table_ExternalData_15[[#This Row],[IType]],IsDList,Table_ExternalData_15[[#Headers],[12]])</f>
        <v>0</v>
      </c>
      <c r="Q128" s="10">
        <f>SUMIFS(IsQList,IsIList,Table_ExternalData_15[[#This Row],[item_key]],IsITypeList,Table_ExternalData_15[[#This Row],[IType]],IsDList,Table_ExternalData_15[[#Headers],[13]])</f>
        <v>0</v>
      </c>
      <c r="R128" s="10">
        <f>SUMIFS(IsQList,IsIList,Table_ExternalData_15[[#This Row],[item_key]],IsITypeList,Table_ExternalData_15[[#This Row],[IType]],IsDList,Table_ExternalData_15[[#Headers],[14]])</f>
        <v>0</v>
      </c>
      <c r="S128" s="10">
        <f>SUMIFS(IsQList,IsIList,Table_ExternalData_15[[#This Row],[item_key]],IsITypeList,Table_ExternalData_15[[#This Row],[IType]],IsDList,Table_ExternalData_15[[#Headers],[15]])</f>
        <v>0</v>
      </c>
      <c r="T128" s="10">
        <f>SUMIFS(IsQList,IsIList,Table_ExternalData_15[[#This Row],[item_key]],IsITypeList,Table_ExternalData_15[[#This Row],[IType]],IsDList,Table_ExternalData_15[[#Headers],[16]])</f>
        <v>0</v>
      </c>
      <c r="U128" s="10">
        <f>SUMIFS(IsQList,IsIList,Table_ExternalData_15[[#This Row],[item_key]],IsITypeList,Table_ExternalData_15[[#This Row],[IType]],IsDList,Table_ExternalData_15[[#Headers],[17]])</f>
        <v>0</v>
      </c>
      <c r="V128" s="10">
        <f>SUMIFS(IsQList,IsIList,Table_ExternalData_15[[#This Row],[item_key]],IsITypeList,Table_ExternalData_15[[#This Row],[IType]],IsDList,Table_ExternalData_15[[#Headers],[18]])</f>
        <v>0</v>
      </c>
      <c r="W128" s="10">
        <f>SUMIFS(IsQList,IsIList,Table_ExternalData_15[[#This Row],[item_key]],IsITypeList,Table_ExternalData_15[[#This Row],[IType]],IsDList,Table_ExternalData_15[[#Headers],[19]])</f>
        <v>0</v>
      </c>
      <c r="X128" s="10">
        <f>SUMIFS(IsQList,IsIList,Table_ExternalData_15[[#This Row],[item_key]],IsITypeList,Table_ExternalData_15[[#This Row],[IType]],IsDList,Table_ExternalData_15[[#Headers],[20]])</f>
        <v>0</v>
      </c>
      <c r="Y128" s="10">
        <f>SUMIFS(IsQList,IsIList,Table_ExternalData_15[[#This Row],[item_key]],IsITypeList,Table_ExternalData_15[[#This Row],[IType]],IsDList,Table_ExternalData_15[[#Headers],[21]])</f>
        <v>0</v>
      </c>
      <c r="Z128" s="10">
        <f>SUMIFS(IsQList,IsIList,Table_ExternalData_15[[#This Row],[item_key]],IsITypeList,Table_ExternalData_15[[#This Row],[IType]],IsDList,Table_ExternalData_15[[#Headers],[22]])</f>
        <v>0</v>
      </c>
      <c r="AA128" s="10">
        <f>SUMIFS(IsQList,IsIList,Table_ExternalData_15[[#This Row],[item_key]],IsITypeList,Table_ExternalData_15[[#This Row],[IType]],IsDList,Table_ExternalData_15[[#Headers],[23]])</f>
        <v>0</v>
      </c>
      <c r="AB128" s="10">
        <f>SUMIFS(IsQList,IsIList,Table_ExternalData_15[[#This Row],[item_key]],IsITypeList,Table_ExternalData_15[[#This Row],[IType]],IsDList,Table_ExternalData_15[[#Headers],[24]])</f>
        <v>0</v>
      </c>
      <c r="AC128" s="10">
        <f>SUMIFS(IsQList,IsIList,Table_ExternalData_15[[#This Row],[item_key]],IsITypeList,Table_ExternalData_15[[#This Row],[IType]],IsDList,Table_ExternalData_15[[#Headers],[25]])</f>
        <v>0</v>
      </c>
      <c r="AD128" s="10">
        <f>SUMIFS(IsQList,IsIList,Table_ExternalData_15[[#This Row],[item_key]],IsITypeList,Table_ExternalData_15[[#This Row],[IType]],IsDList,Table_ExternalData_15[[#Headers],[26]])</f>
        <v>0</v>
      </c>
      <c r="AE128" s="10">
        <f>SUMIFS(IsQList,IsIList,Table_ExternalData_15[[#This Row],[item_key]],IsITypeList,Table_ExternalData_15[[#This Row],[IType]],IsDList,Table_ExternalData_15[[#Headers],[27]])</f>
        <v>0</v>
      </c>
      <c r="AF128" s="10">
        <f>SUMIFS(IsQList,IsIList,Table_ExternalData_15[[#This Row],[item_key]],IsITypeList,Table_ExternalData_15[[#This Row],[IType]],IsDList,Table_ExternalData_15[[#Headers],[28]])</f>
        <v>0</v>
      </c>
      <c r="AG128" s="10">
        <f>SUMIFS(IsQList,IsIList,Table_ExternalData_15[[#This Row],[item_key]],IsITypeList,Table_ExternalData_15[[#This Row],[IType]],IsDList,Table_ExternalData_15[[#Headers],[29]])</f>
        <v>0</v>
      </c>
      <c r="AH128" s="10">
        <f>SUMIFS(IsQList,IsIList,Table_ExternalData_15[[#This Row],[item_key]],IsITypeList,Table_ExternalData_15[[#This Row],[IType]],IsDList,Table_ExternalData_15[[#Headers],[30]])</f>
        <v>0</v>
      </c>
      <c r="AI128" s="10">
        <f>SUMIFS(IsQList,IsIList,Table_ExternalData_15[[#This Row],[item_key]],IsITypeList,Table_ExternalData_15[[#This Row],[IType]],IsDList,Table_ExternalData_15[[#Headers],[31]])</f>
        <v>0</v>
      </c>
      <c r="AJ128" s="10">
        <f>SUM(Table_ExternalData_15[[#This Row],[1]:[31]])</f>
        <v>0</v>
      </c>
    </row>
    <row r="129" spans="1:36">
      <c r="A129" s="1" t="s">
        <v>533</v>
      </c>
      <c r="B129" s="1" t="s">
        <v>2387</v>
      </c>
      <c r="C129" s="1" t="s">
        <v>2388</v>
      </c>
      <c r="D129" s="11" t="s">
        <v>72</v>
      </c>
      <c r="E129" s="10">
        <f>SUMIFS(IsQList,IsIList,Table_ExternalData_15[[#This Row],[item_key]],IsITypeList,Table_ExternalData_15[[#This Row],[IType]],IsDList,Table_ExternalData_15[[#Headers],[1]])</f>
        <v>0</v>
      </c>
      <c r="F129" s="10">
        <f>SUMIFS(IsQList,IsIList,Table_ExternalData_15[[#This Row],[item_key]],IsITypeList,Table_ExternalData_15[[#This Row],[IType]],IsDList,Table_ExternalData_15[[#Headers],[2]])</f>
        <v>0</v>
      </c>
      <c r="G129" s="10">
        <f>SUMIFS(IsQList,IsIList,Table_ExternalData_15[[#This Row],[item_key]],IsITypeList,Table_ExternalData_15[[#This Row],[IType]],IsDList,Table_ExternalData_15[[#Headers],[3]])</f>
        <v>0</v>
      </c>
      <c r="H129" s="10">
        <f>SUMIFS(IsQList,IsIList,Table_ExternalData_15[[#This Row],[item_key]],IsITypeList,Table_ExternalData_15[[#This Row],[IType]],IsDList,Table_ExternalData_15[[#Headers],[4]])</f>
        <v>0</v>
      </c>
      <c r="I129" s="10">
        <f>SUMIFS(IsQList,IsIList,Table_ExternalData_15[[#This Row],[item_key]],IsITypeList,Table_ExternalData_15[[#This Row],[IType]],IsDList,Table_ExternalData_15[[#Headers],[5]])</f>
        <v>0</v>
      </c>
      <c r="J129" s="10">
        <f>SUMIFS(IsQList,IsIList,Table_ExternalData_15[[#This Row],[item_key]],IsITypeList,Table_ExternalData_15[[#This Row],[IType]],IsDList,Table_ExternalData_15[[#Headers],[6]])</f>
        <v>0</v>
      </c>
      <c r="K129" s="10">
        <f>SUMIFS(IsQList,IsIList,Table_ExternalData_15[[#This Row],[item_key]],IsITypeList,Table_ExternalData_15[[#This Row],[IType]],IsDList,Table_ExternalData_15[[#Headers],[7]])</f>
        <v>0</v>
      </c>
      <c r="L129" s="10">
        <f>SUMIFS(IsQList,IsIList,Table_ExternalData_15[[#This Row],[item_key]],IsITypeList,Table_ExternalData_15[[#This Row],[IType]],IsDList,Table_ExternalData_15[[#Headers],[8]])</f>
        <v>0</v>
      </c>
      <c r="M129" s="10">
        <f>SUMIFS(IsQList,IsIList,Table_ExternalData_15[[#This Row],[item_key]],IsITypeList,Table_ExternalData_15[[#This Row],[IType]],IsDList,Table_ExternalData_15[[#Headers],[9]])</f>
        <v>0</v>
      </c>
      <c r="N129" s="10">
        <f>SUMIFS(IsQList,IsIList,Table_ExternalData_15[[#This Row],[item_key]],IsITypeList,Table_ExternalData_15[[#This Row],[IType]],IsDList,Table_ExternalData_15[[#Headers],[10]])</f>
        <v>100</v>
      </c>
      <c r="O129" s="10">
        <f>SUMIFS(IsQList,IsIList,Table_ExternalData_15[[#This Row],[item_key]],IsITypeList,Table_ExternalData_15[[#This Row],[IType]],IsDList,Table_ExternalData_15[[#Headers],[11]])</f>
        <v>0</v>
      </c>
      <c r="P129" s="10">
        <f>SUMIFS(IsQList,IsIList,Table_ExternalData_15[[#This Row],[item_key]],IsITypeList,Table_ExternalData_15[[#This Row],[IType]],IsDList,Table_ExternalData_15[[#Headers],[12]])</f>
        <v>0</v>
      </c>
      <c r="Q129" s="10">
        <f>SUMIFS(IsQList,IsIList,Table_ExternalData_15[[#This Row],[item_key]],IsITypeList,Table_ExternalData_15[[#This Row],[IType]],IsDList,Table_ExternalData_15[[#Headers],[13]])</f>
        <v>0</v>
      </c>
      <c r="R129" s="10">
        <f>SUMIFS(IsQList,IsIList,Table_ExternalData_15[[#This Row],[item_key]],IsITypeList,Table_ExternalData_15[[#This Row],[IType]],IsDList,Table_ExternalData_15[[#Headers],[14]])</f>
        <v>0</v>
      </c>
      <c r="S129" s="10">
        <f>SUMIFS(IsQList,IsIList,Table_ExternalData_15[[#This Row],[item_key]],IsITypeList,Table_ExternalData_15[[#This Row],[IType]],IsDList,Table_ExternalData_15[[#Headers],[15]])</f>
        <v>0</v>
      </c>
      <c r="T129" s="10">
        <f>SUMIFS(IsQList,IsIList,Table_ExternalData_15[[#This Row],[item_key]],IsITypeList,Table_ExternalData_15[[#This Row],[IType]],IsDList,Table_ExternalData_15[[#Headers],[16]])</f>
        <v>0</v>
      </c>
      <c r="U129" s="10">
        <f>SUMIFS(IsQList,IsIList,Table_ExternalData_15[[#This Row],[item_key]],IsITypeList,Table_ExternalData_15[[#This Row],[IType]],IsDList,Table_ExternalData_15[[#Headers],[17]])</f>
        <v>0</v>
      </c>
      <c r="V129" s="10">
        <f>SUMIFS(IsQList,IsIList,Table_ExternalData_15[[#This Row],[item_key]],IsITypeList,Table_ExternalData_15[[#This Row],[IType]],IsDList,Table_ExternalData_15[[#Headers],[18]])</f>
        <v>0</v>
      </c>
      <c r="W129" s="10">
        <f>SUMIFS(IsQList,IsIList,Table_ExternalData_15[[#This Row],[item_key]],IsITypeList,Table_ExternalData_15[[#This Row],[IType]],IsDList,Table_ExternalData_15[[#Headers],[19]])</f>
        <v>0</v>
      </c>
      <c r="X129" s="10">
        <f>SUMIFS(IsQList,IsIList,Table_ExternalData_15[[#This Row],[item_key]],IsITypeList,Table_ExternalData_15[[#This Row],[IType]],IsDList,Table_ExternalData_15[[#Headers],[20]])</f>
        <v>0</v>
      </c>
      <c r="Y129" s="10">
        <f>SUMIFS(IsQList,IsIList,Table_ExternalData_15[[#This Row],[item_key]],IsITypeList,Table_ExternalData_15[[#This Row],[IType]],IsDList,Table_ExternalData_15[[#Headers],[21]])</f>
        <v>0</v>
      </c>
      <c r="Z129" s="10">
        <f>SUMIFS(IsQList,IsIList,Table_ExternalData_15[[#This Row],[item_key]],IsITypeList,Table_ExternalData_15[[#This Row],[IType]],IsDList,Table_ExternalData_15[[#Headers],[22]])</f>
        <v>0</v>
      </c>
      <c r="AA129" s="10">
        <f>SUMIFS(IsQList,IsIList,Table_ExternalData_15[[#This Row],[item_key]],IsITypeList,Table_ExternalData_15[[#This Row],[IType]],IsDList,Table_ExternalData_15[[#Headers],[23]])</f>
        <v>0</v>
      </c>
      <c r="AB129" s="10">
        <f>SUMIFS(IsQList,IsIList,Table_ExternalData_15[[#This Row],[item_key]],IsITypeList,Table_ExternalData_15[[#This Row],[IType]],IsDList,Table_ExternalData_15[[#Headers],[24]])</f>
        <v>10</v>
      </c>
      <c r="AC129" s="10">
        <f>SUMIFS(IsQList,IsIList,Table_ExternalData_15[[#This Row],[item_key]],IsITypeList,Table_ExternalData_15[[#This Row],[IType]],IsDList,Table_ExternalData_15[[#Headers],[25]])</f>
        <v>0</v>
      </c>
      <c r="AD129" s="10">
        <f>SUMIFS(IsQList,IsIList,Table_ExternalData_15[[#This Row],[item_key]],IsITypeList,Table_ExternalData_15[[#This Row],[IType]],IsDList,Table_ExternalData_15[[#Headers],[26]])</f>
        <v>0</v>
      </c>
      <c r="AE129" s="10">
        <f>SUMIFS(IsQList,IsIList,Table_ExternalData_15[[#This Row],[item_key]],IsITypeList,Table_ExternalData_15[[#This Row],[IType]],IsDList,Table_ExternalData_15[[#Headers],[27]])</f>
        <v>0</v>
      </c>
      <c r="AF129" s="10">
        <f>SUMIFS(IsQList,IsIList,Table_ExternalData_15[[#This Row],[item_key]],IsITypeList,Table_ExternalData_15[[#This Row],[IType]],IsDList,Table_ExternalData_15[[#Headers],[28]])</f>
        <v>0</v>
      </c>
      <c r="AG129" s="10">
        <f>SUMIFS(IsQList,IsIList,Table_ExternalData_15[[#This Row],[item_key]],IsITypeList,Table_ExternalData_15[[#This Row],[IType]],IsDList,Table_ExternalData_15[[#Headers],[29]])</f>
        <v>0</v>
      </c>
      <c r="AH129" s="10">
        <f>SUMIFS(IsQList,IsIList,Table_ExternalData_15[[#This Row],[item_key]],IsITypeList,Table_ExternalData_15[[#This Row],[IType]],IsDList,Table_ExternalData_15[[#Headers],[30]])</f>
        <v>270</v>
      </c>
      <c r="AI129" s="10">
        <f>SUMIFS(IsQList,IsIList,Table_ExternalData_15[[#This Row],[item_key]],IsITypeList,Table_ExternalData_15[[#This Row],[IType]],IsDList,Table_ExternalData_15[[#Headers],[31]])</f>
        <v>0</v>
      </c>
      <c r="AJ129" s="10">
        <f>SUM(Table_ExternalData_15[[#This Row],[1]:[31]])</f>
        <v>380</v>
      </c>
    </row>
    <row r="130" spans="1:36">
      <c r="A130" s="1" t="s">
        <v>534</v>
      </c>
      <c r="B130" s="1" t="s">
        <v>1296</v>
      </c>
      <c r="C130" s="1" t="s">
        <v>1297</v>
      </c>
      <c r="D130" s="11" t="s">
        <v>72</v>
      </c>
      <c r="E130" s="10">
        <f>SUMIFS(IsQList,IsIList,Table_ExternalData_15[[#This Row],[item_key]],IsITypeList,Table_ExternalData_15[[#This Row],[IType]],IsDList,Table_ExternalData_15[[#Headers],[1]])</f>
        <v>0</v>
      </c>
      <c r="F130" s="10">
        <f>SUMIFS(IsQList,IsIList,Table_ExternalData_15[[#This Row],[item_key]],IsITypeList,Table_ExternalData_15[[#This Row],[IType]],IsDList,Table_ExternalData_15[[#Headers],[2]])</f>
        <v>0</v>
      </c>
      <c r="G130" s="10">
        <f>SUMIFS(IsQList,IsIList,Table_ExternalData_15[[#This Row],[item_key]],IsITypeList,Table_ExternalData_15[[#This Row],[IType]],IsDList,Table_ExternalData_15[[#Headers],[3]])</f>
        <v>0</v>
      </c>
      <c r="H130" s="10">
        <f>SUMIFS(IsQList,IsIList,Table_ExternalData_15[[#This Row],[item_key]],IsITypeList,Table_ExternalData_15[[#This Row],[IType]],IsDList,Table_ExternalData_15[[#Headers],[4]])</f>
        <v>0</v>
      </c>
      <c r="I130" s="10">
        <f>SUMIFS(IsQList,IsIList,Table_ExternalData_15[[#This Row],[item_key]],IsITypeList,Table_ExternalData_15[[#This Row],[IType]],IsDList,Table_ExternalData_15[[#Headers],[5]])</f>
        <v>0</v>
      </c>
      <c r="J130" s="10">
        <f>SUMIFS(IsQList,IsIList,Table_ExternalData_15[[#This Row],[item_key]],IsITypeList,Table_ExternalData_15[[#This Row],[IType]],IsDList,Table_ExternalData_15[[#Headers],[6]])</f>
        <v>0</v>
      </c>
      <c r="K130" s="10">
        <f>SUMIFS(IsQList,IsIList,Table_ExternalData_15[[#This Row],[item_key]],IsITypeList,Table_ExternalData_15[[#This Row],[IType]],IsDList,Table_ExternalData_15[[#Headers],[7]])</f>
        <v>0</v>
      </c>
      <c r="L130" s="10">
        <f>SUMIFS(IsQList,IsIList,Table_ExternalData_15[[#This Row],[item_key]],IsITypeList,Table_ExternalData_15[[#This Row],[IType]],IsDList,Table_ExternalData_15[[#Headers],[8]])</f>
        <v>0</v>
      </c>
      <c r="M130" s="10">
        <f>SUMIFS(IsQList,IsIList,Table_ExternalData_15[[#This Row],[item_key]],IsITypeList,Table_ExternalData_15[[#This Row],[IType]],IsDList,Table_ExternalData_15[[#Headers],[9]])</f>
        <v>0</v>
      </c>
      <c r="N130" s="10">
        <f>SUMIFS(IsQList,IsIList,Table_ExternalData_15[[#This Row],[item_key]],IsITypeList,Table_ExternalData_15[[#This Row],[IType]],IsDList,Table_ExternalData_15[[#Headers],[10]])</f>
        <v>100</v>
      </c>
      <c r="O130" s="10">
        <f>SUMIFS(IsQList,IsIList,Table_ExternalData_15[[#This Row],[item_key]],IsITypeList,Table_ExternalData_15[[#This Row],[IType]],IsDList,Table_ExternalData_15[[#Headers],[11]])</f>
        <v>0</v>
      </c>
      <c r="P130" s="10">
        <f>SUMIFS(IsQList,IsIList,Table_ExternalData_15[[#This Row],[item_key]],IsITypeList,Table_ExternalData_15[[#This Row],[IType]],IsDList,Table_ExternalData_15[[#Headers],[12]])</f>
        <v>0</v>
      </c>
      <c r="Q130" s="10">
        <f>SUMIFS(IsQList,IsIList,Table_ExternalData_15[[#This Row],[item_key]],IsITypeList,Table_ExternalData_15[[#This Row],[IType]],IsDList,Table_ExternalData_15[[#Headers],[13]])</f>
        <v>0</v>
      </c>
      <c r="R130" s="10">
        <f>SUMIFS(IsQList,IsIList,Table_ExternalData_15[[#This Row],[item_key]],IsITypeList,Table_ExternalData_15[[#This Row],[IType]],IsDList,Table_ExternalData_15[[#Headers],[14]])</f>
        <v>0</v>
      </c>
      <c r="S130" s="10">
        <f>SUMIFS(IsQList,IsIList,Table_ExternalData_15[[#This Row],[item_key]],IsITypeList,Table_ExternalData_15[[#This Row],[IType]],IsDList,Table_ExternalData_15[[#Headers],[15]])</f>
        <v>0</v>
      </c>
      <c r="T130" s="10">
        <f>SUMIFS(IsQList,IsIList,Table_ExternalData_15[[#This Row],[item_key]],IsITypeList,Table_ExternalData_15[[#This Row],[IType]],IsDList,Table_ExternalData_15[[#Headers],[16]])</f>
        <v>20</v>
      </c>
      <c r="U130" s="10">
        <f>SUMIFS(IsQList,IsIList,Table_ExternalData_15[[#This Row],[item_key]],IsITypeList,Table_ExternalData_15[[#This Row],[IType]],IsDList,Table_ExternalData_15[[#Headers],[17]])</f>
        <v>0</v>
      </c>
      <c r="V130" s="10">
        <f>SUMIFS(IsQList,IsIList,Table_ExternalData_15[[#This Row],[item_key]],IsITypeList,Table_ExternalData_15[[#This Row],[IType]],IsDList,Table_ExternalData_15[[#Headers],[18]])</f>
        <v>0</v>
      </c>
      <c r="W130" s="10">
        <f>SUMIFS(IsQList,IsIList,Table_ExternalData_15[[#This Row],[item_key]],IsITypeList,Table_ExternalData_15[[#This Row],[IType]],IsDList,Table_ExternalData_15[[#Headers],[19]])</f>
        <v>0</v>
      </c>
      <c r="X130" s="10">
        <f>SUMIFS(IsQList,IsIList,Table_ExternalData_15[[#This Row],[item_key]],IsITypeList,Table_ExternalData_15[[#This Row],[IType]],IsDList,Table_ExternalData_15[[#Headers],[20]])</f>
        <v>0</v>
      </c>
      <c r="Y130" s="10">
        <f>SUMIFS(IsQList,IsIList,Table_ExternalData_15[[#This Row],[item_key]],IsITypeList,Table_ExternalData_15[[#This Row],[IType]],IsDList,Table_ExternalData_15[[#Headers],[21]])</f>
        <v>0</v>
      </c>
      <c r="Z130" s="10">
        <f>SUMIFS(IsQList,IsIList,Table_ExternalData_15[[#This Row],[item_key]],IsITypeList,Table_ExternalData_15[[#This Row],[IType]],IsDList,Table_ExternalData_15[[#Headers],[22]])</f>
        <v>0</v>
      </c>
      <c r="AA130" s="10">
        <f>SUMIFS(IsQList,IsIList,Table_ExternalData_15[[#This Row],[item_key]],IsITypeList,Table_ExternalData_15[[#This Row],[IType]],IsDList,Table_ExternalData_15[[#Headers],[23]])</f>
        <v>0</v>
      </c>
      <c r="AB130" s="10">
        <f>SUMIFS(IsQList,IsIList,Table_ExternalData_15[[#This Row],[item_key]],IsITypeList,Table_ExternalData_15[[#This Row],[IType]],IsDList,Table_ExternalData_15[[#Headers],[24]])</f>
        <v>0</v>
      </c>
      <c r="AC130" s="10">
        <f>SUMIFS(IsQList,IsIList,Table_ExternalData_15[[#This Row],[item_key]],IsITypeList,Table_ExternalData_15[[#This Row],[IType]],IsDList,Table_ExternalData_15[[#Headers],[25]])</f>
        <v>0</v>
      </c>
      <c r="AD130" s="10">
        <f>SUMIFS(IsQList,IsIList,Table_ExternalData_15[[#This Row],[item_key]],IsITypeList,Table_ExternalData_15[[#This Row],[IType]],IsDList,Table_ExternalData_15[[#Headers],[26]])</f>
        <v>0</v>
      </c>
      <c r="AE130" s="10">
        <f>SUMIFS(IsQList,IsIList,Table_ExternalData_15[[#This Row],[item_key]],IsITypeList,Table_ExternalData_15[[#This Row],[IType]],IsDList,Table_ExternalData_15[[#Headers],[27]])</f>
        <v>0</v>
      </c>
      <c r="AF130" s="10">
        <f>SUMIFS(IsQList,IsIList,Table_ExternalData_15[[#This Row],[item_key]],IsITypeList,Table_ExternalData_15[[#This Row],[IType]],IsDList,Table_ExternalData_15[[#Headers],[28]])</f>
        <v>0</v>
      </c>
      <c r="AG130" s="10">
        <f>SUMIFS(IsQList,IsIList,Table_ExternalData_15[[#This Row],[item_key]],IsITypeList,Table_ExternalData_15[[#This Row],[IType]],IsDList,Table_ExternalData_15[[#Headers],[29]])</f>
        <v>0</v>
      </c>
      <c r="AH130" s="10">
        <f>SUMIFS(IsQList,IsIList,Table_ExternalData_15[[#This Row],[item_key]],IsITypeList,Table_ExternalData_15[[#This Row],[IType]],IsDList,Table_ExternalData_15[[#Headers],[30]])</f>
        <v>228</v>
      </c>
      <c r="AI130" s="10">
        <f>SUMIFS(IsQList,IsIList,Table_ExternalData_15[[#This Row],[item_key]],IsITypeList,Table_ExternalData_15[[#This Row],[IType]],IsDList,Table_ExternalData_15[[#Headers],[31]])</f>
        <v>0</v>
      </c>
      <c r="AJ130" s="10">
        <f>SUM(Table_ExternalData_15[[#This Row],[1]:[31]])</f>
        <v>348</v>
      </c>
    </row>
    <row r="131" spans="1:36">
      <c r="A131" s="1" t="s">
        <v>536</v>
      </c>
      <c r="B131" s="1" t="s">
        <v>1298</v>
      </c>
      <c r="C131" s="1" t="s">
        <v>1299</v>
      </c>
      <c r="D131" s="11" t="s">
        <v>72</v>
      </c>
      <c r="E131" s="10">
        <f>SUMIFS(IsQList,IsIList,Table_ExternalData_15[[#This Row],[item_key]],IsITypeList,Table_ExternalData_15[[#This Row],[IType]],IsDList,Table_ExternalData_15[[#Headers],[1]])</f>
        <v>0</v>
      </c>
      <c r="F131" s="10">
        <f>SUMIFS(IsQList,IsIList,Table_ExternalData_15[[#This Row],[item_key]],IsITypeList,Table_ExternalData_15[[#This Row],[IType]],IsDList,Table_ExternalData_15[[#Headers],[2]])</f>
        <v>0</v>
      </c>
      <c r="G131" s="10">
        <f>SUMIFS(IsQList,IsIList,Table_ExternalData_15[[#This Row],[item_key]],IsITypeList,Table_ExternalData_15[[#This Row],[IType]],IsDList,Table_ExternalData_15[[#Headers],[3]])</f>
        <v>0</v>
      </c>
      <c r="H131" s="10">
        <f>SUMIFS(IsQList,IsIList,Table_ExternalData_15[[#This Row],[item_key]],IsITypeList,Table_ExternalData_15[[#This Row],[IType]],IsDList,Table_ExternalData_15[[#Headers],[4]])</f>
        <v>0</v>
      </c>
      <c r="I131" s="10">
        <f>SUMIFS(IsQList,IsIList,Table_ExternalData_15[[#This Row],[item_key]],IsITypeList,Table_ExternalData_15[[#This Row],[IType]],IsDList,Table_ExternalData_15[[#Headers],[5]])</f>
        <v>0</v>
      </c>
      <c r="J131" s="10">
        <f>SUMIFS(IsQList,IsIList,Table_ExternalData_15[[#This Row],[item_key]],IsITypeList,Table_ExternalData_15[[#This Row],[IType]],IsDList,Table_ExternalData_15[[#Headers],[6]])</f>
        <v>0</v>
      </c>
      <c r="K131" s="10">
        <f>SUMIFS(IsQList,IsIList,Table_ExternalData_15[[#This Row],[item_key]],IsITypeList,Table_ExternalData_15[[#This Row],[IType]],IsDList,Table_ExternalData_15[[#Headers],[7]])</f>
        <v>0</v>
      </c>
      <c r="L131" s="10">
        <f>SUMIFS(IsQList,IsIList,Table_ExternalData_15[[#This Row],[item_key]],IsITypeList,Table_ExternalData_15[[#This Row],[IType]],IsDList,Table_ExternalData_15[[#Headers],[8]])</f>
        <v>0</v>
      </c>
      <c r="M131" s="10">
        <f>SUMIFS(IsQList,IsIList,Table_ExternalData_15[[#This Row],[item_key]],IsITypeList,Table_ExternalData_15[[#This Row],[IType]],IsDList,Table_ExternalData_15[[#Headers],[9]])</f>
        <v>0</v>
      </c>
      <c r="N131" s="10">
        <f>SUMIFS(IsQList,IsIList,Table_ExternalData_15[[#This Row],[item_key]],IsITypeList,Table_ExternalData_15[[#This Row],[IType]],IsDList,Table_ExternalData_15[[#Headers],[10]])</f>
        <v>0</v>
      </c>
      <c r="O131" s="10">
        <f>SUMIFS(IsQList,IsIList,Table_ExternalData_15[[#This Row],[item_key]],IsITypeList,Table_ExternalData_15[[#This Row],[IType]],IsDList,Table_ExternalData_15[[#Headers],[11]])</f>
        <v>0</v>
      </c>
      <c r="P131" s="10">
        <f>SUMIFS(IsQList,IsIList,Table_ExternalData_15[[#This Row],[item_key]],IsITypeList,Table_ExternalData_15[[#This Row],[IType]],IsDList,Table_ExternalData_15[[#Headers],[12]])</f>
        <v>0</v>
      </c>
      <c r="Q131" s="10">
        <f>SUMIFS(IsQList,IsIList,Table_ExternalData_15[[#This Row],[item_key]],IsITypeList,Table_ExternalData_15[[#This Row],[IType]],IsDList,Table_ExternalData_15[[#Headers],[13]])</f>
        <v>0</v>
      </c>
      <c r="R131" s="10">
        <f>SUMIFS(IsQList,IsIList,Table_ExternalData_15[[#This Row],[item_key]],IsITypeList,Table_ExternalData_15[[#This Row],[IType]],IsDList,Table_ExternalData_15[[#Headers],[14]])</f>
        <v>0</v>
      </c>
      <c r="S131" s="10">
        <f>SUMIFS(IsQList,IsIList,Table_ExternalData_15[[#This Row],[item_key]],IsITypeList,Table_ExternalData_15[[#This Row],[IType]],IsDList,Table_ExternalData_15[[#Headers],[15]])</f>
        <v>0</v>
      </c>
      <c r="T131" s="10">
        <f>SUMIFS(IsQList,IsIList,Table_ExternalData_15[[#This Row],[item_key]],IsITypeList,Table_ExternalData_15[[#This Row],[IType]],IsDList,Table_ExternalData_15[[#Headers],[16]])</f>
        <v>0</v>
      </c>
      <c r="U131" s="10">
        <f>SUMIFS(IsQList,IsIList,Table_ExternalData_15[[#This Row],[item_key]],IsITypeList,Table_ExternalData_15[[#This Row],[IType]],IsDList,Table_ExternalData_15[[#Headers],[17]])</f>
        <v>0</v>
      </c>
      <c r="V131" s="10">
        <f>SUMIFS(IsQList,IsIList,Table_ExternalData_15[[#This Row],[item_key]],IsITypeList,Table_ExternalData_15[[#This Row],[IType]],IsDList,Table_ExternalData_15[[#Headers],[18]])</f>
        <v>0</v>
      </c>
      <c r="W131" s="10">
        <f>SUMIFS(IsQList,IsIList,Table_ExternalData_15[[#This Row],[item_key]],IsITypeList,Table_ExternalData_15[[#This Row],[IType]],IsDList,Table_ExternalData_15[[#Headers],[19]])</f>
        <v>0</v>
      </c>
      <c r="X131" s="10">
        <f>SUMIFS(IsQList,IsIList,Table_ExternalData_15[[#This Row],[item_key]],IsITypeList,Table_ExternalData_15[[#This Row],[IType]],IsDList,Table_ExternalData_15[[#Headers],[20]])</f>
        <v>0</v>
      </c>
      <c r="Y131" s="10">
        <f>SUMIFS(IsQList,IsIList,Table_ExternalData_15[[#This Row],[item_key]],IsITypeList,Table_ExternalData_15[[#This Row],[IType]],IsDList,Table_ExternalData_15[[#Headers],[21]])</f>
        <v>0</v>
      </c>
      <c r="Z131" s="10">
        <f>SUMIFS(IsQList,IsIList,Table_ExternalData_15[[#This Row],[item_key]],IsITypeList,Table_ExternalData_15[[#This Row],[IType]],IsDList,Table_ExternalData_15[[#Headers],[22]])</f>
        <v>0</v>
      </c>
      <c r="AA131" s="10">
        <f>SUMIFS(IsQList,IsIList,Table_ExternalData_15[[#This Row],[item_key]],IsITypeList,Table_ExternalData_15[[#This Row],[IType]],IsDList,Table_ExternalData_15[[#Headers],[23]])</f>
        <v>0</v>
      </c>
      <c r="AB131" s="10">
        <f>SUMIFS(IsQList,IsIList,Table_ExternalData_15[[#This Row],[item_key]],IsITypeList,Table_ExternalData_15[[#This Row],[IType]],IsDList,Table_ExternalData_15[[#Headers],[24]])</f>
        <v>50</v>
      </c>
      <c r="AC131" s="10">
        <f>SUMIFS(IsQList,IsIList,Table_ExternalData_15[[#This Row],[item_key]],IsITypeList,Table_ExternalData_15[[#This Row],[IType]],IsDList,Table_ExternalData_15[[#Headers],[25]])</f>
        <v>0</v>
      </c>
      <c r="AD131" s="10">
        <f>SUMIFS(IsQList,IsIList,Table_ExternalData_15[[#This Row],[item_key]],IsITypeList,Table_ExternalData_15[[#This Row],[IType]],IsDList,Table_ExternalData_15[[#Headers],[26]])</f>
        <v>0</v>
      </c>
      <c r="AE131" s="10">
        <f>SUMIFS(IsQList,IsIList,Table_ExternalData_15[[#This Row],[item_key]],IsITypeList,Table_ExternalData_15[[#This Row],[IType]],IsDList,Table_ExternalData_15[[#Headers],[27]])</f>
        <v>0</v>
      </c>
      <c r="AF131" s="10">
        <f>SUMIFS(IsQList,IsIList,Table_ExternalData_15[[#This Row],[item_key]],IsITypeList,Table_ExternalData_15[[#This Row],[IType]],IsDList,Table_ExternalData_15[[#Headers],[28]])</f>
        <v>0</v>
      </c>
      <c r="AG131" s="10">
        <f>SUMIFS(IsQList,IsIList,Table_ExternalData_15[[#This Row],[item_key]],IsITypeList,Table_ExternalData_15[[#This Row],[IType]],IsDList,Table_ExternalData_15[[#Headers],[29]])</f>
        <v>0</v>
      </c>
      <c r="AH131" s="10">
        <f>SUMIFS(IsQList,IsIList,Table_ExternalData_15[[#This Row],[item_key]],IsITypeList,Table_ExternalData_15[[#This Row],[IType]],IsDList,Table_ExternalData_15[[#Headers],[30]])</f>
        <v>0</v>
      </c>
      <c r="AI131" s="10">
        <f>SUMIFS(IsQList,IsIList,Table_ExternalData_15[[#This Row],[item_key]],IsITypeList,Table_ExternalData_15[[#This Row],[IType]],IsDList,Table_ExternalData_15[[#Headers],[31]])</f>
        <v>0</v>
      </c>
      <c r="AJ131" s="10">
        <f>SUM(Table_ExternalData_15[[#This Row],[1]:[31]])</f>
        <v>50</v>
      </c>
    </row>
    <row r="132" spans="1:36">
      <c r="A132" s="1" t="s">
        <v>1746</v>
      </c>
      <c r="B132" s="1" t="s">
        <v>2572</v>
      </c>
      <c r="C132" s="1" t="s">
        <v>2573</v>
      </c>
      <c r="D132" s="11" t="s">
        <v>72</v>
      </c>
      <c r="E132" s="10">
        <f>SUMIFS(IsQList,IsIList,Table_ExternalData_15[[#This Row],[item_key]],IsITypeList,Table_ExternalData_15[[#This Row],[IType]],IsDList,Table_ExternalData_15[[#Headers],[1]])</f>
        <v>0</v>
      </c>
      <c r="F132" s="10">
        <f>SUMIFS(IsQList,IsIList,Table_ExternalData_15[[#This Row],[item_key]],IsITypeList,Table_ExternalData_15[[#This Row],[IType]],IsDList,Table_ExternalData_15[[#Headers],[2]])</f>
        <v>0</v>
      </c>
      <c r="G132" s="10">
        <f>SUMIFS(IsQList,IsIList,Table_ExternalData_15[[#This Row],[item_key]],IsITypeList,Table_ExternalData_15[[#This Row],[IType]],IsDList,Table_ExternalData_15[[#Headers],[3]])</f>
        <v>0</v>
      </c>
      <c r="H132" s="10">
        <f>SUMIFS(IsQList,IsIList,Table_ExternalData_15[[#This Row],[item_key]],IsITypeList,Table_ExternalData_15[[#This Row],[IType]],IsDList,Table_ExternalData_15[[#Headers],[4]])</f>
        <v>0</v>
      </c>
      <c r="I132" s="10">
        <f>SUMIFS(IsQList,IsIList,Table_ExternalData_15[[#This Row],[item_key]],IsITypeList,Table_ExternalData_15[[#This Row],[IType]],IsDList,Table_ExternalData_15[[#Headers],[5]])</f>
        <v>0</v>
      </c>
      <c r="J132" s="10">
        <f>SUMIFS(IsQList,IsIList,Table_ExternalData_15[[#This Row],[item_key]],IsITypeList,Table_ExternalData_15[[#This Row],[IType]],IsDList,Table_ExternalData_15[[#Headers],[6]])</f>
        <v>0</v>
      </c>
      <c r="K132" s="10">
        <f>SUMIFS(IsQList,IsIList,Table_ExternalData_15[[#This Row],[item_key]],IsITypeList,Table_ExternalData_15[[#This Row],[IType]],IsDList,Table_ExternalData_15[[#Headers],[7]])</f>
        <v>0</v>
      </c>
      <c r="L132" s="10">
        <f>SUMIFS(IsQList,IsIList,Table_ExternalData_15[[#This Row],[item_key]],IsITypeList,Table_ExternalData_15[[#This Row],[IType]],IsDList,Table_ExternalData_15[[#Headers],[8]])</f>
        <v>0</v>
      </c>
      <c r="M132" s="10">
        <f>SUMIFS(IsQList,IsIList,Table_ExternalData_15[[#This Row],[item_key]],IsITypeList,Table_ExternalData_15[[#This Row],[IType]],IsDList,Table_ExternalData_15[[#Headers],[9]])</f>
        <v>0</v>
      </c>
      <c r="N132" s="10">
        <f>SUMIFS(IsQList,IsIList,Table_ExternalData_15[[#This Row],[item_key]],IsITypeList,Table_ExternalData_15[[#This Row],[IType]],IsDList,Table_ExternalData_15[[#Headers],[10]])</f>
        <v>0</v>
      </c>
      <c r="O132" s="10">
        <f>SUMIFS(IsQList,IsIList,Table_ExternalData_15[[#This Row],[item_key]],IsITypeList,Table_ExternalData_15[[#This Row],[IType]],IsDList,Table_ExternalData_15[[#Headers],[11]])</f>
        <v>0</v>
      </c>
      <c r="P132" s="10">
        <f>SUMIFS(IsQList,IsIList,Table_ExternalData_15[[#This Row],[item_key]],IsITypeList,Table_ExternalData_15[[#This Row],[IType]],IsDList,Table_ExternalData_15[[#Headers],[12]])</f>
        <v>0</v>
      </c>
      <c r="Q132" s="10">
        <f>SUMIFS(IsQList,IsIList,Table_ExternalData_15[[#This Row],[item_key]],IsITypeList,Table_ExternalData_15[[#This Row],[IType]],IsDList,Table_ExternalData_15[[#Headers],[13]])</f>
        <v>0</v>
      </c>
      <c r="R132" s="10">
        <f>SUMIFS(IsQList,IsIList,Table_ExternalData_15[[#This Row],[item_key]],IsITypeList,Table_ExternalData_15[[#This Row],[IType]],IsDList,Table_ExternalData_15[[#Headers],[14]])</f>
        <v>0</v>
      </c>
      <c r="S132" s="10">
        <f>SUMIFS(IsQList,IsIList,Table_ExternalData_15[[#This Row],[item_key]],IsITypeList,Table_ExternalData_15[[#This Row],[IType]],IsDList,Table_ExternalData_15[[#Headers],[15]])</f>
        <v>0</v>
      </c>
      <c r="T132" s="10">
        <f>SUMIFS(IsQList,IsIList,Table_ExternalData_15[[#This Row],[item_key]],IsITypeList,Table_ExternalData_15[[#This Row],[IType]],IsDList,Table_ExternalData_15[[#Headers],[16]])</f>
        <v>0</v>
      </c>
      <c r="U132" s="10">
        <f>SUMIFS(IsQList,IsIList,Table_ExternalData_15[[#This Row],[item_key]],IsITypeList,Table_ExternalData_15[[#This Row],[IType]],IsDList,Table_ExternalData_15[[#Headers],[17]])</f>
        <v>0</v>
      </c>
      <c r="V132" s="10">
        <f>SUMIFS(IsQList,IsIList,Table_ExternalData_15[[#This Row],[item_key]],IsITypeList,Table_ExternalData_15[[#This Row],[IType]],IsDList,Table_ExternalData_15[[#Headers],[18]])</f>
        <v>0</v>
      </c>
      <c r="W132" s="10">
        <f>SUMIFS(IsQList,IsIList,Table_ExternalData_15[[#This Row],[item_key]],IsITypeList,Table_ExternalData_15[[#This Row],[IType]],IsDList,Table_ExternalData_15[[#Headers],[19]])</f>
        <v>0</v>
      </c>
      <c r="X132" s="10">
        <f>SUMIFS(IsQList,IsIList,Table_ExternalData_15[[#This Row],[item_key]],IsITypeList,Table_ExternalData_15[[#This Row],[IType]],IsDList,Table_ExternalData_15[[#Headers],[20]])</f>
        <v>0</v>
      </c>
      <c r="Y132" s="10">
        <f>SUMIFS(IsQList,IsIList,Table_ExternalData_15[[#This Row],[item_key]],IsITypeList,Table_ExternalData_15[[#This Row],[IType]],IsDList,Table_ExternalData_15[[#Headers],[21]])</f>
        <v>0</v>
      </c>
      <c r="Z132" s="10">
        <f>SUMIFS(IsQList,IsIList,Table_ExternalData_15[[#This Row],[item_key]],IsITypeList,Table_ExternalData_15[[#This Row],[IType]],IsDList,Table_ExternalData_15[[#Headers],[22]])</f>
        <v>0</v>
      </c>
      <c r="AA132" s="10">
        <f>SUMIFS(IsQList,IsIList,Table_ExternalData_15[[#This Row],[item_key]],IsITypeList,Table_ExternalData_15[[#This Row],[IType]],IsDList,Table_ExternalData_15[[#Headers],[23]])</f>
        <v>0</v>
      </c>
      <c r="AB132" s="10">
        <f>SUMIFS(IsQList,IsIList,Table_ExternalData_15[[#This Row],[item_key]],IsITypeList,Table_ExternalData_15[[#This Row],[IType]],IsDList,Table_ExternalData_15[[#Headers],[24]])</f>
        <v>0</v>
      </c>
      <c r="AC132" s="10">
        <f>SUMIFS(IsQList,IsIList,Table_ExternalData_15[[#This Row],[item_key]],IsITypeList,Table_ExternalData_15[[#This Row],[IType]],IsDList,Table_ExternalData_15[[#Headers],[25]])</f>
        <v>0</v>
      </c>
      <c r="AD132" s="10">
        <f>SUMIFS(IsQList,IsIList,Table_ExternalData_15[[#This Row],[item_key]],IsITypeList,Table_ExternalData_15[[#This Row],[IType]],IsDList,Table_ExternalData_15[[#Headers],[26]])</f>
        <v>0</v>
      </c>
      <c r="AE132" s="10">
        <f>SUMIFS(IsQList,IsIList,Table_ExternalData_15[[#This Row],[item_key]],IsITypeList,Table_ExternalData_15[[#This Row],[IType]],IsDList,Table_ExternalData_15[[#Headers],[27]])</f>
        <v>0</v>
      </c>
      <c r="AF132" s="10">
        <f>SUMIFS(IsQList,IsIList,Table_ExternalData_15[[#This Row],[item_key]],IsITypeList,Table_ExternalData_15[[#This Row],[IType]],IsDList,Table_ExternalData_15[[#Headers],[28]])</f>
        <v>0</v>
      </c>
      <c r="AG132" s="10">
        <f>SUMIFS(IsQList,IsIList,Table_ExternalData_15[[#This Row],[item_key]],IsITypeList,Table_ExternalData_15[[#This Row],[IType]],IsDList,Table_ExternalData_15[[#Headers],[29]])</f>
        <v>0</v>
      </c>
      <c r="AH132" s="10">
        <f>SUMIFS(IsQList,IsIList,Table_ExternalData_15[[#This Row],[item_key]],IsITypeList,Table_ExternalData_15[[#This Row],[IType]],IsDList,Table_ExternalData_15[[#Headers],[30]])</f>
        <v>387</v>
      </c>
      <c r="AI132" s="10">
        <f>SUMIFS(IsQList,IsIList,Table_ExternalData_15[[#This Row],[item_key]],IsITypeList,Table_ExternalData_15[[#This Row],[IType]],IsDList,Table_ExternalData_15[[#Headers],[31]])</f>
        <v>0</v>
      </c>
      <c r="AJ132" s="10">
        <f>SUM(Table_ExternalData_15[[#This Row],[1]:[31]])</f>
        <v>387</v>
      </c>
    </row>
    <row r="133" spans="1:36">
      <c r="A133" s="1" t="s">
        <v>1747</v>
      </c>
      <c r="B133" s="1" t="s">
        <v>2574</v>
      </c>
      <c r="C133" s="1" t="s">
        <v>1423</v>
      </c>
      <c r="D133" s="11" t="s">
        <v>72</v>
      </c>
      <c r="E133" s="10">
        <f>SUMIFS(IsQList,IsIList,Table_ExternalData_15[[#This Row],[item_key]],IsITypeList,Table_ExternalData_15[[#This Row],[IType]],IsDList,Table_ExternalData_15[[#Headers],[1]])</f>
        <v>0</v>
      </c>
      <c r="F133" s="10">
        <f>SUMIFS(IsQList,IsIList,Table_ExternalData_15[[#This Row],[item_key]],IsITypeList,Table_ExternalData_15[[#This Row],[IType]],IsDList,Table_ExternalData_15[[#Headers],[2]])</f>
        <v>0</v>
      </c>
      <c r="G133" s="10">
        <f>SUMIFS(IsQList,IsIList,Table_ExternalData_15[[#This Row],[item_key]],IsITypeList,Table_ExternalData_15[[#This Row],[IType]],IsDList,Table_ExternalData_15[[#Headers],[3]])</f>
        <v>0</v>
      </c>
      <c r="H133" s="10">
        <f>SUMIFS(IsQList,IsIList,Table_ExternalData_15[[#This Row],[item_key]],IsITypeList,Table_ExternalData_15[[#This Row],[IType]],IsDList,Table_ExternalData_15[[#Headers],[4]])</f>
        <v>0</v>
      </c>
      <c r="I133" s="10">
        <f>SUMIFS(IsQList,IsIList,Table_ExternalData_15[[#This Row],[item_key]],IsITypeList,Table_ExternalData_15[[#This Row],[IType]],IsDList,Table_ExternalData_15[[#Headers],[5]])</f>
        <v>0</v>
      </c>
      <c r="J133" s="10">
        <f>SUMIFS(IsQList,IsIList,Table_ExternalData_15[[#This Row],[item_key]],IsITypeList,Table_ExternalData_15[[#This Row],[IType]],IsDList,Table_ExternalData_15[[#Headers],[6]])</f>
        <v>0</v>
      </c>
      <c r="K133" s="10">
        <f>SUMIFS(IsQList,IsIList,Table_ExternalData_15[[#This Row],[item_key]],IsITypeList,Table_ExternalData_15[[#This Row],[IType]],IsDList,Table_ExternalData_15[[#Headers],[7]])</f>
        <v>0</v>
      </c>
      <c r="L133" s="10">
        <f>SUMIFS(IsQList,IsIList,Table_ExternalData_15[[#This Row],[item_key]],IsITypeList,Table_ExternalData_15[[#This Row],[IType]],IsDList,Table_ExternalData_15[[#Headers],[8]])</f>
        <v>0</v>
      </c>
      <c r="M133" s="10">
        <f>SUMIFS(IsQList,IsIList,Table_ExternalData_15[[#This Row],[item_key]],IsITypeList,Table_ExternalData_15[[#This Row],[IType]],IsDList,Table_ExternalData_15[[#Headers],[9]])</f>
        <v>0</v>
      </c>
      <c r="N133" s="10">
        <f>SUMIFS(IsQList,IsIList,Table_ExternalData_15[[#This Row],[item_key]],IsITypeList,Table_ExternalData_15[[#This Row],[IType]],IsDList,Table_ExternalData_15[[#Headers],[10]])</f>
        <v>25</v>
      </c>
      <c r="O133" s="10">
        <f>SUMIFS(IsQList,IsIList,Table_ExternalData_15[[#This Row],[item_key]],IsITypeList,Table_ExternalData_15[[#This Row],[IType]],IsDList,Table_ExternalData_15[[#Headers],[11]])</f>
        <v>0</v>
      </c>
      <c r="P133" s="10">
        <f>SUMIFS(IsQList,IsIList,Table_ExternalData_15[[#This Row],[item_key]],IsITypeList,Table_ExternalData_15[[#This Row],[IType]],IsDList,Table_ExternalData_15[[#Headers],[12]])</f>
        <v>0</v>
      </c>
      <c r="Q133" s="10">
        <f>SUMIFS(IsQList,IsIList,Table_ExternalData_15[[#This Row],[item_key]],IsITypeList,Table_ExternalData_15[[#This Row],[IType]],IsDList,Table_ExternalData_15[[#Headers],[13]])</f>
        <v>0</v>
      </c>
      <c r="R133" s="10">
        <f>SUMIFS(IsQList,IsIList,Table_ExternalData_15[[#This Row],[item_key]],IsITypeList,Table_ExternalData_15[[#This Row],[IType]],IsDList,Table_ExternalData_15[[#Headers],[14]])</f>
        <v>0</v>
      </c>
      <c r="S133" s="10">
        <f>SUMIFS(IsQList,IsIList,Table_ExternalData_15[[#This Row],[item_key]],IsITypeList,Table_ExternalData_15[[#This Row],[IType]],IsDList,Table_ExternalData_15[[#Headers],[15]])</f>
        <v>0</v>
      </c>
      <c r="T133" s="10">
        <f>SUMIFS(IsQList,IsIList,Table_ExternalData_15[[#This Row],[item_key]],IsITypeList,Table_ExternalData_15[[#This Row],[IType]],IsDList,Table_ExternalData_15[[#Headers],[16]])</f>
        <v>0</v>
      </c>
      <c r="U133" s="10">
        <f>SUMIFS(IsQList,IsIList,Table_ExternalData_15[[#This Row],[item_key]],IsITypeList,Table_ExternalData_15[[#This Row],[IType]],IsDList,Table_ExternalData_15[[#Headers],[17]])</f>
        <v>0</v>
      </c>
      <c r="V133" s="10">
        <f>SUMIFS(IsQList,IsIList,Table_ExternalData_15[[#This Row],[item_key]],IsITypeList,Table_ExternalData_15[[#This Row],[IType]],IsDList,Table_ExternalData_15[[#Headers],[18]])</f>
        <v>0</v>
      </c>
      <c r="W133" s="10">
        <f>SUMIFS(IsQList,IsIList,Table_ExternalData_15[[#This Row],[item_key]],IsITypeList,Table_ExternalData_15[[#This Row],[IType]],IsDList,Table_ExternalData_15[[#Headers],[19]])</f>
        <v>0</v>
      </c>
      <c r="X133" s="10">
        <f>SUMIFS(IsQList,IsIList,Table_ExternalData_15[[#This Row],[item_key]],IsITypeList,Table_ExternalData_15[[#This Row],[IType]],IsDList,Table_ExternalData_15[[#Headers],[20]])</f>
        <v>0</v>
      </c>
      <c r="Y133" s="10">
        <f>SUMIFS(IsQList,IsIList,Table_ExternalData_15[[#This Row],[item_key]],IsITypeList,Table_ExternalData_15[[#This Row],[IType]],IsDList,Table_ExternalData_15[[#Headers],[21]])</f>
        <v>0</v>
      </c>
      <c r="Z133" s="10">
        <f>SUMIFS(IsQList,IsIList,Table_ExternalData_15[[#This Row],[item_key]],IsITypeList,Table_ExternalData_15[[#This Row],[IType]],IsDList,Table_ExternalData_15[[#Headers],[22]])</f>
        <v>0</v>
      </c>
      <c r="AA133" s="10">
        <f>SUMIFS(IsQList,IsIList,Table_ExternalData_15[[#This Row],[item_key]],IsITypeList,Table_ExternalData_15[[#This Row],[IType]],IsDList,Table_ExternalData_15[[#Headers],[23]])</f>
        <v>0</v>
      </c>
      <c r="AB133" s="10">
        <f>SUMIFS(IsQList,IsIList,Table_ExternalData_15[[#This Row],[item_key]],IsITypeList,Table_ExternalData_15[[#This Row],[IType]],IsDList,Table_ExternalData_15[[#Headers],[24]])</f>
        <v>0</v>
      </c>
      <c r="AC133" s="10">
        <f>SUMIFS(IsQList,IsIList,Table_ExternalData_15[[#This Row],[item_key]],IsITypeList,Table_ExternalData_15[[#This Row],[IType]],IsDList,Table_ExternalData_15[[#Headers],[25]])</f>
        <v>0</v>
      </c>
      <c r="AD133" s="10">
        <f>SUMIFS(IsQList,IsIList,Table_ExternalData_15[[#This Row],[item_key]],IsITypeList,Table_ExternalData_15[[#This Row],[IType]],IsDList,Table_ExternalData_15[[#Headers],[26]])</f>
        <v>0</v>
      </c>
      <c r="AE133" s="10">
        <f>SUMIFS(IsQList,IsIList,Table_ExternalData_15[[#This Row],[item_key]],IsITypeList,Table_ExternalData_15[[#This Row],[IType]],IsDList,Table_ExternalData_15[[#Headers],[27]])</f>
        <v>0</v>
      </c>
      <c r="AF133" s="10">
        <f>SUMIFS(IsQList,IsIList,Table_ExternalData_15[[#This Row],[item_key]],IsITypeList,Table_ExternalData_15[[#This Row],[IType]],IsDList,Table_ExternalData_15[[#Headers],[28]])</f>
        <v>0</v>
      </c>
      <c r="AG133" s="10">
        <f>SUMIFS(IsQList,IsIList,Table_ExternalData_15[[#This Row],[item_key]],IsITypeList,Table_ExternalData_15[[#This Row],[IType]],IsDList,Table_ExternalData_15[[#Headers],[29]])</f>
        <v>0</v>
      </c>
      <c r="AH133" s="10">
        <f>SUMIFS(IsQList,IsIList,Table_ExternalData_15[[#This Row],[item_key]],IsITypeList,Table_ExternalData_15[[#This Row],[IType]],IsDList,Table_ExternalData_15[[#Headers],[30]])</f>
        <v>54</v>
      </c>
      <c r="AI133" s="10">
        <f>SUMIFS(IsQList,IsIList,Table_ExternalData_15[[#This Row],[item_key]],IsITypeList,Table_ExternalData_15[[#This Row],[IType]],IsDList,Table_ExternalData_15[[#Headers],[31]])</f>
        <v>0</v>
      </c>
      <c r="AJ133" s="10">
        <f>SUM(Table_ExternalData_15[[#This Row],[1]:[31]])</f>
        <v>79</v>
      </c>
    </row>
    <row r="134" spans="1:36">
      <c r="A134" s="1" t="s">
        <v>541</v>
      </c>
      <c r="B134" s="1" t="s">
        <v>1300</v>
      </c>
      <c r="C134" s="1" t="s">
        <v>1301</v>
      </c>
      <c r="D134" s="11" t="s">
        <v>72</v>
      </c>
      <c r="E134" s="10">
        <f>SUMIFS(IsQList,IsIList,Table_ExternalData_15[[#This Row],[item_key]],IsITypeList,Table_ExternalData_15[[#This Row],[IType]],IsDList,Table_ExternalData_15[[#Headers],[1]])</f>
        <v>0</v>
      </c>
      <c r="F134" s="10">
        <f>SUMIFS(IsQList,IsIList,Table_ExternalData_15[[#This Row],[item_key]],IsITypeList,Table_ExternalData_15[[#This Row],[IType]],IsDList,Table_ExternalData_15[[#Headers],[2]])</f>
        <v>0</v>
      </c>
      <c r="G134" s="10">
        <f>SUMIFS(IsQList,IsIList,Table_ExternalData_15[[#This Row],[item_key]],IsITypeList,Table_ExternalData_15[[#This Row],[IType]],IsDList,Table_ExternalData_15[[#Headers],[3]])</f>
        <v>0</v>
      </c>
      <c r="H134" s="10">
        <f>SUMIFS(IsQList,IsIList,Table_ExternalData_15[[#This Row],[item_key]],IsITypeList,Table_ExternalData_15[[#This Row],[IType]],IsDList,Table_ExternalData_15[[#Headers],[4]])</f>
        <v>0</v>
      </c>
      <c r="I134" s="10">
        <f>SUMIFS(IsQList,IsIList,Table_ExternalData_15[[#This Row],[item_key]],IsITypeList,Table_ExternalData_15[[#This Row],[IType]],IsDList,Table_ExternalData_15[[#Headers],[5]])</f>
        <v>0</v>
      </c>
      <c r="J134" s="10">
        <f>SUMIFS(IsQList,IsIList,Table_ExternalData_15[[#This Row],[item_key]],IsITypeList,Table_ExternalData_15[[#This Row],[IType]],IsDList,Table_ExternalData_15[[#Headers],[6]])</f>
        <v>0</v>
      </c>
      <c r="K134" s="10">
        <f>SUMIFS(IsQList,IsIList,Table_ExternalData_15[[#This Row],[item_key]],IsITypeList,Table_ExternalData_15[[#This Row],[IType]],IsDList,Table_ExternalData_15[[#Headers],[7]])</f>
        <v>0</v>
      </c>
      <c r="L134" s="10">
        <f>SUMIFS(IsQList,IsIList,Table_ExternalData_15[[#This Row],[item_key]],IsITypeList,Table_ExternalData_15[[#This Row],[IType]],IsDList,Table_ExternalData_15[[#Headers],[8]])</f>
        <v>0</v>
      </c>
      <c r="M134" s="10">
        <f>SUMIFS(IsQList,IsIList,Table_ExternalData_15[[#This Row],[item_key]],IsITypeList,Table_ExternalData_15[[#This Row],[IType]],IsDList,Table_ExternalData_15[[#Headers],[9]])</f>
        <v>0</v>
      </c>
      <c r="N134" s="10">
        <f>SUMIFS(IsQList,IsIList,Table_ExternalData_15[[#This Row],[item_key]],IsITypeList,Table_ExternalData_15[[#This Row],[IType]],IsDList,Table_ExternalData_15[[#Headers],[10]])</f>
        <v>0</v>
      </c>
      <c r="O134" s="10">
        <f>SUMIFS(IsQList,IsIList,Table_ExternalData_15[[#This Row],[item_key]],IsITypeList,Table_ExternalData_15[[#This Row],[IType]],IsDList,Table_ExternalData_15[[#Headers],[11]])</f>
        <v>0</v>
      </c>
      <c r="P134" s="10">
        <f>SUMIFS(IsQList,IsIList,Table_ExternalData_15[[#This Row],[item_key]],IsITypeList,Table_ExternalData_15[[#This Row],[IType]],IsDList,Table_ExternalData_15[[#Headers],[12]])</f>
        <v>0</v>
      </c>
      <c r="Q134" s="10">
        <f>SUMIFS(IsQList,IsIList,Table_ExternalData_15[[#This Row],[item_key]],IsITypeList,Table_ExternalData_15[[#This Row],[IType]],IsDList,Table_ExternalData_15[[#Headers],[13]])</f>
        <v>0</v>
      </c>
      <c r="R134" s="10">
        <f>SUMIFS(IsQList,IsIList,Table_ExternalData_15[[#This Row],[item_key]],IsITypeList,Table_ExternalData_15[[#This Row],[IType]],IsDList,Table_ExternalData_15[[#Headers],[14]])</f>
        <v>0</v>
      </c>
      <c r="S134" s="10">
        <f>SUMIFS(IsQList,IsIList,Table_ExternalData_15[[#This Row],[item_key]],IsITypeList,Table_ExternalData_15[[#This Row],[IType]],IsDList,Table_ExternalData_15[[#Headers],[15]])</f>
        <v>0</v>
      </c>
      <c r="T134" s="10">
        <f>SUMIFS(IsQList,IsIList,Table_ExternalData_15[[#This Row],[item_key]],IsITypeList,Table_ExternalData_15[[#This Row],[IType]],IsDList,Table_ExternalData_15[[#Headers],[16]])</f>
        <v>0</v>
      </c>
      <c r="U134" s="10">
        <f>SUMIFS(IsQList,IsIList,Table_ExternalData_15[[#This Row],[item_key]],IsITypeList,Table_ExternalData_15[[#This Row],[IType]],IsDList,Table_ExternalData_15[[#Headers],[17]])</f>
        <v>0</v>
      </c>
      <c r="V134" s="10">
        <f>SUMIFS(IsQList,IsIList,Table_ExternalData_15[[#This Row],[item_key]],IsITypeList,Table_ExternalData_15[[#This Row],[IType]],IsDList,Table_ExternalData_15[[#Headers],[18]])</f>
        <v>0</v>
      </c>
      <c r="W134" s="10">
        <f>SUMIFS(IsQList,IsIList,Table_ExternalData_15[[#This Row],[item_key]],IsITypeList,Table_ExternalData_15[[#This Row],[IType]],IsDList,Table_ExternalData_15[[#Headers],[19]])</f>
        <v>0</v>
      </c>
      <c r="X134" s="10">
        <f>SUMIFS(IsQList,IsIList,Table_ExternalData_15[[#This Row],[item_key]],IsITypeList,Table_ExternalData_15[[#This Row],[IType]],IsDList,Table_ExternalData_15[[#Headers],[20]])</f>
        <v>0</v>
      </c>
      <c r="Y134" s="10">
        <f>SUMIFS(IsQList,IsIList,Table_ExternalData_15[[#This Row],[item_key]],IsITypeList,Table_ExternalData_15[[#This Row],[IType]],IsDList,Table_ExternalData_15[[#Headers],[21]])</f>
        <v>0</v>
      </c>
      <c r="Z134" s="10">
        <f>SUMIFS(IsQList,IsIList,Table_ExternalData_15[[#This Row],[item_key]],IsITypeList,Table_ExternalData_15[[#This Row],[IType]],IsDList,Table_ExternalData_15[[#Headers],[22]])</f>
        <v>0</v>
      </c>
      <c r="AA134" s="10">
        <f>SUMIFS(IsQList,IsIList,Table_ExternalData_15[[#This Row],[item_key]],IsITypeList,Table_ExternalData_15[[#This Row],[IType]],IsDList,Table_ExternalData_15[[#Headers],[23]])</f>
        <v>0</v>
      </c>
      <c r="AB134" s="10">
        <f>SUMIFS(IsQList,IsIList,Table_ExternalData_15[[#This Row],[item_key]],IsITypeList,Table_ExternalData_15[[#This Row],[IType]],IsDList,Table_ExternalData_15[[#Headers],[24]])</f>
        <v>0</v>
      </c>
      <c r="AC134" s="10">
        <f>SUMIFS(IsQList,IsIList,Table_ExternalData_15[[#This Row],[item_key]],IsITypeList,Table_ExternalData_15[[#This Row],[IType]],IsDList,Table_ExternalData_15[[#Headers],[25]])</f>
        <v>0</v>
      </c>
      <c r="AD134" s="10">
        <f>SUMIFS(IsQList,IsIList,Table_ExternalData_15[[#This Row],[item_key]],IsITypeList,Table_ExternalData_15[[#This Row],[IType]],IsDList,Table_ExternalData_15[[#Headers],[26]])</f>
        <v>0</v>
      </c>
      <c r="AE134" s="10">
        <f>SUMIFS(IsQList,IsIList,Table_ExternalData_15[[#This Row],[item_key]],IsITypeList,Table_ExternalData_15[[#This Row],[IType]],IsDList,Table_ExternalData_15[[#Headers],[27]])</f>
        <v>0</v>
      </c>
      <c r="AF134" s="10">
        <f>SUMIFS(IsQList,IsIList,Table_ExternalData_15[[#This Row],[item_key]],IsITypeList,Table_ExternalData_15[[#This Row],[IType]],IsDList,Table_ExternalData_15[[#Headers],[28]])</f>
        <v>0</v>
      </c>
      <c r="AG134" s="10">
        <f>SUMIFS(IsQList,IsIList,Table_ExternalData_15[[#This Row],[item_key]],IsITypeList,Table_ExternalData_15[[#This Row],[IType]],IsDList,Table_ExternalData_15[[#Headers],[29]])</f>
        <v>0</v>
      </c>
      <c r="AH134" s="10">
        <f>SUMIFS(IsQList,IsIList,Table_ExternalData_15[[#This Row],[item_key]],IsITypeList,Table_ExternalData_15[[#This Row],[IType]],IsDList,Table_ExternalData_15[[#Headers],[30]])</f>
        <v>0</v>
      </c>
      <c r="AI134" s="10">
        <f>SUMIFS(IsQList,IsIList,Table_ExternalData_15[[#This Row],[item_key]],IsITypeList,Table_ExternalData_15[[#This Row],[IType]],IsDList,Table_ExternalData_15[[#Headers],[31]])</f>
        <v>0</v>
      </c>
      <c r="AJ134" s="10">
        <f>SUM(Table_ExternalData_15[[#This Row],[1]:[31]])</f>
        <v>0</v>
      </c>
    </row>
    <row r="135" spans="1:36">
      <c r="A135" s="1" t="s">
        <v>542</v>
      </c>
      <c r="B135" s="1" t="s">
        <v>1302</v>
      </c>
      <c r="C135" s="1" t="s">
        <v>1303</v>
      </c>
      <c r="D135" s="11" t="s">
        <v>72</v>
      </c>
      <c r="E135" s="10">
        <f>SUMIFS(IsQList,IsIList,Table_ExternalData_15[[#This Row],[item_key]],IsITypeList,Table_ExternalData_15[[#This Row],[IType]],IsDList,Table_ExternalData_15[[#Headers],[1]])</f>
        <v>0</v>
      </c>
      <c r="F135" s="10">
        <f>SUMIFS(IsQList,IsIList,Table_ExternalData_15[[#This Row],[item_key]],IsITypeList,Table_ExternalData_15[[#This Row],[IType]],IsDList,Table_ExternalData_15[[#Headers],[2]])</f>
        <v>0</v>
      </c>
      <c r="G135" s="10">
        <f>SUMIFS(IsQList,IsIList,Table_ExternalData_15[[#This Row],[item_key]],IsITypeList,Table_ExternalData_15[[#This Row],[IType]],IsDList,Table_ExternalData_15[[#Headers],[3]])</f>
        <v>0</v>
      </c>
      <c r="H135" s="10">
        <f>SUMIFS(IsQList,IsIList,Table_ExternalData_15[[#This Row],[item_key]],IsITypeList,Table_ExternalData_15[[#This Row],[IType]],IsDList,Table_ExternalData_15[[#Headers],[4]])</f>
        <v>0</v>
      </c>
      <c r="I135" s="10">
        <f>SUMIFS(IsQList,IsIList,Table_ExternalData_15[[#This Row],[item_key]],IsITypeList,Table_ExternalData_15[[#This Row],[IType]],IsDList,Table_ExternalData_15[[#Headers],[5]])</f>
        <v>0</v>
      </c>
      <c r="J135" s="10">
        <f>SUMIFS(IsQList,IsIList,Table_ExternalData_15[[#This Row],[item_key]],IsITypeList,Table_ExternalData_15[[#This Row],[IType]],IsDList,Table_ExternalData_15[[#Headers],[6]])</f>
        <v>0</v>
      </c>
      <c r="K135" s="10">
        <f>SUMIFS(IsQList,IsIList,Table_ExternalData_15[[#This Row],[item_key]],IsITypeList,Table_ExternalData_15[[#This Row],[IType]],IsDList,Table_ExternalData_15[[#Headers],[7]])</f>
        <v>0</v>
      </c>
      <c r="L135" s="10">
        <f>SUMIFS(IsQList,IsIList,Table_ExternalData_15[[#This Row],[item_key]],IsITypeList,Table_ExternalData_15[[#This Row],[IType]],IsDList,Table_ExternalData_15[[#Headers],[8]])</f>
        <v>0</v>
      </c>
      <c r="M135" s="10">
        <f>SUMIFS(IsQList,IsIList,Table_ExternalData_15[[#This Row],[item_key]],IsITypeList,Table_ExternalData_15[[#This Row],[IType]],IsDList,Table_ExternalData_15[[#Headers],[9]])</f>
        <v>0</v>
      </c>
      <c r="N135" s="10">
        <f>SUMIFS(IsQList,IsIList,Table_ExternalData_15[[#This Row],[item_key]],IsITypeList,Table_ExternalData_15[[#This Row],[IType]],IsDList,Table_ExternalData_15[[#Headers],[10]])</f>
        <v>0</v>
      </c>
      <c r="O135" s="10">
        <f>SUMIFS(IsQList,IsIList,Table_ExternalData_15[[#This Row],[item_key]],IsITypeList,Table_ExternalData_15[[#This Row],[IType]],IsDList,Table_ExternalData_15[[#Headers],[11]])</f>
        <v>0</v>
      </c>
      <c r="P135" s="10">
        <f>SUMIFS(IsQList,IsIList,Table_ExternalData_15[[#This Row],[item_key]],IsITypeList,Table_ExternalData_15[[#This Row],[IType]],IsDList,Table_ExternalData_15[[#Headers],[12]])</f>
        <v>0</v>
      </c>
      <c r="Q135" s="10">
        <f>SUMIFS(IsQList,IsIList,Table_ExternalData_15[[#This Row],[item_key]],IsITypeList,Table_ExternalData_15[[#This Row],[IType]],IsDList,Table_ExternalData_15[[#Headers],[13]])</f>
        <v>0</v>
      </c>
      <c r="R135" s="10">
        <f>SUMIFS(IsQList,IsIList,Table_ExternalData_15[[#This Row],[item_key]],IsITypeList,Table_ExternalData_15[[#This Row],[IType]],IsDList,Table_ExternalData_15[[#Headers],[14]])</f>
        <v>0</v>
      </c>
      <c r="S135" s="10">
        <f>SUMIFS(IsQList,IsIList,Table_ExternalData_15[[#This Row],[item_key]],IsITypeList,Table_ExternalData_15[[#This Row],[IType]],IsDList,Table_ExternalData_15[[#Headers],[15]])</f>
        <v>0</v>
      </c>
      <c r="T135" s="10">
        <f>SUMIFS(IsQList,IsIList,Table_ExternalData_15[[#This Row],[item_key]],IsITypeList,Table_ExternalData_15[[#This Row],[IType]],IsDList,Table_ExternalData_15[[#Headers],[16]])</f>
        <v>0</v>
      </c>
      <c r="U135" s="10">
        <f>SUMIFS(IsQList,IsIList,Table_ExternalData_15[[#This Row],[item_key]],IsITypeList,Table_ExternalData_15[[#This Row],[IType]],IsDList,Table_ExternalData_15[[#Headers],[17]])</f>
        <v>0</v>
      </c>
      <c r="V135" s="10">
        <f>SUMIFS(IsQList,IsIList,Table_ExternalData_15[[#This Row],[item_key]],IsITypeList,Table_ExternalData_15[[#This Row],[IType]],IsDList,Table_ExternalData_15[[#Headers],[18]])</f>
        <v>0</v>
      </c>
      <c r="W135" s="10">
        <f>SUMIFS(IsQList,IsIList,Table_ExternalData_15[[#This Row],[item_key]],IsITypeList,Table_ExternalData_15[[#This Row],[IType]],IsDList,Table_ExternalData_15[[#Headers],[19]])</f>
        <v>0</v>
      </c>
      <c r="X135" s="10">
        <f>SUMIFS(IsQList,IsIList,Table_ExternalData_15[[#This Row],[item_key]],IsITypeList,Table_ExternalData_15[[#This Row],[IType]],IsDList,Table_ExternalData_15[[#Headers],[20]])</f>
        <v>0</v>
      </c>
      <c r="Y135" s="10">
        <f>SUMIFS(IsQList,IsIList,Table_ExternalData_15[[#This Row],[item_key]],IsITypeList,Table_ExternalData_15[[#This Row],[IType]],IsDList,Table_ExternalData_15[[#Headers],[21]])</f>
        <v>0</v>
      </c>
      <c r="Z135" s="10">
        <f>SUMIFS(IsQList,IsIList,Table_ExternalData_15[[#This Row],[item_key]],IsITypeList,Table_ExternalData_15[[#This Row],[IType]],IsDList,Table_ExternalData_15[[#Headers],[22]])</f>
        <v>0</v>
      </c>
      <c r="AA135" s="10">
        <f>SUMIFS(IsQList,IsIList,Table_ExternalData_15[[#This Row],[item_key]],IsITypeList,Table_ExternalData_15[[#This Row],[IType]],IsDList,Table_ExternalData_15[[#Headers],[23]])</f>
        <v>0</v>
      </c>
      <c r="AB135" s="10">
        <f>SUMIFS(IsQList,IsIList,Table_ExternalData_15[[#This Row],[item_key]],IsITypeList,Table_ExternalData_15[[#This Row],[IType]],IsDList,Table_ExternalData_15[[#Headers],[24]])</f>
        <v>0</v>
      </c>
      <c r="AC135" s="10">
        <f>SUMIFS(IsQList,IsIList,Table_ExternalData_15[[#This Row],[item_key]],IsITypeList,Table_ExternalData_15[[#This Row],[IType]],IsDList,Table_ExternalData_15[[#Headers],[25]])</f>
        <v>0</v>
      </c>
      <c r="AD135" s="10">
        <f>SUMIFS(IsQList,IsIList,Table_ExternalData_15[[#This Row],[item_key]],IsITypeList,Table_ExternalData_15[[#This Row],[IType]],IsDList,Table_ExternalData_15[[#Headers],[26]])</f>
        <v>0</v>
      </c>
      <c r="AE135" s="10">
        <f>SUMIFS(IsQList,IsIList,Table_ExternalData_15[[#This Row],[item_key]],IsITypeList,Table_ExternalData_15[[#This Row],[IType]],IsDList,Table_ExternalData_15[[#Headers],[27]])</f>
        <v>0</v>
      </c>
      <c r="AF135" s="10">
        <f>SUMIFS(IsQList,IsIList,Table_ExternalData_15[[#This Row],[item_key]],IsITypeList,Table_ExternalData_15[[#This Row],[IType]],IsDList,Table_ExternalData_15[[#Headers],[28]])</f>
        <v>0</v>
      </c>
      <c r="AG135" s="10">
        <f>SUMIFS(IsQList,IsIList,Table_ExternalData_15[[#This Row],[item_key]],IsITypeList,Table_ExternalData_15[[#This Row],[IType]],IsDList,Table_ExternalData_15[[#Headers],[29]])</f>
        <v>0</v>
      </c>
      <c r="AH135" s="10">
        <f>SUMIFS(IsQList,IsIList,Table_ExternalData_15[[#This Row],[item_key]],IsITypeList,Table_ExternalData_15[[#This Row],[IType]],IsDList,Table_ExternalData_15[[#Headers],[30]])</f>
        <v>0</v>
      </c>
      <c r="AI135" s="10">
        <f>SUMIFS(IsQList,IsIList,Table_ExternalData_15[[#This Row],[item_key]],IsITypeList,Table_ExternalData_15[[#This Row],[IType]],IsDList,Table_ExternalData_15[[#Headers],[31]])</f>
        <v>0</v>
      </c>
      <c r="AJ135" s="10">
        <f>SUM(Table_ExternalData_15[[#This Row],[1]:[31]])</f>
        <v>0</v>
      </c>
    </row>
    <row r="136" spans="1:36">
      <c r="A136" s="1" t="s">
        <v>1749</v>
      </c>
      <c r="B136" s="1" t="s">
        <v>2575</v>
      </c>
      <c r="C136" s="1" t="s">
        <v>2576</v>
      </c>
      <c r="D136" s="11" t="s">
        <v>72</v>
      </c>
      <c r="E136" s="10">
        <f>SUMIFS(IsQList,IsIList,Table_ExternalData_15[[#This Row],[item_key]],IsITypeList,Table_ExternalData_15[[#This Row],[IType]],IsDList,Table_ExternalData_15[[#Headers],[1]])</f>
        <v>0</v>
      </c>
      <c r="F136" s="10">
        <f>SUMIFS(IsQList,IsIList,Table_ExternalData_15[[#This Row],[item_key]],IsITypeList,Table_ExternalData_15[[#This Row],[IType]],IsDList,Table_ExternalData_15[[#Headers],[2]])</f>
        <v>0</v>
      </c>
      <c r="G136" s="10">
        <f>SUMIFS(IsQList,IsIList,Table_ExternalData_15[[#This Row],[item_key]],IsITypeList,Table_ExternalData_15[[#This Row],[IType]],IsDList,Table_ExternalData_15[[#Headers],[3]])</f>
        <v>0</v>
      </c>
      <c r="H136" s="10">
        <f>SUMIFS(IsQList,IsIList,Table_ExternalData_15[[#This Row],[item_key]],IsITypeList,Table_ExternalData_15[[#This Row],[IType]],IsDList,Table_ExternalData_15[[#Headers],[4]])</f>
        <v>0</v>
      </c>
      <c r="I136" s="10">
        <f>SUMIFS(IsQList,IsIList,Table_ExternalData_15[[#This Row],[item_key]],IsITypeList,Table_ExternalData_15[[#This Row],[IType]],IsDList,Table_ExternalData_15[[#Headers],[5]])</f>
        <v>0</v>
      </c>
      <c r="J136" s="10">
        <f>SUMIFS(IsQList,IsIList,Table_ExternalData_15[[#This Row],[item_key]],IsITypeList,Table_ExternalData_15[[#This Row],[IType]],IsDList,Table_ExternalData_15[[#Headers],[6]])</f>
        <v>0</v>
      </c>
      <c r="K136" s="10">
        <f>SUMIFS(IsQList,IsIList,Table_ExternalData_15[[#This Row],[item_key]],IsITypeList,Table_ExternalData_15[[#This Row],[IType]],IsDList,Table_ExternalData_15[[#Headers],[7]])</f>
        <v>0</v>
      </c>
      <c r="L136" s="10">
        <f>SUMIFS(IsQList,IsIList,Table_ExternalData_15[[#This Row],[item_key]],IsITypeList,Table_ExternalData_15[[#This Row],[IType]],IsDList,Table_ExternalData_15[[#Headers],[8]])</f>
        <v>0</v>
      </c>
      <c r="M136" s="10">
        <f>SUMIFS(IsQList,IsIList,Table_ExternalData_15[[#This Row],[item_key]],IsITypeList,Table_ExternalData_15[[#This Row],[IType]],IsDList,Table_ExternalData_15[[#Headers],[9]])</f>
        <v>0</v>
      </c>
      <c r="N136" s="10">
        <f>SUMIFS(IsQList,IsIList,Table_ExternalData_15[[#This Row],[item_key]],IsITypeList,Table_ExternalData_15[[#This Row],[IType]],IsDList,Table_ExternalData_15[[#Headers],[10]])</f>
        <v>0</v>
      </c>
      <c r="O136" s="10">
        <f>SUMIFS(IsQList,IsIList,Table_ExternalData_15[[#This Row],[item_key]],IsITypeList,Table_ExternalData_15[[#This Row],[IType]],IsDList,Table_ExternalData_15[[#Headers],[11]])</f>
        <v>0</v>
      </c>
      <c r="P136" s="10">
        <f>SUMIFS(IsQList,IsIList,Table_ExternalData_15[[#This Row],[item_key]],IsITypeList,Table_ExternalData_15[[#This Row],[IType]],IsDList,Table_ExternalData_15[[#Headers],[12]])</f>
        <v>0</v>
      </c>
      <c r="Q136" s="10">
        <f>SUMIFS(IsQList,IsIList,Table_ExternalData_15[[#This Row],[item_key]],IsITypeList,Table_ExternalData_15[[#This Row],[IType]],IsDList,Table_ExternalData_15[[#Headers],[13]])</f>
        <v>0</v>
      </c>
      <c r="R136" s="10">
        <f>SUMIFS(IsQList,IsIList,Table_ExternalData_15[[#This Row],[item_key]],IsITypeList,Table_ExternalData_15[[#This Row],[IType]],IsDList,Table_ExternalData_15[[#Headers],[14]])</f>
        <v>0</v>
      </c>
      <c r="S136" s="10">
        <f>SUMIFS(IsQList,IsIList,Table_ExternalData_15[[#This Row],[item_key]],IsITypeList,Table_ExternalData_15[[#This Row],[IType]],IsDList,Table_ExternalData_15[[#Headers],[15]])</f>
        <v>0</v>
      </c>
      <c r="T136" s="10">
        <f>SUMIFS(IsQList,IsIList,Table_ExternalData_15[[#This Row],[item_key]],IsITypeList,Table_ExternalData_15[[#This Row],[IType]],IsDList,Table_ExternalData_15[[#Headers],[16]])</f>
        <v>0</v>
      </c>
      <c r="U136" s="10">
        <f>SUMIFS(IsQList,IsIList,Table_ExternalData_15[[#This Row],[item_key]],IsITypeList,Table_ExternalData_15[[#This Row],[IType]],IsDList,Table_ExternalData_15[[#Headers],[17]])</f>
        <v>0</v>
      </c>
      <c r="V136" s="10">
        <f>SUMIFS(IsQList,IsIList,Table_ExternalData_15[[#This Row],[item_key]],IsITypeList,Table_ExternalData_15[[#This Row],[IType]],IsDList,Table_ExternalData_15[[#Headers],[18]])</f>
        <v>0</v>
      </c>
      <c r="W136" s="10">
        <f>SUMIFS(IsQList,IsIList,Table_ExternalData_15[[#This Row],[item_key]],IsITypeList,Table_ExternalData_15[[#This Row],[IType]],IsDList,Table_ExternalData_15[[#Headers],[19]])</f>
        <v>0</v>
      </c>
      <c r="X136" s="10">
        <f>SUMIFS(IsQList,IsIList,Table_ExternalData_15[[#This Row],[item_key]],IsITypeList,Table_ExternalData_15[[#This Row],[IType]],IsDList,Table_ExternalData_15[[#Headers],[20]])</f>
        <v>0</v>
      </c>
      <c r="Y136" s="10">
        <f>SUMIFS(IsQList,IsIList,Table_ExternalData_15[[#This Row],[item_key]],IsITypeList,Table_ExternalData_15[[#This Row],[IType]],IsDList,Table_ExternalData_15[[#Headers],[21]])</f>
        <v>0</v>
      </c>
      <c r="Z136" s="10">
        <f>SUMIFS(IsQList,IsIList,Table_ExternalData_15[[#This Row],[item_key]],IsITypeList,Table_ExternalData_15[[#This Row],[IType]],IsDList,Table_ExternalData_15[[#Headers],[22]])</f>
        <v>0</v>
      </c>
      <c r="AA136" s="10">
        <f>SUMIFS(IsQList,IsIList,Table_ExternalData_15[[#This Row],[item_key]],IsITypeList,Table_ExternalData_15[[#This Row],[IType]],IsDList,Table_ExternalData_15[[#Headers],[23]])</f>
        <v>0</v>
      </c>
      <c r="AB136" s="10">
        <f>SUMIFS(IsQList,IsIList,Table_ExternalData_15[[#This Row],[item_key]],IsITypeList,Table_ExternalData_15[[#This Row],[IType]],IsDList,Table_ExternalData_15[[#Headers],[24]])</f>
        <v>0</v>
      </c>
      <c r="AC136" s="10">
        <f>SUMIFS(IsQList,IsIList,Table_ExternalData_15[[#This Row],[item_key]],IsITypeList,Table_ExternalData_15[[#This Row],[IType]],IsDList,Table_ExternalData_15[[#Headers],[25]])</f>
        <v>0</v>
      </c>
      <c r="AD136" s="10">
        <f>SUMIFS(IsQList,IsIList,Table_ExternalData_15[[#This Row],[item_key]],IsITypeList,Table_ExternalData_15[[#This Row],[IType]],IsDList,Table_ExternalData_15[[#Headers],[26]])</f>
        <v>0</v>
      </c>
      <c r="AE136" s="10">
        <f>SUMIFS(IsQList,IsIList,Table_ExternalData_15[[#This Row],[item_key]],IsITypeList,Table_ExternalData_15[[#This Row],[IType]],IsDList,Table_ExternalData_15[[#Headers],[27]])</f>
        <v>0</v>
      </c>
      <c r="AF136" s="10">
        <f>SUMIFS(IsQList,IsIList,Table_ExternalData_15[[#This Row],[item_key]],IsITypeList,Table_ExternalData_15[[#This Row],[IType]],IsDList,Table_ExternalData_15[[#Headers],[28]])</f>
        <v>0</v>
      </c>
      <c r="AG136" s="10">
        <f>SUMIFS(IsQList,IsIList,Table_ExternalData_15[[#This Row],[item_key]],IsITypeList,Table_ExternalData_15[[#This Row],[IType]],IsDList,Table_ExternalData_15[[#Headers],[29]])</f>
        <v>0</v>
      </c>
      <c r="AH136" s="10">
        <f>SUMIFS(IsQList,IsIList,Table_ExternalData_15[[#This Row],[item_key]],IsITypeList,Table_ExternalData_15[[#This Row],[IType]],IsDList,Table_ExternalData_15[[#Headers],[30]])</f>
        <v>0</v>
      </c>
      <c r="AI136" s="10">
        <f>SUMIFS(IsQList,IsIList,Table_ExternalData_15[[#This Row],[item_key]],IsITypeList,Table_ExternalData_15[[#This Row],[IType]],IsDList,Table_ExternalData_15[[#Headers],[31]])</f>
        <v>0</v>
      </c>
      <c r="AJ136" s="10">
        <f>SUM(Table_ExternalData_15[[#This Row],[1]:[31]])</f>
        <v>0</v>
      </c>
    </row>
    <row r="137" spans="1:36">
      <c r="A137" s="1" t="s">
        <v>544</v>
      </c>
      <c r="B137" s="1" t="s">
        <v>1304</v>
      </c>
      <c r="C137" s="1" t="s">
        <v>1305</v>
      </c>
      <c r="D137" s="11" t="s">
        <v>72</v>
      </c>
      <c r="E137" s="10">
        <f>SUMIFS(IsQList,IsIList,Table_ExternalData_15[[#This Row],[item_key]],IsITypeList,Table_ExternalData_15[[#This Row],[IType]],IsDList,Table_ExternalData_15[[#Headers],[1]])</f>
        <v>0</v>
      </c>
      <c r="F137" s="10">
        <f>SUMIFS(IsQList,IsIList,Table_ExternalData_15[[#This Row],[item_key]],IsITypeList,Table_ExternalData_15[[#This Row],[IType]],IsDList,Table_ExternalData_15[[#Headers],[2]])</f>
        <v>0</v>
      </c>
      <c r="G137" s="10">
        <f>SUMIFS(IsQList,IsIList,Table_ExternalData_15[[#This Row],[item_key]],IsITypeList,Table_ExternalData_15[[#This Row],[IType]],IsDList,Table_ExternalData_15[[#Headers],[3]])</f>
        <v>0</v>
      </c>
      <c r="H137" s="10">
        <f>SUMIFS(IsQList,IsIList,Table_ExternalData_15[[#This Row],[item_key]],IsITypeList,Table_ExternalData_15[[#This Row],[IType]],IsDList,Table_ExternalData_15[[#Headers],[4]])</f>
        <v>0</v>
      </c>
      <c r="I137" s="10">
        <f>SUMIFS(IsQList,IsIList,Table_ExternalData_15[[#This Row],[item_key]],IsITypeList,Table_ExternalData_15[[#This Row],[IType]],IsDList,Table_ExternalData_15[[#Headers],[5]])</f>
        <v>0</v>
      </c>
      <c r="J137" s="10">
        <f>SUMIFS(IsQList,IsIList,Table_ExternalData_15[[#This Row],[item_key]],IsITypeList,Table_ExternalData_15[[#This Row],[IType]],IsDList,Table_ExternalData_15[[#Headers],[6]])</f>
        <v>0</v>
      </c>
      <c r="K137" s="10">
        <f>SUMIFS(IsQList,IsIList,Table_ExternalData_15[[#This Row],[item_key]],IsITypeList,Table_ExternalData_15[[#This Row],[IType]],IsDList,Table_ExternalData_15[[#Headers],[7]])</f>
        <v>0</v>
      </c>
      <c r="L137" s="10">
        <f>SUMIFS(IsQList,IsIList,Table_ExternalData_15[[#This Row],[item_key]],IsITypeList,Table_ExternalData_15[[#This Row],[IType]],IsDList,Table_ExternalData_15[[#Headers],[8]])</f>
        <v>0</v>
      </c>
      <c r="M137" s="10">
        <f>SUMIFS(IsQList,IsIList,Table_ExternalData_15[[#This Row],[item_key]],IsITypeList,Table_ExternalData_15[[#This Row],[IType]],IsDList,Table_ExternalData_15[[#Headers],[9]])</f>
        <v>0</v>
      </c>
      <c r="N137" s="10">
        <f>SUMIFS(IsQList,IsIList,Table_ExternalData_15[[#This Row],[item_key]],IsITypeList,Table_ExternalData_15[[#This Row],[IType]],IsDList,Table_ExternalData_15[[#Headers],[10]])</f>
        <v>0</v>
      </c>
      <c r="O137" s="10">
        <f>SUMIFS(IsQList,IsIList,Table_ExternalData_15[[#This Row],[item_key]],IsITypeList,Table_ExternalData_15[[#This Row],[IType]],IsDList,Table_ExternalData_15[[#Headers],[11]])</f>
        <v>0</v>
      </c>
      <c r="P137" s="10">
        <f>SUMIFS(IsQList,IsIList,Table_ExternalData_15[[#This Row],[item_key]],IsITypeList,Table_ExternalData_15[[#This Row],[IType]],IsDList,Table_ExternalData_15[[#Headers],[12]])</f>
        <v>0</v>
      </c>
      <c r="Q137" s="10">
        <f>SUMIFS(IsQList,IsIList,Table_ExternalData_15[[#This Row],[item_key]],IsITypeList,Table_ExternalData_15[[#This Row],[IType]],IsDList,Table_ExternalData_15[[#Headers],[13]])</f>
        <v>0</v>
      </c>
      <c r="R137" s="10">
        <f>SUMIFS(IsQList,IsIList,Table_ExternalData_15[[#This Row],[item_key]],IsITypeList,Table_ExternalData_15[[#This Row],[IType]],IsDList,Table_ExternalData_15[[#Headers],[14]])</f>
        <v>0</v>
      </c>
      <c r="S137" s="10">
        <f>SUMIFS(IsQList,IsIList,Table_ExternalData_15[[#This Row],[item_key]],IsITypeList,Table_ExternalData_15[[#This Row],[IType]],IsDList,Table_ExternalData_15[[#Headers],[15]])</f>
        <v>0</v>
      </c>
      <c r="T137" s="10">
        <f>SUMIFS(IsQList,IsIList,Table_ExternalData_15[[#This Row],[item_key]],IsITypeList,Table_ExternalData_15[[#This Row],[IType]],IsDList,Table_ExternalData_15[[#Headers],[16]])</f>
        <v>2</v>
      </c>
      <c r="U137" s="10">
        <f>SUMIFS(IsQList,IsIList,Table_ExternalData_15[[#This Row],[item_key]],IsITypeList,Table_ExternalData_15[[#This Row],[IType]],IsDList,Table_ExternalData_15[[#Headers],[17]])</f>
        <v>0</v>
      </c>
      <c r="V137" s="10">
        <f>SUMIFS(IsQList,IsIList,Table_ExternalData_15[[#This Row],[item_key]],IsITypeList,Table_ExternalData_15[[#This Row],[IType]],IsDList,Table_ExternalData_15[[#Headers],[18]])</f>
        <v>0</v>
      </c>
      <c r="W137" s="10">
        <f>SUMIFS(IsQList,IsIList,Table_ExternalData_15[[#This Row],[item_key]],IsITypeList,Table_ExternalData_15[[#This Row],[IType]],IsDList,Table_ExternalData_15[[#Headers],[19]])</f>
        <v>0</v>
      </c>
      <c r="X137" s="10">
        <f>SUMIFS(IsQList,IsIList,Table_ExternalData_15[[#This Row],[item_key]],IsITypeList,Table_ExternalData_15[[#This Row],[IType]],IsDList,Table_ExternalData_15[[#Headers],[20]])</f>
        <v>0</v>
      </c>
      <c r="Y137" s="10">
        <f>SUMIFS(IsQList,IsIList,Table_ExternalData_15[[#This Row],[item_key]],IsITypeList,Table_ExternalData_15[[#This Row],[IType]],IsDList,Table_ExternalData_15[[#Headers],[21]])</f>
        <v>0</v>
      </c>
      <c r="Z137" s="10">
        <f>SUMIFS(IsQList,IsIList,Table_ExternalData_15[[#This Row],[item_key]],IsITypeList,Table_ExternalData_15[[#This Row],[IType]],IsDList,Table_ExternalData_15[[#Headers],[22]])</f>
        <v>0</v>
      </c>
      <c r="AA137" s="10">
        <f>SUMIFS(IsQList,IsIList,Table_ExternalData_15[[#This Row],[item_key]],IsITypeList,Table_ExternalData_15[[#This Row],[IType]],IsDList,Table_ExternalData_15[[#Headers],[23]])</f>
        <v>0</v>
      </c>
      <c r="AB137" s="10">
        <f>SUMIFS(IsQList,IsIList,Table_ExternalData_15[[#This Row],[item_key]],IsITypeList,Table_ExternalData_15[[#This Row],[IType]],IsDList,Table_ExternalData_15[[#Headers],[24]])</f>
        <v>2</v>
      </c>
      <c r="AC137" s="10">
        <f>SUMIFS(IsQList,IsIList,Table_ExternalData_15[[#This Row],[item_key]],IsITypeList,Table_ExternalData_15[[#This Row],[IType]],IsDList,Table_ExternalData_15[[#Headers],[25]])</f>
        <v>0</v>
      </c>
      <c r="AD137" s="10">
        <f>SUMIFS(IsQList,IsIList,Table_ExternalData_15[[#This Row],[item_key]],IsITypeList,Table_ExternalData_15[[#This Row],[IType]],IsDList,Table_ExternalData_15[[#Headers],[26]])</f>
        <v>0</v>
      </c>
      <c r="AE137" s="10">
        <f>SUMIFS(IsQList,IsIList,Table_ExternalData_15[[#This Row],[item_key]],IsITypeList,Table_ExternalData_15[[#This Row],[IType]],IsDList,Table_ExternalData_15[[#Headers],[27]])</f>
        <v>0</v>
      </c>
      <c r="AF137" s="10">
        <f>SUMIFS(IsQList,IsIList,Table_ExternalData_15[[#This Row],[item_key]],IsITypeList,Table_ExternalData_15[[#This Row],[IType]],IsDList,Table_ExternalData_15[[#Headers],[28]])</f>
        <v>0</v>
      </c>
      <c r="AG137" s="10">
        <f>SUMIFS(IsQList,IsIList,Table_ExternalData_15[[#This Row],[item_key]],IsITypeList,Table_ExternalData_15[[#This Row],[IType]],IsDList,Table_ExternalData_15[[#Headers],[29]])</f>
        <v>0</v>
      </c>
      <c r="AH137" s="10">
        <f>SUMIFS(IsQList,IsIList,Table_ExternalData_15[[#This Row],[item_key]],IsITypeList,Table_ExternalData_15[[#This Row],[IType]],IsDList,Table_ExternalData_15[[#Headers],[30]])</f>
        <v>10</v>
      </c>
      <c r="AI137" s="10">
        <f>SUMIFS(IsQList,IsIList,Table_ExternalData_15[[#This Row],[item_key]],IsITypeList,Table_ExternalData_15[[#This Row],[IType]],IsDList,Table_ExternalData_15[[#Headers],[31]])</f>
        <v>0</v>
      </c>
      <c r="AJ137" s="10">
        <f>SUM(Table_ExternalData_15[[#This Row],[1]:[31]])</f>
        <v>14</v>
      </c>
    </row>
    <row r="138" spans="1:36">
      <c r="A138" s="1" t="s">
        <v>545</v>
      </c>
      <c r="B138" s="1" t="s">
        <v>1306</v>
      </c>
      <c r="C138" s="1" t="s">
        <v>1305</v>
      </c>
      <c r="D138" s="11" t="s">
        <v>72</v>
      </c>
      <c r="E138" s="10">
        <f>SUMIFS(IsQList,IsIList,Table_ExternalData_15[[#This Row],[item_key]],IsITypeList,Table_ExternalData_15[[#This Row],[IType]],IsDList,Table_ExternalData_15[[#Headers],[1]])</f>
        <v>0</v>
      </c>
      <c r="F138" s="10">
        <f>SUMIFS(IsQList,IsIList,Table_ExternalData_15[[#This Row],[item_key]],IsITypeList,Table_ExternalData_15[[#This Row],[IType]],IsDList,Table_ExternalData_15[[#Headers],[2]])</f>
        <v>0</v>
      </c>
      <c r="G138" s="10">
        <f>SUMIFS(IsQList,IsIList,Table_ExternalData_15[[#This Row],[item_key]],IsITypeList,Table_ExternalData_15[[#This Row],[IType]],IsDList,Table_ExternalData_15[[#Headers],[3]])</f>
        <v>0</v>
      </c>
      <c r="H138" s="10">
        <f>SUMIFS(IsQList,IsIList,Table_ExternalData_15[[#This Row],[item_key]],IsITypeList,Table_ExternalData_15[[#This Row],[IType]],IsDList,Table_ExternalData_15[[#Headers],[4]])</f>
        <v>0</v>
      </c>
      <c r="I138" s="10">
        <f>SUMIFS(IsQList,IsIList,Table_ExternalData_15[[#This Row],[item_key]],IsITypeList,Table_ExternalData_15[[#This Row],[IType]],IsDList,Table_ExternalData_15[[#Headers],[5]])</f>
        <v>0</v>
      </c>
      <c r="J138" s="10">
        <f>SUMIFS(IsQList,IsIList,Table_ExternalData_15[[#This Row],[item_key]],IsITypeList,Table_ExternalData_15[[#This Row],[IType]],IsDList,Table_ExternalData_15[[#Headers],[6]])</f>
        <v>0</v>
      </c>
      <c r="K138" s="10">
        <f>SUMIFS(IsQList,IsIList,Table_ExternalData_15[[#This Row],[item_key]],IsITypeList,Table_ExternalData_15[[#This Row],[IType]],IsDList,Table_ExternalData_15[[#Headers],[7]])</f>
        <v>0</v>
      </c>
      <c r="L138" s="10">
        <f>SUMIFS(IsQList,IsIList,Table_ExternalData_15[[#This Row],[item_key]],IsITypeList,Table_ExternalData_15[[#This Row],[IType]],IsDList,Table_ExternalData_15[[#Headers],[8]])</f>
        <v>0</v>
      </c>
      <c r="M138" s="10">
        <f>SUMIFS(IsQList,IsIList,Table_ExternalData_15[[#This Row],[item_key]],IsITypeList,Table_ExternalData_15[[#This Row],[IType]],IsDList,Table_ExternalData_15[[#Headers],[9]])</f>
        <v>0</v>
      </c>
      <c r="N138" s="10">
        <f>SUMIFS(IsQList,IsIList,Table_ExternalData_15[[#This Row],[item_key]],IsITypeList,Table_ExternalData_15[[#This Row],[IType]],IsDList,Table_ExternalData_15[[#Headers],[10]])</f>
        <v>0</v>
      </c>
      <c r="O138" s="10">
        <f>SUMIFS(IsQList,IsIList,Table_ExternalData_15[[#This Row],[item_key]],IsITypeList,Table_ExternalData_15[[#This Row],[IType]],IsDList,Table_ExternalData_15[[#Headers],[11]])</f>
        <v>0</v>
      </c>
      <c r="P138" s="10">
        <f>SUMIFS(IsQList,IsIList,Table_ExternalData_15[[#This Row],[item_key]],IsITypeList,Table_ExternalData_15[[#This Row],[IType]],IsDList,Table_ExternalData_15[[#Headers],[12]])</f>
        <v>0</v>
      </c>
      <c r="Q138" s="10">
        <f>SUMIFS(IsQList,IsIList,Table_ExternalData_15[[#This Row],[item_key]],IsITypeList,Table_ExternalData_15[[#This Row],[IType]],IsDList,Table_ExternalData_15[[#Headers],[13]])</f>
        <v>0</v>
      </c>
      <c r="R138" s="10">
        <f>SUMIFS(IsQList,IsIList,Table_ExternalData_15[[#This Row],[item_key]],IsITypeList,Table_ExternalData_15[[#This Row],[IType]],IsDList,Table_ExternalData_15[[#Headers],[14]])</f>
        <v>0</v>
      </c>
      <c r="S138" s="10">
        <f>SUMIFS(IsQList,IsIList,Table_ExternalData_15[[#This Row],[item_key]],IsITypeList,Table_ExternalData_15[[#This Row],[IType]],IsDList,Table_ExternalData_15[[#Headers],[15]])</f>
        <v>0</v>
      </c>
      <c r="T138" s="10">
        <f>SUMIFS(IsQList,IsIList,Table_ExternalData_15[[#This Row],[item_key]],IsITypeList,Table_ExternalData_15[[#This Row],[IType]],IsDList,Table_ExternalData_15[[#Headers],[16]])</f>
        <v>2</v>
      </c>
      <c r="U138" s="10">
        <f>SUMIFS(IsQList,IsIList,Table_ExternalData_15[[#This Row],[item_key]],IsITypeList,Table_ExternalData_15[[#This Row],[IType]],IsDList,Table_ExternalData_15[[#Headers],[17]])</f>
        <v>0</v>
      </c>
      <c r="V138" s="10">
        <f>SUMIFS(IsQList,IsIList,Table_ExternalData_15[[#This Row],[item_key]],IsITypeList,Table_ExternalData_15[[#This Row],[IType]],IsDList,Table_ExternalData_15[[#Headers],[18]])</f>
        <v>0</v>
      </c>
      <c r="W138" s="10">
        <f>SUMIFS(IsQList,IsIList,Table_ExternalData_15[[#This Row],[item_key]],IsITypeList,Table_ExternalData_15[[#This Row],[IType]],IsDList,Table_ExternalData_15[[#Headers],[19]])</f>
        <v>0</v>
      </c>
      <c r="X138" s="10">
        <f>SUMIFS(IsQList,IsIList,Table_ExternalData_15[[#This Row],[item_key]],IsITypeList,Table_ExternalData_15[[#This Row],[IType]],IsDList,Table_ExternalData_15[[#Headers],[20]])</f>
        <v>0</v>
      </c>
      <c r="Y138" s="10">
        <f>SUMIFS(IsQList,IsIList,Table_ExternalData_15[[#This Row],[item_key]],IsITypeList,Table_ExternalData_15[[#This Row],[IType]],IsDList,Table_ExternalData_15[[#Headers],[21]])</f>
        <v>0</v>
      </c>
      <c r="Z138" s="10">
        <f>SUMIFS(IsQList,IsIList,Table_ExternalData_15[[#This Row],[item_key]],IsITypeList,Table_ExternalData_15[[#This Row],[IType]],IsDList,Table_ExternalData_15[[#Headers],[22]])</f>
        <v>0</v>
      </c>
      <c r="AA138" s="10">
        <f>SUMIFS(IsQList,IsIList,Table_ExternalData_15[[#This Row],[item_key]],IsITypeList,Table_ExternalData_15[[#This Row],[IType]],IsDList,Table_ExternalData_15[[#Headers],[23]])</f>
        <v>0</v>
      </c>
      <c r="AB138" s="10">
        <f>SUMIFS(IsQList,IsIList,Table_ExternalData_15[[#This Row],[item_key]],IsITypeList,Table_ExternalData_15[[#This Row],[IType]],IsDList,Table_ExternalData_15[[#Headers],[24]])</f>
        <v>2</v>
      </c>
      <c r="AC138" s="10">
        <f>SUMIFS(IsQList,IsIList,Table_ExternalData_15[[#This Row],[item_key]],IsITypeList,Table_ExternalData_15[[#This Row],[IType]],IsDList,Table_ExternalData_15[[#Headers],[25]])</f>
        <v>0</v>
      </c>
      <c r="AD138" s="10">
        <f>SUMIFS(IsQList,IsIList,Table_ExternalData_15[[#This Row],[item_key]],IsITypeList,Table_ExternalData_15[[#This Row],[IType]],IsDList,Table_ExternalData_15[[#Headers],[26]])</f>
        <v>0</v>
      </c>
      <c r="AE138" s="10">
        <f>SUMIFS(IsQList,IsIList,Table_ExternalData_15[[#This Row],[item_key]],IsITypeList,Table_ExternalData_15[[#This Row],[IType]],IsDList,Table_ExternalData_15[[#Headers],[27]])</f>
        <v>0</v>
      </c>
      <c r="AF138" s="10">
        <f>SUMIFS(IsQList,IsIList,Table_ExternalData_15[[#This Row],[item_key]],IsITypeList,Table_ExternalData_15[[#This Row],[IType]],IsDList,Table_ExternalData_15[[#Headers],[28]])</f>
        <v>0</v>
      </c>
      <c r="AG138" s="10">
        <f>SUMIFS(IsQList,IsIList,Table_ExternalData_15[[#This Row],[item_key]],IsITypeList,Table_ExternalData_15[[#This Row],[IType]],IsDList,Table_ExternalData_15[[#Headers],[29]])</f>
        <v>0</v>
      </c>
      <c r="AH138" s="10">
        <f>SUMIFS(IsQList,IsIList,Table_ExternalData_15[[#This Row],[item_key]],IsITypeList,Table_ExternalData_15[[#This Row],[IType]],IsDList,Table_ExternalData_15[[#Headers],[30]])</f>
        <v>10</v>
      </c>
      <c r="AI138" s="10">
        <f>SUMIFS(IsQList,IsIList,Table_ExternalData_15[[#This Row],[item_key]],IsITypeList,Table_ExternalData_15[[#This Row],[IType]],IsDList,Table_ExternalData_15[[#Headers],[31]])</f>
        <v>0</v>
      </c>
      <c r="AJ138" s="10">
        <f>SUM(Table_ExternalData_15[[#This Row],[1]:[31]])</f>
        <v>14</v>
      </c>
    </row>
    <row r="139" spans="1:36">
      <c r="A139" s="1" t="s">
        <v>546</v>
      </c>
      <c r="B139" s="1" t="s">
        <v>1307</v>
      </c>
      <c r="C139" s="1" t="s">
        <v>1308</v>
      </c>
      <c r="D139" s="11" t="s">
        <v>72</v>
      </c>
      <c r="E139" s="10">
        <f>SUMIFS(IsQList,IsIList,Table_ExternalData_15[[#This Row],[item_key]],IsITypeList,Table_ExternalData_15[[#This Row],[IType]],IsDList,Table_ExternalData_15[[#Headers],[1]])</f>
        <v>0</v>
      </c>
      <c r="F139" s="10">
        <f>SUMIFS(IsQList,IsIList,Table_ExternalData_15[[#This Row],[item_key]],IsITypeList,Table_ExternalData_15[[#This Row],[IType]],IsDList,Table_ExternalData_15[[#Headers],[2]])</f>
        <v>0</v>
      </c>
      <c r="G139" s="10">
        <f>SUMIFS(IsQList,IsIList,Table_ExternalData_15[[#This Row],[item_key]],IsITypeList,Table_ExternalData_15[[#This Row],[IType]],IsDList,Table_ExternalData_15[[#Headers],[3]])</f>
        <v>0</v>
      </c>
      <c r="H139" s="10">
        <f>SUMIFS(IsQList,IsIList,Table_ExternalData_15[[#This Row],[item_key]],IsITypeList,Table_ExternalData_15[[#This Row],[IType]],IsDList,Table_ExternalData_15[[#Headers],[4]])</f>
        <v>0</v>
      </c>
      <c r="I139" s="10">
        <f>SUMIFS(IsQList,IsIList,Table_ExternalData_15[[#This Row],[item_key]],IsITypeList,Table_ExternalData_15[[#This Row],[IType]],IsDList,Table_ExternalData_15[[#Headers],[5]])</f>
        <v>0</v>
      </c>
      <c r="J139" s="10">
        <f>SUMIFS(IsQList,IsIList,Table_ExternalData_15[[#This Row],[item_key]],IsITypeList,Table_ExternalData_15[[#This Row],[IType]],IsDList,Table_ExternalData_15[[#Headers],[6]])</f>
        <v>0</v>
      </c>
      <c r="K139" s="10">
        <f>SUMIFS(IsQList,IsIList,Table_ExternalData_15[[#This Row],[item_key]],IsITypeList,Table_ExternalData_15[[#This Row],[IType]],IsDList,Table_ExternalData_15[[#Headers],[7]])</f>
        <v>0</v>
      </c>
      <c r="L139" s="10">
        <f>SUMIFS(IsQList,IsIList,Table_ExternalData_15[[#This Row],[item_key]],IsITypeList,Table_ExternalData_15[[#This Row],[IType]],IsDList,Table_ExternalData_15[[#Headers],[8]])</f>
        <v>0</v>
      </c>
      <c r="M139" s="10">
        <f>SUMIFS(IsQList,IsIList,Table_ExternalData_15[[#This Row],[item_key]],IsITypeList,Table_ExternalData_15[[#This Row],[IType]],IsDList,Table_ExternalData_15[[#Headers],[9]])</f>
        <v>0</v>
      </c>
      <c r="N139" s="10">
        <f>SUMIFS(IsQList,IsIList,Table_ExternalData_15[[#This Row],[item_key]],IsITypeList,Table_ExternalData_15[[#This Row],[IType]],IsDList,Table_ExternalData_15[[#Headers],[10]])</f>
        <v>0</v>
      </c>
      <c r="O139" s="10">
        <f>SUMIFS(IsQList,IsIList,Table_ExternalData_15[[#This Row],[item_key]],IsITypeList,Table_ExternalData_15[[#This Row],[IType]],IsDList,Table_ExternalData_15[[#Headers],[11]])</f>
        <v>0</v>
      </c>
      <c r="P139" s="10">
        <f>SUMIFS(IsQList,IsIList,Table_ExternalData_15[[#This Row],[item_key]],IsITypeList,Table_ExternalData_15[[#This Row],[IType]],IsDList,Table_ExternalData_15[[#Headers],[12]])</f>
        <v>0</v>
      </c>
      <c r="Q139" s="10">
        <f>SUMIFS(IsQList,IsIList,Table_ExternalData_15[[#This Row],[item_key]],IsITypeList,Table_ExternalData_15[[#This Row],[IType]],IsDList,Table_ExternalData_15[[#Headers],[13]])</f>
        <v>0</v>
      </c>
      <c r="R139" s="10">
        <f>SUMIFS(IsQList,IsIList,Table_ExternalData_15[[#This Row],[item_key]],IsITypeList,Table_ExternalData_15[[#This Row],[IType]],IsDList,Table_ExternalData_15[[#Headers],[14]])</f>
        <v>0</v>
      </c>
      <c r="S139" s="10">
        <f>SUMIFS(IsQList,IsIList,Table_ExternalData_15[[#This Row],[item_key]],IsITypeList,Table_ExternalData_15[[#This Row],[IType]],IsDList,Table_ExternalData_15[[#Headers],[15]])</f>
        <v>0</v>
      </c>
      <c r="T139" s="10">
        <f>SUMIFS(IsQList,IsIList,Table_ExternalData_15[[#This Row],[item_key]],IsITypeList,Table_ExternalData_15[[#This Row],[IType]],IsDList,Table_ExternalData_15[[#Headers],[16]])</f>
        <v>2</v>
      </c>
      <c r="U139" s="10">
        <f>SUMIFS(IsQList,IsIList,Table_ExternalData_15[[#This Row],[item_key]],IsITypeList,Table_ExternalData_15[[#This Row],[IType]],IsDList,Table_ExternalData_15[[#Headers],[17]])</f>
        <v>0</v>
      </c>
      <c r="V139" s="10">
        <f>SUMIFS(IsQList,IsIList,Table_ExternalData_15[[#This Row],[item_key]],IsITypeList,Table_ExternalData_15[[#This Row],[IType]],IsDList,Table_ExternalData_15[[#Headers],[18]])</f>
        <v>0</v>
      </c>
      <c r="W139" s="10">
        <f>SUMIFS(IsQList,IsIList,Table_ExternalData_15[[#This Row],[item_key]],IsITypeList,Table_ExternalData_15[[#This Row],[IType]],IsDList,Table_ExternalData_15[[#Headers],[19]])</f>
        <v>0</v>
      </c>
      <c r="X139" s="10">
        <f>SUMIFS(IsQList,IsIList,Table_ExternalData_15[[#This Row],[item_key]],IsITypeList,Table_ExternalData_15[[#This Row],[IType]],IsDList,Table_ExternalData_15[[#Headers],[20]])</f>
        <v>0</v>
      </c>
      <c r="Y139" s="10">
        <f>SUMIFS(IsQList,IsIList,Table_ExternalData_15[[#This Row],[item_key]],IsITypeList,Table_ExternalData_15[[#This Row],[IType]],IsDList,Table_ExternalData_15[[#Headers],[21]])</f>
        <v>0</v>
      </c>
      <c r="Z139" s="10">
        <f>SUMIFS(IsQList,IsIList,Table_ExternalData_15[[#This Row],[item_key]],IsITypeList,Table_ExternalData_15[[#This Row],[IType]],IsDList,Table_ExternalData_15[[#Headers],[22]])</f>
        <v>0</v>
      </c>
      <c r="AA139" s="10">
        <f>SUMIFS(IsQList,IsIList,Table_ExternalData_15[[#This Row],[item_key]],IsITypeList,Table_ExternalData_15[[#This Row],[IType]],IsDList,Table_ExternalData_15[[#Headers],[23]])</f>
        <v>0</v>
      </c>
      <c r="AB139" s="10">
        <f>SUMIFS(IsQList,IsIList,Table_ExternalData_15[[#This Row],[item_key]],IsITypeList,Table_ExternalData_15[[#This Row],[IType]],IsDList,Table_ExternalData_15[[#Headers],[24]])</f>
        <v>2</v>
      </c>
      <c r="AC139" s="10">
        <f>SUMIFS(IsQList,IsIList,Table_ExternalData_15[[#This Row],[item_key]],IsITypeList,Table_ExternalData_15[[#This Row],[IType]],IsDList,Table_ExternalData_15[[#Headers],[25]])</f>
        <v>0</v>
      </c>
      <c r="AD139" s="10">
        <f>SUMIFS(IsQList,IsIList,Table_ExternalData_15[[#This Row],[item_key]],IsITypeList,Table_ExternalData_15[[#This Row],[IType]],IsDList,Table_ExternalData_15[[#Headers],[26]])</f>
        <v>0</v>
      </c>
      <c r="AE139" s="10">
        <f>SUMIFS(IsQList,IsIList,Table_ExternalData_15[[#This Row],[item_key]],IsITypeList,Table_ExternalData_15[[#This Row],[IType]],IsDList,Table_ExternalData_15[[#Headers],[27]])</f>
        <v>0</v>
      </c>
      <c r="AF139" s="10">
        <f>SUMIFS(IsQList,IsIList,Table_ExternalData_15[[#This Row],[item_key]],IsITypeList,Table_ExternalData_15[[#This Row],[IType]],IsDList,Table_ExternalData_15[[#Headers],[28]])</f>
        <v>0</v>
      </c>
      <c r="AG139" s="10">
        <f>SUMIFS(IsQList,IsIList,Table_ExternalData_15[[#This Row],[item_key]],IsITypeList,Table_ExternalData_15[[#This Row],[IType]],IsDList,Table_ExternalData_15[[#Headers],[29]])</f>
        <v>0</v>
      </c>
      <c r="AH139" s="10">
        <f>SUMIFS(IsQList,IsIList,Table_ExternalData_15[[#This Row],[item_key]],IsITypeList,Table_ExternalData_15[[#This Row],[IType]],IsDList,Table_ExternalData_15[[#Headers],[30]])</f>
        <v>10</v>
      </c>
      <c r="AI139" s="10">
        <f>SUMIFS(IsQList,IsIList,Table_ExternalData_15[[#This Row],[item_key]],IsITypeList,Table_ExternalData_15[[#This Row],[IType]],IsDList,Table_ExternalData_15[[#Headers],[31]])</f>
        <v>0</v>
      </c>
      <c r="AJ139" s="10">
        <f>SUM(Table_ExternalData_15[[#This Row],[1]:[31]])</f>
        <v>14</v>
      </c>
    </row>
    <row r="140" spans="1:36">
      <c r="A140" s="1" t="s">
        <v>547</v>
      </c>
      <c r="B140" s="1" t="s">
        <v>1309</v>
      </c>
      <c r="C140" s="1" t="s">
        <v>1308</v>
      </c>
      <c r="D140" s="11" t="s">
        <v>72</v>
      </c>
      <c r="E140" s="10">
        <f>SUMIFS(IsQList,IsIList,Table_ExternalData_15[[#This Row],[item_key]],IsITypeList,Table_ExternalData_15[[#This Row],[IType]],IsDList,Table_ExternalData_15[[#Headers],[1]])</f>
        <v>0</v>
      </c>
      <c r="F140" s="10">
        <f>SUMIFS(IsQList,IsIList,Table_ExternalData_15[[#This Row],[item_key]],IsITypeList,Table_ExternalData_15[[#This Row],[IType]],IsDList,Table_ExternalData_15[[#Headers],[2]])</f>
        <v>0</v>
      </c>
      <c r="G140" s="10">
        <f>SUMIFS(IsQList,IsIList,Table_ExternalData_15[[#This Row],[item_key]],IsITypeList,Table_ExternalData_15[[#This Row],[IType]],IsDList,Table_ExternalData_15[[#Headers],[3]])</f>
        <v>0</v>
      </c>
      <c r="H140" s="10">
        <f>SUMIFS(IsQList,IsIList,Table_ExternalData_15[[#This Row],[item_key]],IsITypeList,Table_ExternalData_15[[#This Row],[IType]],IsDList,Table_ExternalData_15[[#Headers],[4]])</f>
        <v>0</v>
      </c>
      <c r="I140" s="10">
        <f>SUMIFS(IsQList,IsIList,Table_ExternalData_15[[#This Row],[item_key]],IsITypeList,Table_ExternalData_15[[#This Row],[IType]],IsDList,Table_ExternalData_15[[#Headers],[5]])</f>
        <v>0</v>
      </c>
      <c r="J140" s="10">
        <f>SUMIFS(IsQList,IsIList,Table_ExternalData_15[[#This Row],[item_key]],IsITypeList,Table_ExternalData_15[[#This Row],[IType]],IsDList,Table_ExternalData_15[[#Headers],[6]])</f>
        <v>0</v>
      </c>
      <c r="K140" s="10">
        <f>SUMIFS(IsQList,IsIList,Table_ExternalData_15[[#This Row],[item_key]],IsITypeList,Table_ExternalData_15[[#This Row],[IType]],IsDList,Table_ExternalData_15[[#Headers],[7]])</f>
        <v>0</v>
      </c>
      <c r="L140" s="10">
        <f>SUMIFS(IsQList,IsIList,Table_ExternalData_15[[#This Row],[item_key]],IsITypeList,Table_ExternalData_15[[#This Row],[IType]],IsDList,Table_ExternalData_15[[#Headers],[8]])</f>
        <v>0</v>
      </c>
      <c r="M140" s="10">
        <f>SUMIFS(IsQList,IsIList,Table_ExternalData_15[[#This Row],[item_key]],IsITypeList,Table_ExternalData_15[[#This Row],[IType]],IsDList,Table_ExternalData_15[[#Headers],[9]])</f>
        <v>0</v>
      </c>
      <c r="N140" s="10">
        <f>SUMIFS(IsQList,IsIList,Table_ExternalData_15[[#This Row],[item_key]],IsITypeList,Table_ExternalData_15[[#This Row],[IType]],IsDList,Table_ExternalData_15[[#Headers],[10]])</f>
        <v>0</v>
      </c>
      <c r="O140" s="10">
        <f>SUMIFS(IsQList,IsIList,Table_ExternalData_15[[#This Row],[item_key]],IsITypeList,Table_ExternalData_15[[#This Row],[IType]],IsDList,Table_ExternalData_15[[#Headers],[11]])</f>
        <v>0</v>
      </c>
      <c r="P140" s="10">
        <f>SUMIFS(IsQList,IsIList,Table_ExternalData_15[[#This Row],[item_key]],IsITypeList,Table_ExternalData_15[[#This Row],[IType]],IsDList,Table_ExternalData_15[[#Headers],[12]])</f>
        <v>0</v>
      </c>
      <c r="Q140" s="10">
        <f>SUMIFS(IsQList,IsIList,Table_ExternalData_15[[#This Row],[item_key]],IsITypeList,Table_ExternalData_15[[#This Row],[IType]],IsDList,Table_ExternalData_15[[#Headers],[13]])</f>
        <v>0</v>
      </c>
      <c r="R140" s="10">
        <f>SUMIFS(IsQList,IsIList,Table_ExternalData_15[[#This Row],[item_key]],IsITypeList,Table_ExternalData_15[[#This Row],[IType]],IsDList,Table_ExternalData_15[[#Headers],[14]])</f>
        <v>0</v>
      </c>
      <c r="S140" s="10">
        <f>SUMIFS(IsQList,IsIList,Table_ExternalData_15[[#This Row],[item_key]],IsITypeList,Table_ExternalData_15[[#This Row],[IType]],IsDList,Table_ExternalData_15[[#Headers],[15]])</f>
        <v>0</v>
      </c>
      <c r="T140" s="10">
        <f>SUMIFS(IsQList,IsIList,Table_ExternalData_15[[#This Row],[item_key]],IsITypeList,Table_ExternalData_15[[#This Row],[IType]],IsDList,Table_ExternalData_15[[#Headers],[16]])</f>
        <v>2</v>
      </c>
      <c r="U140" s="10">
        <f>SUMIFS(IsQList,IsIList,Table_ExternalData_15[[#This Row],[item_key]],IsITypeList,Table_ExternalData_15[[#This Row],[IType]],IsDList,Table_ExternalData_15[[#Headers],[17]])</f>
        <v>0</v>
      </c>
      <c r="V140" s="10">
        <f>SUMIFS(IsQList,IsIList,Table_ExternalData_15[[#This Row],[item_key]],IsITypeList,Table_ExternalData_15[[#This Row],[IType]],IsDList,Table_ExternalData_15[[#Headers],[18]])</f>
        <v>0</v>
      </c>
      <c r="W140" s="10">
        <f>SUMIFS(IsQList,IsIList,Table_ExternalData_15[[#This Row],[item_key]],IsITypeList,Table_ExternalData_15[[#This Row],[IType]],IsDList,Table_ExternalData_15[[#Headers],[19]])</f>
        <v>0</v>
      </c>
      <c r="X140" s="10">
        <f>SUMIFS(IsQList,IsIList,Table_ExternalData_15[[#This Row],[item_key]],IsITypeList,Table_ExternalData_15[[#This Row],[IType]],IsDList,Table_ExternalData_15[[#Headers],[20]])</f>
        <v>0</v>
      </c>
      <c r="Y140" s="10">
        <f>SUMIFS(IsQList,IsIList,Table_ExternalData_15[[#This Row],[item_key]],IsITypeList,Table_ExternalData_15[[#This Row],[IType]],IsDList,Table_ExternalData_15[[#Headers],[21]])</f>
        <v>0</v>
      </c>
      <c r="Z140" s="10">
        <f>SUMIFS(IsQList,IsIList,Table_ExternalData_15[[#This Row],[item_key]],IsITypeList,Table_ExternalData_15[[#This Row],[IType]],IsDList,Table_ExternalData_15[[#Headers],[22]])</f>
        <v>0</v>
      </c>
      <c r="AA140" s="10">
        <f>SUMIFS(IsQList,IsIList,Table_ExternalData_15[[#This Row],[item_key]],IsITypeList,Table_ExternalData_15[[#This Row],[IType]],IsDList,Table_ExternalData_15[[#Headers],[23]])</f>
        <v>0</v>
      </c>
      <c r="AB140" s="10">
        <f>SUMIFS(IsQList,IsIList,Table_ExternalData_15[[#This Row],[item_key]],IsITypeList,Table_ExternalData_15[[#This Row],[IType]],IsDList,Table_ExternalData_15[[#Headers],[24]])</f>
        <v>2</v>
      </c>
      <c r="AC140" s="10">
        <f>SUMIFS(IsQList,IsIList,Table_ExternalData_15[[#This Row],[item_key]],IsITypeList,Table_ExternalData_15[[#This Row],[IType]],IsDList,Table_ExternalData_15[[#Headers],[25]])</f>
        <v>0</v>
      </c>
      <c r="AD140" s="10">
        <f>SUMIFS(IsQList,IsIList,Table_ExternalData_15[[#This Row],[item_key]],IsITypeList,Table_ExternalData_15[[#This Row],[IType]],IsDList,Table_ExternalData_15[[#Headers],[26]])</f>
        <v>0</v>
      </c>
      <c r="AE140" s="10">
        <f>SUMIFS(IsQList,IsIList,Table_ExternalData_15[[#This Row],[item_key]],IsITypeList,Table_ExternalData_15[[#This Row],[IType]],IsDList,Table_ExternalData_15[[#Headers],[27]])</f>
        <v>0</v>
      </c>
      <c r="AF140" s="10">
        <f>SUMIFS(IsQList,IsIList,Table_ExternalData_15[[#This Row],[item_key]],IsITypeList,Table_ExternalData_15[[#This Row],[IType]],IsDList,Table_ExternalData_15[[#Headers],[28]])</f>
        <v>0</v>
      </c>
      <c r="AG140" s="10">
        <f>SUMIFS(IsQList,IsIList,Table_ExternalData_15[[#This Row],[item_key]],IsITypeList,Table_ExternalData_15[[#This Row],[IType]],IsDList,Table_ExternalData_15[[#Headers],[29]])</f>
        <v>0</v>
      </c>
      <c r="AH140" s="10">
        <f>SUMIFS(IsQList,IsIList,Table_ExternalData_15[[#This Row],[item_key]],IsITypeList,Table_ExternalData_15[[#This Row],[IType]],IsDList,Table_ExternalData_15[[#Headers],[30]])</f>
        <v>10</v>
      </c>
      <c r="AI140" s="10">
        <f>SUMIFS(IsQList,IsIList,Table_ExternalData_15[[#This Row],[item_key]],IsITypeList,Table_ExternalData_15[[#This Row],[IType]],IsDList,Table_ExternalData_15[[#Headers],[31]])</f>
        <v>0</v>
      </c>
      <c r="AJ140" s="10">
        <f>SUM(Table_ExternalData_15[[#This Row],[1]:[31]])</f>
        <v>14</v>
      </c>
    </row>
    <row r="141" spans="1:36">
      <c r="A141" s="1" t="s">
        <v>548</v>
      </c>
      <c r="B141" s="1" t="s">
        <v>1310</v>
      </c>
      <c r="C141" s="1" t="s">
        <v>1311</v>
      </c>
      <c r="D141" s="11" t="s">
        <v>72</v>
      </c>
      <c r="E141" s="10">
        <f>SUMIFS(IsQList,IsIList,Table_ExternalData_15[[#This Row],[item_key]],IsITypeList,Table_ExternalData_15[[#This Row],[IType]],IsDList,Table_ExternalData_15[[#Headers],[1]])</f>
        <v>0</v>
      </c>
      <c r="F141" s="10">
        <f>SUMIFS(IsQList,IsIList,Table_ExternalData_15[[#This Row],[item_key]],IsITypeList,Table_ExternalData_15[[#This Row],[IType]],IsDList,Table_ExternalData_15[[#Headers],[2]])</f>
        <v>0</v>
      </c>
      <c r="G141" s="10">
        <f>SUMIFS(IsQList,IsIList,Table_ExternalData_15[[#This Row],[item_key]],IsITypeList,Table_ExternalData_15[[#This Row],[IType]],IsDList,Table_ExternalData_15[[#Headers],[3]])</f>
        <v>0</v>
      </c>
      <c r="H141" s="10">
        <f>SUMIFS(IsQList,IsIList,Table_ExternalData_15[[#This Row],[item_key]],IsITypeList,Table_ExternalData_15[[#This Row],[IType]],IsDList,Table_ExternalData_15[[#Headers],[4]])</f>
        <v>0</v>
      </c>
      <c r="I141" s="10">
        <f>SUMIFS(IsQList,IsIList,Table_ExternalData_15[[#This Row],[item_key]],IsITypeList,Table_ExternalData_15[[#This Row],[IType]],IsDList,Table_ExternalData_15[[#Headers],[5]])</f>
        <v>0</v>
      </c>
      <c r="J141" s="10">
        <f>SUMIFS(IsQList,IsIList,Table_ExternalData_15[[#This Row],[item_key]],IsITypeList,Table_ExternalData_15[[#This Row],[IType]],IsDList,Table_ExternalData_15[[#Headers],[6]])</f>
        <v>0</v>
      </c>
      <c r="K141" s="10">
        <f>SUMIFS(IsQList,IsIList,Table_ExternalData_15[[#This Row],[item_key]],IsITypeList,Table_ExternalData_15[[#This Row],[IType]],IsDList,Table_ExternalData_15[[#Headers],[7]])</f>
        <v>0</v>
      </c>
      <c r="L141" s="10">
        <f>SUMIFS(IsQList,IsIList,Table_ExternalData_15[[#This Row],[item_key]],IsITypeList,Table_ExternalData_15[[#This Row],[IType]],IsDList,Table_ExternalData_15[[#Headers],[8]])</f>
        <v>0</v>
      </c>
      <c r="M141" s="10">
        <f>SUMIFS(IsQList,IsIList,Table_ExternalData_15[[#This Row],[item_key]],IsITypeList,Table_ExternalData_15[[#This Row],[IType]],IsDList,Table_ExternalData_15[[#Headers],[9]])</f>
        <v>0</v>
      </c>
      <c r="N141" s="10">
        <f>SUMIFS(IsQList,IsIList,Table_ExternalData_15[[#This Row],[item_key]],IsITypeList,Table_ExternalData_15[[#This Row],[IType]],IsDList,Table_ExternalData_15[[#Headers],[10]])</f>
        <v>0</v>
      </c>
      <c r="O141" s="10">
        <f>SUMIFS(IsQList,IsIList,Table_ExternalData_15[[#This Row],[item_key]],IsITypeList,Table_ExternalData_15[[#This Row],[IType]],IsDList,Table_ExternalData_15[[#Headers],[11]])</f>
        <v>0</v>
      </c>
      <c r="P141" s="10">
        <f>SUMIFS(IsQList,IsIList,Table_ExternalData_15[[#This Row],[item_key]],IsITypeList,Table_ExternalData_15[[#This Row],[IType]],IsDList,Table_ExternalData_15[[#Headers],[12]])</f>
        <v>0</v>
      </c>
      <c r="Q141" s="10">
        <f>SUMIFS(IsQList,IsIList,Table_ExternalData_15[[#This Row],[item_key]],IsITypeList,Table_ExternalData_15[[#This Row],[IType]],IsDList,Table_ExternalData_15[[#Headers],[13]])</f>
        <v>0</v>
      </c>
      <c r="R141" s="10">
        <f>SUMIFS(IsQList,IsIList,Table_ExternalData_15[[#This Row],[item_key]],IsITypeList,Table_ExternalData_15[[#This Row],[IType]],IsDList,Table_ExternalData_15[[#Headers],[14]])</f>
        <v>0</v>
      </c>
      <c r="S141" s="10">
        <f>SUMIFS(IsQList,IsIList,Table_ExternalData_15[[#This Row],[item_key]],IsITypeList,Table_ExternalData_15[[#This Row],[IType]],IsDList,Table_ExternalData_15[[#Headers],[15]])</f>
        <v>0</v>
      </c>
      <c r="T141" s="10">
        <f>SUMIFS(IsQList,IsIList,Table_ExternalData_15[[#This Row],[item_key]],IsITypeList,Table_ExternalData_15[[#This Row],[IType]],IsDList,Table_ExternalData_15[[#Headers],[16]])</f>
        <v>40</v>
      </c>
      <c r="U141" s="10">
        <f>SUMIFS(IsQList,IsIList,Table_ExternalData_15[[#This Row],[item_key]],IsITypeList,Table_ExternalData_15[[#This Row],[IType]],IsDList,Table_ExternalData_15[[#Headers],[17]])</f>
        <v>0</v>
      </c>
      <c r="V141" s="10">
        <f>SUMIFS(IsQList,IsIList,Table_ExternalData_15[[#This Row],[item_key]],IsITypeList,Table_ExternalData_15[[#This Row],[IType]],IsDList,Table_ExternalData_15[[#Headers],[18]])</f>
        <v>0</v>
      </c>
      <c r="W141" s="10">
        <f>SUMIFS(IsQList,IsIList,Table_ExternalData_15[[#This Row],[item_key]],IsITypeList,Table_ExternalData_15[[#This Row],[IType]],IsDList,Table_ExternalData_15[[#Headers],[19]])</f>
        <v>0</v>
      </c>
      <c r="X141" s="10">
        <f>SUMIFS(IsQList,IsIList,Table_ExternalData_15[[#This Row],[item_key]],IsITypeList,Table_ExternalData_15[[#This Row],[IType]],IsDList,Table_ExternalData_15[[#Headers],[20]])</f>
        <v>0</v>
      </c>
      <c r="Y141" s="10">
        <f>SUMIFS(IsQList,IsIList,Table_ExternalData_15[[#This Row],[item_key]],IsITypeList,Table_ExternalData_15[[#This Row],[IType]],IsDList,Table_ExternalData_15[[#Headers],[21]])</f>
        <v>0</v>
      </c>
      <c r="Z141" s="10">
        <f>SUMIFS(IsQList,IsIList,Table_ExternalData_15[[#This Row],[item_key]],IsITypeList,Table_ExternalData_15[[#This Row],[IType]],IsDList,Table_ExternalData_15[[#Headers],[22]])</f>
        <v>0</v>
      </c>
      <c r="AA141" s="10">
        <f>SUMIFS(IsQList,IsIList,Table_ExternalData_15[[#This Row],[item_key]],IsITypeList,Table_ExternalData_15[[#This Row],[IType]],IsDList,Table_ExternalData_15[[#Headers],[23]])</f>
        <v>0</v>
      </c>
      <c r="AB141" s="10">
        <f>SUMIFS(IsQList,IsIList,Table_ExternalData_15[[#This Row],[item_key]],IsITypeList,Table_ExternalData_15[[#This Row],[IType]],IsDList,Table_ExternalData_15[[#Headers],[24]])</f>
        <v>50</v>
      </c>
      <c r="AC141" s="10">
        <f>SUMIFS(IsQList,IsIList,Table_ExternalData_15[[#This Row],[item_key]],IsITypeList,Table_ExternalData_15[[#This Row],[IType]],IsDList,Table_ExternalData_15[[#Headers],[25]])</f>
        <v>0</v>
      </c>
      <c r="AD141" s="10">
        <f>SUMIFS(IsQList,IsIList,Table_ExternalData_15[[#This Row],[item_key]],IsITypeList,Table_ExternalData_15[[#This Row],[IType]],IsDList,Table_ExternalData_15[[#Headers],[26]])</f>
        <v>0</v>
      </c>
      <c r="AE141" s="10">
        <f>SUMIFS(IsQList,IsIList,Table_ExternalData_15[[#This Row],[item_key]],IsITypeList,Table_ExternalData_15[[#This Row],[IType]],IsDList,Table_ExternalData_15[[#Headers],[27]])</f>
        <v>0</v>
      </c>
      <c r="AF141" s="10">
        <f>SUMIFS(IsQList,IsIList,Table_ExternalData_15[[#This Row],[item_key]],IsITypeList,Table_ExternalData_15[[#This Row],[IType]],IsDList,Table_ExternalData_15[[#Headers],[28]])</f>
        <v>0</v>
      </c>
      <c r="AG141" s="10">
        <f>SUMIFS(IsQList,IsIList,Table_ExternalData_15[[#This Row],[item_key]],IsITypeList,Table_ExternalData_15[[#This Row],[IType]],IsDList,Table_ExternalData_15[[#Headers],[29]])</f>
        <v>0</v>
      </c>
      <c r="AH141" s="10">
        <f>SUMIFS(IsQList,IsIList,Table_ExternalData_15[[#This Row],[item_key]],IsITypeList,Table_ExternalData_15[[#This Row],[IType]],IsDList,Table_ExternalData_15[[#Headers],[30]])</f>
        <v>0</v>
      </c>
      <c r="AI141" s="10">
        <f>SUMIFS(IsQList,IsIList,Table_ExternalData_15[[#This Row],[item_key]],IsITypeList,Table_ExternalData_15[[#This Row],[IType]],IsDList,Table_ExternalData_15[[#Headers],[31]])</f>
        <v>0</v>
      </c>
      <c r="AJ141" s="10">
        <f>SUM(Table_ExternalData_15[[#This Row],[1]:[31]])</f>
        <v>90</v>
      </c>
    </row>
    <row r="142" spans="1:36">
      <c r="A142" s="1" t="s">
        <v>549</v>
      </c>
      <c r="B142" s="1" t="s">
        <v>1312</v>
      </c>
      <c r="C142" s="1" t="s">
        <v>1313</v>
      </c>
      <c r="D142" s="11" t="s">
        <v>72</v>
      </c>
      <c r="E142" s="10">
        <f>SUMIFS(IsQList,IsIList,Table_ExternalData_15[[#This Row],[item_key]],IsITypeList,Table_ExternalData_15[[#This Row],[IType]],IsDList,Table_ExternalData_15[[#Headers],[1]])</f>
        <v>0</v>
      </c>
      <c r="F142" s="10">
        <f>SUMIFS(IsQList,IsIList,Table_ExternalData_15[[#This Row],[item_key]],IsITypeList,Table_ExternalData_15[[#This Row],[IType]],IsDList,Table_ExternalData_15[[#Headers],[2]])</f>
        <v>0</v>
      </c>
      <c r="G142" s="10">
        <f>SUMIFS(IsQList,IsIList,Table_ExternalData_15[[#This Row],[item_key]],IsITypeList,Table_ExternalData_15[[#This Row],[IType]],IsDList,Table_ExternalData_15[[#Headers],[3]])</f>
        <v>0</v>
      </c>
      <c r="H142" s="10">
        <f>SUMIFS(IsQList,IsIList,Table_ExternalData_15[[#This Row],[item_key]],IsITypeList,Table_ExternalData_15[[#This Row],[IType]],IsDList,Table_ExternalData_15[[#Headers],[4]])</f>
        <v>0</v>
      </c>
      <c r="I142" s="10">
        <f>SUMIFS(IsQList,IsIList,Table_ExternalData_15[[#This Row],[item_key]],IsITypeList,Table_ExternalData_15[[#This Row],[IType]],IsDList,Table_ExternalData_15[[#Headers],[5]])</f>
        <v>0</v>
      </c>
      <c r="J142" s="10">
        <f>SUMIFS(IsQList,IsIList,Table_ExternalData_15[[#This Row],[item_key]],IsITypeList,Table_ExternalData_15[[#This Row],[IType]],IsDList,Table_ExternalData_15[[#Headers],[6]])</f>
        <v>22</v>
      </c>
      <c r="K142" s="10">
        <f>SUMIFS(IsQList,IsIList,Table_ExternalData_15[[#This Row],[item_key]],IsITypeList,Table_ExternalData_15[[#This Row],[IType]],IsDList,Table_ExternalData_15[[#Headers],[7]])</f>
        <v>0</v>
      </c>
      <c r="L142" s="10">
        <f>SUMIFS(IsQList,IsIList,Table_ExternalData_15[[#This Row],[item_key]],IsITypeList,Table_ExternalData_15[[#This Row],[IType]],IsDList,Table_ExternalData_15[[#Headers],[8]])</f>
        <v>0</v>
      </c>
      <c r="M142" s="10">
        <f>SUMIFS(IsQList,IsIList,Table_ExternalData_15[[#This Row],[item_key]],IsITypeList,Table_ExternalData_15[[#This Row],[IType]],IsDList,Table_ExternalData_15[[#Headers],[9]])</f>
        <v>0</v>
      </c>
      <c r="N142" s="10">
        <f>SUMIFS(IsQList,IsIList,Table_ExternalData_15[[#This Row],[item_key]],IsITypeList,Table_ExternalData_15[[#This Row],[IType]],IsDList,Table_ExternalData_15[[#Headers],[10]])</f>
        <v>0</v>
      </c>
      <c r="O142" s="10">
        <f>SUMIFS(IsQList,IsIList,Table_ExternalData_15[[#This Row],[item_key]],IsITypeList,Table_ExternalData_15[[#This Row],[IType]],IsDList,Table_ExternalData_15[[#Headers],[11]])</f>
        <v>0</v>
      </c>
      <c r="P142" s="10">
        <f>SUMIFS(IsQList,IsIList,Table_ExternalData_15[[#This Row],[item_key]],IsITypeList,Table_ExternalData_15[[#This Row],[IType]],IsDList,Table_ExternalData_15[[#Headers],[12]])</f>
        <v>0</v>
      </c>
      <c r="Q142" s="10">
        <f>SUMIFS(IsQList,IsIList,Table_ExternalData_15[[#This Row],[item_key]],IsITypeList,Table_ExternalData_15[[#This Row],[IType]],IsDList,Table_ExternalData_15[[#Headers],[13]])</f>
        <v>0</v>
      </c>
      <c r="R142" s="10">
        <f>SUMIFS(IsQList,IsIList,Table_ExternalData_15[[#This Row],[item_key]],IsITypeList,Table_ExternalData_15[[#This Row],[IType]],IsDList,Table_ExternalData_15[[#Headers],[14]])</f>
        <v>0</v>
      </c>
      <c r="S142" s="10">
        <f>SUMIFS(IsQList,IsIList,Table_ExternalData_15[[#This Row],[item_key]],IsITypeList,Table_ExternalData_15[[#This Row],[IType]],IsDList,Table_ExternalData_15[[#Headers],[15]])</f>
        <v>0</v>
      </c>
      <c r="T142" s="10">
        <f>SUMIFS(IsQList,IsIList,Table_ExternalData_15[[#This Row],[item_key]],IsITypeList,Table_ExternalData_15[[#This Row],[IType]],IsDList,Table_ExternalData_15[[#Headers],[16]])</f>
        <v>20</v>
      </c>
      <c r="U142" s="10">
        <f>SUMIFS(IsQList,IsIList,Table_ExternalData_15[[#This Row],[item_key]],IsITypeList,Table_ExternalData_15[[#This Row],[IType]],IsDList,Table_ExternalData_15[[#Headers],[17]])</f>
        <v>0</v>
      </c>
      <c r="V142" s="10">
        <f>SUMIFS(IsQList,IsIList,Table_ExternalData_15[[#This Row],[item_key]],IsITypeList,Table_ExternalData_15[[#This Row],[IType]],IsDList,Table_ExternalData_15[[#Headers],[18]])</f>
        <v>0</v>
      </c>
      <c r="W142" s="10">
        <f>SUMIFS(IsQList,IsIList,Table_ExternalData_15[[#This Row],[item_key]],IsITypeList,Table_ExternalData_15[[#This Row],[IType]],IsDList,Table_ExternalData_15[[#Headers],[19]])</f>
        <v>0</v>
      </c>
      <c r="X142" s="10">
        <f>SUMIFS(IsQList,IsIList,Table_ExternalData_15[[#This Row],[item_key]],IsITypeList,Table_ExternalData_15[[#This Row],[IType]],IsDList,Table_ExternalData_15[[#Headers],[20]])</f>
        <v>0</v>
      </c>
      <c r="Y142" s="10">
        <f>SUMIFS(IsQList,IsIList,Table_ExternalData_15[[#This Row],[item_key]],IsITypeList,Table_ExternalData_15[[#This Row],[IType]],IsDList,Table_ExternalData_15[[#Headers],[21]])</f>
        <v>0</v>
      </c>
      <c r="Z142" s="10">
        <f>SUMIFS(IsQList,IsIList,Table_ExternalData_15[[#This Row],[item_key]],IsITypeList,Table_ExternalData_15[[#This Row],[IType]],IsDList,Table_ExternalData_15[[#Headers],[22]])</f>
        <v>0</v>
      </c>
      <c r="AA142" s="10">
        <f>SUMIFS(IsQList,IsIList,Table_ExternalData_15[[#This Row],[item_key]],IsITypeList,Table_ExternalData_15[[#This Row],[IType]],IsDList,Table_ExternalData_15[[#Headers],[23]])</f>
        <v>0</v>
      </c>
      <c r="AB142" s="10">
        <f>SUMIFS(IsQList,IsIList,Table_ExternalData_15[[#This Row],[item_key]],IsITypeList,Table_ExternalData_15[[#This Row],[IType]],IsDList,Table_ExternalData_15[[#Headers],[24]])</f>
        <v>5</v>
      </c>
      <c r="AC142" s="10">
        <f>SUMIFS(IsQList,IsIList,Table_ExternalData_15[[#This Row],[item_key]],IsITypeList,Table_ExternalData_15[[#This Row],[IType]],IsDList,Table_ExternalData_15[[#Headers],[25]])</f>
        <v>0</v>
      </c>
      <c r="AD142" s="10">
        <f>SUMIFS(IsQList,IsIList,Table_ExternalData_15[[#This Row],[item_key]],IsITypeList,Table_ExternalData_15[[#This Row],[IType]],IsDList,Table_ExternalData_15[[#Headers],[26]])</f>
        <v>0</v>
      </c>
      <c r="AE142" s="10">
        <f>SUMIFS(IsQList,IsIList,Table_ExternalData_15[[#This Row],[item_key]],IsITypeList,Table_ExternalData_15[[#This Row],[IType]],IsDList,Table_ExternalData_15[[#Headers],[27]])</f>
        <v>0</v>
      </c>
      <c r="AF142" s="10">
        <f>SUMIFS(IsQList,IsIList,Table_ExternalData_15[[#This Row],[item_key]],IsITypeList,Table_ExternalData_15[[#This Row],[IType]],IsDList,Table_ExternalData_15[[#Headers],[28]])</f>
        <v>0</v>
      </c>
      <c r="AG142" s="10">
        <f>SUMIFS(IsQList,IsIList,Table_ExternalData_15[[#This Row],[item_key]],IsITypeList,Table_ExternalData_15[[#This Row],[IType]],IsDList,Table_ExternalData_15[[#Headers],[29]])</f>
        <v>0</v>
      </c>
      <c r="AH142" s="10">
        <f>SUMIFS(IsQList,IsIList,Table_ExternalData_15[[#This Row],[item_key]],IsITypeList,Table_ExternalData_15[[#This Row],[IType]],IsDList,Table_ExternalData_15[[#Headers],[30]])</f>
        <v>10</v>
      </c>
      <c r="AI142" s="10">
        <f>SUMIFS(IsQList,IsIList,Table_ExternalData_15[[#This Row],[item_key]],IsITypeList,Table_ExternalData_15[[#This Row],[IType]],IsDList,Table_ExternalData_15[[#Headers],[31]])</f>
        <v>0</v>
      </c>
      <c r="AJ142" s="10">
        <f>SUM(Table_ExternalData_15[[#This Row],[1]:[31]])</f>
        <v>57</v>
      </c>
    </row>
    <row r="143" spans="1:36">
      <c r="A143" s="1" t="s">
        <v>550</v>
      </c>
      <c r="B143" s="1" t="s">
        <v>2577</v>
      </c>
      <c r="C143" s="1" t="s">
        <v>2578</v>
      </c>
      <c r="D143" s="11" t="s">
        <v>72</v>
      </c>
      <c r="E143" s="10">
        <f>SUMIFS(IsQList,IsIList,Table_ExternalData_15[[#This Row],[item_key]],IsITypeList,Table_ExternalData_15[[#This Row],[IType]],IsDList,Table_ExternalData_15[[#Headers],[1]])</f>
        <v>0</v>
      </c>
      <c r="F143" s="10">
        <f>SUMIFS(IsQList,IsIList,Table_ExternalData_15[[#This Row],[item_key]],IsITypeList,Table_ExternalData_15[[#This Row],[IType]],IsDList,Table_ExternalData_15[[#Headers],[2]])</f>
        <v>0</v>
      </c>
      <c r="G143" s="10">
        <f>SUMIFS(IsQList,IsIList,Table_ExternalData_15[[#This Row],[item_key]],IsITypeList,Table_ExternalData_15[[#This Row],[IType]],IsDList,Table_ExternalData_15[[#Headers],[3]])</f>
        <v>0</v>
      </c>
      <c r="H143" s="10">
        <f>SUMIFS(IsQList,IsIList,Table_ExternalData_15[[#This Row],[item_key]],IsITypeList,Table_ExternalData_15[[#This Row],[IType]],IsDList,Table_ExternalData_15[[#Headers],[4]])</f>
        <v>0</v>
      </c>
      <c r="I143" s="10">
        <f>SUMIFS(IsQList,IsIList,Table_ExternalData_15[[#This Row],[item_key]],IsITypeList,Table_ExternalData_15[[#This Row],[IType]],IsDList,Table_ExternalData_15[[#Headers],[5]])</f>
        <v>0</v>
      </c>
      <c r="J143" s="10">
        <f>SUMIFS(IsQList,IsIList,Table_ExternalData_15[[#This Row],[item_key]],IsITypeList,Table_ExternalData_15[[#This Row],[IType]],IsDList,Table_ExternalData_15[[#Headers],[6]])</f>
        <v>0</v>
      </c>
      <c r="K143" s="10">
        <f>SUMIFS(IsQList,IsIList,Table_ExternalData_15[[#This Row],[item_key]],IsITypeList,Table_ExternalData_15[[#This Row],[IType]],IsDList,Table_ExternalData_15[[#Headers],[7]])</f>
        <v>0</v>
      </c>
      <c r="L143" s="10">
        <f>SUMIFS(IsQList,IsIList,Table_ExternalData_15[[#This Row],[item_key]],IsITypeList,Table_ExternalData_15[[#This Row],[IType]],IsDList,Table_ExternalData_15[[#Headers],[8]])</f>
        <v>0</v>
      </c>
      <c r="M143" s="10">
        <f>SUMIFS(IsQList,IsIList,Table_ExternalData_15[[#This Row],[item_key]],IsITypeList,Table_ExternalData_15[[#This Row],[IType]],IsDList,Table_ExternalData_15[[#Headers],[9]])</f>
        <v>0</v>
      </c>
      <c r="N143" s="10">
        <f>SUMIFS(IsQList,IsIList,Table_ExternalData_15[[#This Row],[item_key]],IsITypeList,Table_ExternalData_15[[#This Row],[IType]],IsDList,Table_ExternalData_15[[#Headers],[10]])</f>
        <v>0</v>
      </c>
      <c r="O143" s="10">
        <f>SUMIFS(IsQList,IsIList,Table_ExternalData_15[[#This Row],[item_key]],IsITypeList,Table_ExternalData_15[[#This Row],[IType]],IsDList,Table_ExternalData_15[[#Headers],[11]])</f>
        <v>0</v>
      </c>
      <c r="P143" s="10">
        <f>SUMIFS(IsQList,IsIList,Table_ExternalData_15[[#This Row],[item_key]],IsITypeList,Table_ExternalData_15[[#This Row],[IType]],IsDList,Table_ExternalData_15[[#Headers],[12]])</f>
        <v>0</v>
      </c>
      <c r="Q143" s="10">
        <f>SUMIFS(IsQList,IsIList,Table_ExternalData_15[[#This Row],[item_key]],IsITypeList,Table_ExternalData_15[[#This Row],[IType]],IsDList,Table_ExternalData_15[[#Headers],[13]])</f>
        <v>0</v>
      </c>
      <c r="R143" s="10">
        <f>SUMIFS(IsQList,IsIList,Table_ExternalData_15[[#This Row],[item_key]],IsITypeList,Table_ExternalData_15[[#This Row],[IType]],IsDList,Table_ExternalData_15[[#Headers],[14]])</f>
        <v>0</v>
      </c>
      <c r="S143" s="10">
        <f>SUMIFS(IsQList,IsIList,Table_ExternalData_15[[#This Row],[item_key]],IsITypeList,Table_ExternalData_15[[#This Row],[IType]],IsDList,Table_ExternalData_15[[#Headers],[15]])</f>
        <v>0</v>
      </c>
      <c r="T143" s="10">
        <f>SUMIFS(IsQList,IsIList,Table_ExternalData_15[[#This Row],[item_key]],IsITypeList,Table_ExternalData_15[[#This Row],[IType]],IsDList,Table_ExternalData_15[[#Headers],[16]])</f>
        <v>0</v>
      </c>
      <c r="U143" s="10">
        <f>SUMIFS(IsQList,IsIList,Table_ExternalData_15[[#This Row],[item_key]],IsITypeList,Table_ExternalData_15[[#This Row],[IType]],IsDList,Table_ExternalData_15[[#Headers],[17]])</f>
        <v>0</v>
      </c>
      <c r="V143" s="10">
        <f>SUMIFS(IsQList,IsIList,Table_ExternalData_15[[#This Row],[item_key]],IsITypeList,Table_ExternalData_15[[#This Row],[IType]],IsDList,Table_ExternalData_15[[#Headers],[18]])</f>
        <v>0</v>
      </c>
      <c r="W143" s="10">
        <f>SUMIFS(IsQList,IsIList,Table_ExternalData_15[[#This Row],[item_key]],IsITypeList,Table_ExternalData_15[[#This Row],[IType]],IsDList,Table_ExternalData_15[[#Headers],[19]])</f>
        <v>0</v>
      </c>
      <c r="X143" s="10">
        <f>SUMIFS(IsQList,IsIList,Table_ExternalData_15[[#This Row],[item_key]],IsITypeList,Table_ExternalData_15[[#This Row],[IType]],IsDList,Table_ExternalData_15[[#Headers],[20]])</f>
        <v>0</v>
      </c>
      <c r="Y143" s="10">
        <f>SUMIFS(IsQList,IsIList,Table_ExternalData_15[[#This Row],[item_key]],IsITypeList,Table_ExternalData_15[[#This Row],[IType]],IsDList,Table_ExternalData_15[[#Headers],[21]])</f>
        <v>0</v>
      </c>
      <c r="Z143" s="10">
        <f>SUMIFS(IsQList,IsIList,Table_ExternalData_15[[#This Row],[item_key]],IsITypeList,Table_ExternalData_15[[#This Row],[IType]],IsDList,Table_ExternalData_15[[#Headers],[22]])</f>
        <v>0</v>
      </c>
      <c r="AA143" s="10">
        <f>SUMIFS(IsQList,IsIList,Table_ExternalData_15[[#This Row],[item_key]],IsITypeList,Table_ExternalData_15[[#This Row],[IType]],IsDList,Table_ExternalData_15[[#Headers],[23]])</f>
        <v>0</v>
      </c>
      <c r="AB143" s="10">
        <f>SUMIFS(IsQList,IsIList,Table_ExternalData_15[[#This Row],[item_key]],IsITypeList,Table_ExternalData_15[[#This Row],[IType]],IsDList,Table_ExternalData_15[[#Headers],[24]])</f>
        <v>0</v>
      </c>
      <c r="AC143" s="10">
        <f>SUMIFS(IsQList,IsIList,Table_ExternalData_15[[#This Row],[item_key]],IsITypeList,Table_ExternalData_15[[#This Row],[IType]],IsDList,Table_ExternalData_15[[#Headers],[25]])</f>
        <v>0</v>
      </c>
      <c r="AD143" s="10">
        <f>SUMIFS(IsQList,IsIList,Table_ExternalData_15[[#This Row],[item_key]],IsITypeList,Table_ExternalData_15[[#This Row],[IType]],IsDList,Table_ExternalData_15[[#Headers],[26]])</f>
        <v>0</v>
      </c>
      <c r="AE143" s="10">
        <f>SUMIFS(IsQList,IsIList,Table_ExternalData_15[[#This Row],[item_key]],IsITypeList,Table_ExternalData_15[[#This Row],[IType]],IsDList,Table_ExternalData_15[[#Headers],[27]])</f>
        <v>0</v>
      </c>
      <c r="AF143" s="10">
        <f>SUMIFS(IsQList,IsIList,Table_ExternalData_15[[#This Row],[item_key]],IsITypeList,Table_ExternalData_15[[#This Row],[IType]],IsDList,Table_ExternalData_15[[#Headers],[28]])</f>
        <v>0</v>
      </c>
      <c r="AG143" s="10">
        <f>SUMIFS(IsQList,IsIList,Table_ExternalData_15[[#This Row],[item_key]],IsITypeList,Table_ExternalData_15[[#This Row],[IType]],IsDList,Table_ExternalData_15[[#Headers],[29]])</f>
        <v>0</v>
      </c>
      <c r="AH143" s="10">
        <f>SUMIFS(IsQList,IsIList,Table_ExternalData_15[[#This Row],[item_key]],IsITypeList,Table_ExternalData_15[[#This Row],[IType]],IsDList,Table_ExternalData_15[[#Headers],[30]])</f>
        <v>0</v>
      </c>
      <c r="AI143" s="10">
        <f>SUMIFS(IsQList,IsIList,Table_ExternalData_15[[#This Row],[item_key]],IsITypeList,Table_ExternalData_15[[#This Row],[IType]],IsDList,Table_ExternalData_15[[#Headers],[31]])</f>
        <v>0</v>
      </c>
      <c r="AJ143" s="10">
        <f>SUM(Table_ExternalData_15[[#This Row],[1]:[31]])</f>
        <v>0</v>
      </c>
    </row>
    <row r="144" spans="1:36">
      <c r="A144" s="1" t="s">
        <v>551</v>
      </c>
      <c r="B144" s="1" t="s">
        <v>1314</v>
      </c>
      <c r="C144" s="1" t="s">
        <v>1315</v>
      </c>
      <c r="D144" s="11" t="s">
        <v>72</v>
      </c>
      <c r="E144" s="10">
        <f>SUMIFS(IsQList,IsIList,Table_ExternalData_15[[#This Row],[item_key]],IsITypeList,Table_ExternalData_15[[#This Row],[IType]],IsDList,Table_ExternalData_15[[#Headers],[1]])</f>
        <v>0</v>
      </c>
      <c r="F144" s="10">
        <f>SUMIFS(IsQList,IsIList,Table_ExternalData_15[[#This Row],[item_key]],IsITypeList,Table_ExternalData_15[[#This Row],[IType]],IsDList,Table_ExternalData_15[[#Headers],[2]])</f>
        <v>0</v>
      </c>
      <c r="G144" s="10">
        <f>SUMIFS(IsQList,IsIList,Table_ExternalData_15[[#This Row],[item_key]],IsITypeList,Table_ExternalData_15[[#This Row],[IType]],IsDList,Table_ExternalData_15[[#Headers],[3]])</f>
        <v>0</v>
      </c>
      <c r="H144" s="10">
        <f>SUMIFS(IsQList,IsIList,Table_ExternalData_15[[#This Row],[item_key]],IsITypeList,Table_ExternalData_15[[#This Row],[IType]],IsDList,Table_ExternalData_15[[#Headers],[4]])</f>
        <v>0</v>
      </c>
      <c r="I144" s="10">
        <f>SUMIFS(IsQList,IsIList,Table_ExternalData_15[[#This Row],[item_key]],IsITypeList,Table_ExternalData_15[[#This Row],[IType]],IsDList,Table_ExternalData_15[[#Headers],[5]])</f>
        <v>0</v>
      </c>
      <c r="J144" s="10">
        <f>SUMIFS(IsQList,IsIList,Table_ExternalData_15[[#This Row],[item_key]],IsITypeList,Table_ExternalData_15[[#This Row],[IType]],IsDList,Table_ExternalData_15[[#Headers],[6]])</f>
        <v>10</v>
      </c>
      <c r="K144" s="10">
        <f>SUMIFS(IsQList,IsIList,Table_ExternalData_15[[#This Row],[item_key]],IsITypeList,Table_ExternalData_15[[#This Row],[IType]],IsDList,Table_ExternalData_15[[#Headers],[7]])</f>
        <v>0</v>
      </c>
      <c r="L144" s="10">
        <f>SUMIFS(IsQList,IsIList,Table_ExternalData_15[[#This Row],[item_key]],IsITypeList,Table_ExternalData_15[[#This Row],[IType]],IsDList,Table_ExternalData_15[[#Headers],[8]])</f>
        <v>0</v>
      </c>
      <c r="M144" s="10">
        <f>SUMIFS(IsQList,IsIList,Table_ExternalData_15[[#This Row],[item_key]],IsITypeList,Table_ExternalData_15[[#This Row],[IType]],IsDList,Table_ExternalData_15[[#Headers],[9]])</f>
        <v>0</v>
      </c>
      <c r="N144" s="10">
        <f>SUMIFS(IsQList,IsIList,Table_ExternalData_15[[#This Row],[item_key]],IsITypeList,Table_ExternalData_15[[#This Row],[IType]],IsDList,Table_ExternalData_15[[#Headers],[10]])</f>
        <v>0</v>
      </c>
      <c r="O144" s="10">
        <f>SUMIFS(IsQList,IsIList,Table_ExternalData_15[[#This Row],[item_key]],IsITypeList,Table_ExternalData_15[[#This Row],[IType]],IsDList,Table_ExternalData_15[[#Headers],[11]])</f>
        <v>0</v>
      </c>
      <c r="P144" s="10">
        <f>SUMIFS(IsQList,IsIList,Table_ExternalData_15[[#This Row],[item_key]],IsITypeList,Table_ExternalData_15[[#This Row],[IType]],IsDList,Table_ExternalData_15[[#Headers],[12]])</f>
        <v>0</v>
      </c>
      <c r="Q144" s="10">
        <f>SUMIFS(IsQList,IsIList,Table_ExternalData_15[[#This Row],[item_key]],IsITypeList,Table_ExternalData_15[[#This Row],[IType]],IsDList,Table_ExternalData_15[[#Headers],[13]])</f>
        <v>0</v>
      </c>
      <c r="R144" s="10">
        <f>SUMIFS(IsQList,IsIList,Table_ExternalData_15[[#This Row],[item_key]],IsITypeList,Table_ExternalData_15[[#This Row],[IType]],IsDList,Table_ExternalData_15[[#Headers],[14]])</f>
        <v>0</v>
      </c>
      <c r="S144" s="10">
        <f>SUMIFS(IsQList,IsIList,Table_ExternalData_15[[#This Row],[item_key]],IsITypeList,Table_ExternalData_15[[#This Row],[IType]],IsDList,Table_ExternalData_15[[#Headers],[15]])</f>
        <v>0</v>
      </c>
      <c r="T144" s="10">
        <f>SUMIFS(IsQList,IsIList,Table_ExternalData_15[[#This Row],[item_key]],IsITypeList,Table_ExternalData_15[[#This Row],[IType]],IsDList,Table_ExternalData_15[[#Headers],[16]])</f>
        <v>0</v>
      </c>
      <c r="U144" s="10">
        <f>SUMIFS(IsQList,IsIList,Table_ExternalData_15[[#This Row],[item_key]],IsITypeList,Table_ExternalData_15[[#This Row],[IType]],IsDList,Table_ExternalData_15[[#Headers],[17]])</f>
        <v>0</v>
      </c>
      <c r="V144" s="10">
        <f>SUMIFS(IsQList,IsIList,Table_ExternalData_15[[#This Row],[item_key]],IsITypeList,Table_ExternalData_15[[#This Row],[IType]],IsDList,Table_ExternalData_15[[#Headers],[18]])</f>
        <v>0</v>
      </c>
      <c r="W144" s="10">
        <f>SUMIFS(IsQList,IsIList,Table_ExternalData_15[[#This Row],[item_key]],IsITypeList,Table_ExternalData_15[[#This Row],[IType]],IsDList,Table_ExternalData_15[[#Headers],[19]])</f>
        <v>0</v>
      </c>
      <c r="X144" s="10">
        <f>SUMIFS(IsQList,IsIList,Table_ExternalData_15[[#This Row],[item_key]],IsITypeList,Table_ExternalData_15[[#This Row],[IType]],IsDList,Table_ExternalData_15[[#Headers],[20]])</f>
        <v>0</v>
      </c>
      <c r="Y144" s="10">
        <f>SUMIFS(IsQList,IsIList,Table_ExternalData_15[[#This Row],[item_key]],IsITypeList,Table_ExternalData_15[[#This Row],[IType]],IsDList,Table_ExternalData_15[[#Headers],[21]])</f>
        <v>0</v>
      </c>
      <c r="Z144" s="10">
        <f>SUMIFS(IsQList,IsIList,Table_ExternalData_15[[#This Row],[item_key]],IsITypeList,Table_ExternalData_15[[#This Row],[IType]],IsDList,Table_ExternalData_15[[#Headers],[22]])</f>
        <v>0</v>
      </c>
      <c r="AA144" s="10">
        <f>SUMIFS(IsQList,IsIList,Table_ExternalData_15[[#This Row],[item_key]],IsITypeList,Table_ExternalData_15[[#This Row],[IType]],IsDList,Table_ExternalData_15[[#Headers],[23]])</f>
        <v>0</v>
      </c>
      <c r="AB144" s="10">
        <f>SUMIFS(IsQList,IsIList,Table_ExternalData_15[[#This Row],[item_key]],IsITypeList,Table_ExternalData_15[[#This Row],[IType]],IsDList,Table_ExternalData_15[[#Headers],[24]])</f>
        <v>0</v>
      </c>
      <c r="AC144" s="10">
        <f>SUMIFS(IsQList,IsIList,Table_ExternalData_15[[#This Row],[item_key]],IsITypeList,Table_ExternalData_15[[#This Row],[IType]],IsDList,Table_ExternalData_15[[#Headers],[25]])</f>
        <v>0</v>
      </c>
      <c r="AD144" s="10">
        <f>SUMIFS(IsQList,IsIList,Table_ExternalData_15[[#This Row],[item_key]],IsITypeList,Table_ExternalData_15[[#This Row],[IType]],IsDList,Table_ExternalData_15[[#Headers],[26]])</f>
        <v>0</v>
      </c>
      <c r="AE144" s="10">
        <f>SUMIFS(IsQList,IsIList,Table_ExternalData_15[[#This Row],[item_key]],IsITypeList,Table_ExternalData_15[[#This Row],[IType]],IsDList,Table_ExternalData_15[[#Headers],[27]])</f>
        <v>0</v>
      </c>
      <c r="AF144" s="10">
        <f>SUMIFS(IsQList,IsIList,Table_ExternalData_15[[#This Row],[item_key]],IsITypeList,Table_ExternalData_15[[#This Row],[IType]],IsDList,Table_ExternalData_15[[#Headers],[28]])</f>
        <v>0</v>
      </c>
      <c r="AG144" s="10">
        <f>SUMIFS(IsQList,IsIList,Table_ExternalData_15[[#This Row],[item_key]],IsITypeList,Table_ExternalData_15[[#This Row],[IType]],IsDList,Table_ExternalData_15[[#Headers],[29]])</f>
        <v>0</v>
      </c>
      <c r="AH144" s="10">
        <f>SUMIFS(IsQList,IsIList,Table_ExternalData_15[[#This Row],[item_key]],IsITypeList,Table_ExternalData_15[[#This Row],[IType]],IsDList,Table_ExternalData_15[[#Headers],[30]])</f>
        <v>100</v>
      </c>
      <c r="AI144" s="10">
        <f>SUMIFS(IsQList,IsIList,Table_ExternalData_15[[#This Row],[item_key]],IsITypeList,Table_ExternalData_15[[#This Row],[IType]],IsDList,Table_ExternalData_15[[#Headers],[31]])</f>
        <v>0</v>
      </c>
      <c r="AJ144" s="10">
        <f>SUM(Table_ExternalData_15[[#This Row],[1]:[31]])</f>
        <v>110</v>
      </c>
    </row>
    <row r="145" spans="1:36">
      <c r="A145" s="1" t="s">
        <v>552</v>
      </c>
      <c r="B145" s="1" t="s">
        <v>1316</v>
      </c>
      <c r="C145" s="1" t="s">
        <v>1317</v>
      </c>
      <c r="D145" s="11" t="s">
        <v>72</v>
      </c>
      <c r="E145" s="10">
        <f>SUMIFS(IsQList,IsIList,Table_ExternalData_15[[#This Row],[item_key]],IsITypeList,Table_ExternalData_15[[#This Row],[IType]],IsDList,Table_ExternalData_15[[#Headers],[1]])</f>
        <v>0</v>
      </c>
      <c r="F145" s="10">
        <f>SUMIFS(IsQList,IsIList,Table_ExternalData_15[[#This Row],[item_key]],IsITypeList,Table_ExternalData_15[[#This Row],[IType]],IsDList,Table_ExternalData_15[[#Headers],[2]])</f>
        <v>0</v>
      </c>
      <c r="G145" s="10">
        <f>SUMIFS(IsQList,IsIList,Table_ExternalData_15[[#This Row],[item_key]],IsITypeList,Table_ExternalData_15[[#This Row],[IType]],IsDList,Table_ExternalData_15[[#Headers],[3]])</f>
        <v>0</v>
      </c>
      <c r="H145" s="10">
        <f>SUMIFS(IsQList,IsIList,Table_ExternalData_15[[#This Row],[item_key]],IsITypeList,Table_ExternalData_15[[#This Row],[IType]],IsDList,Table_ExternalData_15[[#Headers],[4]])</f>
        <v>0</v>
      </c>
      <c r="I145" s="10">
        <f>SUMIFS(IsQList,IsIList,Table_ExternalData_15[[#This Row],[item_key]],IsITypeList,Table_ExternalData_15[[#This Row],[IType]],IsDList,Table_ExternalData_15[[#Headers],[5]])</f>
        <v>0</v>
      </c>
      <c r="J145" s="10">
        <f>SUMIFS(IsQList,IsIList,Table_ExternalData_15[[#This Row],[item_key]],IsITypeList,Table_ExternalData_15[[#This Row],[IType]],IsDList,Table_ExternalData_15[[#Headers],[6]])</f>
        <v>0</v>
      </c>
      <c r="K145" s="10">
        <f>SUMIFS(IsQList,IsIList,Table_ExternalData_15[[#This Row],[item_key]],IsITypeList,Table_ExternalData_15[[#This Row],[IType]],IsDList,Table_ExternalData_15[[#Headers],[7]])</f>
        <v>0</v>
      </c>
      <c r="L145" s="10">
        <f>SUMIFS(IsQList,IsIList,Table_ExternalData_15[[#This Row],[item_key]],IsITypeList,Table_ExternalData_15[[#This Row],[IType]],IsDList,Table_ExternalData_15[[#Headers],[8]])</f>
        <v>0</v>
      </c>
      <c r="M145" s="10">
        <f>SUMIFS(IsQList,IsIList,Table_ExternalData_15[[#This Row],[item_key]],IsITypeList,Table_ExternalData_15[[#This Row],[IType]],IsDList,Table_ExternalData_15[[#Headers],[9]])</f>
        <v>0</v>
      </c>
      <c r="N145" s="10">
        <f>SUMIFS(IsQList,IsIList,Table_ExternalData_15[[#This Row],[item_key]],IsITypeList,Table_ExternalData_15[[#This Row],[IType]],IsDList,Table_ExternalData_15[[#Headers],[10]])</f>
        <v>0</v>
      </c>
      <c r="O145" s="10">
        <f>SUMIFS(IsQList,IsIList,Table_ExternalData_15[[#This Row],[item_key]],IsITypeList,Table_ExternalData_15[[#This Row],[IType]],IsDList,Table_ExternalData_15[[#Headers],[11]])</f>
        <v>0</v>
      </c>
      <c r="P145" s="10">
        <f>SUMIFS(IsQList,IsIList,Table_ExternalData_15[[#This Row],[item_key]],IsITypeList,Table_ExternalData_15[[#This Row],[IType]],IsDList,Table_ExternalData_15[[#Headers],[12]])</f>
        <v>0</v>
      </c>
      <c r="Q145" s="10">
        <f>SUMIFS(IsQList,IsIList,Table_ExternalData_15[[#This Row],[item_key]],IsITypeList,Table_ExternalData_15[[#This Row],[IType]],IsDList,Table_ExternalData_15[[#Headers],[13]])</f>
        <v>0</v>
      </c>
      <c r="R145" s="10">
        <f>SUMIFS(IsQList,IsIList,Table_ExternalData_15[[#This Row],[item_key]],IsITypeList,Table_ExternalData_15[[#This Row],[IType]],IsDList,Table_ExternalData_15[[#Headers],[14]])</f>
        <v>0</v>
      </c>
      <c r="S145" s="10">
        <f>SUMIFS(IsQList,IsIList,Table_ExternalData_15[[#This Row],[item_key]],IsITypeList,Table_ExternalData_15[[#This Row],[IType]],IsDList,Table_ExternalData_15[[#Headers],[15]])</f>
        <v>0</v>
      </c>
      <c r="T145" s="10">
        <f>SUMIFS(IsQList,IsIList,Table_ExternalData_15[[#This Row],[item_key]],IsITypeList,Table_ExternalData_15[[#This Row],[IType]],IsDList,Table_ExternalData_15[[#Headers],[16]])</f>
        <v>0</v>
      </c>
      <c r="U145" s="10">
        <f>SUMIFS(IsQList,IsIList,Table_ExternalData_15[[#This Row],[item_key]],IsITypeList,Table_ExternalData_15[[#This Row],[IType]],IsDList,Table_ExternalData_15[[#Headers],[17]])</f>
        <v>0</v>
      </c>
      <c r="V145" s="10">
        <f>SUMIFS(IsQList,IsIList,Table_ExternalData_15[[#This Row],[item_key]],IsITypeList,Table_ExternalData_15[[#This Row],[IType]],IsDList,Table_ExternalData_15[[#Headers],[18]])</f>
        <v>0</v>
      </c>
      <c r="W145" s="10">
        <f>SUMIFS(IsQList,IsIList,Table_ExternalData_15[[#This Row],[item_key]],IsITypeList,Table_ExternalData_15[[#This Row],[IType]],IsDList,Table_ExternalData_15[[#Headers],[19]])</f>
        <v>0</v>
      </c>
      <c r="X145" s="10">
        <f>SUMIFS(IsQList,IsIList,Table_ExternalData_15[[#This Row],[item_key]],IsITypeList,Table_ExternalData_15[[#This Row],[IType]],IsDList,Table_ExternalData_15[[#Headers],[20]])</f>
        <v>0</v>
      </c>
      <c r="Y145" s="10">
        <f>SUMIFS(IsQList,IsIList,Table_ExternalData_15[[#This Row],[item_key]],IsITypeList,Table_ExternalData_15[[#This Row],[IType]],IsDList,Table_ExternalData_15[[#Headers],[21]])</f>
        <v>0</v>
      </c>
      <c r="Z145" s="10">
        <f>SUMIFS(IsQList,IsIList,Table_ExternalData_15[[#This Row],[item_key]],IsITypeList,Table_ExternalData_15[[#This Row],[IType]],IsDList,Table_ExternalData_15[[#Headers],[22]])</f>
        <v>0</v>
      </c>
      <c r="AA145" s="10">
        <f>SUMIFS(IsQList,IsIList,Table_ExternalData_15[[#This Row],[item_key]],IsITypeList,Table_ExternalData_15[[#This Row],[IType]],IsDList,Table_ExternalData_15[[#Headers],[23]])</f>
        <v>0</v>
      </c>
      <c r="AB145" s="10">
        <f>SUMIFS(IsQList,IsIList,Table_ExternalData_15[[#This Row],[item_key]],IsITypeList,Table_ExternalData_15[[#This Row],[IType]],IsDList,Table_ExternalData_15[[#Headers],[24]])</f>
        <v>0</v>
      </c>
      <c r="AC145" s="10">
        <f>SUMIFS(IsQList,IsIList,Table_ExternalData_15[[#This Row],[item_key]],IsITypeList,Table_ExternalData_15[[#This Row],[IType]],IsDList,Table_ExternalData_15[[#Headers],[25]])</f>
        <v>0</v>
      </c>
      <c r="AD145" s="10">
        <f>SUMIFS(IsQList,IsIList,Table_ExternalData_15[[#This Row],[item_key]],IsITypeList,Table_ExternalData_15[[#This Row],[IType]],IsDList,Table_ExternalData_15[[#Headers],[26]])</f>
        <v>0</v>
      </c>
      <c r="AE145" s="10">
        <f>SUMIFS(IsQList,IsIList,Table_ExternalData_15[[#This Row],[item_key]],IsITypeList,Table_ExternalData_15[[#This Row],[IType]],IsDList,Table_ExternalData_15[[#Headers],[27]])</f>
        <v>0</v>
      </c>
      <c r="AF145" s="10">
        <f>SUMIFS(IsQList,IsIList,Table_ExternalData_15[[#This Row],[item_key]],IsITypeList,Table_ExternalData_15[[#This Row],[IType]],IsDList,Table_ExternalData_15[[#Headers],[28]])</f>
        <v>0</v>
      </c>
      <c r="AG145" s="10">
        <f>SUMIFS(IsQList,IsIList,Table_ExternalData_15[[#This Row],[item_key]],IsITypeList,Table_ExternalData_15[[#This Row],[IType]],IsDList,Table_ExternalData_15[[#Headers],[29]])</f>
        <v>0</v>
      </c>
      <c r="AH145" s="10">
        <f>SUMIFS(IsQList,IsIList,Table_ExternalData_15[[#This Row],[item_key]],IsITypeList,Table_ExternalData_15[[#This Row],[IType]],IsDList,Table_ExternalData_15[[#Headers],[30]])</f>
        <v>0</v>
      </c>
      <c r="AI145" s="10">
        <f>SUMIFS(IsQList,IsIList,Table_ExternalData_15[[#This Row],[item_key]],IsITypeList,Table_ExternalData_15[[#This Row],[IType]],IsDList,Table_ExternalData_15[[#Headers],[31]])</f>
        <v>0</v>
      </c>
      <c r="AJ145" s="10">
        <f>SUM(Table_ExternalData_15[[#This Row],[1]:[31]])</f>
        <v>0</v>
      </c>
    </row>
    <row r="146" spans="1:36">
      <c r="A146" s="1" t="s">
        <v>1750</v>
      </c>
      <c r="B146" s="1" t="s">
        <v>2346</v>
      </c>
      <c r="C146" s="1" t="s">
        <v>2347</v>
      </c>
      <c r="D146" s="11" t="s">
        <v>72</v>
      </c>
      <c r="E146" s="10">
        <f>SUMIFS(IsQList,IsIList,Table_ExternalData_15[[#This Row],[item_key]],IsITypeList,Table_ExternalData_15[[#This Row],[IType]],IsDList,Table_ExternalData_15[[#Headers],[1]])</f>
        <v>0</v>
      </c>
      <c r="F146" s="10">
        <f>SUMIFS(IsQList,IsIList,Table_ExternalData_15[[#This Row],[item_key]],IsITypeList,Table_ExternalData_15[[#This Row],[IType]],IsDList,Table_ExternalData_15[[#Headers],[2]])</f>
        <v>0</v>
      </c>
      <c r="G146" s="10">
        <f>SUMIFS(IsQList,IsIList,Table_ExternalData_15[[#This Row],[item_key]],IsITypeList,Table_ExternalData_15[[#This Row],[IType]],IsDList,Table_ExternalData_15[[#Headers],[3]])</f>
        <v>0</v>
      </c>
      <c r="H146" s="10">
        <f>SUMIFS(IsQList,IsIList,Table_ExternalData_15[[#This Row],[item_key]],IsITypeList,Table_ExternalData_15[[#This Row],[IType]],IsDList,Table_ExternalData_15[[#Headers],[4]])</f>
        <v>0</v>
      </c>
      <c r="I146" s="10">
        <f>SUMIFS(IsQList,IsIList,Table_ExternalData_15[[#This Row],[item_key]],IsITypeList,Table_ExternalData_15[[#This Row],[IType]],IsDList,Table_ExternalData_15[[#Headers],[5]])</f>
        <v>0</v>
      </c>
      <c r="J146" s="10">
        <f>SUMIFS(IsQList,IsIList,Table_ExternalData_15[[#This Row],[item_key]],IsITypeList,Table_ExternalData_15[[#This Row],[IType]],IsDList,Table_ExternalData_15[[#Headers],[6]])</f>
        <v>0</v>
      </c>
      <c r="K146" s="10">
        <f>SUMIFS(IsQList,IsIList,Table_ExternalData_15[[#This Row],[item_key]],IsITypeList,Table_ExternalData_15[[#This Row],[IType]],IsDList,Table_ExternalData_15[[#Headers],[7]])</f>
        <v>0</v>
      </c>
      <c r="L146" s="10">
        <f>SUMIFS(IsQList,IsIList,Table_ExternalData_15[[#This Row],[item_key]],IsITypeList,Table_ExternalData_15[[#This Row],[IType]],IsDList,Table_ExternalData_15[[#Headers],[8]])</f>
        <v>0</v>
      </c>
      <c r="M146" s="10">
        <f>SUMIFS(IsQList,IsIList,Table_ExternalData_15[[#This Row],[item_key]],IsITypeList,Table_ExternalData_15[[#This Row],[IType]],IsDList,Table_ExternalData_15[[#Headers],[9]])</f>
        <v>0</v>
      </c>
      <c r="N146" s="10">
        <f>SUMIFS(IsQList,IsIList,Table_ExternalData_15[[#This Row],[item_key]],IsITypeList,Table_ExternalData_15[[#This Row],[IType]],IsDList,Table_ExternalData_15[[#Headers],[10]])</f>
        <v>10</v>
      </c>
      <c r="O146" s="10">
        <f>SUMIFS(IsQList,IsIList,Table_ExternalData_15[[#This Row],[item_key]],IsITypeList,Table_ExternalData_15[[#This Row],[IType]],IsDList,Table_ExternalData_15[[#Headers],[11]])</f>
        <v>0</v>
      </c>
      <c r="P146" s="10">
        <f>SUMIFS(IsQList,IsIList,Table_ExternalData_15[[#This Row],[item_key]],IsITypeList,Table_ExternalData_15[[#This Row],[IType]],IsDList,Table_ExternalData_15[[#Headers],[12]])</f>
        <v>0</v>
      </c>
      <c r="Q146" s="10">
        <f>SUMIFS(IsQList,IsIList,Table_ExternalData_15[[#This Row],[item_key]],IsITypeList,Table_ExternalData_15[[#This Row],[IType]],IsDList,Table_ExternalData_15[[#Headers],[13]])</f>
        <v>0</v>
      </c>
      <c r="R146" s="10">
        <f>SUMIFS(IsQList,IsIList,Table_ExternalData_15[[#This Row],[item_key]],IsITypeList,Table_ExternalData_15[[#This Row],[IType]],IsDList,Table_ExternalData_15[[#Headers],[14]])</f>
        <v>0</v>
      </c>
      <c r="S146" s="10">
        <f>SUMIFS(IsQList,IsIList,Table_ExternalData_15[[#This Row],[item_key]],IsITypeList,Table_ExternalData_15[[#This Row],[IType]],IsDList,Table_ExternalData_15[[#Headers],[15]])</f>
        <v>0</v>
      </c>
      <c r="T146" s="10">
        <f>SUMIFS(IsQList,IsIList,Table_ExternalData_15[[#This Row],[item_key]],IsITypeList,Table_ExternalData_15[[#This Row],[IType]],IsDList,Table_ExternalData_15[[#Headers],[16]])</f>
        <v>0</v>
      </c>
      <c r="U146" s="10">
        <f>SUMIFS(IsQList,IsIList,Table_ExternalData_15[[#This Row],[item_key]],IsITypeList,Table_ExternalData_15[[#This Row],[IType]],IsDList,Table_ExternalData_15[[#Headers],[17]])</f>
        <v>0</v>
      </c>
      <c r="V146" s="10">
        <f>SUMIFS(IsQList,IsIList,Table_ExternalData_15[[#This Row],[item_key]],IsITypeList,Table_ExternalData_15[[#This Row],[IType]],IsDList,Table_ExternalData_15[[#Headers],[18]])</f>
        <v>0</v>
      </c>
      <c r="W146" s="10">
        <f>SUMIFS(IsQList,IsIList,Table_ExternalData_15[[#This Row],[item_key]],IsITypeList,Table_ExternalData_15[[#This Row],[IType]],IsDList,Table_ExternalData_15[[#Headers],[19]])</f>
        <v>0</v>
      </c>
      <c r="X146" s="10">
        <f>SUMIFS(IsQList,IsIList,Table_ExternalData_15[[#This Row],[item_key]],IsITypeList,Table_ExternalData_15[[#This Row],[IType]],IsDList,Table_ExternalData_15[[#Headers],[20]])</f>
        <v>0</v>
      </c>
      <c r="Y146" s="10">
        <f>SUMIFS(IsQList,IsIList,Table_ExternalData_15[[#This Row],[item_key]],IsITypeList,Table_ExternalData_15[[#This Row],[IType]],IsDList,Table_ExternalData_15[[#Headers],[21]])</f>
        <v>0</v>
      </c>
      <c r="Z146" s="10">
        <f>SUMIFS(IsQList,IsIList,Table_ExternalData_15[[#This Row],[item_key]],IsITypeList,Table_ExternalData_15[[#This Row],[IType]],IsDList,Table_ExternalData_15[[#Headers],[22]])</f>
        <v>0</v>
      </c>
      <c r="AA146" s="10">
        <f>SUMIFS(IsQList,IsIList,Table_ExternalData_15[[#This Row],[item_key]],IsITypeList,Table_ExternalData_15[[#This Row],[IType]],IsDList,Table_ExternalData_15[[#Headers],[23]])</f>
        <v>0</v>
      </c>
      <c r="AB146" s="10">
        <f>SUMIFS(IsQList,IsIList,Table_ExternalData_15[[#This Row],[item_key]],IsITypeList,Table_ExternalData_15[[#This Row],[IType]],IsDList,Table_ExternalData_15[[#Headers],[24]])</f>
        <v>17</v>
      </c>
      <c r="AC146" s="10">
        <f>SUMIFS(IsQList,IsIList,Table_ExternalData_15[[#This Row],[item_key]],IsITypeList,Table_ExternalData_15[[#This Row],[IType]],IsDList,Table_ExternalData_15[[#Headers],[25]])</f>
        <v>0</v>
      </c>
      <c r="AD146" s="10">
        <f>SUMIFS(IsQList,IsIList,Table_ExternalData_15[[#This Row],[item_key]],IsITypeList,Table_ExternalData_15[[#This Row],[IType]],IsDList,Table_ExternalData_15[[#Headers],[26]])</f>
        <v>0</v>
      </c>
      <c r="AE146" s="10">
        <f>SUMIFS(IsQList,IsIList,Table_ExternalData_15[[#This Row],[item_key]],IsITypeList,Table_ExternalData_15[[#This Row],[IType]],IsDList,Table_ExternalData_15[[#Headers],[27]])</f>
        <v>0</v>
      </c>
      <c r="AF146" s="10">
        <f>SUMIFS(IsQList,IsIList,Table_ExternalData_15[[#This Row],[item_key]],IsITypeList,Table_ExternalData_15[[#This Row],[IType]],IsDList,Table_ExternalData_15[[#Headers],[28]])</f>
        <v>0</v>
      </c>
      <c r="AG146" s="10">
        <f>SUMIFS(IsQList,IsIList,Table_ExternalData_15[[#This Row],[item_key]],IsITypeList,Table_ExternalData_15[[#This Row],[IType]],IsDList,Table_ExternalData_15[[#Headers],[29]])</f>
        <v>0</v>
      </c>
      <c r="AH146" s="10">
        <f>SUMIFS(IsQList,IsIList,Table_ExternalData_15[[#This Row],[item_key]],IsITypeList,Table_ExternalData_15[[#This Row],[IType]],IsDList,Table_ExternalData_15[[#Headers],[30]])</f>
        <v>50</v>
      </c>
      <c r="AI146" s="10">
        <f>SUMIFS(IsQList,IsIList,Table_ExternalData_15[[#This Row],[item_key]],IsITypeList,Table_ExternalData_15[[#This Row],[IType]],IsDList,Table_ExternalData_15[[#Headers],[31]])</f>
        <v>0</v>
      </c>
      <c r="AJ146" s="10">
        <f>SUM(Table_ExternalData_15[[#This Row],[1]:[31]])</f>
        <v>77</v>
      </c>
    </row>
    <row r="147" spans="1:36">
      <c r="A147" s="1" t="s">
        <v>555</v>
      </c>
      <c r="B147" s="1" t="s">
        <v>2348</v>
      </c>
      <c r="C147" s="1" t="s">
        <v>2349</v>
      </c>
      <c r="D147" s="11" t="s">
        <v>72</v>
      </c>
      <c r="E147" s="10">
        <f>SUMIFS(IsQList,IsIList,Table_ExternalData_15[[#This Row],[item_key]],IsITypeList,Table_ExternalData_15[[#This Row],[IType]],IsDList,Table_ExternalData_15[[#Headers],[1]])</f>
        <v>0</v>
      </c>
      <c r="F147" s="10">
        <f>SUMIFS(IsQList,IsIList,Table_ExternalData_15[[#This Row],[item_key]],IsITypeList,Table_ExternalData_15[[#This Row],[IType]],IsDList,Table_ExternalData_15[[#Headers],[2]])</f>
        <v>0</v>
      </c>
      <c r="G147" s="10">
        <f>SUMIFS(IsQList,IsIList,Table_ExternalData_15[[#This Row],[item_key]],IsITypeList,Table_ExternalData_15[[#This Row],[IType]],IsDList,Table_ExternalData_15[[#Headers],[3]])</f>
        <v>0</v>
      </c>
      <c r="H147" s="10">
        <f>SUMIFS(IsQList,IsIList,Table_ExternalData_15[[#This Row],[item_key]],IsITypeList,Table_ExternalData_15[[#This Row],[IType]],IsDList,Table_ExternalData_15[[#Headers],[4]])</f>
        <v>0</v>
      </c>
      <c r="I147" s="10">
        <f>SUMIFS(IsQList,IsIList,Table_ExternalData_15[[#This Row],[item_key]],IsITypeList,Table_ExternalData_15[[#This Row],[IType]],IsDList,Table_ExternalData_15[[#Headers],[5]])</f>
        <v>0</v>
      </c>
      <c r="J147" s="10">
        <f>SUMIFS(IsQList,IsIList,Table_ExternalData_15[[#This Row],[item_key]],IsITypeList,Table_ExternalData_15[[#This Row],[IType]],IsDList,Table_ExternalData_15[[#Headers],[6]])</f>
        <v>0</v>
      </c>
      <c r="K147" s="10">
        <f>SUMIFS(IsQList,IsIList,Table_ExternalData_15[[#This Row],[item_key]],IsITypeList,Table_ExternalData_15[[#This Row],[IType]],IsDList,Table_ExternalData_15[[#Headers],[7]])</f>
        <v>0</v>
      </c>
      <c r="L147" s="10">
        <f>SUMIFS(IsQList,IsIList,Table_ExternalData_15[[#This Row],[item_key]],IsITypeList,Table_ExternalData_15[[#This Row],[IType]],IsDList,Table_ExternalData_15[[#Headers],[8]])</f>
        <v>0</v>
      </c>
      <c r="M147" s="10">
        <f>SUMIFS(IsQList,IsIList,Table_ExternalData_15[[#This Row],[item_key]],IsITypeList,Table_ExternalData_15[[#This Row],[IType]],IsDList,Table_ExternalData_15[[#Headers],[9]])</f>
        <v>0</v>
      </c>
      <c r="N147" s="10">
        <f>SUMIFS(IsQList,IsIList,Table_ExternalData_15[[#This Row],[item_key]],IsITypeList,Table_ExternalData_15[[#This Row],[IType]],IsDList,Table_ExternalData_15[[#Headers],[10]])</f>
        <v>22</v>
      </c>
      <c r="O147" s="10">
        <f>SUMIFS(IsQList,IsIList,Table_ExternalData_15[[#This Row],[item_key]],IsITypeList,Table_ExternalData_15[[#This Row],[IType]],IsDList,Table_ExternalData_15[[#Headers],[11]])</f>
        <v>0</v>
      </c>
      <c r="P147" s="10">
        <f>SUMIFS(IsQList,IsIList,Table_ExternalData_15[[#This Row],[item_key]],IsITypeList,Table_ExternalData_15[[#This Row],[IType]],IsDList,Table_ExternalData_15[[#Headers],[12]])</f>
        <v>0</v>
      </c>
      <c r="Q147" s="10">
        <f>SUMIFS(IsQList,IsIList,Table_ExternalData_15[[#This Row],[item_key]],IsITypeList,Table_ExternalData_15[[#This Row],[IType]],IsDList,Table_ExternalData_15[[#Headers],[13]])</f>
        <v>0</v>
      </c>
      <c r="R147" s="10">
        <f>SUMIFS(IsQList,IsIList,Table_ExternalData_15[[#This Row],[item_key]],IsITypeList,Table_ExternalData_15[[#This Row],[IType]],IsDList,Table_ExternalData_15[[#Headers],[14]])</f>
        <v>0</v>
      </c>
      <c r="S147" s="10">
        <f>SUMIFS(IsQList,IsIList,Table_ExternalData_15[[#This Row],[item_key]],IsITypeList,Table_ExternalData_15[[#This Row],[IType]],IsDList,Table_ExternalData_15[[#Headers],[15]])</f>
        <v>0</v>
      </c>
      <c r="T147" s="10">
        <f>SUMIFS(IsQList,IsIList,Table_ExternalData_15[[#This Row],[item_key]],IsITypeList,Table_ExternalData_15[[#This Row],[IType]],IsDList,Table_ExternalData_15[[#Headers],[16]])</f>
        <v>0</v>
      </c>
      <c r="U147" s="10">
        <f>SUMIFS(IsQList,IsIList,Table_ExternalData_15[[#This Row],[item_key]],IsITypeList,Table_ExternalData_15[[#This Row],[IType]],IsDList,Table_ExternalData_15[[#Headers],[17]])</f>
        <v>0</v>
      </c>
      <c r="V147" s="10">
        <f>SUMIFS(IsQList,IsIList,Table_ExternalData_15[[#This Row],[item_key]],IsITypeList,Table_ExternalData_15[[#This Row],[IType]],IsDList,Table_ExternalData_15[[#Headers],[18]])</f>
        <v>0</v>
      </c>
      <c r="W147" s="10">
        <f>SUMIFS(IsQList,IsIList,Table_ExternalData_15[[#This Row],[item_key]],IsITypeList,Table_ExternalData_15[[#This Row],[IType]],IsDList,Table_ExternalData_15[[#Headers],[19]])</f>
        <v>0</v>
      </c>
      <c r="X147" s="10">
        <f>SUMIFS(IsQList,IsIList,Table_ExternalData_15[[#This Row],[item_key]],IsITypeList,Table_ExternalData_15[[#This Row],[IType]],IsDList,Table_ExternalData_15[[#Headers],[20]])</f>
        <v>0</v>
      </c>
      <c r="Y147" s="10">
        <f>SUMIFS(IsQList,IsIList,Table_ExternalData_15[[#This Row],[item_key]],IsITypeList,Table_ExternalData_15[[#This Row],[IType]],IsDList,Table_ExternalData_15[[#Headers],[21]])</f>
        <v>0</v>
      </c>
      <c r="Z147" s="10">
        <f>SUMIFS(IsQList,IsIList,Table_ExternalData_15[[#This Row],[item_key]],IsITypeList,Table_ExternalData_15[[#This Row],[IType]],IsDList,Table_ExternalData_15[[#Headers],[22]])</f>
        <v>0</v>
      </c>
      <c r="AA147" s="10">
        <f>SUMIFS(IsQList,IsIList,Table_ExternalData_15[[#This Row],[item_key]],IsITypeList,Table_ExternalData_15[[#This Row],[IType]],IsDList,Table_ExternalData_15[[#Headers],[23]])</f>
        <v>0</v>
      </c>
      <c r="AB147" s="10">
        <f>SUMIFS(IsQList,IsIList,Table_ExternalData_15[[#This Row],[item_key]],IsITypeList,Table_ExternalData_15[[#This Row],[IType]],IsDList,Table_ExternalData_15[[#Headers],[24]])</f>
        <v>0</v>
      </c>
      <c r="AC147" s="10">
        <f>SUMIFS(IsQList,IsIList,Table_ExternalData_15[[#This Row],[item_key]],IsITypeList,Table_ExternalData_15[[#This Row],[IType]],IsDList,Table_ExternalData_15[[#Headers],[25]])</f>
        <v>0</v>
      </c>
      <c r="AD147" s="10">
        <f>SUMIFS(IsQList,IsIList,Table_ExternalData_15[[#This Row],[item_key]],IsITypeList,Table_ExternalData_15[[#This Row],[IType]],IsDList,Table_ExternalData_15[[#Headers],[26]])</f>
        <v>0</v>
      </c>
      <c r="AE147" s="10">
        <f>SUMIFS(IsQList,IsIList,Table_ExternalData_15[[#This Row],[item_key]],IsITypeList,Table_ExternalData_15[[#This Row],[IType]],IsDList,Table_ExternalData_15[[#Headers],[27]])</f>
        <v>0</v>
      </c>
      <c r="AF147" s="10">
        <f>SUMIFS(IsQList,IsIList,Table_ExternalData_15[[#This Row],[item_key]],IsITypeList,Table_ExternalData_15[[#This Row],[IType]],IsDList,Table_ExternalData_15[[#Headers],[28]])</f>
        <v>0</v>
      </c>
      <c r="AG147" s="10">
        <f>SUMIFS(IsQList,IsIList,Table_ExternalData_15[[#This Row],[item_key]],IsITypeList,Table_ExternalData_15[[#This Row],[IType]],IsDList,Table_ExternalData_15[[#Headers],[29]])</f>
        <v>0</v>
      </c>
      <c r="AH147" s="10">
        <f>SUMIFS(IsQList,IsIList,Table_ExternalData_15[[#This Row],[item_key]],IsITypeList,Table_ExternalData_15[[#This Row],[IType]],IsDList,Table_ExternalData_15[[#Headers],[30]])</f>
        <v>0</v>
      </c>
      <c r="AI147" s="10">
        <f>SUMIFS(IsQList,IsIList,Table_ExternalData_15[[#This Row],[item_key]],IsITypeList,Table_ExternalData_15[[#This Row],[IType]],IsDList,Table_ExternalData_15[[#Headers],[31]])</f>
        <v>0</v>
      </c>
      <c r="AJ147" s="10">
        <f>SUM(Table_ExternalData_15[[#This Row],[1]:[31]])</f>
        <v>22</v>
      </c>
    </row>
    <row r="148" spans="1:36">
      <c r="A148" s="1" t="s">
        <v>561</v>
      </c>
      <c r="B148" s="1" t="s">
        <v>1320</v>
      </c>
      <c r="C148" s="1" t="s">
        <v>1321</v>
      </c>
      <c r="D148" s="11" t="s">
        <v>72</v>
      </c>
      <c r="E148" s="10">
        <f>SUMIFS(IsQList,IsIList,Table_ExternalData_15[[#This Row],[item_key]],IsITypeList,Table_ExternalData_15[[#This Row],[IType]],IsDList,Table_ExternalData_15[[#Headers],[1]])</f>
        <v>0</v>
      </c>
      <c r="F148" s="10">
        <f>SUMIFS(IsQList,IsIList,Table_ExternalData_15[[#This Row],[item_key]],IsITypeList,Table_ExternalData_15[[#This Row],[IType]],IsDList,Table_ExternalData_15[[#Headers],[2]])</f>
        <v>0</v>
      </c>
      <c r="G148" s="10">
        <f>SUMIFS(IsQList,IsIList,Table_ExternalData_15[[#This Row],[item_key]],IsITypeList,Table_ExternalData_15[[#This Row],[IType]],IsDList,Table_ExternalData_15[[#Headers],[3]])</f>
        <v>0</v>
      </c>
      <c r="H148" s="10">
        <f>SUMIFS(IsQList,IsIList,Table_ExternalData_15[[#This Row],[item_key]],IsITypeList,Table_ExternalData_15[[#This Row],[IType]],IsDList,Table_ExternalData_15[[#Headers],[4]])</f>
        <v>0</v>
      </c>
      <c r="I148" s="10">
        <f>SUMIFS(IsQList,IsIList,Table_ExternalData_15[[#This Row],[item_key]],IsITypeList,Table_ExternalData_15[[#This Row],[IType]],IsDList,Table_ExternalData_15[[#Headers],[5]])</f>
        <v>0</v>
      </c>
      <c r="J148" s="10">
        <f>SUMIFS(IsQList,IsIList,Table_ExternalData_15[[#This Row],[item_key]],IsITypeList,Table_ExternalData_15[[#This Row],[IType]],IsDList,Table_ExternalData_15[[#Headers],[6]])</f>
        <v>0</v>
      </c>
      <c r="K148" s="10">
        <f>SUMIFS(IsQList,IsIList,Table_ExternalData_15[[#This Row],[item_key]],IsITypeList,Table_ExternalData_15[[#This Row],[IType]],IsDList,Table_ExternalData_15[[#Headers],[7]])</f>
        <v>0</v>
      </c>
      <c r="L148" s="10">
        <f>SUMIFS(IsQList,IsIList,Table_ExternalData_15[[#This Row],[item_key]],IsITypeList,Table_ExternalData_15[[#This Row],[IType]],IsDList,Table_ExternalData_15[[#Headers],[8]])</f>
        <v>0</v>
      </c>
      <c r="M148" s="10">
        <f>SUMIFS(IsQList,IsIList,Table_ExternalData_15[[#This Row],[item_key]],IsITypeList,Table_ExternalData_15[[#This Row],[IType]],IsDList,Table_ExternalData_15[[#Headers],[9]])</f>
        <v>0</v>
      </c>
      <c r="N148" s="10">
        <f>SUMIFS(IsQList,IsIList,Table_ExternalData_15[[#This Row],[item_key]],IsITypeList,Table_ExternalData_15[[#This Row],[IType]],IsDList,Table_ExternalData_15[[#Headers],[10]])</f>
        <v>0</v>
      </c>
      <c r="O148" s="10">
        <f>SUMIFS(IsQList,IsIList,Table_ExternalData_15[[#This Row],[item_key]],IsITypeList,Table_ExternalData_15[[#This Row],[IType]],IsDList,Table_ExternalData_15[[#Headers],[11]])</f>
        <v>0</v>
      </c>
      <c r="P148" s="10">
        <f>SUMIFS(IsQList,IsIList,Table_ExternalData_15[[#This Row],[item_key]],IsITypeList,Table_ExternalData_15[[#This Row],[IType]],IsDList,Table_ExternalData_15[[#Headers],[12]])</f>
        <v>0</v>
      </c>
      <c r="Q148" s="10">
        <f>SUMIFS(IsQList,IsIList,Table_ExternalData_15[[#This Row],[item_key]],IsITypeList,Table_ExternalData_15[[#This Row],[IType]],IsDList,Table_ExternalData_15[[#Headers],[13]])</f>
        <v>0</v>
      </c>
      <c r="R148" s="10">
        <f>SUMIFS(IsQList,IsIList,Table_ExternalData_15[[#This Row],[item_key]],IsITypeList,Table_ExternalData_15[[#This Row],[IType]],IsDList,Table_ExternalData_15[[#Headers],[14]])</f>
        <v>0</v>
      </c>
      <c r="S148" s="10">
        <f>SUMIFS(IsQList,IsIList,Table_ExternalData_15[[#This Row],[item_key]],IsITypeList,Table_ExternalData_15[[#This Row],[IType]],IsDList,Table_ExternalData_15[[#Headers],[15]])</f>
        <v>0</v>
      </c>
      <c r="T148" s="10">
        <f>SUMIFS(IsQList,IsIList,Table_ExternalData_15[[#This Row],[item_key]],IsITypeList,Table_ExternalData_15[[#This Row],[IType]],IsDList,Table_ExternalData_15[[#Headers],[16]])</f>
        <v>0</v>
      </c>
      <c r="U148" s="10">
        <f>SUMIFS(IsQList,IsIList,Table_ExternalData_15[[#This Row],[item_key]],IsITypeList,Table_ExternalData_15[[#This Row],[IType]],IsDList,Table_ExternalData_15[[#Headers],[17]])</f>
        <v>0</v>
      </c>
      <c r="V148" s="10">
        <f>SUMIFS(IsQList,IsIList,Table_ExternalData_15[[#This Row],[item_key]],IsITypeList,Table_ExternalData_15[[#This Row],[IType]],IsDList,Table_ExternalData_15[[#Headers],[18]])</f>
        <v>0</v>
      </c>
      <c r="W148" s="10">
        <f>SUMIFS(IsQList,IsIList,Table_ExternalData_15[[#This Row],[item_key]],IsITypeList,Table_ExternalData_15[[#This Row],[IType]],IsDList,Table_ExternalData_15[[#Headers],[19]])</f>
        <v>0</v>
      </c>
      <c r="X148" s="10">
        <f>SUMIFS(IsQList,IsIList,Table_ExternalData_15[[#This Row],[item_key]],IsITypeList,Table_ExternalData_15[[#This Row],[IType]],IsDList,Table_ExternalData_15[[#Headers],[20]])</f>
        <v>0</v>
      </c>
      <c r="Y148" s="10">
        <f>SUMIFS(IsQList,IsIList,Table_ExternalData_15[[#This Row],[item_key]],IsITypeList,Table_ExternalData_15[[#This Row],[IType]],IsDList,Table_ExternalData_15[[#Headers],[21]])</f>
        <v>0</v>
      </c>
      <c r="Z148" s="10">
        <f>SUMIFS(IsQList,IsIList,Table_ExternalData_15[[#This Row],[item_key]],IsITypeList,Table_ExternalData_15[[#This Row],[IType]],IsDList,Table_ExternalData_15[[#Headers],[22]])</f>
        <v>0</v>
      </c>
      <c r="AA148" s="10">
        <f>SUMIFS(IsQList,IsIList,Table_ExternalData_15[[#This Row],[item_key]],IsITypeList,Table_ExternalData_15[[#This Row],[IType]],IsDList,Table_ExternalData_15[[#Headers],[23]])</f>
        <v>0</v>
      </c>
      <c r="AB148" s="10">
        <f>SUMIFS(IsQList,IsIList,Table_ExternalData_15[[#This Row],[item_key]],IsITypeList,Table_ExternalData_15[[#This Row],[IType]],IsDList,Table_ExternalData_15[[#Headers],[24]])</f>
        <v>0</v>
      </c>
      <c r="AC148" s="10">
        <f>SUMIFS(IsQList,IsIList,Table_ExternalData_15[[#This Row],[item_key]],IsITypeList,Table_ExternalData_15[[#This Row],[IType]],IsDList,Table_ExternalData_15[[#Headers],[25]])</f>
        <v>0</v>
      </c>
      <c r="AD148" s="10">
        <f>SUMIFS(IsQList,IsIList,Table_ExternalData_15[[#This Row],[item_key]],IsITypeList,Table_ExternalData_15[[#This Row],[IType]],IsDList,Table_ExternalData_15[[#Headers],[26]])</f>
        <v>0</v>
      </c>
      <c r="AE148" s="10">
        <f>SUMIFS(IsQList,IsIList,Table_ExternalData_15[[#This Row],[item_key]],IsITypeList,Table_ExternalData_15[[#This Row],[IType]],IsDList,Table_ExternalData_15[[#Headers],[27]])</f>
        <v>0</v>
      </c>
      <c r="AF148" s="10">
        <f>SUMIFS(IsQList,IsIList,Table_ExternalData_15[[#This Row],[item_key]],IsITypeList,Table_ExternalData_15[[#This Row],[IType]],IsDList,Table_ExternalData_15[[#Headers],[28]])</f>
        <v>0</v>
      </c>
      <c r="AG148" s="10">
        <f>SUMIFS(IsQList,IsIList,Table_ExternalData_15[[#This Row],[item_key]],IsITypeList,Table_ExternalData_15[[#This Row],[IType]],IsDList,Table_ExternalData_15[[#Headers],[29]])</f>
        <v>0</v>
      </c>
      <c r="AH148" s="10">
        <f>SUMIFS(IsQList,IsIList,Table_ExternalData_15[[#This Row],[item_key]],IsITypeList,Table_ExternalData_15[[#This Row],[IType]],IsDList,Table_ExternalData_15[[#Headers],[30]])</f>
        <v>0</v>
      </c>
      <c r="AI148" s="10">
        <f>SUMIFS(IsQList,IsIList,Table_ExternalData_15[[#This Row],[item_key]],IsITypeList,Table_ExternalData_15[[#This Row],[IType]],IsDList,Table_ExternalData_15[[#Headers],[31]])</f>
        <v>0</v>
      </c>
      <c r="AJ148" s="10">
        <f>SUM(Table_ExternalData_15[[#This Row],[1]:[31]])</f>
        <v>0</v>
      </c>
    </row>
    <row r="149" spans="1:36">
      <c r="A149" s="1" t="s">
        <v>563</v>
      </c>
      <c r="B149" s="1" t="s">
        <v>2579</v>
      </c>
      <c r="C149" s="1" t="s">
        <v>2580</v>
      </c>
      <c r="D149" s="11" t="s">
        <v>72</v>
      </c>
      <c r="E149" s="10">
        <f>SUMIFS(IsQList,IsIList,Table_ExternalData_15[[#This Row],[item_key]],IsITypeList,Table_ExternalData_15[[#This Row],[IType]],IsDList,Table_ExternalData_15[[#Headers],[1]])</f>
        <v>0</v>
      </c>
      <c r="F149" s="10">
        <f>SUMIFS(IsQList,IsIList,Table_ExternalData_15[[#This Row],[item_key]],IsITypeList,Table_ExternalData_15[[#This Row],[IType]],IsDList,Table_ExternalData_15[[#Headers],[2]])</f>
        <v>0</v>
      </c>
      <c r="G149" s="10">
        <f>SUMIFS(IsQList,IsIList,Table_ExternalData_15[[#This Row],[item_key]],IsITypeList,Table_ExternalData_15[[#This Row],[IType]],IsDList,Table_ExternalData_15[[#Headers],[3]])</f>
        <v>0</v>
      </c>
      <c r="H149" s="10">
        <f>SUMIFS(IsQList,IsIList,Table_ExternalData_15[[#This Row],[item_key]],IsITypeList,Table_ExternalData_15[[#This Row],[IType]],IsDList,Table_ExternalData_15[[#Headers],[4]])</f>
        <v>0</v>
      </c>
      <c r="I149" s="10">
        <f>SUMIFS(IsQList,IsIList,Table_ExternalData_15[[#This Row],[item_key]],IsITypeList,Table_ExternalData_15[[#This Row],[IType]],IsDList,Table_ExternalData_15[[#Headers],[5]])</f>
        <v>0</v>
      </c>
      <c r="J149" s="10">
        <f>SUMIFS(IsQList,IsIList,Table_ExternalData_15[[#This Row],[item_key]],IsITypeList,Table_ExternalData_15[[#This Row],[IType]],IsDList,Table_ExternalData_15[[#Headers],[6]])</f>
        <v>0</v>
      </c>
      <c r="K149" s="10">
        <f>SUMIFS(IsQList,IsIList,Table_ExternalData_15[[#This Row],[item_key]],IsITypeList,Table_ExternalData_15[[#This Row],[IType]],IsDList,Table_ExternalData_15[[#Headers],[7]])</f>
        <v>0</v>
      </c>
      <c r="L149" s="10">
        <f>SUMIFS(IsQList,IsIList,Table_ExternalData_15[[#This Row],[item_key]],IsITypeList,Table_ExternalData_15[[#This Row],[IType]],IsDList,Table_ExternalData_15[[#Headers],[8]])</f>
        <v>0</v>
      </c>
      <c r="M149" s="10">
        <f>SUMIFS(IsQList,IsIList,Table_ExternalData_15[[#This Row],[item_key]],IsITypeList,Table_ExternalData_15[[#This Row],[IType]],IsDList,Table_ExternalData_15[[#Headers],[9]])</f>
        <v>0</v>
      </c>
      <c r="N149" s="10">
        <f>SUMIFS(IsQList,IsIList,Table_ExternalData_15[[#This Row],[item_key]],IsITypeList,Table_ExternalData_15[[#This Row],[IType]],IsDList,Table_ExternalData_15[[#Headers],[10]])</f>
        <v>0</v>
      </c>
      <c r="O149" s="10">
        <f>SUMIFS(IsQList,IsIList,Table_ExternalData_15[[#This Row],[item_key]],IsITypeList,Table_ExternalData_15[[#This Row],[IType]],IsDList,Table_ExternalData_15[[#Headers],[11]])</f>
        <v>0</v>
      </c>
      <c r="P149" s="10">
        <f>SUMIFS(IsQList,IsIList,Table_ExternalData_15[[#This Row],[item_key]],IsITypeList,Table_ExternalData_15[[#This Row],[IType]],IsDList,Table_ExternalData_15[[#Headers],[12]])</f>
        <v>0</v>
      </c>
      <c r="Q149" s="10">
        <f>SUMIFS(IsQList,IsIList,Table_ExternalData_15[[#This Row],[item_key]],IsITypeList,Table_ExternalData_15[[#This Row],[IType]],IsDList,Table_ExternalData_15[[#Headers],[13]])</f>
        <v>0</v>
      </c>
      <c r="R149" s="10">
        <f>SUMIFS(IsQList,IsIList,Table_ExternalData_15[[#This Row],[item_key]],IsITypeList,Table_ExternalData_15[[#This Row],[IType]],IsDList,Table_ExternalData_15[[#Headers],[14]])</f>
        <v>0</v>
      </c>
      <c r="S149" s="10">
        <f>SUMIFS(IsQList,IsIList,Table_ExternalData_15[[#This Row],[item_key]],IsITypeList,Table_ExternalData_15[[#This Row],[IType]],IsDList,Table_ExternalData_15[[#Headers],[15]])</f>
        <v>0</v>
      </c>
      <c r="T149" s="10">
        <f>SUMIFS(IsQList,IsIList,Table_ExternalData_15[[#This Row],[item_key]],IsITypeList,Table_ExternalData_15[[#This Row],[IType]],IsDList,Table_ExternalData_15[[#Headers],[16]])</f>
        <v>0</v>
      </c>
      <c r="U149" s="10">
        <f>SUMIFS(IsQList,IsIList,Table_ExternalData_15[[#This Row],[item_key]],IsITypeList,Table_ExternalData_15[[#This Row],[IType]],IsDList,Table_ExternalData_15[[#Headers],[17]])</f>
        <v>0</v>
      </c>
      <c r="V149" s="10">
        <f>SUMIFS(IsQList,IsIList,Table_ExternalData_15[[#This Row],[item_key]],IsITypeList,Table_ExternalData_15[[#This Row],[IType]],IsDList,Table_ExternalData_15[[#Headers],[18]])</f>
        <v>0</v>
      </c>
      <c r="W149" s="10">
        <f>SUMIFS(IsQList,IsIList,Table_ExternalData_15[[#This Row],[item_key]],IsITypeList,Table_ExternalData_15[[#This Row],[IType]],IsDList,Table_ExternalData_15[[#Headers],[19]])</f>
        <v>0</v>
      </c>
      <c r="X149" s="10">
        <f>SUMIFS(IsQList,IsIList,Table_ExternalData_15[[#This Row],[item_key]],IsITypeList,Table_ExternalData_15[[#This Row],[IType]],IsDList,Table_ExternalData_15[[#Headers],[20]])</f>
        <v>0</v>
      </c>
      <c r="Y149" s="10">
        <f>SUMIFS(IsQList,IsIList,Table_ExternalData_15[[#This Row],[item_key]],IsITypeList,Table_ExternalData_15[[#This Row],[IType]],IsDList,Table_ExternalData_15[[#Headers],[21]])</f>
        <v>0</v>
      </c>
      <c r="Z149" s="10">
        <f>SUMIFS(IsQList,IsIList,Table_ExternalData_15[[#This Row],[item_key]],IsITypeList,Table_ExternalData_15[[#This Row],[IType]],IsDList,Table_ExternalData_15[[#Headers],[22]])</f>
        <v>0</v>
      </c>
      <c r="AA149" s="10">
        <f>SUMIFS(IsQList,IsIList,Table_ExternalData_15[[#This Row],[item_key]],IsITypeList,Table_ExternalData_15[[#This Row],[IType]],IsDList,Table_ExternalData_15[[#Headers],[23]])</f>
        <v>0</v>
      </c>
      <c r="AB149" s="10">
        <f>SUMIFS(IsQList,IsIList,Table_ExternalData_15[[#This Row],[item_key]],IsITypeList,Table_ExternalData_15[[#This Row],[IType]],IsDList,Table_ExternalData_15[[#Headers],[24]])</f>
        <v>0</v>
      </c>
      <c r="AC149" s="10">
        <f>SUMIFS(IsQList,IsIList,Table_ExternalData_15[[#This Row],[item_key]],IsITypeList,Table_ExternalData_15[[#This Row],[IType]],IsDList,Table_ExternalData_15[[#Headers],[25]])</f>
        <v>0</v>
      </c>
      <c r="AD149" s="10">
        <f>SUMIFS(IsQList,IsIList,Table_ExternalData_15[[#This Row],[item_key]],IsITypeList,Table_ExternalData_15[[#This Row],[IType]],IsDList,Table_ExternalData_15[[#Headers],[26]])</f>
        <v>0</v>
      </c>
      <c r="AE149" s="10">
        <f>SUMIFS(IsQList,IsIList,Table_ExternalData_15[[#This Row],[item_key]],IsITypeList,Table_ExternalData_15[[#This Row],[IType]],IsDList,Table_ExternalData_15[[#Headers],[27]])</f>
        <v>0</v>
      </c>
      <c r="AF149" s="10">
        <f>SUMIFS(IsQList,IsIList,Table_ExternalData_15[[#This Row],[item_key]],IsITypeList,Table_ExternalData_15[[#This Row],[IType]],IsDList,Table_ExternalData_15[[#Headers],[28]])</f>
        <v>0</v>
      </c>
      <c r="AG149" s="10">
        <f>SUMIFS(IsQList,IsIList,Table_ExternalData_15[[#This Row],[item_key]],IsITypeList,Table_ExternalData_15[[#This Row],[IType]],IsDList,Table_ExternalData_15[[#Headers],[29]])</f>
        <v>0</v>
      </c>
      <c r="AH149" s="10">
        <f>SUMIFS(IsQList,IsIList,Table_ExternalData_15[[#This Row],[item_key]],IsITypeList,Table_ExternalData_15[[#This Row],[IType]],IsDList,Table_ExternalData_15[[#Headers],[30]])</f>
        <v>0</v>
      </c>
      <c r="AI149" s="10">
        <f>SUMIFS(IsQList,IsIList,Table_ExternalData_15[[#This Row],[item_key]],IsITypeList,Table_ExternalData_15[[#This Row],[IType]],IsDList,Table_ExternalData_15[[#Headers],[31]])</f>
        <v>0</v>
      </c>
      <c r="AJ149" s="10">
        <f>SUM(Table_ExternalData_15[[#This Row],[1]:[31]])</f>
        <v>0</v>
      </c>
    </row>
    <row r="150" spans="1:36">
      <c r="A150" s="1" t="s">
        <v>564</v>
      </c>
      <c r="B150" s="1" t="s">
        <v>1322</v>
      </c>
      <c r="C150" s="1" t="s">
        <v>1323</v>
      </c>
      <c r="D150" s="11" t="s">
        <v>72</v>
      </c>
      <c r="E150" s="10">
        <f>SUMIFS(IsQList,IsIList,Table_ExternalData_15[[#This Row],[item_key]],IsITypeList,Table_ExternalData_15[[#This Row],[IType]],IsDList,Table_ExternalData_15[[#Headers],[1]])</f>
        <v>0</v>
      </c>
      <c r="F150" s="10">
        <f>SUMIFS(IsQList,IsIList,Table_ExternalData_15[[#This Row],[item_key]],IsITypeList,Table_ExternalData_15[[#This Row],[IType]],IsDList,Table_ExternalData_15[[#Headers],[2]])</f>
        <v>0</v>
      </c>
      <c r="G150" s="10">
        <f>SUMIFS(IsQList,IsIList,Table_ExternalData_15[[#This Row],[item_key]],IsITypeList,Table_ExternalData_15[[#This Row],[IType]],IsDList,Table_ExternalData_15[[#Headers],[3]])</f>
        <v>0</v>
      </c>
      <c r="H150" s="10">
        <f>SUMIFS(IsQList,IsIList,Table_ExternalData_15[[#This Row],[item_key]],IsITypeList,Table_ExternalData_15[[#This Row],[IType]],IsDList,Table_ExternalData_15[[#Headers],[4]])</f>
        <v>0</v>
      </c>
      <c r="I150" s="10">
        <f>SUMIFS(IsQList,IsIList,Table_ExternalData_15[[#This Row],[item_key]],IsITypeList,Table_ExternalData_15[[#This Row],[IType]],IsDList,Table_ExternalData_15[[#Headers],[5]])</f>
        <v>0</v>
      </c>
      <c r="J150" s="10">
        <f>SUMIFS(IsQList,IsIList,Table_ExternalData_15[[#This Row],[item_key]],IsITypeList,Table_ExternalData_15[[#This Row],[IType]],IsDList,Table_ExternalData_15[[#Headers],[6]])</f>
        <v>0</v>
      </c>
      <c r="K150" s="10">
        <f>SUMIFS(IsQList,IsIList,Table_ExternalData_15[[#This Row],[item_key]],IsITypeList,Table_ExternalData_15[[#This Row],[IType]],IsDList,Table_ExternalData_15[[#Headers],[7]])</f>
        <v>0</v>
      </c>
      <c r="L150" s="10">
        <f>SUMIFS(IsQList,IsIList,Table_ExternalData_15[[#This Row],[item_key]],IsITypeList,Table_ExternalData_15[[#This Row],[IType]],IsDList,Table_ExternalData_15[[#Headers],[8]])</f>
        <v>0</v>
      </c>
      <c r="M150" s="10">
        <f>SUMIFS(IsQList,IsIList,Table_ExternalData_15[[#This Row],[item_key]],IsITypeList,Table_ExternalData_15[[#This Row],[IType]],IsDList,Table_ExternalData_15[[#Headers],[9]])</f>
        <v>0</v>
      </c>
      <c r="N150" s="10">
        <f>SUMIFS(IsQList,IsIList,Table_ExternalData_15[[#This Row],[item_key]],IsITypeList,Table_ExternalData_15[[#This Row],[IType]],IsDList,Table_ExternalData_15[[#Headers],[10]])</f>
        <v>1</v>
      </c>
      <c r="O150" s="10">
        <f>SUMIFS(IsQList,IsIList,Table_ExternalData_15[[#This Row],[item_key]],IsITypeList,Table_ExternalData_15[[#This Row],[IType]],IsDList,Table_ExternalData_15[[#Headers],[11]])</f>
        <v>0</v>
      </c>
      <c r="P150" s="10">
        <f>SUMIFS(IsQList,IsIList,Table_ExternalData_15[[#This Row],[item_key]],IsITypeList,Table_ExternalData_15[[#This Row],[IType]],IsDList,Table_ExternalData_15[[#Headers],[12]])</f>
        <v>0</v>
      </c>
      <c r="Q150" s="10">
        <f>SUMIFS(IsQList,IsIList,Table_ExternalData_15[[#This Row],[item_key]],IsITypeList,Table_ExternalData_15[[#This Row],[IType]],IsDList,Table_ExternalData_15[[#Headers],[13]])</f>
        <v>0</v>
      </c>
      <c r="R150" s="10">
        <f>SUMIFS(IsQList,IsIList,Table_ExternalData_15[[#This Row],[item_key]],IsITypeList,Table_ExternalData_15[[#This Row],[IType]],IsDList,Table_ExternalData_15[[#Headers],[14]])</f>
        <v>0</v>
      </c>
      <c r="S150" s="10">
        <f>SUMIFS(IsQList,IsIList,Table_ExternalData_15[[#This Row],[item_key]],IsITypeList,Table_ExternalData_15[[#This Row],[IType]],IsDList,Table_ExternalData_15[[#Headers],[15]])</f>
        <v>0</v>
      </c>
      <c r="T150" s="10">
        <f>SUMIFS(IsQList,IsIList,Table_ExternalData_15[[#This Row],[item_key]],IsITypeList,Table_ExternalData_15[[#This Row],[IType]],IsDList,Table_ExternalData_15[[#Headers],[16]])</f>
        <v>0</v>
      </c>
      <c r="U150" s="10">
        <f>SUMIFS(IsQList,IsIList,Table_ExternalData_15[[#This Row],[item_key]],IsITypeList,Table_ExternalData_15[[#This Row],[IType]],IsDList,Table_ExternalData_15[[#Headers],[17]])</f>
        <v>0</v>
      </c>
      <c r="V150" s="10">
        <f>SUMIFS(IsQList,IsIList,Table_ExternalData_15[[#This Row],[item_key]],IsITypeList,Table_ExternalData_15[[#This Row],[IType]],IsDList,Table_ExternalData_15[[#Headers],[18]])</f>
        <v>0</v>
      </c>
      <c r="W150" s="10">
        <f>SUMIFS(IsQList,IsIList,Table_ExternalData_15[[#This Row],[item_key]],IsITypeList,Table_ExternalData_15[[#This Row],[IType]],IsDList,Table_ExternalData_15[[#Headers],[19]])</f>
        <v>0</v>
      </c>
      <c r="X150" s="10">
        <f>SUMIFS(IsQList,IsIList,Table_ExternalData_15[[#This Row],[item_key]],IsITypeList,Table_ExternalData_15[[#This Row],[IType]],IsDList,Table_ExternalData_15[[#Headers],[20]])</f>
        <v>0</v>
      </c>
      <c r="Y150" s="10">
        <f>SUMIFS(IsQList,IsIList,Table_ExternalData_15[[#This Row],[item_key]],IsITypeList,Table_ExternalData_15[[#This Row],[IType]],IsDList,Table_ExternalData_15[[#Headers],[21]])</f>
        <v>0</v>
      </c>
      <c r="Z150" s="10">
        <f>SUMIFS(IsQList,IsIList,Table_ExternalData_15[[#This Row],[item_key]],IsITypeList,Table_ExternalData_15[[#This Row],[IType]],IsDList,Table_ExternalData_15[[#Headers],[22]])</f>
        <v>0</v>
      </c>
      <c r="AA150" s="10">
        <f>SUMIFS(IsQList,IsIList,Table_ExternalData_15[[#This Row],[item_key]],IsITypeList,Table_ExternalData_15[[#This Row],[IType]],IsDList,Table_ExternalData_15[[#Headers],[23]])</f>
        <v>0</v>
      </c>
      <c r="AB150" s="10">
        <f>SUMIFS(IsQList,IsIList,Table_ExternalData_15[[#This Row],[item_key]],IsITypeList,Table_ExternalData_15[[#This Row],[IType]],IsDList,Table_ExternalData_15[[#Headers],[24]])</f>
        <v>0</v>
      </c>
      <c r="AC150" s="10">
        <f>SUMIFS(IsQList,IsIList,Table_ExternalData_15[[#This Row],[item_key]],IsITypeList,Table_ExternalData_15[[#This Row],[IType]],IsDList,Table_ExternalData_15[[#Headers],[25]])</f>
        <v>0</v>
      </c>
      <c r="AD150" s="10">
        <f>SUMIFS(IsQList,IsIList,Table_ExternalData_15[[#This Row],[item_key]],IsITypeList,Table_ExternalData_15[[#This Row],[IType]],IsDList,Table_ExternalData_15[[#Headers],[26]])</f>
        <v>0</v>
      </c>
      <c r="AE150" s="10">
        <f>SUMIFS(IsQList,IsIList,Table_ExternalData_15[[#This Row],[item_key]],IsITypeList,Table_ExternalData_15[[#This Row],[IType]],IsDList,Table_ExternalData_15[[#Headers],[27]])</f>
        <v>0</v>
      </c>
      <c r="AF150" s="10">
        <f>SUMIFS(IsQList,IsIList,Table_ExternalData_15[[#This Row],[item_key]],IsITypeList,Table_ExternalData_15[[#This Row],[IType]],IsDList,Table_ExternalData_15[[#Headers],[28]])</f>
        <v>0</v>
      </c>
      <c r="AG150" s="10">
        <f>SUMIFS(IsQList,IsIList,Table_ExternalData_15[[#This Row],[item_key]],IsITypeList,Table_ExternalData_15[[#This Row],[IType]],IsDList,Table_ExternalData_15[[#Headers],[29]])</f>
        <v>0</v>
      </c>
      <c r="AH150" s="10">
        <f>SUMIFS(IsQList,IsIList,Table_ExternalData_15[[#This Row],[item_key]],IsITypeList,Table_ExternalData_15[[#This Row],[IType]],IsDList,Table_ExternalData_15[[#Headers],[30]])</f>
        <v>0</v>
      </c>
      <c r="AI150" s="10">
        <f>SUMIFS(IsQList,IsIList,Table_ExternalData_15[[#This Row],[item_key]],IsITypeList,Table_ExternalData_15[[#This Row],[IType]],IsDList,Table_ExternalData_15[[#Headers],[31]])</f>
        <v>0</v>
      </c>
      <c r="AJ150" s="10">
        <f>SUM(Table_ExternalData_15[[#This Row],[1]:[31]])</f>
        <v>1</v>
      </c>
    </row>
    <row r="151" spans="1:36">
      <c r="A151" s="1" t="s">
        <v>565</v>
      </c>
      <c r="B151" s="1" t="s">
        <v>1324</v>
      </c>
      <c r="C151" s="1" t="s">
        <v>1325</v>
      </c>
      <c r="D151" s="11" t="s">
        <v>72</v>
      </c>
      <c r="E151" s="10">
        <f>SUMIFS(IsQList,IsIList,Table_ExternalData_15[[#This Row],[item_key]],IsITypeList,Table_ExternalData_15[[#This Row],[IType]],IsDList,Table_ExternalData_15[[#Headers],[1]])</f>
        <v>0</v>
      </c>
      <c r="F151" s="10">
        <f>SUMIFS(IsQList,IsIList,Table_ExternalData_15[[#This Row],[item_key]],IsITypeList,Table_ExternalData_15[[#This Row],[IType]],IsDList,Table_ExternalData_15[[#Headers],[2]])</f>
        <v>0</v>
      </c>
      <c r="G151" s="10">
        <f>SUMIFS(IsQList,IsIList,Table_ExternalData_15[[#This Row],[item_key]],IsITypeList,Table_ExternalData_15[[#This Row],[IType]],IsDList,Table_ExternalData_15[[#Headers],[3]])</f>
        <v>0</v>
      </c>
      <c r="H151" s="10">
        <f>SUMIFS(IsQList,IsIList,Table_ExternalData_15[[#This Row],[item_key]],IsITypeList,Table_ExternalData_15[[#This Row],[IType]],IsDList,Table_ExternalData_15[[#Headers],[4]])</f>
        <v>0</v>
      </c>
      <c r="I151" s="10">
        <f>SUMIFS(IsQList,IsIList,Table_ExternalData_15[[#This Row],[item_key]],IsITypeList,Table_ExternalData_15[[#This Row],[IType]],IsDList,Table_ExternalData_15[[#Headers],[5]])</f>
        <v>0</v>
      </c>
      <c r="J151" s="10">
        <f>SUMIFS(IsQList,IsIList,Table_ExternalData_15[[#This Row],[item_key]],IsITypeList,Table_ExternalData_15[[#This Row],[IType]],IsDList,Table_ExternalData_15[[#Headers],[6]])</f>
        <v>0</v>
      </c>
      <c r="K151" s="10">
        <f>SUMIFS(IsQList,IsIList,Table_ExternalData_15[[#This Row],[item_key]],IsITypeList,Table_ExternalData_15[[#This Row],[IType]],IsDList,Table_ExternalData_15[[#Headers],[7]])</f>
        <v>0</v>
      </c>
      <c r="L151" s="10">
        <f>SUMIFS(IsQList,IsIList,Table_ExternalData_15[[#This Row],[item_key]],IsITypeList,Table_ExternalData_15[[#This Row],[IType]],IsDList,Table_ExternalData_15[[#Headers],[8]])</f>
        <v>0</v>
      </c>
      <c r="M151" s="10">
        <f>SUMIFS(IsQList,IsIList,Table_ExternalData_15[[#This Row],[item_key]],IsITypeList,Table_ExternalData_15[[#This Row],[IType]],IsDList,Table_ExternalData_15[[#Headers],[9]])</f>
        <v>0</v>
      </c>
      <c r="N151" s="10">
        <f>SUMIFS(IsQList,IsIList,Table_ExternalData_15[[#This Row],[item_key]],IsITypeList,Table_ExternalData_15[[#This Row],[IType]],IsDList,Table_ExternalData_15[[#Headers],[10]])</f>
        <v>0</v>
      </c>
      <c r="O151" s="10">
        <f>SUMIFS(IsQList,IsIList,Table_ExternalData_15[[#This Row],[item_key]],IsITypeList,Table_ExternalData_15[[#This Row],[IType]],IsDList,Table_ExternalData_15[[#Headers],[11]])</f>
        <v>0</v>
      </c>
      <c r="P151" s="10">
        <f>SUMIFS(IsQList,IsIList,Table_ExternalData_15[[#This Row],[item_key]],IsITypeList,Table_ExternalData_15[[#This Row],[IType]],IsDList,Table_ExternalData_15[[#Headers],[12]])</f>
        <v>0</v>
      </c>
      <c r="Q151" s="10">
        <f>SUMIFS(IsQList,IsIList,Table_ExternalData_15[[#This Row],[item_key]],IsITypeList,Table_ExternalData_15[[#This Row],[IType]],IsDList,Table_ExternalData_15[[#Headers],[13]])</f>
        <v>0</v>
      </c>
      <c r="R151" s="10">
        <f>SUMIFS(IsQList,IsIList,Table_ExternalData_15[[#This Row],[item_key]],IsITypeList,Table_ExternalData_15[[#This Row],[IType]],IsDList,Table_ExternalData_15[[#Headers],[14]])</f>
        <v>0</v>
      </c>
      <c r="S151" s="10">
        <f>SUMIFS(IsQList,IsIList,Table_ExternalData_15[[#This Row],[item_key]],IsITypeList,Table_ExternalData_15[[#This Row],[IType]],IsDList,Table_ExternalData_15[[#Headers],[15]])</f>
        <v>0</v>
      </c>
      <c r="T151" s="10">
        <f>SUMIFS(IsQList,IsIList,Table_ExternalData_15[[#This Row],[item_key]],IsITypeList,Table_ExternalData_15[[#This Row],[IType]],IsDList,Table_ExternalData_15[[#Headers],[16]])</f>
        <v>0</v>
      </c>
      <c r="U151" s="10">
        <f>SUMIFS(IsQList,IsIList,Table_ExternalData_15[[#This Row],[item_key]],IsITypeList,Table_ExternalData_15[[#This Row],[IType]],IsDList,Table_ExternalData_15[[#Headers],[17]])</f>
        <v>0</v>
      </c>
      <c r="V151" s="10">
        <f>SUMIFS(IsQList,IsIList,Table_ExternalData_15[[#This Row],[item_key]],IsITypeList,Table_ExternalData_15[[#This Row],[IType]],IsDList,Table_ExternalData_15[[#Headers],[18]])</f>
        <v>0</v>
      </c>
      <c r="W151" s="10">
        <f>SUMIFS(IsQList,IsIList,Table_ExternalData_15[[#This Row],[item_key]],IsITypeList,Table_ExternalData_15[[#This Row],[IType]],IsDList,Table_ExternalData_15[[#Headers],[19]])</f>
        <v>0</v>
      </c>
      <c r="X151" s="10">
        <f>SUMIFS(IsQList,IsIList,Table_ExternalData_15[[#This Row],[item_key]],IsITypeList,Table_ExternalData_15[[#This Row],[IType]],IsDList,Table_ExternalData_15[[#Headers],[20]])</f>
        <v>0</v>
      </c>
      <c r="Y151" s="10">
        <f>SUMIFS(IsQList,IsIList,Table_ExternalData_15[[#This Row],[item_key]],IsITypeList,Table_ExternalData_15[[#This Row],[IType]],IsDList,Table_ExternalData_15[[#Headers],[21]])</f>
        <v>0</v>
      </c>
      <c r="Z151" s="10">
        <f>SUMIFS(IsQList,IsIList,Table_ExternalData_15[[#This Row],[item_key]],IsITypeList,Table_ExternalData_15[[#This Row],[IType]],IsDList,Table_ExternalData_15[[#Headers],[22]])</f>
        <v>0</v>
      </c>
      <c r="AA151" s="10">
        <f>SUMIFS(IsQList,IsIList,Table_ExternalData_15[[#This Row],[item_key]],IsITypeList,Table_ExternalData_15[[#This Row],[IType]],IsDList,Table_ExternalData_15[[#Headers],[23]])</f>
        <v>0</v>
      </c>
      <c r="AB151" s="10">
        <f>SUMIFS(IsQList,IsIList,Table_ExternalData_15[[#This Row],[item_key]],IsITypeList,Table_ExternalData_15[[#This Row],[IType]],IsDList,Table_ExternalData_15[[#Headers],[24]])</f>
        <v>0</v>
      </c>
      <c r="AC151" s="10">
        <f>SUMIFS(IsQList,IsIList,Table_ExternalData_15[[#This Row],[item_key]],IsITypeList,Table_ExternalData_15[[#This Row],[IType]],IsDList,Table_ExternalData_15[[#Headers],[25]])</f>
        <v>0</v>
      </c>
      <c r="AD151" s="10">
        <f>SUMIFS(IsQList,IsIList,Table_ExternalData_15[[#This Row],[item_key]],IsITypeList,Table_ExternalData_15[[#This Row],[IType]],IsDList,Table_ExternalData_15[[#Headers],[26]])</f>
        <v>0</v>
      </c>
      <c r="AE151" s="10">
        <f>SUMIFS(IsQList,IsIList,Table_ExternalData_15[[#This Row],[item_key]],IsITypeList,Table_ExternalData_15[[#This Row],[IType]],IsDList,Table_ExternalData_15[[#Headers],[27]])</f>
        <v>0</v>
      </c>
      <c r="AF151" s="10">
        <f>SUMIFS(IsQList,IsIList,Table_ExternalData_15[[#This Row],[item_key]],IsITypeList,Table_ExternalData_15[[#This Row],[IType]],IsDList,Table_ExternalData_15[[#Headers],[28]])</f>
        <v>0</v>
      </c>
      <c r="AG151" s="10">
        <f>SUMIFS(IsQList,IsIList,Table_ExternalData_15[[#This Row],[item_key]],IsITypeList,Table_ExternalData_15[[#This Row],[IType]],IsDList,Table_ExternalData_15[[#Headers],[29]])</f>
        <v>0</v>
      </c>
      <c r="AH151" s="10">
        <f>SUMIFS(IsQList,IsIList,Table_ExternalData_15[[#This Row],[item_key]],IsITypeList,Table_ExternalData_15[[#This Row],[IType]],IsDList,Table_ExternalData_15[[#Headers],[30]])</f>
        <v>0</v>
      </c>
      <c r="AI151" s="10">
        <f>SUMIFS(IsQList,IsIList,Table_ExternalData_15[[#This Row],[item_key]],IsITypeList,Table_ExternalData_15[[#This Row],[IType]],IsDList,Table_ExternalData_15[[#Headers],[31]])</f>
        <v>0</v>
      </c>
      <c r="AJ151" s="10">
        <f>SUM(Table_ExternalData_15[[#This Row],[1]:[31]])</f>
        <v>0</v>
      </c>
    </row>
    <row r="152" spans="1:36">
      <c r="A152" s="1" t="s">
        <v>566</v>
      </c>
      <c r="B152" s="1" t="s">
        <v>2581</v>
      </c>
      <c r="C152" s="1" t="s">
        <v>2582</v>
      </c>
      <c r="D152" s="11" t="s">
        <v>72</v>
      </c>
      <c r="E152" s="10">
        <f>SUMIFS(IsQList,IsIList,Table_ExternalData_15[[#This Row],[item_key]],IsITypeList,Table_ExternalData_15[[#This Row],[IType]],IsDList,Table_ExternalData_15[[#Headers],[1]])</f>
        <v>0</v>
      </c>
      <c r="F152" s="10">
        <f>SUMIFS(IsQList,IsIList,Table_ExternalData_15[[#This Row],[item_key]],IsITypeList,Table_ExternalData_15[[#This Row],[IType]],IsDList,Table_ExternalData_15[[#Headers],[2]])</f>
        <v>0</v>
      </c>
      <c r="G152" s="10">
        <f>SUMIFS(IsQList,IsIList,Table_ExternalData_15[[#This Row],[item_key]],IsITypeList,Table_ExternalData_15[[#This Row],[IType]],IsDList,Table_ExternalData_15[[#Headers],[3]])</f>
        <v>0</v>
      </c>
      <c r="H152" s="10">
        <f>SUMIFS(IsQList,IsIList,Table_ExternalData_15[[#This Row],[item_key]],IsITypeList,Table_ExternalData_15[[#This Row],[IType]],IsDList,Table_ExternalData_15[[#Headers],[4]])</f>
        <v>0</v>
      </c>
      <c r="I152" s="10">
        <f>SUMIFS(IsQList,IsIList,Table_ExternalData_15[[#This Row],[item_key]],IsITypeList,Table_ExternalData_15[[#This Row],[IType]],IsDList,Table_ExternalData_15[[#Headers],[5]])</f>
        <v>0</v>
      </c>
      <c r="J152" s="10">
        <f>SUMIFS(IsQList,IsIList,Table_ExternalData_15[[#This Row],[item_key]],IsITypeList,Table_ExternalData_15[[#This Row],[IType]],IsDList,Table_ExternalData_15[[#Headers],[6]])</f>
        <v>0</v>
      </c>
      <c r="K152" s="10">
        <f>SUMIFS(IsQList,IsIList,Table_ExternalData_15[[#This Row],[item_key]],IsITypeList,Table_ExternalData_15[[#This Row],[IType]],IsDList,Table_ExternalData_15[[#Headers],[7]])</f>
        <v>0</v>
      </c>
      <c r="L152" s="10">
        <f>SUMIFS(IsQList,IsIList,Table_ExternalData_15[[#This Row],[item_key]],IsITypeList,Table_ExternalData_15[[#This Row],[IType]],IsDList,Table_ExternalData_15[[#Headers],[8]])</f>
        <v>0</v>
      </c>
      <c r="M152" s="10">
        <f>SUMIFS(IsQList,IsIList,Table_ExternalData_15[[#This Row],[item_key]],IsITypeList,Table_ExternalData_15[[#This Row],[IType]],IsDList,Table_ExternalData_15[[#Headers],[9]])</f>
        <v>0</v>
      </c>
      <c r="N152" s="10">
        <f>SUMIFS(IsQList,IsIList,Table_ExternalData_15[[#This Row],[item_key]],IsITypeList,Table_ExternalData_15[[#This Row],[IType]],IsDList,Table_ExternalData_15[[#Headers],[10]])</f>
        <v>0</v>
      </c>
      <c r="O152" s="10">
        <f>SUMIFS(IsQList,IsIList,Table_ExternalData_15[[#This Row],[item_key]],IsITypeList,Table_ExternalData_15[[#This Row],[IType]],IsDList,Table_ExternalData_15[[#Headers],[11]])</f>
        <v>0</v>
      </c>
      <c r="P152" s="10">
        <f>SUMIFS(IsQList,IsIList,Table_ExternalData_15[[#This Row],[item_key]],IsITypeList,Table_ExternalData_15[[#This Row],[IType]],IsDList,Table_ExternalData_15[[#Headers],[12]])</f>
        <v>0</v>
      </c>
      <c r="Q152" s="10">
        <f>SUMIFS(IsQList,IsIList,Table_ExternalData_15[[#This Row],[item_key]],IsITypeList,Table_ExternalData_15[[#This Row],[IType]],IsDList,Table_ExternalData_15[[#Headers],[13]])</f>
        <v>0</v>
      </c>
      <c r="R152" s="10">
        <f>SUMIFS(IsQList,IsIList,Table_ExternalData_15[[#This Row],[item_key]],IsITypeList,Table_ExternalData_15[[#This Row],[IType]],IsDList,Table_ExternalData_15[[#Headers],[14]])</f>
        <v>0</v>
      </c>
      <c r="S152" s="10">
        <f>SUMIFS(IsQList,IsIList,Table_ExternalData_15[[#This Row],[item_key]],IsITypeList,Table_ExternalData_15[[#This Row],[IType]],IsDList,Table_ExternalData_15[[#Headers],[15]])</f>
        <v>0</v>
      </c>
      <c r="T152" s="10">
        <f>SUMIFS(IsQList,IsIList,Table_ExternalData_15[[#This Row],[item_key]],IsITypeList,Table_ExternalData_15[[#This Row],[IType]],IsDList,Table_ExternalData_15[[#Headers],[16]])</f>
        <v>0</v>
      </c>
      <c r="U152" s="10">
        <f>SUMIFS(IsQList,IsIList,Table_ExternalData_15[[#This Row],[item_key]],IsITypeList,Table_ExternalData_15[[#This Row],[IType]],IsDList,Table_ExternalData_15[[#Headers],[17]])</f>
        <v>0</v>
      </c>
      <c r="V152" s="10">
        <f>SUMIFS(IsQList,IsIList,Table_ExternalData_15[[#This Row],[item_key]],IsITypeList,Table_ExternalData_15[[#This Row],[IType]],IsDList,Table_ExternalData_15[[#Headers],[18]])</f>
        <v>0</v>
      </c>
      <c r="W152" s="10">
        <f>SUMIFS(IsQList,IsIList,Table_ExternalData_15[[#This Row],[item_key]],IsITypeList,Table_ExternalData_15[[#This Row],[IType]],IsDList,Table_ExternalData_15[[#Headers],[19]])</f>
        <v>0</v>
      </c>
      <c r="X152" s="10">
        <f>SUMIFS(IsQList,IsIList,Table_ExternalData_15[[#This Row],[item_key]],IsITypeList,Table_ExternalData_15[[#This Row],[IType]],IsDList,Table_ExternalData_15[[#Headers],[20]])</f>
        <v>0</v>
      </c>
      <c r="Y152" s="10">
        <f>SUMIFS(IsQList,IsIList,Table_ExternalData_15[[#This Row],[item_key]],IsITypeList,Table_ExternalData_15[[#This Row],[IType]],IsDList,Table_ExternalData_15[[#Headers],[21]])</f>
        <v>0</v>
      </c>
      <c r="Z152" s="10">
        <f>SUMIFS(IsQList,IsIList,Table_ExternalData_15[[#This Row],[item_key]],IsITypeList,Table_ExternalData_15[[#This Row],[IType]],IsDList,Table_ExternalData_15[[#Headers],[22]])</f>
        <v>0</v>
      </c>
      <c r="AA152" s="10">
        <f>SUMIFS(IsQList,IsIList,Table_ExternalData_15[[#This Row],[item_key]],IsITypeList,Table_ExternalData_15[[#This Row],[IType]],IsDList,Table_ExternalData_15[[#Headers],[23]])</f>
        <v>0</v>
      </c>
      <c r="AB152" s="10">
        <f>SUMIFS(IsQList,IsIList,Table_ExternalData_15[[#This Row],[item_key]],IsITypeList,Table_ExternalData_15[[#This Row],[IType]],IsDList,Table_ExternalData_15[[#Headers],[24]])</f>
        <v>0</v>
      </c>
      <c r="AC152" s="10">
        <f>SUMIFS(IsQList,IsIList,Table_ExternalData_15[[#This Row],[item_key]],IsITypeList,Table_ExternalData_15[[#This Row],[IType]],IsDList,Table_ExternalData_15[[#Headers],[25]])</f>
        <v>0</v>
      </c>
      <c r="AD152" s="10">
        <f>SUMIFS(IsQList,IsIList,Table_ExternalData_15[[#This Row],[item_key]],IsITypeList,Table_ExternalData_15[[#This Row],[IType]],IsDList,Table_ExternalData_15[[#Headers],[26]])</f>
        <v>0</v>
      </c>
      <c r="AE152" s="10">
        <f>SUMIFS(IsQList,IsIList,Table_ExternalData_15[[#This Row],[item_key]],IsITypeList,Table_ExternalData_15[[#This Row],[IType]],IsDList,Table_ExternalData_15[[#Headers],[27]])</f>
        <v>0</v>
      </c>
      <c r="AF152" s="10">
        <f>SUMIFS(IsQList,IsIList,Table_ExternalData_15[[#This Row],[item_key]],IsITypeList,Table_ExternalData_15[[#This Row],[IType]],IsDList,Table_ExternalData_15[[#Headers],[28]])</f>
        <v>0</v>
      </c>
      <c r="AG152" s="10">
        <f>SUMIFS(IsQList,IsIList,Table_ExternalData_15[[#This Row],[item_key]],IsITypeList,Table_ExternalData_15[[#This Row],[IType]],IsDList,Table_ExternalData_15[[#Headers],[29]])</f>
        <v>0</v>
      </c>
      <c r="AH152" s="10">
        <f>SUMIFS(IsQList,IsIList,Table_ExternalData_15[[#This Row],[item_key]],IsITypeList,Table_ExternalData_15[[#This Row],[IType]],IsDList,Table_ExternalData_15[[#Headers],[30]])</f>
        <v>0</v>
      </c>
      <c r="AI152" s="10">
        <f>SUMIFS(IsQList,IsIList,Table_ExternalData_15[[#This Row],[item_key]],IsITypeList,Table_ExternalData_15[[#This Row],[IType]],IsDList,Table_ExternalData_15[[#Headers],[31]])</f>
        <v>0</v>
      </c>
      <c r="AJ152" s="10">
        <f>SUM(Table_ExternalData_15[[#This Row],[1]:[31]])</f>
        <v>0</v>
      </c>
    </row>
    <row r="153" spans="1:36">
      <c r="A153" s="1" t="s">
        <v>1751</v>
      </c>
      <c r="B153" s="1" t="s">
        <v>2583</v>
      </c>
      <c r="C153" s="1" t="s">
        <v>2584</v>
      </c>
      <c r="D153" s="11" t="s">
        <v>72</v>
      </c>
      <c r="E153" s="10">
        <f>SUMIFS(IsQList,IsIList,Table_ExternalData_15[[#This Row],[item_key]],IsITypeList,Table_ExternalData_15[[#This Row],[IType]],IsDList,Table_ExternalData_15[[#Headers],[1]])</f>
        <v>0</v>
      </c>
      <c r="F153" s="10">
        <f>SUMIFS(IsQList,IsIList,Table_ExternalData_15[[#This Row],[item_key]],IsITypeList,Table_ExternalData_15[[#This Row],[IType]],IsDList,Table_ExternalData_15[[#Headers],[2]])</f>
        <v>0</v>
      </c>
      <c r="G153" s="10">
        <f>SUMIFS(IsQList,IsIList,Table_ExternalData_15[[#This Row],[item_key]],IsITypeList,Table_ExternalData_15[[#This Row],[IType]],IsDList,Table_ExternalData_15[[#Headers],[3]])</f>
        <v>0</v>
      </c>
      <c r="H153" s="10">
        <f>SUMIFS(IsQList,IsIList,Table_ExternalData_15[[#This Row],[item_key]],IsITypeList,Table_ExternalData_15[[#This Row],[IType]],IsDList,Table_ExternalData_15[[#Headers],[4]])</f>
        <v>0</v>
      </c>
      <c r="I153" s="10">
        <f>SUMIFS(IsQList,IsIList,Table_ExternalData_15[[#This Row],[item_key]],IsITypeList,Table_ExternalData_15[[#This Row],[IType]],IsDList,Table_ExternalData_15[[#Headers],[5]])</f>
        <v>0</v>
      </c>
      <c r="J153" s="10">
        <f>SUMIFS(IsQList,IsIList,Table_ExternalData_15[[#This Row],[item_key]],IsITypeList,Table_ExternalData_15[[#This Row],[IType]],IsDList,Table_ExternalData_15[[#Headers],[6]])</f>
        <v>0</v>
      </c>
      <c r="K153" s="10">
        <f>SUMIFS(IsQList,IsIList,Table_ExternalData_15[[#This Row],[item_key]],IsITypeList,Table_ExternalData_15[[#This Row],[IType]],IsDList,Table_ExternalData_15[[#Headers],[7]])</f>
        <v>0</v>
      </c>
      <c r="L153" s="10">
        <f>SUMIFS(IsQList,IsIList,Table_ExternalData_15[[#This Row],[item_key]],IsITypeList,Table_ExternalData_15[[#This Row],[IType]],IsDList,Table_ExternalData_15[[#Headers],[8]])</f>
        <v>0</v>
      </c>
      <c r="M153" s="10">
        <f>SUMIFS(IsQList,IsIList,Table_ExternalData_15[[#This Row],[item_key]],IsITypeList,Table_ExternalData_15[[#This Row],[IType]],IsDList,Table_ExternalData_15[[#Headers],[9]])</f>
        <v>0</v>
      </c>
      <c r="N153" s="10">
        <f>SUMIFS(IsQList,IsIList,Table_ExternalData_15[[#This Row],[item_key]],IsITypeList,Table_ExternalData_15[[#This Row],[IType]],IsDList,Table_ExternalData_15[[#Headers],[10]])</f>
        <v>0</v>
      </c>
      <c r="O153" s="10">
        <f>SUMIFS(IsQList,IsIList,Table_ExternalData_15[[#This Row],[item_key]],IsITypeList,Table_ExternalData_15[[#This Row],[IType]],IsDList,Table_ExternalData_15[[#Headers],[11]])</f>
        <v>0</v>
      </c>
      <c r="P153" s="10">
        <f>SUMIFS(IsQList,IsIList,Table_ExternalData_15[[#This Row],[item_key]],IsITypeList,Table_ExternalData_15[[#This Row],[IType]],IsDList,Table_ExternalData_15[[#Headers],[12]])</f>
        <v>0</v>
      </c>
      <c r="Q153" s="10">
        <f>SUMIFS(IsQList,IsIList,Table_ExternalData_15[[#This Row],[item_key]],IsITypeList,Table_ExternalData_15[[#This Row],[IType]],IsDList,Table_ExternalData_15[[#Headers],[13]])</f>
        <v>0</v>
      </c>
      <c r="R153" s="10">
        <f>SUMIFS(IsQList,IsIList,Table_ExternalData_15[[#This Row],[item_key]],IsITypeList,Table_ExternalData_15[[#This Row],[IType]],IsDList,Table_ExternalData_15[[#Headers],[14]])</f>
        <v>0</v>
      </c>
      <c r="S153" s="10">
        <f>SUMIFS(IsQList,IsIList,Table_ExternalData_15[[#This Row],[item_key]],IsITypeList,Table_ExternalData_15[[#This Row],[IType]],IsDList,Table_ExternalData_15[[#Headers],[15]])</f>
        <v>0</v>
      </c>
      <c r="T153" s="10">
        <f>SUMIFS(IsQList,IsIList,Table_ExternalData_15[[#This Row],[item_key]],IsITypeList,Table_ExternalData_15[[#This Row],[IType]],IsDList,Table_ExternalData_15[[#Headers],[16]])</f>
        <v>0</v>
      </c>
      <c r="U153" s="10">
        <f>SUMIFS(IsQList,IsIList,Table_ExternalData_15[[#This Row],[item_key]],IsITypeList,Table_ExternalData_15[[#This Row],[IType]],IsDList,Table_ExternalData_15[[#Headers],[17]])</f>
        <v>0</v>
      </c>
      <c r="V153" s="10">
        <f>SUMIFS(IsQList,IsIList,Table_ExternalData_15[[#This Row],[item_key]],IsITypeList,Table_ExternalData_15[[#This Row],[IType]],IsDList,Table_ExternalData_15[[#Headers],[18]])</f>
        <v>0</v>
      </c>
      <c r="W153" s="10">
        <f>SUMIFS(IsQList,IsIList,Table_ExternalData_15[[#This Row],[item_key]],IsITypeList,Table_ExternalData_15[[#This Row],[IType]],IsDList,Table_ExternalData_15[[#Headers],[19]])</f>
        <v>0</v>
      </c>
      <c r="X153" s="10">
        <f>SUMIFS(IsQList,IsIList,Table_ExternalData_15[[#This Row],[item_key]],IsITypeList,Table_ExternalData_15[[#This Row],[IType]],IsDList,Table_ExternalData_15[[#Headers],[20]])</f>
        <v>0</v>
      </c>
      <c r="Y153" s="10">
        <f>SUMIFS(IsQList,IsIList,Table_ExternalData_15[[#This Row],[item_key]],IsITypeList,Table_ExternalData_15[[#This Row],[IType]],IsDList,Table_ExternalData_15[[#Headers],[21]])</f>
        <v>0</v>
      </c>
      <c r="Z153" s="10">
        <f>SUMIFS(IsQList,IsIList,Table_ExternalData_15[[#This Row],[item_key]],IsITypeList,Table_ExternalData_15[[#This Row],[IType]],IsDList,Table_ExternalData_15[[#Headers],[22]])</f>
        <v>0</v>
      </c>
      <c r="AA153" s="10">
        <f>SUMIFS(IsQList,IsIList,Table_ExternalData_15[[#This Row],[item_key]],IsITypeList,Table_ExternalData_15[[#This Row],[IType]],IsDList,Table_ExternalData_15[[#Headers],[23]])</f>
        <v>0</v>
      </c>
      <c r="AB153" s="10">
        <f>SUMIFS(IsQList,IsIList,Table_ExternalData_15[[#This Row],[item_key]],IsITypeList,Table_ExternalData_15[[#This Row],[IType]],IsDList,Table_ExternalData_15[[#Headers],[24]])</f>
        <v>0</v>
      </c>
      <c r="AC153" s="10">
        <f>SUMIFS(IsQList,IsIList,Table_ExternalData_15[[#This Row],[item_key]],IsITypeList,Table_ExternalData_15[[#This Row],[IType]],IsDList,Table_ExternalData_15[[#Headers],[25]])</f>
        <v>0</v>
      </c>
      <c r="AD153" s="10">
        <f>SUMIFS(IsQList,IsIList,Table_ExternalData_15[[#This Row],[item_key]],IsITypeList,Table_ExternalData_15[[#This Row],[IType]],IsDList,Table_ExternalData_15[[#Headers],[26]])</f>
        <v>0</v>
      </c>
      <c r="AE153" s="10">
        <f>SUMIFS(IsQList,IsIList,Table_ExternalData_15[[#This Row],[item_key]],IsITypeList,Table_ExternalData_15[[#This Row],[IType]],IsDList,Table_ExternalData_15[[#Headers],[27]])</f>
        <v>0</v>
      </c>
      <c r="AF153" s="10">
        <f>SUMIFS(IsQList,IsIList,Table_ExternalData_15[[#This Row],[item_key]],IsITypeList,Table_ExternalData_15[[#This Row],[IType]],IsDList,Table_ExternalData_15[[#Headers],[28]])</f>
        <v>0</v>
      </c>
      <c r="AG153" s="10">
        <f>SUMIFS(IsQList,IsIList,Table_ExternalData_15[[#This Row],[item_key]],IsITypeList,Table_ExternalData_15[[#This Row],[IType]],IsDList,Table_ExternalData_15[[#Headers],[29]])</f>
        <v>0</v>
      </c>
      <c r="AH153" s="10">
        <f>SUMIFS(IsQList,IsIList,Table_ExternalData_15[[#This Row],[item_key]],IsITypeList,Table_ExternalData_15[[#This Row],[IType]],IsDList,Table_ExternalData_15[[#Headers],[30]])</f>
        <v>2</v>
      </c>
      <c r="AI153" s="10">
        <f>SUMIFS(IsQList,IsIList,Table_ExternalData_15[[#This Row],[item_key]],IsITypeList,Table_ExternalData_15[[#This Row],[IType]],IsDList,Table_ExternalData_15[[#Headers],[31]])</f>
        <v>0</v>
      </c>
      <c r="AJ153" s="10">
        <f>SUM(Table_ExternalData_15[[#This Row],[1]:[31]])</f>
        <v>2</v>
      </c>
    </row>
    <row r="154" spans="1:36">
      <c r="A154" s="1" t="s">
        <v>1752</v>
      </c>
      <c r="B154" s="1" t="s">
        <v>1403</v>
      </c>
      <c r="C154" s="1" t="s">
        <v>1404</v>
      </c>
      <c r="D154" s="11" t="s">
        <v>72</v>
      </c>
      <c r="E154" s="10">
        <f>SUMIFS(IsQList,IsIList,Table_ExternalData_15[[#This Row],[item_key]],IsITypeList,Table_ExternalData_15[[#This Row],[IType]],IsDList,Table_ExternalData_15[[#Headers],[1]])</f>
        <v>0</v>
      </c>
      <c r="F154" s="10">
        <f>SUMIFS(IsQList,IsIList,Table_ExternalData_15[[#This Row],[item_key]],IsITypeList,Table_ExternalData_15[[#This Row],[IType]],IsDList,Table_ExternalData_15[[#Headers],[2]])</f>
        <v>0</v>
      </c>
      <c r="G154" s="10">
        <f>SUMIFS(IsQList,IsIList,Table_ExternalData_15[[#This Row],[item_key]],IsITypeList,Table_ExternalData_15[[#This Row],[IType]],IsDList,Table_ExternalData_15[[#Headers],[3]])</f>
        <v>0</v>
      </c>
      <c r="H154" s="10">
        <f>SUMIFS(IsQList,IsIList,Table_ExternalData_15[[#This Row],[item_key]],IsITypeList,Table_ExternalData_15[[#This Row],[IType]],IsDList,Table_ExternalData_15[[#Headers],[4]])</f>
        <v>0</v>
      </c>
      <c r="I154" s="10">
        <f>SUMIFS(IsQList,IsIList,Table_ExternalData_15[[#This Row],[item_key]],IsITypeList,Table_ExternalData_15[[#This Row],[IType]],IsDList,Table_ExternalData_15[[#Headers],[5]])</f>
        <v>0</v>
      </c>
      <c r="J154" s="10">
        <f>SUMIFS(IsQList,IsIList,Table_ExternalData_15[[#This Row],[item_key]],IsITypeList,Table_ExternalData_15[[#This Row],[IType]],IsDList,Table_ExternalData_15[[#Headers],[6]])</f>
        <v>20</v>
      </c>
      <c r="K154" s="10">
        <f>SUMIFS(IsQList,IsIList,Table_ExternalData_15[[#This Row],[item_key]],IsITypeList,Table_ExternalData_15[[#This Row],[IType]],IsDList,Table_ExternalData_15[[#Headers],[7]])</f>
        <v>0</v>
      </c>
      <c r="L154" s="10">
        <f>SUMIFS(IsQList,IsIList,Table_ExternalData_15[[#This Row],[item_key]],IsITypeList,Table_ExternalData_15[[#This Row],[IType]],IsDList,Table_ExternalData_15[[#Headers],[8]])</f>
        <v>0</v>
      </c>
      <c r="M154" s="10">
        <f>SUMIFS(IsQList,IsIList,Table_ExternalData_15[[#This Row],[item_key]],IsITypeList,Table_ExternalData_15[[#This Row],[IType]],IsDList,Table_ExternalData_15[[#Headers],[9]])</f>
        <v>0</v>
      </c>
      <c r="N154" s="10">
        <f>SUMIFS(IsQList,IsIList,Table_ExternalData_15[[#This Row],[item_key]],IsITypeList,Table_ExternalData_15[[#This Row],[IType]],IsDList,Table_ExternalData_15[[#Headers],[10]])</f>
        <v>0</v>
      </c>
      <c r="O154" s="10">
        <f>SUMIFS(IsQList,IsIList,Table_ExternalData_15[[#This Row],[item_key]],IsITypeList,Table_ExternalData_15[[#This Row],[IType]],IsDList,Table_ExternalData_15[[#Headers],[11]])</f>
        <v>0</v>
      </c>
      <c r="P154" s="10">
        <f>SUMIFS(IsQList,IsIList,Table_ExternalData_15[[#This Row],[item_key]],IsITypeList,Table_ExternalData_15[[#This Row],[IType]],IsDList,Table_ExternalData_15[[#Headers],[12]])</f>
        <v>0</v>
      </c>
      <c r="Q154" s="10">
        <f>SUMIFS(IsQList,IsIList,Table_ExternalData_15[[#This Row],[item_key]],IsITypeList,Table_ExternalData_15[[#This Row],[IType]],IsDList,Table_ExternalData_15[[#Headers],[13]])</f>
        <v>0</v>
      </c>
      <c r="R154" s="10">
        <f>SUMIFS(IsQList,IsIList,Table_ExternalData_15[[#This Row],[item_key]],IsITypeList,Table_ExternalData_15[[#This Row],[IType]],IsDList,Table_ExternalData_15[[#Headers],[14]])</f>
        <v>0</v>
      </c>
      <c r="S154" s="10">
        <f>SUMIFS(IsQList,IsIList,Table_ExternalData_15[[#This Row],[item_key]],IsITypeList,Table_ExternalData_15[[#This Row],[IType]],IsDList,Table_ExternalData_15[[#Headers],[15]])</f>
        <v>0</v>
      </c>
      <c r="T154" s="10">
        <f>SUMIFS(IsQList,IsIList,Table_ExternalData_15[[#This Row],[item_key]],IsITypeList,Table_ExternalData_15[[#This Row],[IType]],IsDList,Table_ExternalData_15[[#Headers],[16]])</f>
        <v>0</v>
      </c>
      <c r="U154" s="10">
        <f>SUMIFS(IsQList,IsIList,Table_ExternalData_15[[#This Row],[item_key]],IsITypeList,Table_ExternalData_15[[#This Row],[IType]],IsDList,Table_ExternalData_15[[#Headers],[17]])</f>
        <v>0</v>
      </c>
      <c r="V154" s="10">
        <f>SUMIFS(IsQList,IsIList,Table_ExternalData_15[[#This Row],[item_key]],IsITypeList,Table_ExternalData_15[[#This Row],[IType]],IsDList,Table_ExternalData_15[[#Headers],[18]])</f>
        <v>0</v>
      </c>
      <c r="W154" s="10">
        <f>SUMIFS(IsQList,IsIList,Table_ExternalData_15[[#This Row],[item_key]],IsITypeList,Table_ExternalData_15[[#This Row],[IType]],IsDList,Table_ExternalData_15[[#Headers],[19]])</f>
        <v>0</v>
      </c>
      <c r="X154" s="10">
        <f>SUMIFS(IsQList,IsIList,Table_ExternalData_15[[#This Row],[item_key]],IsITypeList,Table_ExternalData_15[[#This Row],[IType]],IsDList,Table_ExternalData_15[[#Headers],[20]])</f>
        <v>0</v>
      </c>
      <c r="Y154" s="10">
        <f>SUMIFS(IsQList,IsIList,Table_ExternalData_15[[#This Row],[item_key]],IsITypeList,Table_ExternalData_15[[#This Row],[IType]],IsDList,Table_ExternalData_15[[#Headers],[21]])</f>
        <v>0</v>
      </c>
      <c r="Z154" s="10">
        <f>SUMIFS(IsQList,IsIList,Table_ExternalData_15[[#This Row],[item_key]],IsITypeList,Table_ExternalData_15[[#This Row],[IType]],IsDList,Table_ExternalData_15[[#Headers],[22]])</f>
        <v>0</v>
      </c>
      <c r="AA154" s="10">
        <f>SUMIFS(IsQList,IsIList,Table_ExternalData_15[[#This Row],[item_key]],IsITypeList,Table_ExternalData_15[[#This Row],[IType]],IsDList,Table_ExternalData_15[[#Headers],[23]])</f>
        <v>0</v>
      </c>
      <c r="AB154" s="10">
        <f>SUMIFS(IsQList,IsIList,Table_ExternalData_15[[#This Row],[item_key]],IsITypeList,Table_ExternalData_15[[#This Row],[IType]],IsDList,Table_ExternalData_15[[#Headers],[24]])</f>
        <v>2</v>
      </c>
      <c r="AC154" s="10">
        <f>SUMIFS(IsQList,IsIList,Table_ExternalData_15[[#This Row],[item_key]],IsITypeList,Table_ExternalData_15[[#This Row],[IType]],IsDList,Table_ExternalData_15[[#Headers],[25]])</f>
        <v>0</v>
      </c>
      <c r="AD154" s="10">
        <f>SUMIFS(IsQList,IsIList,Table_ExternalData_15[[#This Row],[item_key]],IsITypeList,Table_ExternalData_15[[#This Row],[IType]],IsDList,Table_ExternalData_15[[#Headers],[26]])</f>
        <v>0</v>
      </c>
      <c r="AE154" s="10">
        <f>SUMIFS(IsQList,IsIList,Table_ExternalData_15[[#This Row],[item_key]],IsITypeList,Table_ExternalData_15[[#This Row],[IType]],IsDList,Table_ExternalData_15[[#Headers],[27]])</f>
        <v>0</v>
      </c>
      <c r="AF154" s="10">
        <f>SUMIFS(IsQList,IsIList,Table_ExternalData_15[[#This Row],[item_key]],IsITypeList,Table_ExternalData_15[[#This Row],[IType]],IsDList,Table_ExternalData_15[[#Headers],[28]])</f>
        <v>0</v>
      </c>
      <c r="AG154" s="10">
        <f>SUMIFS(IsQList,IsIList,Table_ExternalData_15[[#This Row],[item_key]],IsITypeList,Table_ExternalData_15[[#This Row],[IType]],IsDList,Table_ExternalData_15[[#Headers],[29]])</f>
        <v>0</v>
      </c>
      <c r="AH154" s="10">
        <f>SUMIFS(IsQList,IsIList,Table_ExternalData_15[[#This Row],[item_key]],IsITypeList,Table_ExternalData_15[[#This Row],[IType]],IsDList,Table_ExternalData_15[[#Headers],[30]])</f>
        <v>50</v>
      </c>
      <c r="AI154" s="10">
        <f>SUMIFS(IsQList,IsIList,Table_ExternalData_15[[#This Row],[item_key]],IsITypeList,Table_ExternalData_15[[#This Row],[IType]],IsDList,Table_ExternalData_15[[#Headers],[31]])</f>
        <v>0</v>
      </c>
      <c r="AJ154" s="10">
        <f>SUM(Table_ExternalData_15[[#This Row],[1]:[31]])</f>
        <v>72</v>
      </c>
    </row>
    <row r="155" spans="1:36">
      <c r="A155" s="1" t="s">
        <v>1755</v>
      </c>
      <c r="B155" s="1" t="s">
        <v>2373</v>
      </c>
      <c r="C155" s="1" t="s">
        <v>2374</v>
      </c>
      <c r="D155" s="11" t="s">
        <v>72</v>
      </c>
      <c r="E155" s="10">
        <f>SUMIFS(IsQList,IsIList,Table_ExternalData_15[[#This Row],[item_key]],IsITypeList,Table_ExternalData_15[[#This Row],[IType]],IsDList,Table_ExternalData_15[[#Headers],[1]])</f>
        <v>0</v>
      </c>
      <c r="F155" s="10">
        <f>SUMIFS(IsQList,IsIList,Table_ExternalData_15[[#This Row],[item_key]],IsITypeList,Table_ExternalData_15[[#This Row],[IType]],IsDList,Table_ExternalData_15[[#Headers],[2]])</f>
        <v>0</v>
      </c>
      <c r="G155" s="10">
        <f>SUMIFS(IsQList,IsIList,Table_ExternalData_15[[#This Row],[item_key]],IsITypeList,Table_ExternalData_15[[#This Row],[IType]],IsDList,Table_ExternalData_15[[#Headers],[3]])</f>
        <v>0</v>
      </c>
      <c r="H155" s="10">
        <f>SUMIFS(IsQList,IsIList,Table_ExternalData_15[[#This Row],[item_key]],IsITypeList,Table_ExternalData_15[[#This Row],[IType]],IsDList,Table_ExternalData_15[[#Headers],[4]])</f>
        <v>0</v>
      </c>
      <c r="I155" s="10">
        <f>SUMIFS(IsQList,IsIList,Table_ExternalData_15[[#This Row],[item_key]],IsITypeList,Table_ExternalData_15[[#This Row],[IType]],IsDList,Table_ExternalData_15[[#Headers],[5]])</f>
        <v>0</v>
      </c>
      <c r="J155" s="10">
        <f>SUMIFS(IsQList,IsIList,Table_ExternalData_15[[#This Row],[item_key]],IsITypeList,Table_ExternalData_15[[#This Row],[IType]],IsDList,Table_ExternalData_15[[#Headers],[6]])</f>
        <v>0</v>
      </c>
      <c r="K155" s="10">
        <f>SUMIFS(IsQList,IsIList,Table_ExternalData_15[[#This Row],[item_key]],IsITypeList,Table_ExternalData_15[[#This Row],[IType]],IsDList,Table_ExternalData_15[[#Headers],[7]])</f>
        <v>0</v>
      </c>
      <c r="L155" s="10">
        <f>SUMIFS(IsQList,IsIList,Table_ExternalData_15[[#This Row],[item_key]],IsITypeList,Table_ExternalData_15[[#This Row],[IType]],IsDList,Table_ExternalData_15[[#Headers],[8]])</f>
        <v>0</v>
      </c>
      <c r="M155" s="10">
        <f>SUMIFS(IsQList,IsIList,Table_ExternalData_15[[#This Row],[item_key]],IsITypeList,Table_ExternalData_15[[#This Row],[IType]],IsDList,Table_ExternalData_15[[#Headers],[9]])</f>
        <v>0</v>
      </c>
      <c r="N155" s="10">
        <f>SUMIFS(IsQList,IsIList,Table_ExternalData_15[[#This Row],[item_key]],IsITypeList,Table_ExternalData_15[[#This Row],[IType]],IsDList,Table_ExternalData_15[[#Headers],[10]])</f>
        <v>0</v>
      </c>
      <c r="O155" s="10">
        <f>SUMIFS(IsQList,IsIList,Table_ExternalData_15[[#This Row],[item_key]],IsITypeList,Table_ExternalData_15[[#This Row],[IType]],IsDList,Table_ExternalData_15[[#Headers],[11]])</f>
        <v>0</v>
      </c>
      <c r="P155" s="10">
        <f>SUMIFS(IsQList,IsIList,Table_ExternalData_15[[#This Row],[item_key]],IsITypeList,Table_ExternalData_15[[#This Row],[IType]],IsDList,Table_ExternalData_15[[#Headers],[12]])</f>
        <v>0</v>
      </c>
      <c r="Q155" s="10">
        <f>SUMIFS(IsQList,IsIList,Table_ExternalData_15[[#This Row],[item_key]],IsITypeList,Table_ExternalData_15[[#This Row],[IType]],IsDList,Table_ExternalData_15[[#Headers],[13]])</f>
        <v>0</v>
      </c>
      <c r="R155" s="10">
        <f>SUMIFS(IsQList,IsIList,Table_ExternalData_15[[#This Row],[item_key]],IsITypeList,Table_ExternalData_15[[#This Row],[IType]],IsDList,Table_ExternalData_15[[#Headers],[14]])</f>
        <v>0</v>
      </c>
      <c r="S155" s="10">
        <f>SUMIFS(IsQList,IsIList,Table_ExternalData_15[[#This Row],[item_key]],IsITypeList,Table_ExternalData_15[[#This Row],[IType]],IsDList,Table_ExternalData_15[[#Headers],[15]])</f>
        <v>0</v>
      </c>
      <c r="T155" s="10">
        <f>SUMIFS(IsQList,IsIList,Table_ExternalData_15[[#This Row],[item_key]],IsITypeList,Table_ExternalData_15[[#This Row],[IType]],IsDList,Table_ExternalData_15[[#Headers],[16]])</f>
        <v>0</v>
      </c>
      <c r="U155" s="10">
        <f>SUMIFS(IsQList,IsIList,Table_ExternalData_15[[#This Row],[item_key]],IsITypeList,Table_ExternalData_15[[#This Row],[IType]],IsDList,Table_ExternalData_15[[#Headers],[17]])</f>
        <v>0</v>
      </c>
      <c r="V155" s="10">
        <f>SUMIFS(IsQList,IsIList,Table_ExternalData_15[[#This Row],[item_key]],IsITypeList,Table_ExternalData_15[[#This Row],[IType]],IsDList,Table_ExternalData_15[[#Headers],[18]])</f>
        <v>0</v>
      </c>
      <c r="W155" s="10">
        <f>SUMIFS(IsQList,IsIList,Table_ExternalData_15[[#This Row],[item_key]],IsITypeList,Table_ExternalData_15[[#This Row],[IType]],IsDList,Table_ExternalData_15[[#Headers],[19]])</f>
        <v>0</v>
      </c>
      <c r="X155" s="10">
        <f>SUMIFS(IsQList,IsIList,Table_ExternalData_15[[#This Row],[item_key]],IsITypeList,Table_ExternalData_15[[#This Row],[IType]],IsDList,Table_ExternalData_15[[#Headers],[20]])</f>
        <v>0</v>
      </c>
      <c r="Y155" s="10">
        <f>SUMIFS(IsQList,IsIList,Table_ExternalData_15[[#This Row],[item_key]],IsITypeList,Table_ExternalData_15[[#This Row],[IType]],IsDList,Table_ExternalData_15[[#Headers],[21]])</f>
        <v>0</v>
      </c>
      <c r="Z155" s="10">
        <f>SUMIFS(IsQList,IsIList,Table_ExternalData_15[[#This Row],[item_key]],IsITypeList,Table_ExternalData_15[[#This Row],[IType]],IsDList,Table_ExternalData_15[[#Headers],[22]])</f>
        <v>0</v>
      </c>
      <c r="AA155" s="10">
        <f>SUMIFS(IsQList,IsIList,Table_ExternalData_15[[#This Row],[item_key]],IsITypeList,Table_ExternalData_15[[#This Row],[IType]],IsDList,Table_ExternalData_15[[#Headers],[23]])</f>
        <v>0</v>
      </c>
      <c r="AB155" s="10">
        <f>SUMIFS(IsQList,IsIList,Table_ExternalData_15[[#This Row],[item_key]],IsITypeList,Table_ExternalData_15[[#This Row],[IType]],IsDList,Table_ExternalData_15[[#Headers],[24]])</f>
        <v>0</v>
      </c>
      <c r="AC155" s="10">
        <f>SUMIFS(IsQList,IsIList,Table_ExternalData_15[[#This Row],[item_key]],IsITypeList,Table_ExternalData_15[[#This Row],[IType]],IsDList,Table_ExternalData_15[[#Headers],[25]])</f>
        <v>0</v>
      </c>
      <c r="AD155" s="10">
        <f>SUMIFS(IsQList,IsIList,Table_ExternalData_15[[#This Row],[item_key]],IsITypeList,Table_ExternalData_15[[#This Row],[IType]],IsDList,Table_ExternalData_15[[#Headers],[26]])</f>
        <v>0</v>
      </c>
      <c r="AE155" s="10">
        <f>SUMIFS(IsQList,IsIList,Table_ExternalData_15[[#This Row],[item_key]],IsITypeList,Table_ExternalData_15[[#This Row],[IType]],IsDList,Table_ExternalData_15[[#Headers],[27]])</f>
        <v>0</v>
      </c>
      <c r="AF155" s="10">
        <f>SUMIFS(IsQList,IsIList,Table_ExternalData_15[[#This Row],[item_key]],IsITypeList,Table_ExternalData_15[[#This Row],[IType]],IsDList,Table_ExternalData_15[[#Headers],[28]])</f>
        <v>0</v>
      </c>
      <c r="AG155" s="10">
        <f>SUMIFS(IsQList,IsIList,Table_ExternalData_15[[#This Row],[item_key]],IsITypeList,Table_ExternalData_15[[#This Row],[IType]],IsDList,Table_ExternalData_15[[#Headers],[29]])</f>
        <v>0</v>
      </c>
      <c r="AH155" s="10">
        <f>SUMIFS(IsQList,IsIList,Table_ExternalData_15[[#This Row],[item_key]],IsITypeList,Table_ExternalData_15[[#This Row],[IType]],IsDList,Table_ExternalData_15[[#Headers],[30]])</f>
        <v>0</v>
      </c>
      <c r="AI155" s="10">
        <f>SUMIFS(IsQList,IsIList,Table_ExternalData_15[[#This Row],[item_key]],IsITypeList,Table_ExternalData_15[[#This Row],[IType]],IsDList,Table_ExternalData_15[[#Headers],[31]])</f>
        <v>0</v>
      </c>
      <c r="AJ155" s="10">
        <f>SUM(Table_ExternalData_15[[#This Row],[1]:[31]])</f>
        <v>0</v>
      </c>
    </row>
    <row r="156" spans="1:36">
      <c r="A156" s="1" t="s">
        <v>567</v>
      </c>
      <c r="B156" s="1" t="s">
        <v>1326</v>
      </c>
      <c r="C156" s="1" t="s">
        <v>1327</v>
      </c>
      <c r="D156" s="11" t="s">
        <v>72</v>
      </c>
      <c r="E156" s="10">
        <f>SUMIFS(IsQList,IsIList,Table_ExternalData_15[[#This Row],[item_key]],IsITypeList,Table_ExternalData_15[[#This Row],[IType]],IsDList,Table_ExternalData_15[[#Headers],[1]])</f>
        <v>0</v>
      </c>
      <c r="F156" s="10">
        <f>SUMIFS(IsQList,IsIList,Table_ExternalData_15[[#This Row],[item_key]],IsITypeList,Table_ExternalData_15[[#This Row],[IType]],IsDList,Table_ExternalData_15[[#Headers],[2]])</f>
        <v>0</v>
      </c>
      <c r="G156" s="10">
        <f>SUMIFS(IsQList,IsIList,Table_ExternalData_15[[#This Row],[item_key]],IsITypeList,Table_ExternalData_15[[#This Row],[IType]],IsDList,Table_ExternalData_15[[#Headers],[3]])</f>
        <v>0</v>
      </c>
      <c r="H156" s="10">
        <f>SUMIFS(IsQList,IsIList,Table_ExternalData_15[[#This Row],[item_key]],IsITypeList,Table_ExternalData_15[[#This Row],[IType]],IsDList,Table_ExternalData_15[[#Headers],[4]])</f>
        <v>0</v>
      </c>
      <c r="I156" s="10">
        <f>SUMIFS(IsQList,IsIList,Table_ExternalData_15[[#This Row],[item_key]],IsITypeList,Table_ExternalData_15[[#This Row],[IType]],IsDList,Table_ExternalData_15[[#Headers],[5]])</f>
        <v>0</v>
      </c>
      <c r="J156" s="10">
        <f>SUMIFS(IsQList,IsIList,Table_ExternalData_15[[#This Row],[item_key]],IsITypeList,Table_ExternalData_15[[#This Row],[IType]],IsDList,Table_ExternalData_15[[#Headers],[6]])</f>
        <v>0</v>
      </c>
      <c r="K156" s="10">
        <f>SUMIFS(IsQList,IsIList,Table_ExternalData_15[[#This Row],[item_key]],IsITypeList,Table_ExternalData_15[[#This Row],[IType]],IsDList,Table_ExternalData_15[[#Headers],[7]])</f>
        <v>0</v>
      </c>
      <c r="L156" s="10">
        <f>SUMIFS(IsQList,IsIList,Table_ExternalData_15[[#This Row],[item_key]],IsITypeList,Table_ExternalData_15[[#This Row],[IType]],IsDList,Table_ExternalData_15[[#Headers],[8]])</f>
        <v>0</v>
      </c>
      <c r="M156" s="10">
        <f>SUMIFS(IsQList,IsIList,Table_ExternalData_15[[#This Row],[item_key]],IsITypeList,Table_ExternalData_15[[#This Row],[IType]],IsDList,Table_ExternalData_15[[#Headers],[9]])</f>
        <v>0</v>
      </c>
      <c r="N156" s="10">
        <f>SUMIFS(IsQList,IsIList,Table_ExternalData_15[[#This Row],[item_key]],IsITypeList,Table_ExternalData_15[[#This Row],[IType]],IsDList,Table_ExternalData_15[[#Headers],[10]])</f>
        <v>0</v>
      </c>
      <c r="O156" s="10">
        <f>SUMIFS(IsQList,IsIList,Table_ExternalData_15[[#This Row],[item_key]],IsITypeList,Table_ExternalData_15[[#This Row],[IType]],IsDList,Table_ExternalData_15[[#Headers],[11]])</f>
        <v>0</v>
      </c>
      <c r="P156" s="10">
        <f>SUMIFS(IsQList,IsIList,Table_ExternalData_15[[#This Row],[item_key]],IsITypeList,Table_ExternalData_15[[#This Row],[IType]],IsDList,Table_ExternalData_15[[#Headers],[12]])</f>
        <v>0</v>
      </c>
      <c r="Q156" s="10">
        <f>SUMIFS(IsQList,IsIList,Table_ExternalData_15[[#This Row],[item_key]],IsITypeList,Table_ExternalData_15[[#This Row],[IType]],IsDList,Table_ExternalData_15[[#Headers],[13]])</f>
        <v>0</v>
      </c>
      <c r="R156" s="10">
        <f>SUMIFS(IsQList,IsIList,Table_ExternalData_15[[#This Row],[item_key]],IsITypeList,Table_ExternalData_15[[#This Row],[IType]],IsDList,Table_ExternalData_15[[#Headers],[14]])</f>
        <v>0</v>
      </c>
      <c r="S156" s="10">
        <f>SUMIFS(IsQList,IsIList,Table_ExternalData_15[[#This Row],[item_key]],IsITypeList,Table_ExternalData_15[[#This Row],[IType]],IsDList,Table_ExternalData_15[[#Headers],[15]])</f>
        <v>0</v>
      </c>
      <c r="T156" s="10">
        <f>SUMIFS(IsQList,IsIList,Table_ExternalData_15[[#This Row],[item_key]],IsITypeList,Table_ExternalData_15[[#This Row],[IType]],IsDList,Table_ExternalData_15[[#Headers],[16]])</f>
        <v>0</v>
      </c>
      <c r="U156" s="10">
        <f>SUMIFS(IsQList,IsIList,Table_ExternalData_15[[#This Row],[item_key]],IsITypeList,Table_ExternalData_15[[#This Row],[IType]],IsDList,Table_ExternalData_15[[#Headers],[17]])</f>
        <v>0</v>
      </c>
      <c r="V156" s="10">
        <f>SUMIFS(IsQList,IsIList,Table_ExternalData_15[[#This Row],[item_key]],IsITypeList,Table_ExternalData_15[[#This Row],[IType]],IsDList,Table_ExternalData_15[[#Headers],[18]])</f>
        <v>0</v>
      </c>
      <c r="W156" s="10">
        <f>SUMIFS(IsQList,IsIList,Table_ExternalData_15[[#This Row],[item_key]],IsITypeList,Table_ExternalData_15[[#This Row],[IType]],IsDList,Table_ExternalData_15[[#Headers],[19]])</f>
        <v>0</v>
      </c>
      <c r="X156" s="10">
        <f>SUMIFS(IsQList,IsIList,Table_ExternalData_15[[#This Row],[item_key]],IsITypeList,Table_ExternalData_15[[#This Row],[IType]],IsDList,Table_ExternalData_15[[#Headers],[20]])</f>
        <v>0</v>
      </c>
      <c r="Y156" s="10">
        <f>SUMIFS(IsQList,IsIList,Table_ExternalData_15[[#This Row],[item_key]],IsITypeList,Table_ExternalData_15[[#This Row],[IType]],IsDList,Table_ExternalData_15[[#Headers],[21]])</f>
        <v>0</v>
      </c>
      <c r="Z156" s="10">
        <f>SUMIFS(IsQList,IsIList,Table_ExternalData_15[[#This Row],[item_key]],IsITypeList,Table_ExternalData_15[[#This Row],[IType]],IsDList,Table_ExternalData_15[[#Headers],[22]])</f>
        <v>0</v>
      </c>
      <c r="AA156" s="10">
        <f>SUMIFS(IsQList,IsIList,Table_ExternalData_15[[#This Row],[item_key]],IsITypeList,Table_ExternalData_15[[#This Row],[IType]],IsDList,Table_ExternalData_15[[#Headers],[23]])</f>
        <v>0</v>
      </c>
      <c r="AB156" s="10">
        <f>SUMIFS(IsQList,IsIList,Table_ExternalData_15[[#This Row],[item_key]],IsITypeList,Table_ExternalData_15[[#This Row],[IType]],IsDList,Table_ExternalData_15[[#Headers],[24]])</f>
        <v>0</v>
      </c>
      <c r="AC156" s="10">
        <f>SUMIFS(IsQList,IsIList,Table_ExternalData_15[[#This Row],[item_key]],IsITypeList,Table_ExternalData_15[[#This Row],[IType]],IsDList,Table_ExternalData_15[[#Headers],[25]])</f>
        <v>0</v>
      </c>
      <c r="AD156" s="10">
        <f>SUMIFS(IsQList,IsIList,Table_ExternalData_15[[#This Row],[item_key]],IsITypeList,Table_ExternalData_15[[#This Row],[IType]],IsDList,Table_ExternalData_15[[#Headers],[26]])</f>
        <v>0</v>
      </c>
      <c r="AE156" s="10">
        <f>SUMIFS(IsQList,IsIList,Table_ExternalData_15[[#This Row],[item_key]],IsITypeList,Table_ExternalData_15[[#This Row],[IType]],IsDList,Table_ExternalData_15[[#Headers],[27]])</f>
        <v>0</v>
      </c>
      <c r="AF156" s="10">
        <f>SUMIFS(IsQList,IsIList,Table_ExternalData_15[[#This Row],[item_key]],IsITypeList,Table_ExternalData_15[[#This Row],[IType]],IsDList,Table_ExternalData_15[[#Headers],[28]])</f>
        <v>0</v>
      </c>
      <c r="AG156" s="10">
        <f>SUMIFS(IsQList,IsIList,Table_ExternalData_15[[#This Row],[item_key]],IsITypeList,Table_ExternalData_15[[#This Row],[IType]],IsDList,Table_ExternalData_15[[#Headers],[29]])</f>
        <v>0</v>
      </c>
      <c r="AH156" s="10">
        <f>SUMIFS(IsQList,IsIList,Table_ExternalData_15[[#This Row],[item_key]],IsITypeList,Table_ExternalData_15[[#This Row],[IType]],IsDList,Table_ExternalData_15[[#Headers],[30]])</f>
        <v>0</v>
      </c>
      <c r="AI156" s="10">
        <f>SUMIFS(IsQList,IsIList,Table_ExternalData_15[[#This Row],[item_key]],IsITypeList,Table_ExternalData_15[[#This Row],[IType]],IsDList,Table_ExternalData_15[[#Headers],[31]])</f>
        <v>0</v>
      </c>
      <c r="AJ156" s="10">
        <f>SUM(Table_ExternalData_15[[#This Row],[1]:[31]])</f>
        <v>0</v>
      </c>
    </row>
    <row r="157" spans="1:36">
      <c r="A157" s="1" t="s">
        <v>608</v>
      </c>
      <c r="B157" s="1" t="s">
        <v>1328</v>
      </c>
      <c r="C157" s="1" t="s">
        <v>1329</v>
      </c>
      <c r="D157" s="11" t="s">
        <v>72</v>
      </c>
      <c r="E157" s="10">
        <f>SUMIFS(IsQList,IsIList,Table_ExternalData_15[[#This Row],[item_key]],IsITypeList,Table_ExternalData_15[[#This Row],[IType]],IsDList,Table_ExternalData_15[[#Headers],[1]])</f>
        <v>0</v>
      </c>
      <c r="F157" s="10">
        <f>SUMIFS(IsQList,IsIList,Table_ExternalData_15[[#This Row],[item_key]],IsITypeList,Table_ExternalData_15[[#This Row],[IType]],IsDList,Table_ExternalData_15[[#Headers],[2]])</f>
        <v>0</v>
      </c>
      <c r="G157" s="10">
        <f>SUMIFS(IsQList,IsIList,Table_ExternalData_15[[#This Row],[item_key]],IsITypeList,Table_ExternalData_15[[#This Row],[IType]],IsDList,Table_ExternalData_15[[#Headers],[3]])</f>
        <v>0</v>
      </c>
      <c r="H157" s="10">
        <f>SUMIFS(IsQList,IsIList,Table_ExternalData_15[[#This Row],[item_key]],IsITypeList,Table_ExternalData_15[[#This Row],[IType]],IsDList,Table_ExternalData_15[[#Headers],[4]])</f>
        <v>0</v>
      </c>
      <c r="I157" s="10">
        <f>SUMIFS(IsQList,IsIList,Table_ExternalData_15[[#This Row],[item_key]],IsITypeList,Table_ExternalData_15[[#This Row],[IType]],IsDList,Table_ExternalData_15[[#Headers],[5]])</f>
        <v>0</v>
      </c>
      <c r="J157" s="10">
        <f>SUMIFS(IsQList,IsIList,Table_ExternalData_15[[#This Row],[item_key]],IsITypeList,Table_ExternalData_15[[#This Row],[IType]],IsDList,Table_ExternalData_15[[#Headers],[6]])</f>
        <v>0</v>
      </c>
      <c r="K157" s="10">
        <f>SUMIFS(IsQList,IsIList,Table_ExternalData_15[[#This Row],[item_key]],IsITypeList,Table_ExternalData_15[[#This Row],[IType]],IsDList,Table_ExternalData_15[[#Headers],[7]])</f>
        <v>0</v>
      </c>
      <c r="L157" s="10">
        <f>SUMIFS(IsQList,IsIList,Table_ExternalData_15[[#This Row],[item_key]],IsITypeList,Table_ExternalData_15[[#This Row],[IType]],IsDList,Table_ExternalData_15[[#Headers],[8]])</f>
        <v>0</v>
      </c>
      <c r="M157" s="10">
        <f>SUMIFS(IsQList,IsIList,Table_ExternalData_15[[#This Row],[item_key]],IsITypeList,Table_ExternalData_15[[#This Row],[IType]],IsDList,Table_ExternalData_15[[#Headers],[9]])</f>
        <v>0</v>
      </c>
      <c r="N157" s="10">
        <f>SUMIFS(IsQList,IsIList,Table_ExternalData_15[[#This Row],[item_key]],IsITypeList,Table_ExternalData_15[[#This Row],[IType]],IsDList,Table_ExternalData_15[[#Headers],[10]])</f>
        <v>0</v>
      </c>
      <c r="O157" s="10">
        <f>SUMIFS(IsQList,IsIList,Table_ExternalData_15[[#This Row],[item_key]],IsITypeList,Table_ExternalData_15[[#This Row],[IType]],IsDList,Table_ExternalData_15[[#Headers],[11]])</f>
        <v>0</v>
      </c>
      <c r="P157" s="10">
        <f>SUMIFS(IsQList,IsIList,Table_ExternalData_15[[#This Row],[item_key]],IsITypeList,Table_ExternalData_15[[#This Row],[IType]],IsDList,Table_ExternalData_15[[#Headers],[12]])</f>
        <v>0</v>
      </c>
      <c r="Q157" s="10">
        <f>SUMIFS(IsQList,IsIList,Table_ExternalData_15[[#This Row],[item_key]],IsITypeList,Table_ExternalData_15[[#This Row],[IType]],IsDList,Table_ExternalData_15[[#Headers],[13]])</f>
        <v>0</v>
      </c>
      <c r="R157" s="10">
        <f>SUMIFS(IsQList,IsIList,Table_ExternalData_15[[#This Row],[item_key]],IsITypeList,Table_ExternalData_15[[#This Row],[IType]],IsDList,Table_ExternalData_15[[#Headers],[14]])</f>
        <v>0</v>
      </c>
      <c r="S157" s="10">
        <f>SUMIFS(IsQList,IsIList,Table_ExternalData_15[[#This Row],[item_key]],IsITypeList,Table_ExternalData_15[[#This Row],[IType]],IsDList,Table_ExternalData_15[[#Headers],[15]])</f>
        <v>0</v>
      </c>
      <c r="T157" s="10">
        <f>SUMIFS(IsQList,IsIList,Table_ExternalData_15[[#This Row],[item_key]],IsITypeList,Table_ExternalData_15[[#This Row],[IType]],IsDList,Table_ExternalData_15[[#Headers],[16]])</f>
        <v>0</v>
      </c>
      <c r="U157" s="10">
        <f>SUMIFS(IsQList,IsIList,Table_ExternalData_15[[#This Row],[item_key]],IsITypeList,Table_ExternalData_15[[#This Row],[IType]],IsDList,Table_ExternalData_15[[#Headers],[17]])</f>
        <v>0</v>
      </c>
      <c r="V157" s="10">
        <f>SUMIFS(IsQList,IsIList,Table_ExternalData_15[[#This Row],[item_key]],IsITypeList,Table_ExternalData_15[[#This Row],[IType]],IsDList,Table_ExternalData_15[[#Headers],[18]])</f>
        <v>0</v>
      </c>
      <c r="W157" s="10">
        <f>SUMIFS(IsQList,IsIList,Table_ExternalData_15[[#This Row],[item_key]],IsITypeList,Table_ExternalData_15[[#This Row],[IType]],IsDList,Table_ExternalData_15[[#Headers],[19]])</f>
        <v>0</v>
      </c>
      <c r="X157" s="10">
        <f>SUMIFS(IsQList,IsIList,Table_ExternalData_15[[#This Row],[item_key]],IsITypeList,Table_ExternalData_15[[#This Row],[IType]],IsDList,Table_ExternalData_15[[#Headers],[20]])</f>
        <v>0</v>
      </c>
      <c r="Y157" s="10">
        <f>SUMIFS(IsQList,IsIList,Table_ExternalData_15[[#This Row],[item_key]],IsITypeList,Table_ExternalData_15[[#This Row],[IType]],IsDList,Table_ExternalData_15[[#Headers],[21]])</f>
        <v>0</v>
      </c>
      <c r="Z157" s="10">
        <f>SUMIFS(IsQList,IsIList,Table_ExternalData_15[[#This Row],[item_key]],IsITypeList,Table_ExternalData_15[[#This Row],[IType]],IsDList,Table_ExternalData_15[[#Headers],[22]])</f>
        <v>0</v>
      </c>
      <c r="AA157" s="10">
        <f>SUMIFS(IsQList,IsIList,Table_ExternalData_15[[#This Row],[item_key]],IsITypeList,Table_ExternalData_15[[#This Row],[IType]],IsDList,Table_ExternalData_15[[#Headers],[23]])</f>
        <v>0</v>
      </c>
      <c r="AB157" s="10">
        <f>SUMIFS(IsQList,IsIList,Table_ExternalData_15[[#This Row],[item_key]],IsITypeList,Table_ExternalData_15[[#This Row],[IType]],IsDList,Table_ExternalData_15[[#Headers],[24]])</f>
        <v>0</v>
      </c>
      <c r="AC157" s="10">
        <f>SUMIFS(IsQList,IsIList,Table_ExternalData_15[[#This Row],[item_key]],IsITypeList,Table_ExternalData_15[[#This Row],[IType]],IsDList,Table_ExternalData_15[[#Headers],[25]])</f>
        <v>0</v>
      </c>
      <c r="AD157" s="10">
        <f>SUMIFS(IsQList,IsIList,Table_ExternalData_15[[#This Row],[item_key]],IsITypeList,Table_ExternalData_15[[#This Row],[IType]],IsDList,Table_ExternalData_15[[#Headers],[26]])</f>
        <v>0</v>
      </c>
      <c r="AE157" s="10">
        <f>SUMIFS(IsQList,IsIList,Table_ExternalData_15[[#This Row],[item_key]],IsITypeList,Table_ExternalData_15[[#This Row],[IType]],IsDList,Table_ExternalData_15[[#Headers],[27]])</f>
        <v>0</v>
      </c>
      <c r="AF157" s="10">
        <f>SUMIFS(IsQList,IsIList,Table_ExternalData_15[[#This Row],[item_key]],IsITypeList,Table_ExternalData_15[[#This Row],[IType]],IsDList,Table_ExternalData_15[[#Headers],[28]])</f>
        <v>0</v>
      </c>
      <c r="AG157" s="10">
        <f>SUMIFS(IsQList,IsIList,Table_ExternalData_15[[#This Row],[item_key]],IsITypeList,Table_ExternalData_15[[#This Row],[IType]],IsDList,Table_ExternalData_15[[#Headers],[29]])</f>
        <v>0</v>
      </c>
      <c r="AH157" s="10">
        <f>SUMIFS(IsQList,IsIList,Table_ExternalData_15[[#This Row],[item_key]],IsITypeList,Table_ExternalData_15[[#This Row],[IType]],IsDList,Table_ExternalData_15[[#Headers],[30]])</f>
        <v>0</v>
      </c>
      <c r="AI157" s="10">
        <f>SUMIFS(IsQList,IsIList,Table_ExternalData_15[[#This Row],[item_key]],IsITypeList,Table_ExternalData_15[[#This Row],[IType]],IsDList,Table_ExternalData_15[[#Headers],[31]])</f>
        <v>0</v>
      </c>
      <c r="AJ157" s="10">
        <f>SUM(Table_ExternalData_15[[#This Row],[1]:[31]])</f>
        <v>0</v>
      </c>
    </row>
    <row r="158" spans="1:36">
      <c r="A158" s="1" t="s">
        <v>609</v>
      </c>
      <c r="B158" s="1" t="s">
        <v>1330</v>
      </c>
      <c r="C158" s="1" t="s">
        <v>1331</v>
      </c>
      <c r="D158" s="11" t="s">
        <v>72</v>
      </c>
      <c r="E158" s="10">
        <f>SUMIFS(IsQList,IsIList,Table_ExternalData_15[[#This Row],[item_key]],IsITypeList,Table_ExternalData_15[[#This Row],[IType]],IsDList,Table_ExternalData_15[[#Headers],[1]])</f>
        <v>0</v>
      </c>
      <c r="F158" s="10">
        <f>SUMIFS(IsQList,IsIList,Table_ExternalData_15[[#This Row],[item_key]],IsITypeList,Table_ExternalData_15[[#This Row],[IType]],IsDList,Table_ExternalData_15[[#Headers],[2]])</f>
        <v>0</v>
      </c>
      <c r="G158" s="10">
        <f>SUMIFS(IsQList,IsIList,Table_ExternalData_15[[#This Row],[item_key]],IsITypeList,Table_ExternalData_15[[#This Row],[IType]],IsDList,Table_ExternalData_15[[#Headers],[3]])</f>
        <v>0</v>
      </c>
      <c r="H158" s="10">
        <f>SUMIFS(IsQList,IsIList,Table_ExternalData_15[[#This Row],[item_key]],IsITypeList,Table_ExternalData_15[[#This Row],[IType]],IsDList,Table_ExternalData_15[[#Headers],[4]])</f>
        <v>0</v>
      </c>
      <c r="I158" s="10">
        <f>SUMIFS(IsQList,IsIList,Table_ExternalData_15[[#This Row],[item_key]],IsITypeList,Table_ExternalData_15[[#This Row],[IType]],IsDList,Table_ExternalData_15[[#Headers],[5]])</f>
        <v>0</v>
      </c>
      <c r="J158" s="10">
        <f>SUMIFS(IsQList,IsIList,Table_ExternalData_15[[#This Row],[item_key]],IsITypeList,Table_ExternalData_15[[#This Row],[IType]],IsDList,Table_ExternalData_15[[#Headers],[6]])</f>
        <v>0</v>
      </c>
      <c r="K158" s="10">
        <f>SUMIFS(IsQList,IsIList,Table_ExternalData_15[[#This Row],[item_key]],IsITypeList,Table_ExternalData_15[[#This Row],[IType]],IsDList,Table_ExternalData_15[[#Headers],[7]])</f>
        <v>0</v>
      </c>
      <c r="L158" s="10">
        <f>SUMIFS(IsQList,IsIList,Table_ExternalData_15[[#This Row],[item_key]],IsITypeList,Table_ExternalData_15[[#This Row],[IType]],IsDList,Table_ExternalData_15[[#Headers],[8]])</f>
        <v>0</v>
      </c>
      <c r="M158" s="10">
        <f>SUMIFS(IsQList,IsIList,Table_ExternalData_15[[#This Row],[item_key]],IsITypeList,Table_ExternalData_15[[#This Row],[IType]],IsDList,Table_ExternalData_15[[#Headers],[9]])</f>
        <v>0</v>
      </c>
      <c r="N158" s="10">
        <f>SUMIFS(IsQList,IsIList,Table_ExternalData_15[[#This Row],[item_key]],IsITypeList,Table_ExternalData_15[[#This Row],[IType]],IsDList,Table_ExternalData_15[[#Headers],[10]])</f>
        <v>0</v>
      </c>
      <c r="O158" s="10">
        <f>SUMIFS(IsQList,IsIList,Table_ExternalData_15[[#This Row],[item_key]],IsITypeList,Table_ExternalData_15[[#This Row],[IType]],IsDList,Table_ExternalData_15[[#Headers],[11]])</f>
        <v>0</v>
      </c>
      <c r="P158" s="10">
        <f>SUMIFS(IsQList,IsIList,Table_ExternalData_15[[#This Row],[item_key]],IsITypeList,Table_ExternalData_15[[#This Row],[IType]],IsDList,Table_ExternalData_15[[#Headers],[12]])</f>
        <v>0</v>
      </c>
      <c r="Q158" s="10">
        <f>SUMIFS(IsQList,IsIList,Table_ExternalData_15[[#This Row],[item_key]],IsITypeList,Table_ExternalData_15[[#This Row],[IType]],IsDList,Table_ExternalData_15[[#Headers],[13]])</f>
        <v>0</v>
      </c>
      <c r="R158" s="10">
        <f>SUMIFS(IsQList,IsIList,Table_ExternalData_15[[#This Row],[item_key]],IsITypeList,Table_ExternalData_15[[#This Row],[IType]],IsDList,Table_ExternalData_15[[#Headers],[14]])</f>
        <v>0</v>
      </c>
      <c r="S158" s="10">
        <f>SUMIFS(IsQList,IsIList,Table_ExternalData_15[[#This Row],[item_key]],IsITypeList,Table_ExternalData_15[[#This Row],[IType]],IsDList,Table_ExternalData_15[[#Headers],[15]])</f>
        <v>0</v>
      </c>
      <c r="T158" s="10">
        <f>SUMIFS(IsQList,IsIList,Table_ExternalData_15[[#This Row],[item_key]],IsITypeList,Table_ExternalData_15[[#This Row],[IType]],IsDList,Table_ExternalData_15[[#Headers],[16]])</f>
        <v>0</v>
      </c>
      <c r="U158" s="10">
        <f>SUMIFS(IsQList,IsIList,Table_ExternalData_15[[#This Row],[item_key]],IsITypeList,Table_ExternalData_15[[#This Row],[IType]],IsDList,Table_ExternalData_15[[#Headers],[17]])</f>
        <v>0</v>
      </c>
      <c r="V158" s="10">
        <f>SUMIFS(IsQList,IsIList,Table_ExternalData_15[[#This Row],[item_key]],IsITypeList,Table_ExternalData_15[[#This Row],[IType]],IsDList,Table_ExternalData_15[[#Headers],[18]])</f>
        <v>0</v>
      </c>
      <c r="W158" s="10">
        <f>SUMIFS(IsQList,IsIList,Table_ExternalData_15[[#This Row],[item_key]],IsITypeList,Table_ExternalData_15[[#This Row],[IType]],IsDList,Table_ExternalData_15[[#Headers],[19]])</f>
        <v>0</v>
      </c>
      <c r="X158" s="10">
        <f>SUMIFS(IsQList,IsIList,Table_ExternalData_15[[#This Row],[item_key]],IsITypeList,Table_ExternalData_15[[#This Row],[IType]],IsDList,Table_ExternalData_15[[#Headers],[20]])</f>
        <v>0</v>
      </c>
      <c r="Y158" s="10">
        <f>SUMIFS(IsQList,IsIList,Table_ExternalData_15[[#This Row],[item_key]],IsITypeList,Table_ExternalData_15[[#This Row],[IType]],IsDList,Table_ExternalData_15[[#Headers],[21]])</f>
        <v>0</v>
      </c>
      <c r="Z158" s="10">
        <f>SUMIFS(IsQList,IsIList,Table_ExternalData_15[[#This Row],[item_key]],IsITypeList,Table_ExternalData_15[[#This Row],[IType]],IsDList,Table_ExternalData_15[[#Headers],[22]])</f>
        <v>0</v>
      </c>
      <c r="AA158" s="10">
        <f>SUMIFS(IsQList,IsIList,Table_ExternalData_15[[#This Row],[item_key]],IsITypeList,Table_ExternalData_15[[#This Row],[IType]],IsDList,Table_ExternalData_15[[#Headers],[23]])</f>
        <v>0</v>
      </c>
      <c r="AB158" s="10">
        <f>SUMIFS(IsQList,IsIList,Table_ExternalData_15[[#This Row],[item_key]],IsITypeList,Table_ExternalData_15[[#This Row],[IType]],IsDList,Table_ExternalData_15[[#Headers],[24]])</f>
        <v>0</v>
      </c>
      <c r="AC158" s="10">
        <f>SUMIFS(IsQList,IsIList,Table_ExternalData_15[[#This Row],[item_key]],IsITypeList,Table_ExternalData_15[[#This Row],[IType]],IsDList,Table_ExternalData_15[[#Headers],[25]])</f>
        <v>0</v>
      </c>
      <c r="AD158" s="10">
        <f>SUMIFS(IsQList,IsIList,Table_ExternalData_15[[#This Row],[item_key]],IsITypeList,Table_ExternalData_15[[#This Row],[IType]],IsDList,Table_ExternalData_15[[#Headers],[26]])</f>
        <v>0</v>
      </c>
      <c r="AE158" s="10">
        <f>SUMIFS(IsQList,IsIList,Table_ExternalData_15[[#This Row],[item_key]],IsITypeList,Table_ExternalData_15[[#This Row],[IType]],IsDList,Table_ExternalData_15[[#Headers],[27]])</f>
        <v>0</v>
      </c>
      <c r="AF158" s="10">
        <f>SUMIFS(IsQList,IsIList,Table_ExternalData_15[[#This Row],[item_key]],IsITypeList,Table_ExternalData_15[[#This Row],[IType]],IsDList,Table_ExternalData_15[[#Headers],[28]])</f>
        <v>0</v>
      </c>
      <c r="AG158" s="10">
        <f>SUMIFS(IsQList,IsIList,Table_ExternalData_15[[#This Row],[item_key]],IsITypeList,Table_ExternalData_15[[#This Row],[IType]],IsDList,Table_ExternalData_15[[#Headers],[29]])</f>
        <v>0</v>
      </c>
      <c r="AH158" s="10">
        <f>SUMIFS(IsQList,IsIList,Table_ExternalData_15[[#This Row],[item_key]],IsITypeList,Table_ExternalData_15[[#This Row],[IType]],IsDList,Table_ExternalData_15[[#Headers],[30]])</f>
        <v>0</v>
      </c>
      <c r="AI158" s="10">
        <f>SUMIFS(IsQList,IsIList,Table_ExternalData_15[[#This Row],[item_key]],IsITypeList,Table_ExternalData_15[[#This Row],[IType]],IsDList,Table_ExternalData_15[[#Headers],[31]])</f>
        <v>0</v>
      </c>
      <c r="AJ158" s="10">
        <f>SUM(Table_ExternalData_15[[#This Row],[1]:[31]])</f>
        <v>0</v>
      </c>
    </row>
    <row r="159" spans="1:36">
      <c r="A159" s="1" t="s">
        <v>610</v>
      </c>
      <c r="B159" s="1" t="s">
        <v>2397</v>
      </c>
      <c r="C159" s="1" t="s">
        <v>2398</v>
      </c>
      <c r="D159" s="11" t="s">
        <v>72</v>
      </c>
      <c r="E159" s="10">
        <f>SUMIFS(IsQList,IsIList,Table_ExternalData_15[[#This Row],[item_key]],IsITypeList,Table_ExternalData_15[[#This Row],[IType]],IsDList,Table_ExternalData_15[[#Headers],[1]])</f>
        <v>0</v>
      </c>
      <c r="F159" s="10">
        <f>SUMIFS(IsQList,IsIList,Table_ExternalData_15[[#This Row],[item_key]],IsITypeList,Table_ExternalData_15[[#This Row],[IType]],IsDList,Table_ExternalData_15[[#Headers],[2]])</f>
        <v>0</v>
      </c>
      <c r="G159" s="10">
        <f>SUMIFS(IsQList,IsIList,Table_ExternalData_15[[#This Row],[item_key]],IsITypeList,Table_ExternalData_15[[#This Row],[IType]],IsDList,Table_ExternalData_15[[#Headers],[3]])</f>
        <v>0</v>
      </c>
      <c r="H159" s="10">
        <f>SUMIFS(IsQList,IsIList,Table_ExternalData_15[[#This Row],[item_key]],IsITypeList,Table_ExternalData_15[[#This Row],[IType]],IsDList,Table_ExternalData_15[[#Headers],[4]])</f>
        <v>0</v>
      </c>
      <c r="I159" s="10">
        <f>SUMIFS(IsQList,IsIList,Table_ExternalData_15[[#This Row],[item_key]],IsITypeList,Table_ExternalData_15[[#This Row],[IType]],IsDList,Table_ExternalData_15[[#Headers],[5]])</f>
        <v>0</v>
      </c>
      <c r="J159" s="10">
        <f>SUMIFS(IsQList,IsIList,Table_ExternalData_15[[#This Row],[item_key]],IsITypeList,Table_ExternalData_15[[#This Row],[IType]],IsDList,Table_ExternalData_15[[#Headers],[6]])</f>
        <v>0</v>
      </c>
      <c r="K159" s="10">
        <f>SUMIFS(IsQList,IsIList,Table_ExternalData_15[[#This Row],[item_key]],IsITypeList,Table_ExternalData_15[[#This Row],[IType]],IsDList,Table_ExternalData_15[[#Headers],[7]])</f>
        <v>0</v>
      </c>
      <c r="L159" s="10">
        <f>SUMIFS(IsQList,IsIList,Table_ExternalData_15[[#This Row],[item_key]],IsITypeList,Table_ExternalData_15[[#This Row],[IType]],IsDList,Table_ExternalData_15[[#Headers],[8]])</f>
        <v>0</v>
      </c>
      <c r="M159" s="10">
        <f>SUMIFS(IsQList,IsIList,Table_ExternalData_15[[#This Row],[item_key]],IsITypeList,Table_ExternalData_15[[#This Row],[IType]],IsDList,Table_ExternalData_15[[#Headers],[9]])</f>
        <v>0</v>
      </c>
      <c r="N159" s="10">
        <f>SUMIFS(IsQList,IsIList,Table_ExternalData_15[[#This Row],[item_key]],IsITypeList,Table_ExternalData_15[[#This Row],[IType]],IsDList,Table_ExternalData_15[[#Headers],[10]])</f>
        <v>0</v>
      </c>
      <c r="O159" s="10">
        <f>SUMIFS(IsQList,IsIList,Table_ExternalData_15[[#This Row],[item_key]],IsITypeList,Table_ExternalData_15[[#This Row],[IType]],IsDList,Table_ExternalData_15[[#Headers],[11]])</f>
        <v>0</v>
      </c>
      <c r="P159" s="10">
        <f>SUMIFS(IsQList,IsIList,Table_ExternalData_15[[#This Row],[item_key]],IsITypeList,Table_ExternalData_15[[#This Row],[IType]],IsDList,Table_ExternalData_15[[#Headers],[12]])</f>
        <v>0</v>
      </c>
      <c r="Q159" s="10">
        <f>SUMIFS(IsQList,IsIList,Table_ExternalData_15[[#This Row],[item_key]],IsITypeList,Table_ExternalData_15[[#This Row],[IType]],IsDList,Table_ExternalData_15[[#Headers],[13]])</f>
        <v>0</v>
      </c>
      <c r="R159" s="10">
        <f>SUMIFS(IsQList,IsIList,Table_ExternalData_15[[#This Row],[item_key]],IsITypeList,Table_ExternalData_15[[#This Row],[IType]],IsDList,Table_ExternalData_15[[#Headers],[14]])</f>
        <v>0</v>
      </c>
      <c r="S159" s="10">
        <f>SUMIFS(IsQList,IsIList,Table_ExternalData_15[[#This Row],[item_key]],IsITypeList,Table_ExternalData_15[[#This Row],[IType]],IsDList,Table_ExternalData_15[[#Headers],[15]])</f>
        <v>0</v>
      </c>
      <c r="T159" s="10">
        <f>SUMIFS(IsQList,IsIList,Table_ExternalData_15[[#This Row],[item_key]],IsITypeList,Table_ExternalData_15[[#This Row],[IType]],IsDList,Table_ExternalData_15[[#Headers],[16]])</f>
        <v>0</v>
      </c>
      <c r="U159" s="10">
        <f>SUMIFS(IsQList,IsIList,Table_ExternalData_15[[#This Row],[item_key]],IsITypeList,Table_ExternalData_15[[#This Row],[IType]],IsDList,Table_ExternalData_15[[#Headers],[17]])</f>
        <v>0</v>
      </c>
      <c r="V159" s="10">
        <f>SUMIFS(IsQList,IsIList,Table_ExternalData_15[[#This Row],[item_key]],IsITypeList,Table_ExternalData_15[[#This Row],[IType]],IsDList,Table_ExternalData_15[[#Headers],[18]])</f>
        <v>0</v>
      </c>
      <c r="W159" s="10">
        <f>SUMIFS(IsQList,IsIList,Table_ExternalData_15[[#This Row],[item_key]],IsITypeList,Table_ExternalData_15[[#This Row],[IType]],IsDList,Table_ExternalData_15[[#Headers],[19]])</f>
        <v>0</v>
      </c>
      <c r="X159" s="10">
        <f>SUMIFS(IsQList,IsIList,Table_ExternalData_15[[#This Row],[item_key]],IsITypeList,Table_ExternalData_15[[#This Row],[IType]],IsDList,Table_ExternalData_15[[#Headers],[20]])</f>
        <v>0</v>
      </c>
      <c r="Y159" s="10">
        <f>SUMIFS(IsQList,IsIList,Table_ExternalData_15[[#This Row],[item_key]],IsITypeList,Table_ExternalData_15[[#This Row],[IType]],IsDList,Table_ExternalData_15[[#Headers],[21]])</f>
        <v>0</v>
      </c>
      <c r="Z159" s="10">
        <f>SUMIFS(IsQList,IsIList,Table_ExternalData_15[[#This Row],[item_key]],IsITypeList,Table_ExternalData_15[[#This Row],[IType]],IsDList,Table_ExternalData_15[[#Headers],[22]])</f>
        <v>0</v>
      </c>
      <c r="AA159" s="10">
        <f>SUMIFS(IsQList,IsIList,Table_ExternalData_15[[#This Row],[item_key]],IsITypeList,Table_ExternalData_15[[#This Row],[IType]],IsDList,Table_ExternalData_15[[#Headers],[23]])</f>
        <v>0</v>
      </c>
      <c r="AB159" s="10">
        <f>SUMIFS(IsQList,IsIList,Table_ExternalData_15[[#This Row],[item_key]],IsITypeList,Table_ExternalData_15[[#This Row],[IType]],IsDList,Table_ExternalData_15[[#Headers],[24]])</f>
        <v>0</v>
      </c>
      <c r="AC159" s="10">
        <f>SUMIFS(IsQList,IsIList,Table_ExternalData_15[[#This Row],[item_key]],IsITypeList,Table_ExternalData_15[[#This Row],[IType]],IsDList,Table_ExternalData_15[[#Headers],[25]])</f>
        <v>0</v>
      </c>
      <c r="AD159" s="10">
        <f>SUMIFS(IsQList,IsIList,Table_ExternalData_15[[#This Row],[item_key]],IsITypeList,Table_ExternalData_15[[#This Row],[IType]],IsDList,Table_ExternalData_15[[#Headers],[26]])</f>
        <v>0</v>
      </c>
      <c r="AE159" s="10">
        <f>SUMIFS(IsQList,IsIList,Table_ExternalData_15[[#This Row],[item_key]],IsITypeList,Table_ExternalData_15[[#This Row],[IType]],IsDList,Table_ExternalData_15[[#Headers],[27]])</f>
        <v>0</v>
      </c>
      <c r="AF159" s="10">
        <f>SUMIFS(IsQList,IsIList,Table_ExternalData_15[[#This Row],[item_key]],IsITypeList,Table_ExternalData_15[[#This Row],[IType]],IsDList,Table_ExternalData_15[[#Headers],[28]])</f>
        <v>0</v>
      </c>
      <c r="AG159" s="10">
        <f>SUMIFS(IsQList,IsIList,Table_ExternalData_15[[#This Row],[item_key]],IsITypeList,Table_ExternalData_15[[#This Row],[IType]],IsDList,Table_ExternalData_15[[#Headers],[29]])</f>
        <v>0</v>
      </c>
      <c r="AH159" s="10">
        <f>SUMIFS(IsQList,IsIList,Table_ExternalData_15[[#This Row],[item_key]],IsITypeList,Table_ExternalData_15[[#This Row],[IType]],IsDList,Table_ExternalData_15[[#Headers],[30]])</f>
        <v>0</v>
      </c>
      <c r="AI159" s="10">
        <f>SUMIFS(IsQList,IsIList,Table_ExternalData_15[[#This Row],[item_key]],IsITypeList,Table_ExternalData_15[[#This Row],[IType]],IsDList,Table_ExternalData_15[[#Headers],[31]])</f>
        <v>0</v>
      </c>
      <c r="AJ159" s="10">
        <f>SUM(Table_ExternalData_15[[#This Row],[1]:[31]])</f>
        <v>0</v>
      </c>
    </row>
    <row r="160" spans="1:36">
      <c r="A160" s="1" t="s">
        <v>1759</v>
      </c>
      <c r="B160" s="1" t="s">
        <v>2587</v>
      </c>
      <c r="C160" s="1" t="s">
        <v>2588</v>
      </c>
      <c r="D160" s="11" t="s">
        <v>72</v>
      </c>
      <c r="E160" s="10">
        <f>SUMIFS(IsQList,IsIList,Table_ExternalData_15[[#This Row],[item_key]],IsITypeList,Table_ExternalData_15[[#This Row],[IType]],IsDList,Table_ExternalData_15[[#Headers],[1]])</f>
        <v>0</v>
      </c>
      <c r="F160" s="10">
        <f>SUMIFS(IsQList,IsIList,Table_ExternalData_15[[#This Row],[item_key]],IsITypeList,Table_ExternalData_15[[#This Row],[IType]],IsDList,Table_ExternalData_15[[#Headers],[2]])</f>
        <v>0</v>
      </c>
      <c r="G160" s="10">
        <f>SUMIFS(IsQList,IsIList,Table_ExternalData_15[[#This Row],[item_key]],IsITypeList,Table_ExternalData_15[[#This Row],[IType]],IsDList,Table_ExternalData_15[[#Headers],[3]])</f>
        <v>0</v>
      </c>
      <c r="H160" s="10">
        <f>SUMIFS(IsQList,IsIList,Table_ExternalData_15[[#This Row],[item_key]],IsITypeList,Table_ExternalData_15[[#This Row],[IType]],IsDList,Table_ExternalData_15[[#Headers],[4]])</f>
        <v>0</v>
      </c>
      <c r="I160" s="10">
        <f>SUMIFS(IsQList,IsIList,Table_ExternalData_15[[#This Row],[item_key]],IsITypeList,Table_ExternalData_15[[#This Row],[IType]],IsDList,Table_ExternalData_15[[#Headers],[5]])</f>
        <v>0</v>
      </c>
      <c r="J160" s="10">
        <f>SUMIFS(IsQList,IsIList,Table_ExternalData_15[[#This Row],[item_key]],IsITypeList,Table_ExternalData_15[[#This Row],[IType]],IsDList,Table_ExternalData_15[[#Headers],[6]])</f>
        <v>10</v>
      </c>
      <c r="K160" s="10">
        <f>SUMIFS(IsQList,IsIList,Table_ExternalData_15[[#This Row],[item_key]],IsITypeList,Table_ExternalData_15[[#This Row],[IType]],IsDList,Table_ExternalData_15[[#Headers],[7]])</f>
        <v>0</v>
      </c>
      <c r="L160" s="10">
        <f>SUMIFS(IsQList,IsIList,Table_ExternalData_15[[#This Row],[item_key]],IsITypeList,Table_ExternalData_15[[#This Row],[IType]],IsDList,Table_ExternalData_15[[#Headers],[8]])</f>
        <v>0</v>
      </c>
      <c r="M160" s="10">
        <f>SUMIFS(IsQList,IsIList,Table_ExternalData_15[[#This Row],[item_key]],IsITypeList,Table_ExternalData_15[[#This Row],[IType]],IsDList,Table_ExternalData_15[[#Headers],[9]])</f>
        <v>0</v>
      </c>
      <c r="N160" s="10">
        <f>SUMIFS(IsQList,IsIList,Table_ExternalData_15[[#This Row],[item_key]],IsITypeList,Table_ExternalData_15[[#This Row],[IType]],IsDList,Table_ExternalData_15[[#Headers],[10]])</f>
        <v>0</v>
      </c>
      <c r="O160" s="10">
        <f>SUMIFS(IsQList,IsIList,Table_ExternalData_15[[#This Row],[item_key]],IsITypeList,Table_ExternalData_15[[#This Row],[IType]],IsDList,Table_ExternalData_15[[#Headers],[11]])</f>
        <v>0</v>
      </c>
      <c r="P160" s="10">
        <f>SUMIFS(IsQList,IsIList,Table_ExternalData_15[[#This Row],[item_key]],IsITypeList,Table_ExternalData_15[[#This Row],[IType]],IsDList,Table_ExternalData_15[[#Headers],[12]])</f>
        <v>0</v>
      </c>
      <c r="Q160" s="10">
        <f>SUMIFS(IsQList,IsIList,Table_ExternalData_15[[#This Row],[item_key]],IsITypeList,Table_ExternalData_15[[#This Row],[IType]],IsDList,Table_ExternalData_15[[#Headers],[13]])</f>
        <v>0</v>
      </c>
      <c r="R160" s="10">
        <f>SUMIFS(IsQList,IsIList,Table_ExternalData_15[[#This Row],[item_key]],IsITypeList,Table_ExternalData_15[[#This Row],[IType]],IsDList,Table_ExternalData_15[[#Headers],[14]])</f>
        <v>0</v>
      </c>
      <c r="S160" s="10">
        <f>SUMIFS(IsQList,IsIList,Table_ExternalData_15[[#This Row],[item_key]],IsITypeList,Table_ExternalData_15[[#This Row],[IType]],IsDList,Table_ExternalData_15[[#Headers],[15]])</f>
        <v>0</v>
      </c>
      <c r="T160" s="10">
        <f>SUMIFS(IsQList,IsIList,Table_ExternalData_15[[#This Row],[item_key]],IsITypeList,Table_ExternalData_15[[#This Row],[IType]],IsDList,Table_ExternalData_15[[#Headers],[16]])</f>
        <v>0</v>
      </c>
      <c r="U160" s="10">
        <f>SUMIFS(IsQList,IsIList,Table_ExternalData_15[[#This Row],[item_key]],IsITypeList,Table_ExternalData_15[[#This Row],[IType]],IsDList,Table_ExternalData_15[[#Headers],[17]])</f>
        <v>0</v>
      </c>
      <c r="V160" s="10">
        <f>SUMIFS(IsQList,IsIList,Table_ExternalData_15[[#This Row],[item_key]],IsITypeList,Table_ExternalData_15[[#This Row],[IType]],IsDList,Table_ExternalData_15[[#Headers],[18]])</f>
        <v>0</v>
      </c>
      <c r="W160" s="10">
        <f>SUMIFS(IsQList,IsIList,Table_ExternalData_15[[#This Row],[item_key]],IsITypeList,Table_ExternalData_15[[#This Row],[IType]],IsDList,Table_ExternalData_15[[#Headers],[19]])</f>
        <v>0</v>
      </c>
      <c r="X160" s="10">
        <f>SUMIFS(IsQList,IsIList,Table_ExternalData_15[[#This Row],[item_key]],IsITypeList,Table_ExternalData_15[[#This Row],[IType]],IsDList,Table_ExternalData_15[[#Headers],[20]])</f>
        <v>0</v>
      </c>
      <c r="Y160" s="10">
        <f>SUMIFS(IsQList,IsIList,Table_ExternalData_15[[#This Row],[item_key]],IsITypeList,Table_ExternalData_15[[#This Row],[IType]],IsDList,Table_ExternalData_15[[#Headers],[21]])</f>
        <v>0</v>
      </c>
      <c r="Z160" s="10">
        <f>SUMIFS(IsQList,IsIList,Table_ExternalData_15[[#This Row],[item_key]],IsITypeList,Table_ExternalData_15[[#This Row],[IType]],IsDList,Table_ExternalData_15[[#Headers],[22]])</f>
        <v>0</v>
      </c>
      <c r="AA160" s="10">
        <f>SUMIFS(IsQList,IsIList,Table_ExternalData_15[[#This Row],[item_key]],IsITypeList,Table_ExternalData_15[[#This Row],[IType]],IsDList,Table_ExternalData_15[[#Headers],[23]])</f>
        <v>0</v>
      </c>
      <c r="AB160" s="10">
        <f>SUMIFS(IsQList,IsIList,Table_ExternalData_15[[#This Row],[item_key]],IsITypeList,Table_ExternalData_15[[#This Row],[IType]],IsDList,Table_ExternalData_15[[#Headers],[24]])</f>
        <v>0</v>
      </c>
      <c r="AC160" s="10">
        <f>SUMIFS(IsQList,IsIList,Table_ExternalData_15[[#This Row],[item_key]],IsITypeList,Table_ExternalData_15[[#This Row],[IType]],IsDList,Table_ExternalData_15[[#Headers],[25]])</f>
        <v>0</v>
      </c>
      <c r="AD160" s="10">
        <f>SUMIFS(IsQList,IsIList,Table_ExternalData_15[[#This Row],[item_key]],IsITypeList,Table_ExternalData_15[[#This Row],[IType]],IsDList,Table_ExternalData_15[[#Headers],[26]])</f>
        <v>0</v>
      </c>
      <c r="AE160" s="10">
        <f>SUMIFS(IsQList,IsIList,Table_ExternalData_15[[#This Row],[item_key]],IsITypeList,Table_ExternalData_15[[#This Row],[IType]],IsDList,Table_ExternalData_15[[#Headers],[27]])</f>
        <v>0</v>
      </c>
      <c r="AF160" s="10">
        <f>SUMIFS(IsQList,IsIList,Table_ExternalData_15[[#This Row],[item_key]],IsITypeList,Table_ExternalData_15[[#This Row],[IType]],IsDList,Table_ExternalData_15[[#Headers],[28]])</f>
        <v>0</v>
      </c>
      <c r="AG160" s="10">
        <f>SUMIFS(IsQList,IsIList,Table_ExternalData_15[[#This Row],[item_key]],IsITypeList,Table_ExternalData_15[[#This Row],[IType]],IsDList,Table_ExternalData_15[[#Headers],[29]])</f>
        <v>0</v>
      </c>
      <c r="AH160" s="10">
        <f>SUMIFS(IsQList,IsIList,Table_ExternalData_15[[#This Row],[item_key]],IsITypeList,Table_ExternalData_15[[#This Row],[IType]],IsDList,Table_ExternalData_15[[#Headers],[30]])</f>
        <v>0</v>
      </c>
      <c r="AI160" s="10">
        <f>SUMIFS(IsQList,IsIList,Table_ExternalData_15[[#This Row],[item_key]],IsITypeList,Table_ExternalData_15[[#This Row],[IType]],IsDList,Table_ExternalData_15[[#Headers],[31]])</f>
        <v>0</v>
      </c>
      <c r="AJ160" s="10">
        <f>SUM(Table_ExternalData_15[[#This Row],[1]:[31]])</f>
        <v>10</v>
      </c>
    </row>
    <row r="161" spans="1:36">
      <c r="A161" s="1" t="s">
        <v>614</v>
      </c>
      <c r="B161" s="1" t="s">
        <v>2589</v>
      </c>
      <c r="C161" s="1" t="s">
        <v>2590</v>
      </c>
      <c r="D161" s="11" t="s">
        <v>72</v>
      </c>
      <c r="E161" s="10">
        <f>SUMIFS(IsQList,IsIList,Table_ExternalData_15[[#This Row],[item_key]],IsITypeList,Table_ExternalData_15[[#This Row],[IType]],IsDList,Table_ExternalData_15[[#Headers],[1]])</f>
        <v>0</v>
      </c>
      <c r="F161" s="10">
        <f>SUMIFS(IsQList,IsIList,Table_ExternalData_15[[#This Row],[item_key]],IsITypeList,Table_ExternalData_15[[#This Row],[IType]],IsDList,Table_ExternalData_15[[#Headers],[2]])</f>
        <v>0</v>
      </c>
      <c r="G161" s="10">
        <f>SUMIFS(IsQList,IsIList,Table_ExternalData_15[[#This Row],[item_key]],IsITypeList,Table_ExternalData_15[[#This Row],[IType]],IsDList,Table_ExternalData_15[[#Headers],[3]])</f>
        <v>0</v>
      </c>
      <c r="H161" s="10">
        <f>SUMIFS(IsQList,IsIList,Table_ExternalData_15[[#This Row],[item_key]],IsITypeList,Table_ExternalData_15[[#This Row],[IType]],IsDList,Table_ExternalData_15[[#Headers],[4]])</f>
        <v>0</v>
      </c>
      <c r="I161" s="10">
        <f>SUMIFS(IsQList,IsIList,Table_ExternalData_15[[#This Row],[item_key]],IsITypeList,Table_ExternalData_15[[#This Row],[IType]],IsDList,Table_ExternalData_15[[#Headers],[5]])</f>
        <v>0</v>
      </c>
      <c r="J161" s="10">
        <f>SUMIFS(IsQList,IsIList,Table_ExternalData_15[[#This Row],[item_key]],IsITypeList,Table_ExternalData_15[[#This Row],[IType]],IsDList,Table_ExternalData_15[[#Headers],[6]])</f>
        <v>0</v>
      </c>
      <c r="K161" s="10">
        <f>SUMIFS(IsQList,IsIList,Table_ExternalData_15[[#This Row],[item_key]],IsITypeList,Table_ExternalData_15[[#This Row],[IType]],IsDList,Table_ExternalData_15[[#Headers],[7]])</f>
        <v>0</v>
      </c>
      <c r="L161" s="10">
        <f>SUMIFS(IsQList,IsIList,Table_ExternalData_15[[#This Row],[item_key]],IsITypeList,Table_ExternalData_15[[#This Row],[IType]],IsDList,Table_ExternalData_15[[#Headers],[8]])</f>
        <v>0</v>
      </c>
      <c r="M161" s="10">
        <f>SUMIFS(IsQList,IsIList,Table_ExternalData_15[[#This Row],[item_key]],IsITypeList,Table_ExternalData_15[[#This Row],[IType]],IsDList,Table_ExternalData_15[[#Headers],[9]])</f>
        <v>0</v>
      </c>
      <c r="N161" s="10">
        <f>SUMIFS(IsQList,IsIList,Table_ExternalData_15[[#This Row],[item_key]],IsITypeList,Table_ExternalData_15[[#This Row],[IType]],IsDList,Table_ExternalData_15[[#Headers],[10]])</f>
        <v>20</v>
      </c>
      <c r="O161" s="10">
        <f>SUMIFS(IsQList,IsIList,Table_ExternalData_15[[#This Row],[item_key]],IsITypeList,Table_ExternalData_15[[#This Row],[IType]],IsDList,Table_ExternalData_15[[#Headers],[11]])</f>
        <v>0</v>
      </c>
      <c r="P161" s="10">
        <f>SUMIFS(IsQList,IsIList,Table_ExternalData_15[[#This Row],[item_key]],IsITypeList,Table_ExternalData_15[[#This Row],[IType]],IsDList,Table_ExternalData_15[[#Headers],[12]])</f>
        <v>0</v>
      </c>
      <c r="Q161" s="10">
        <f>SUMIFS(IsQList,IsIList,Table_ExternalData_15[[#This Row],[item_key]],IsITypeList,Table_ExternalData_15[[#This Row],[IType]],IsDList,Table_ExternalData_15[[#Headers],[13]])</f>
        <v>0</v>
      </c>
      <c r="R161" s="10">
        <f>SUMIFS(IsQList,IsIList,Table_ExternalData_15[[#This Row],[item_key]],IsITypeList,Table_ExternalData_15[[#This Row],[IType]],IsDList,Table_ExternalData_15[[#Headers],[14]])</f>
        <v>0</v>
      </c>
      <c r="S161" s="10">
        <f>SUMIFS(IsQList,IsIList,Table_ExternalData_15[[#This Row],[item_key]],IsITypeList,Table_ExternalData_15[[#This Row],[IType]],IsDList,Table_ExternalData_15[[#Headers],[15]])</f>
        <v>0</v>
      </c>
      <c r="T161" s="10">
        <f>SUMIFS(IsQList,IsIList,Table_ExternalData_15[[#This Row],[item_key]],IsITypeList,Table_ExternalData_15[[#This Row],[IType]],IsDList,Table_ExternalData_15[[#Headers],[16]])</f>
        <v>0</v>
      </c>
      <c r="U161" s="10">
        <f>SUMIFS(IsQList,IsIList,Table_ExternalData_15[[#This Row],[item_key]],IsITypeList,Table_ExternalData_15[[#This Row],[IType]],IsDList,Table_ExternalData_15[[#Headers],[17]])</f>
        <v>0</v>
      </c>
      <c r="V161" s="10">
        <f>SUMIFS(IsQList,IsIList,Table_ExternalData_15[[#This Row],[item_key]],IsITypeList,Table_ExternalData_15[[#This Row],[IType]],IsDList,Table_ExternalData_15[[#Headers],[18]])</f>
        <v>0</v>
      </c>
      <c r="W161" s="10">
        <f>SUMIFS(IsQList,IsIList,Table_ExternalData_15[[#This Row],[item_key]],IsITypeList,Table_ExternalData_15[[#This Row],[IType]],IsDList,Table_ExternalData_15[[#Headers],[19]])</f>
        <v>0</v>
      </c>
      <c r="X161" s="10">
        <f>SUMIFS(IsQList,IsIList,Table_ExternalData_15[[#This Row],[item_key]],IsITypeList,Table_ExternalData_15[[#This Row],[IType]],IsDList,Table_ExternalData_15[[#Headers],[20]])</f>
        <v>0</v>
      </c>
      <c r="Y161" s="10">
        <f>SUMIFS(IsQList,IsIList,Table_ExternalData_15[[#This Row],[item_key]],IsITypeList,Table_ExternalData_15[[#This Row],[IType]],IsDList,Table_ExternalData_15[[#Headers],[21]])</f>
        <v>0</v>
      </c>
      <c r="Z161" s="10">
        <f>SUMIFS(IsQList,IsIList,Table_ExternalData_15[[#This Row],[item_key]],IsITypeList,Table_ExternalData_15[[#This Row],[IType]],IsDList,Table_ExternalData_15[[#Headers],[22]])</f>
        <v>0</v>
      </c>
      <c r="AA161" s="10">
        <f>SUMIFS(IsQList,IsIList,Table_ExternalData_15[[#This Row],[item_key]],IsITypeList,Table_ExternalData_15[[#This Row],[IType]],IsDList,Table_ExternalData_15[[#Headers],[23]])</f>
        <v>0</v>
      </c>
      <c r="AB161" s="10">
        <f>SUMIFS(IsQList,IsIList,Table_ExternalData_15[[#This Row],[item_key]],IsITypeList,Table_ExternalData_15[[#This Row],[IType]],IsDList,Table_ExternalData_15[[#Headers],[24]])</f>
        <v>40</v>
      </c>
      <c r="AC161" s="10">
        <f>SUMIFS(IsQList,IsIList,Table_ExternalData_15[[#This Row],[item_key]],IsITypeList,Table_ExternalData_15[[#This Row],[IType]],IsDList,Table_ExternalData_15[[#Headers],[25]])</f>
        <v>0</v>
      </c>
      <c r="AD161" s="10">
        <f>SUMIFS(IsQList,IsIList,Table_ExternalData_15[[#This Row],[item_key]],IsITypeList,Table_ExternalData_15[[#This Row],[IType]],IsDList,Table_ExternalData_15[[#Headers],[26]])</f>
        <v>0</v>
      </c>
      <c r="AE161" s="10">
        <f>SUMIFS(IsQList,IsIList,Table_ExternalData_15[[#This Row],[item_key]],IsITypeList,Table_ExternalData_15[[#This Row],[IType]],IsDList,Table_ExternalData_15[[#Headers],[27]])</f>
        <v>0</v>
      </c>
      <c r="AF161" s="10">
        <f>SUMIFS(IsQList,IsIList,Table_ExternalData_15[[#This Row],[item_key]],IsITypeList,Table_ExternalData_15[[#This Row],[IType]],IsDList,Table_ExternalData_15[[#Headers],[28]])</f>
        <v>0</v>
      </c>
      <c r="AG161" s="10">
        <f>SUMIFS(IsQList,IsIList,Table_ExternalData_15[[#This Row],[item_key]],IsITypeList,Table_ExternalData_15[[#This Row],[IType]],IsDList,Table_ExternalData_15[[#Headers],[29]])</f>
        <v>0</v>
      </c>
      <c r="AH161" s="10">
        <f>SUMIFS(IsQList,IsIList,Table_ExternalData_15[[#This Row],[item_key]],IsITypeList,Table_ExternalData_15[[#This Row],[IType]],IsDList,Table_ExternalData_15[[#Headers],[30]])</f>
        <v>0</v>
      </c>
      <c r="AI161" s="10">
        <f>SUMIFS(IsQList,IsIList,Table_ExternalData_15[[#This Row],[item_key]],IsITypeList,Table_ExternalData_15[[#This Row],[IType]],IsDList,Table_ExternalData_15[[#Headers],[31]])</f>
        <v>0</v>
      </c>
      <c r="AJ161" s="10">
        <f>SUM(Table_ExternalData_15[[#This Row],[1]:[31]])</f>
        <v>60</v>
      </c>
    </row>
    <row r="162" spans="1:36">
      <c r="A162" s="1" t="s">
        <v>616</v>
      </c>
      <c r="B162" s="1" t="s">
        <v>1332</v>
      </c>
      <c r="C162" s="1" t="s">
        <v>1333</v>
      </c>
      <c r="D162" s="11" t="s">
        <v>72</v>
      </c>
      <c r="E162" s="10">
        <f>SUMIFS(IsQList,IsIList,Table_ExternalData_15[[#This Row],[item_key]],IsITypeList,Table_ExternalData_15[[#This Row],[IType]],IsDList,Table_ExternalData_15[[#Headers],[1]])</f>
        <v>0</v>
      </c>
      <c r="F162" s="10">
        <f>SUMIFS(IsQList,IsIList,Table_ExternalData_15[[#This Row],[item_key]],IsITypeList,Table_ExternalData_15[[#This Row],[IType]],IsDList,Table_ExternalData_15[[#Headers],[2]])</f>
        <v>0</v>
      </c>
      <c r="G162" s="10">
        <f>SUMIFS(IsQList,IsIList,Table_ExternalData_15[[#This Row],[item_key]],IsITypeList,Table_ExternalData_15[[#This Row],[IType]],IsDList,Table_ExternalData_15[[#Headers],[3]])</f>
        <v>0</v>
      </c>
      <c r="H162" s="10">
        <f>SUMIFS(IsQList,IsIList,Table_ExternalData_15[[#This Row],[item_key]],IsITypeList,Table_ExternalData_15[[#This Row],[IType]],IsDList,Table_ExternalData_15[[#Headers],[4]])</f>
        <v>0</v>
      </c>
      <c r="I162" s="10">
        <f>SUMIFS(IsQList,IsIList,Table_ExternalData_15[[#This Row],[item_key]],IsITypeList,Table_ExternalData_15[[#This Row],[IType]],IsDList,Table_ExternalData_15[[#Headers],[5]])</f>
        <v>0</v>
      </c>
      <c r="J162" s="10">
        <f>SUMIFS(IsQList,IsIList,Table_ExternalData_15[[#This Row],[item_key]],IsITypeList,Table_ExternalData_15[[#This Row],[IType]],IsDList,Table_ExternalData_15[[#Headers],[6]])</f>
        <v>0</v>
      </c>
      <c r="K162" s="10">
        <f>SUMIFS(IsQList,IsIList,Table_ExternalData_15[[#This Row],[item_key]],IsITypeList,Table_ExternalData_15[[#This Row],[IType]],IsDList,Table_ExternalData_15[[#Headers],[7]])</f>
        <v>0</v>
      </c>
      <c r="L162" s="10">
        <f>SUMIFS(IsQList,IsIList,Table_ExternalData_15[[#This Row],[item_key]],IsITypeList,Table_ExternalData_15[[#This Row],[IType]],IsDList,Table_ExternalData_15[[#Headers],[8]])</f>
        <v>0</v>
      </c>
      <c r="M162" s="10">
        <f>SUMIFS(IsQList,IsIList,Table_ExternalData_15[[#This Row],[item_key]],IsITypeList,Table_ExternalData_15[[#This Row],[IType]],IsDList,Table_ExternalData_15[[#Headers],[9]])</f>
        <v>0</v>
      </c>
      <c r="N162" s="10">
        <f>SUMIFS(IsQList,IsIList,Table_ExternalData_15[[#This Row],[item_key]],IsITypeList,Table_ExternalData_15[[#This Row],[IType]],IsDList,Table_ExternalData_15[[#Headers],[10]])</f>
        <v>2</v>
      </c>
      <c r="O162" s="10">
        <f>SUMIFS(IsQList,IsIList,Table_ExternalData_15[[#This Row],[item_key]],IsITypeList,Table_ExternalData_15[[#This Row],[IType]],IsDList,Table_ExternalData_15[[#Headers],[11]])</f>
        <v>0</v>
      </c>
      <c r="P162" s="10">
        <f>SUMIFS(IsQList,IsIList,Table_ExternalData_15[[#This Row],[item_key]],IsITypeList,Table_ExternalData_15[[#This Row],[IType]],IsDList,Table_ExternalData_15[[#Headers],[12]])</f>
        <v>0</v>
      </c>
      <c r="Q162" s="10">
        <f>SUMIFS(IsQList,IsIList,Table_ExternalData_15[[#This Row],[item_key]],IsITypeList,Table_ExternalData_15[[#This Row],[IType]],IsDList,Table_ExternalData_15[[#Headers],[13]])</f>
        <v>0</v>
      </c>
      <c r="R162" s="10">
        <f>SUMIFS(IsQList,IsIList,Table_ExternalData_15[[#This Row],[item_key]],IsITypeList,Table_ExternalData_15[[#This Row],[IType]],IsDList,Table_ExternalData_15[[#Headers],[14]])</f>
        <v>0</v>
      </c>
      <c r="S162" s="10">
        <f>SUMIFS(IsQList,IsIList,Table_ExternalData_15[[#This Row],[item_key]],IsITypeList,Table_ExternalData_15[[#This Row],[IType]],IsDList,Table_ExternalData_15[[#Headers],[15]])</f>
        <v>0</v>
      </c>
      <c r="T162" s="10">
        <f>SUMIFS(IsQList,IsIList,Table_ExternalData_15[[#This Row],[item_key]],IsITypeList,Table_ExternalData_15[[#This Row],[IType]],IsDList,Table_ExternalData_15[[#Headers],[16]])</f>
        <v>3</v>
      </c>
      <c r="U162" s="10">
        <f>SUMIFS(IsQList,IsIList,Table_ExternalData_15[[#This Row],[item_key]],IsITypeList,Table_ExternalData_15[[#This Row],[IType]],IsDList,Table_ExternalData_15[[#Headers],[17]])</f>
        <v>0</v>
      </c>
      <c r="V162" s="10">
        <f>SUMIFS(IsQList,IsIList,Table_ExternalData_15[[#This Row],[item_key]],IsITypeList,Table_ExternalData_15[[#This Row],[IType]],IsDList,Table_ExternalData_15[[#Headers],[18]])</f>
        <v>0</v>
      </c>
      <c r="W162" s="10">
        <f>SUMIFS(IsQList,IsIList,Table_ExternalData_15[[#This Row],[item_key]],IsITypeList,Table_ExternalData_15[[#This Row],[IType]],IsDList,Table_ExternalData_15[[#Headers],[19]])</f>
        <v>0</v>
      </c>
      <c r="X162" s="10">
        <f>SUMIFS(IsQList,IsIList,Table_ExternalData_15[[#This Row],[item_key]],IsITypeList,Table_ExternalData_15[[#This Row],[IType]],IsDList,Table_ExternalData_15[[#Headers],[20]])</f>
        <v>0</v>
      </c>
      <c r="Y162" s="10">
        <f>SUMIFS(IsQList,IsIList,Table_ExternalData_15[[#This Row],[item_key]],IsITypeList,Table_ExternalData_15[[#This Row],[IType]],IsDList,Table_ExternalData_15[[#Headers],[21]])</f>
        <v>0</v>
      </c>
      <c r="Z162" s="10">
        <f>SUMIFS(IsQList,IsIList,Table_ExternalData_15[[#This Row],[item_key]],IsITypeList,Table_ExternalData_15[[#This Row],[IType]],IsDList,Table_ExternalData_15[[#Headers],[22]])</f>
        <v>0</v>
      </c>
      <c r="AA162" s="10">
        <f>SUMIFS(IsQList,IsIList,Table_ExternalData_15[[#This Row],[item_key]],IsITypeList,Table_ExternalData_15[[#This Row],[IType]],IsDList,Table_ExternalData_15[[#Headers],[23]])</f>
        <v>0</v>
      </c>
      <c r="AB162" s="10">
        <f>SUMIFS(IsQList,IsIList,Table_ExternalData_15[[#This Row],[item_key]],IsITypeList,Table_ExternalData_15[[#This Row],[IType]],IsDList,Table_ExternalData_15[[#Headers],[24]])</f>
        <v>0</v>
      </c>
      <c r="AC162" s="10">
        <f>SUMIFS(IsQList,IsIList,Table_ExternalData_15[[#This Row],[item_key]],IsITypeList,Table_ExternalData_15[[#This Row],[IType]],IsDList,Table_ExternalData_15[[#Headers],[25]])</f>
        <v>0</v>
      </c>
      <c r="AD162" s="10">
        <f>SUMIFS(IsQList,IsIList,Table_ExternalData_15[[#This Row],[item_key]],IsITypeList,Table_ExternalData_15[[#This Row],[IType]],IsDList,Table_ExternalData_15[[#Headers],[26]])</f>
        <v>0</v>
      </c>
      <c r="AE162" s="10">
        <f>SUMIFS(IsQList,IsIList,Table_ExternalData_15[[#This Row],[item_key]],IsITypeList,Table_ExternalData_15[[#This Row],[IType]],IsDList,Table_ExternalData_15[[#Headers],[27]])</f>
        <v>0</v>
      </c>
      <c r="AF162" s="10">
        <f>SUMIFS(IsQList,IsIList,Table_ExternalData_15[[#This Row],[item_key]],IsITypeList,Table_ExternalData_15[[#This Row],[IType]],IsDList,Table_ExternalData_15[[#Headers],[28]])</f>
        <v>0</v>
      </c>
      <c r="AG162" s="10">
        <f>SUMIFS(IsQList,IsIList,Table_ExternalData_15[[#This Row],[item_key]],IsITypeList,Table_ExternalData_15[[#This Row],[IType]],IsDList,Table_ExternalData_15[[#Headers],[29]])</f>
        <v>0</v>
      </c>
      <c r="AH162" s="10">
        <f>SUMIFS(IsQList,IsIList,Table_ExternalData_15[[#This Row],[item_key]],IsITypeList,Table_ExternalData_15[[#This Row],[IType]],IsDList,Table_ExternalData_15[[#Headers],[30]])</f>
        <v>0</v>
      </c>
      <c r="AI162" s="10">
        <f>SUMIFS(IsQList,IsIList,Table_ExternalData_15[[#This Row],[item_key]],IsITypeList,Table_ExternalData_15[[#This Row],[IType]],IsDList,Table_ExternalData_15[[#Headers],[31]])</f>
        <v>0</v>
      </c>
      <c r="AJ162" s="10">
        <f>SUM(Table_ExternalData_15[[#This Row],[1]:[31]])</f>
        <v>5</v>
      </c>
    </row>
    <row r="163" spans="1:36">
      <c r="A163" s="1" t="s">
        <v>617</v>
      </c>
      <c r="B163" s="1" t="s">
        <v>2591</v>
      </c>
      <c r="C163" s="1" t="s">
        <v>2592</v>
      </c>
      <c r="D163" s="11" t="s">
        <v>72</v>
      </c>
      <c r="E163" s="10">
        <f>SUMIFS(IsQList,IsIList,Table_ExternalData_15[[#This Row],[item_key]],IsITypeList,Table_ExternalData_15[[#This Row],[IType]],IsDList,Table_ExternalData_15[[#Headers],[1]])</f>
        <v>0</v>
      </c>
      <c r="F163" s="10">
        <f>SUMIFS(IsQList,IsIList,Table_ExternalData_15[[#This Row],[item_key]],IsITypeList,Table_ExternalData_15[[#This Row],[IType]],IsDList,Table_ExternalData_15[[#Headers],[2]])</f>
        <v>0</v>
      </c>
      <c r="G163" s="10">
        <f>SUMIFS(IsQList,IsIList,Table_ExternalData_15[[#This Row],[item_key]],IsITypeList,Table_ExternalData_15[[#This Row],[IType]],IsDList,Table_ExternalData_15[[#Headers],[3]])</f>
        <v>0</v>
      </c>
      <c r="H163" s="10">
        <f>SUMIFS(IsQList,IsIList,Table_ExternalData_15[[#This Row],[item_key]],IsITypeList,Table_ExternalData_15[[#This Row],[IType]],IsDList,Table_ExternalData_15[[#Headers],[4]])</f>
        <v>0</v>
      </c>
      <c r="I163" s="10">
        <f>SUMIFS(IsQList,IsIList,Table_ExternalData_15[[#This Row],[item_key]],IsITypeList,Table_ExternalData_15[[#This Row],[IType]],IsDList,Table_ExternalData_15[[#Headers],[5]])</f>
        <v>0</v>
      </c>
      <c r="J163" s="10">
        <f>SUMIFS(IsQList,IsIList,Table_ExternalData_15[[#This Row],[item_key]],IsITypeList,Table_ExternalData_15[[#This Row],[IType]],IsDList,Table_ExternalData_15[[#Headers],[6]])</f>
        <v>0</v>
      </c>
      <c r="K163" s="10">
        <f>SUMIFS(IsQList,IsIList,Table_ExternalData_15[[#This Row],[item_key]],IsITypeList,Table_ExternalData_15[[#This Row],[IType]],IsDList,Table_ExternalData_15[[#Headers],[7]])</f>
        <v>0</v>
      </c>
      <c r="L163" s="10">
        <f>SUMIFS(IsQList,IsIList,Table_ExternalData_15[[#This Row],[item_key]],IsITypeList,Table_ExternalData_15[[#This Row],[IType]],IsDList,Table_ExternalData_15[[#Headers],[8]])</f>
        <v>0</v>
      </c>
      <c r="M163" s="10">
        <f>SUMIFS(IsQList,IsIList,Table_ExternalData_15[[#This Row],[item_key]],IsITypeList,Table_ExternalData_15[[#This Row],[IType]],IsDList,Table_ExternalData_15[[#Headers],[9]])</f>
        <v>0</v>
      </c>
      <c r="N163" s="10">
        <f>SUMIFS(IsQList,IsIList,Table_ExternalData_15[[#This Row],[item_key]],IsITypeList,Table_ExternalData_15[[#This Row],[IType]],IsDList,Table_ExternalData_15[[#Headers],[10]])</f>
        <v>0</v>
      </c>
      <c r="O163" s="10">
        <f>SUMIFS(IsQList,IsIList,Table_ExternalData_15[[#This Row],[item_key]],IsITypeList,Table_ExternalData_15[[#This Row],[IType]],IsDList,Table_ExternalData_15[[#Headers],[11]])</f>
        <v>0</v>
      </c>
      <c r="P163" s="10">
        <f>SUMIFS(IsQList,IsIList,Table_ExternalData_15[[#This Row],[item_key]],IsITypeList,Table_ExternalData_15[[#This Row],[IType]],IsDList,Table_ExternalData_15[[#Headers],[12]])</f>
        <v>0</v>
      </c>
      <c r="Q163" s="10">
        <f>SUMIFS(IsQList,IsIList,Table_ExternalData_15[[#This Row],[item_key]],IsITypeList,Table_ExternalData_15[[#This Row],[IType]],IsDList,Table_ExternalData_15[[#Headers],[13]])</f>
        <v>0</v>
      </c>
      <c r="R163" s="10">
        <f>SUMIFS(IsQList,IsIList,Table_ExternalData_15[[#This Row],[item_key]],IsITypeList,Table_ExternalData_15[[#This Row],[IType]],IsDList,Table_ExternalData_15[[#Headers],[14]])</f>
        <v>0</v>
      </c>
      <c r="S163" s="10">
        <f>SUMIFS(IsQList,IsIList,Table_ExternalData_15[[#This Row],[item_key]],IsITypeList,Table_ExternalData_15[[#This Row],[IType]],IsDList,Table_ExternalData_15[[#Headers],[15]])</f>
        <v>0</v>
      </c>
      <c r="T163" s="10">
        <f>SUMIFS(IsQList,IsIList,Table_ExternalData_15[[#This Row],[item_key]],IsITypeList,Table_ExternalData_15[[#This Row],[IType]],IsDList,Table_ExternalData_15[[#Headers],[16]])</f>
        <v>0</v>
      </c>
      <c r="U163" s="10">
        <f>SUMIFS(IsQList,IsIList,Table_ExternalData_15[[#This Row],[item_key]],IsITypeList,Table_ExternalData_15[[#This Row],[IType]],IsDList,Table_ExternalData_15[[#Headers],[17]])</f>
        <v>0</v>
      </c>
      <c r="V163" s="10">
        <f>SUMIFS(IsQList,IsIList,Table_ExternalData_15[[#This Row],[item_key]],IsITypeList,Table_ExternalData_15[[#This Row],[IType]],IsDList,Table_ExternalData_15[[#Headers],[18]])</f>
        <v>0</v>
      </c>
      <c r="W163" s="10">
        <f>SUMIFS(IsQList,IsIList,Table_ExternalData_15[[#This Row],[item_key]],IsITypeList,Table_ExternalData_15[[#This Row],[IType]],IsDList,Table_ExternalData_15[[#Headers],[19]])</f>
        <v>0</v>
      </c>
      <c r="X163" s="10">
        <f>SUMIFS(IsQList,IsIList,Table_ExternalData_15[[#This Row],[item_key]],IsITypeList,Table_ExternalData_15[[#This Row],[IType]],IsDList,Table_ExternalData_15[[#Headers],[20]])</f>
        <v>0</v>
      </c>
      <c r="Y163" s="10">
        <f>SUMIFS(IsQList,IsIList,Table_ExternalData_15[[#This Row],[item_key]],IsITypeList,Table_ExternalData_15[[#This Row],[IType]],IsDList,Table_ExternalData_15[[#Headers],[21]])</f>
        <v>0</v>
      </c>
      <c r="Z163" s="10">
        <f>SUMIFS(IsQList,IsIList,Table_ExternalData_15[[#This Row],[item_key]],IsITypeList,Table_ExternalData_15[[#This Row],[IType]],IsDList,Table_ExternalData_15[[#Headers],[22]])</f>
        <v>0</v>
      </c>
      <c r="AA163" s="10">
        <f>SUMIFS(IsQList,IsIList,Table_ExternalData_15[[#This Row],[item_key]],IsITypeList,Table_ExternalData_15[[#This Row],[IType]],IsDList,Table_ExternalData_15[[#Headers],[23]])</f>
        <v>0</v>
      </c>
      <c r="AB163" s="10">
        <f>SUMIFS(IsQList,IsIList,Table_ExternalData_15[[#This Row],[item_key]],IsITypeList,Table_ExternalData_15[[#This Row],[IType]],IsDList,Table_ExternalData_15[[#Headers],[24]])</f>
        <v>0</v>
      </c>
      <c r="AC163" s="10">
        <f>SUMIFS(IsQList,IsIList,Table_ExternalData_15[[#This Row],[item_key]],IsITypeList,Table_ExternalData_15[[#This Row],[IType]],IsDList,Table_ExternalData_15[[#Headers],[25]])</f>
        <v>0</v>
      </c>
      <c r="AD163" s="10">
        <f>SUMIFS(IsQList,IsIList,Table_ExternalData_15[[#This Row],[item_key]],IsITypeList,Table_ExternalData_15[[#This Row],[IType]],IsDList,Table_ExternalData_15[[#Headers],[26]])</f>
        <v>0</v>
      </c>
      <c r="AE163" s="10">
        <f>SUMIFS(IsQList,IsIList,Table_ExternalData_15[[#This Row],[item_key]],IsITypeList,Table_ExternalData_15[[#This Row],[IType]],IsDList,Table_ExternalData_15[[#Headers],[27]])</f>
        <v>0</v>
      </c>
      <c r="AF163" s="10">
        <f>SUMIFS(IsQList,IsIList,Table_ExternalData_15[[#This Row],[item_key]],IsITypeList,Table_ExternalData_15[[#This Row],[IType]],IsDList,Table_ExternalData_15[[#Headers],[28]])</f>
        <v>0</v>
      </c>
      <c r="AG163" s="10">
        <f>SUMIFS(IsQList,IsIList,Table_ExternalData_15[[#This Row],[item_key]],IsITypeList,Table_ExternalData_15[[#This Row],[IType]],IsDList,Table_ExternalData_15[[#Headers],[29]])</f>
        <v>0</v>
      </c>
      <c r="AH163" s="10">
        <f>SUMIFS(IsQList,IsIList,Table_ExternalData_15[[#This Row],[item_key]],IsITypeList,Table_ExternalData_15[[#This Row],[IType]],IsDList,Table_ExternalData_15[[#Headers],[30]])</f>
        <v>0</v>
      </c>
      <c r="AI163" s="10">
        <f>SUMIFS(IsQList,IsIList,Table_ExternalData_15[[#This Row],[item_key]],IsITypeList,Table_ExternalData_15[[#This Row],[IType]],IsDList,Table_ExternalData_15[[#Headers],[31]])</f>
        <v>0</v>
      </c>
      <c r="AJ163" s="10">
        <f>SUM(Table_ExternalData_15[[#This Row],[1]:[31]])</f>
        <v>0</v>
      </c>
    </row>
    <row r="164" spans="1:36">
      <c r="A164" s="1" t="s">
        <v>618</v>
      </c>
      <c r="B164" s="1" t="s">
        <v>1334</v>
      </c>
      <c r="C164" s="1" t="s">
        <v>1335</v>
      </c>
      <c r="D164" s="11" t="s">
        <v>72</v>
      </c>
      <c r="E164" s="10">
        <f>SUMIFS(IsQList,IsIList,Table_ExternalData_15[[#This Row],[item_key]],IsITypeList,Table_ExternalData_15[[#This Row],[IType]],IsDList,Table_ExternalData_15[[#Headers],[1]])</f>
        <v>0</v>
      </c>
      <c r="F164" s="10">
        <f>SUMIFS(IsQList,IsIList,Table_ExternalData_15[[#This Row],[item_key]],IsITypeList,Table_ExternalData_15[[#This Row],[IType]],IsDList,Table_ExternalData_15[[#Headers],[2]])</f>
        <v>0</v>
      </c>
      <c r="G164" s="10">
        <f>SUMIFS(IsQList,IsIList,Table_ExternalData_15[[#This Row],[item_key]],IsITypeList,Table_ExternalData_15[[#This Row],[IType]],IsDList,Table_ExternalData_15[[#Headers],[3]])</f>
        <v>0</v>
      </c>
      <c r="H164" s="10">
        <f>SUMIFS(IsQList,IsIList,Table_ExternalData_15[[#This Row],[item_key]],IsITypeList,Table_ExternalData_15[[#This Row],[IType]],IsDList,Table_ExternalData_15[[#Headers],[4]])</f>
        <v>0</v>
      </c>
      <c r="I164" s="10">
        <f>SUMIFS(IsQList,IsIList,Table_ExternalData_15[[#This Row],[item_key]],IsITypeList,Table_ExternalData_15[[#This Row],[IType]],IsDList,Table_ExternalData_15[[#Headers],[5]])</f>
        <v>0</v>
      </c>
      <c r="J164" s="10">
        <f>SUMIFS(IsQList,IsIList,Table_ExternalData_15[[#This Row],[item_key]],IsITypeList,Table_ExternalData_15[[#This Row],[IType]],IsDList,Table_ExternalData_15[[#Headers],[6]])</f>
        <v>0</v>
      </c>
      <c r="K164" s="10">
        <f>SUMIFS(IsQList,IsIList,Table_ExternalData_15[[#This Row],[item_key]],IsITypeList,Table_ExternalData_15[[#This Row],[IType]],IsDList,Table_ExternalData_15[[#Headers],[7]])</f>
        <v>0</v>
      </c>
      <c r="L164" s="10">
        <f>SUMIFS(IsQList,IsIList,Table_ExternalData_15[[#This Row],[item_key]],IsITypeList,Table_ExternalData_15[[#This Row],[IType]],IsDList,Table_ExternalData_15[[#Headers],[8]])</f>
        <v>0</v>
      </c>
      <c r="M164" s="10">
        <f>SUMIFS(IsQList,IsIList,Table_ExternalData_15[[#This Row],[item_key]],IsITypeList,Table_ExternalData_15[[#This Row],[IType]],IsDList,Table_ExternalData_15[[#Headers],[9]])</f>
        <v>0</v>
      </c>
      <c r="N164" s="10">
        <f>SUMIFS(IsQList,IsIList,Table_ExternalData_15[[#This Row],[item_key]],IsITypeList,Table_ExternalData_15[[#This Row],[IType]],IsDList,Table_ExternalData_15[[#Headers],[10]])</f>
        <v>0</v>
      </c>
      <c r="O164" s="10">
        <f>SUMIFS(IsQList,IsIList,Table_ExternalData_15[[#This Row],[item_key]],IsITypeList,Table_ExternalData_15[[#This Row],[IType]],IsDList,Table_ExternalData_15[[#Headers],[11]])</f>
        <v>0</v>
      </c>
      <c r="P164" s="10">
        <f>SUMIFS(IsQList,IsIList,Table_ExternalData_15[[#This Row],[item_key]],IsITypeList,Table_ExternalData_15[[#This Row],[IType]],IsDList,Table_ExternalData_15[[#Headers],[12]])</f>
        <v>0</v>
      </c>
      <c r="Q164" s="10">
        <f>SUMIFS(IsQList,IsIList,Table_ExternalData_15[[#This Row],[item_key]],IsITypeList,Table_ExternalData_15[[#This Row],[IType]],IsDList,Table_ExternalData_15[[#Headers],[13]])</f>
        <v>0</v>
      </c>
      <c r="R164" s="10">
        <f>SUMIFS(IsQList,IsIList,Table_ExternalData_15[[#This Row],[item_key]],IsITypeList,Table_ExternalData_15[[#This Row],[IType]],IsDList,Table_ExternalData_15[[#Headers],[14]])</f>
        <v>0</v>
      </c>
      <c r="S164" s="10">
        <f>SUMIFS(IsQList,IsIList,Table_ExternalData_15[[#This Row],[item_key]],IsITypeList,Table_ExternalData_15[[#This Row],[IType]],IsDList,Table_ExternalData_15[[#Headers],[15]])</f>
        <v>0</v>
      </c>
      <c r="T164" s="10">
        <f>SUMIFS(IsQList,IsIList,Table_ExternalData_15[[#This Row],[item_key]],IsITypeList,Table_ExternalData_15[[#This Row],[IType]],IsDList,Table_ExternalData_15[[#Headers],[16]])</f>
        <v>0</v>
      </c>
      <c r="U164" s="10">
        <f>SUMIFS(IsQList,IsIList,Table_ExternalData_15[[#This Row],[item_key]],IsITypeList,Table_ExternalData_15[[#This Row],[IType]],IsDList,Table_ExternalData_15[[#Headers],[17]])</f>
        <v>0</v>
      </c>
      <c r="V164" s="10">
        <f>SUMIFS(IsQList,IsIList,Table_ExternalData_15[[#This Row],[item_key]],IsITypeList,Table_ExternalData_15[[#This Row],[IType]],IsDList,Table_ExternalData_15[[#Headers],[18]])</f>
        <v>0</v>
      </c>
      <c r="W164" s="10">
        <f>SUMIFS(IsQList,IsIList,Table_ExternalData_15[[#This Row],[item_key]],IsITypeList,Table_ExternalData_15[[#This Row],[IType]],IsDList,Table_ExternalData_15[[#Headers],[19]])</f>
        <v>0</v>
      </c>
      <c r="X164" s="10">
        <f>SUMIFS(IsQList,IsIList,Table_ExternalData_15[[#This Row],[item_key]],IsITypeList,Table_ExternalData_15[[#This Row],[IType]],IsDList,Table_ExternalData_15[[#Headers],[20]])</f>
        <v>0</v>
      </c>
      <c r="Y164" s="10">
        <f>SUMIFS(IsQList,IsIList,Table_ExternalData_15[[#This Row],[item_key]],IsITypeList,Table_ExternalData_15[[#This Row],[IType]],IsDList,Table_ExternalData_15[[#Headers],[21]])</f>
        <v>0</v>
      </c>
      <c r="Z164" s="10">
        <f>SUMIFS(IsQList,IsIList,Table_ExternalData_15[[#This Row],[item_key]],IsITypeList,Table_ExternalData_15[[#This Row],[IType]],IsDList,Table_ExternalData_15[[#Headers],[22]])</f>
        <v>0</v>
      </c>
      <c r="AA164" s="10">
        <f>SUMIFS(IsQList,IsIList,Table_ExternalData_15[[#This Row],[item_key]],IsITypeList,Table_ExternalData_15[[#This Row],[IType]],IsDList,Table_ExternalData_15[[#Headers],[23]])</f>
        <v>0</v>
      </c>
      <c r="AB164" s="10">
        <f>SUMIFS(IsQList,IsIList,Table_ExternalData_15[[#This Row],[item_key]],IsITypeList,Table_ExternalData_15[[#This Row],[IType]],IsDList,Table_ExternalData_15[[#Headers],[24]])</f>
        <v>0</v>
      </c>
      <c r="AC164" s="10">
        <f>SUMIFS(IsQList,IsIList,Table_ExternalData_15[[#This Row],[item_key]],IsITypeList,Table_ExternalData_15[[#This Row],[IType]],IsDList,Table_ExternalData_15[[#Headers],[25]])</f>
        <v>0</v>
      </c>
      <c r="AD164" s="10">
        <f>SUMIFS(IsQList,IsIList,Table_ExternalData_15[[#This Row],[item_key]],IsITypeList,Table_ExternalData_15[[#This Row],[IType]],IsDList,Table_ExternalData_15[[#Headers],[26]])</f>
        <v>0</v>
      </c>
      <c r="AE164" s="10">
        <f>SUMIFS(IsQList,IsIList,Table_ExternalData_15[[#This Row],[item_key]],IsITypeList,Table_ExternalData_15[[#This Row],[IType]],IsDList,Table_ExternalData_15[[#Headers],[27]])</f>
        <v>0</v>
      </c>
      <c r="AF164" s="10">
        <f>SUMIFS(IsQList,IsIList,Table_ExternalData_15[[#This Row],[item_key]],IsITypeList,Table_ExternalData_15[[#This Row],[IType]],IsDList,Table_ExternalData_15[[#Headers],[28]])</f>
        <v>0</v>
      </c>
      <c r="AG164" s="10">
        <f>SUMIFS(IsQList,IsIList,Table_ExternalData_15[[#This Row],[item_key]],IsITypeList,Table_ExternalData_15[[#This Row],[IType]],IsDList,Table_ExternalData_15[[#Headers],[29]])</f>
        <v>0</v>
      </c>
      <c r="AH164" s="10">
        <f>SUMIFS(IsQList,IsIList,Table_ExternalData_15[[#This Row],[item_key]],IsITypeList,Table_ExternalData_15[[#This Row],[IType]],IsDList,Table_ExternalData_15[[#Headers],[30]])</f>
        <v>0</v>
      </c>
      <c r="AI164" s="10">
        <f>SUMIFS(IsQList,IsIList,Table_ExternalData_15[[#This Row],[item_key]],IsITypeList,Table_ExternalData_15[[#This Row],[IType]],IsDList,Table_ExternalData_15[[#Headers],[31]])</f>
        <v>0</v>
      </c>
      <c r="AJ164" s="10">
        <f>SUM(Table_ExternalData_15[[#This Row],[1]:[31]])</f>
        <v>0</v>
      </c>
    </row>
    <row r="165" spans="1:36">
      <c r="A165" s="1" t="s">
        <v>622</v>
      </c>
      <c r="B165" s="1" t="s">
        <v>2593</v>
      </c>
      <c r="C165" s="1" t="s">
        <v>2594</v>
      </c>
      <c r="D165" s="11" t="s">
        <v>72</v>
      </c>
      <c r="E165" s="10">
        <f>SUMIFS(IsQList,IsIList,Table_ExternalData_15[[#This Row],[item_key]],IsITypeList,Table_ExternalData_15[[#This Row],[IType]],IsDList,Table_ExternalData_15[[#Headers],[1]])</f>
        <v>0</v>
      </c>
      <c r="F165" s="10">
        <f>SUMIFS(IsQList,IsIList,Table_ExternalData_15[[#This Row],[item_key]],IsITypeList,Table_ExternalData_15[[#This Row],[IType]],IsDList,Table_ExternalData_15[[#Headers],[2]])</f>
        <v>0</v>
      </c>
      <c r="G165" s="10">
        <f>SUMIFS(IsQList,IsIList,Table_ExternalData_15[[#This Row],[item_key]],IsITypeList,Table_ExternalData_15[[#This Row],[IType]],IsDList,Table_ExternalData_15[[#Headers],[3]])</f>
        <v>0</v>
      </c>
      <c r="H165" s="10">
        <f>SUMIFS(IsQList,IsIList,Table_ExternalData_15[[#This Row],[item_key]],IsITypeList,Table_ExternalData_15[[#This Row],[IType]],IsDList,Table_ExternalData_15[[#Headers],[4]])</f>
        <v>0</v>
      </c>
      <c r="I165" s="10">
        <f>SUMIFS(IsQList,IsIList,Table_ExternalData_15[[#This Row],[item_key]],IsITypeList,Table_ExternalData_15[[#This Row],[IType]],IsDList,Table_ExternalData_15[[#Headers],[5]])</f>
        <v>0</v>
      </c>
      <c r="J165" s="10">
        <f>SUMIFS(IsQList,IsIList,Table_ExternalData_15[[#This Row],[item_key]],IsITypeList,Table_ExternalData_15[[#This Row],[IType]],IsDList,Table_ExternalData_15[[#Headers],[6]])</f>
        <v>0</v>
      </c>
      <c r="K165" s="10">
        <f>SUMIFS(IsQList,IsIList,Table_ExternalData_15[[#This Row],[item_key]],IsITypeList,Table_ExternalData_15[[#This Row],[IType]],IsDList,Table_ExternalData_15[[#Headers],[7]])</f>
        <v>0</v>
      </c>
      <c r="L165" s="10">
        <f>SUMIFS(IsQList,IsIList,Table_ExternalData_15[[#This Row],[item_key]],IsITypeList,Table_ExternalData_15[[#This Row],[IType]],IsDList,Table_ExternalData_15[[#Headers],[8]])</f>
        <v>0</v>
      </c>
      <c r="M165" s="10">
        <f>SUMIFS(IsQList,IsIList,Table_ExternalData_15[[#This Row],[item_key]],IsITypeList,Table_ExternalData_15[[#This Row],[IType]],IsDList,Table_ExternalData_15[[#Headers],[9]])</f>
        <v>0</v>
      </c>
      <c r="N165" s="10">
        <f>SUMIFS(IsQList,IsIList,Table_ExternalData_15[[#This Row],[item_key]],IsITypeList,Table_ExternalData_15[[#This Row],[IType]],IsDList,Table_ExternalData_15[[#Headers],[10]])</f>
        <v>0</v>
      </c>
      <c r="O165" s="10">
        <f>SUMIFS(IsQList,IsIList,Table_ExternalData_15[[#This Row],[item_key]],IsITypeList,Table_ExternalData_15[[#This Row],[IType]],IsDList,Table_ExternalData_15[[#Headers],[11]])</f>
        <v>0</v>
      </c>
      <c r="P165" s="10">
        <f>SUMIFS(IsQList,IsIList,Table_ExternalData_15[[#This Row],[item_key]],IsITypeList,Table_ExternalData_15[[#This Row],[IType]],IsDList,Table_ExternalData_15[[#Headers],[12]])</f>
        <v>0</v>
      </c>
      <c r="Q165" s="10">
        <f>SUMIFS(IsQList,IsIList,Table_ExternalData_15[[#This Row],[item_key]],IsITypeList,Table_ExternalData_15[[#This Row],[IType]],IsDList,Table_ExternalData_15[[#Headers],[13]])</f>
        <v>0</v>
      </c>
      <c r="R165" s="10">
        <f>SUMIFS(IsQList,IsIList,Table_ExternalData_15[[#This Row],[item_key]],IsITypeList,Table_ExternalData_15[[#This Row],[IType]],IsDList,Table_ExternalData_15[[#Headers],[14]])</f>
        <v>0</v>
      </c>
      <c r="S165" s="10">
        <f>SUMIFS(IsQList,IsIList,Table_ExternalData_15[[#This Row],[item_key]],IsITypeList,Table_ExternalData_15[[#This Row],[IType]],IsDList,Table_ExternalData_15[[#Headers],[15]])</f>
        <v>0</v>
      </c>
      <c r="T165" s="10">
        <f>SUMIFS(IsQList,IsIList,Table_ExternalData_15[[#This Row],[item_key]],IsITypeList,Table_ExternalData_15[[#This Row],[IType]],IsDList,Table_ExternalData_15[[#Headers],[16]])</f>
        <v>30</v>
      </c>
      <c r="U165" s="10">
        <f>SUMIFS(IsQList,IsIList,Table_ExternalData_15[[#This Row],[item_key]],IsITypeList,Table_ExternalData_15[[#This Row],[IType]],IsDList,Table_ExternalData_15[[#Headers],[17]])</f>
        <v>0</v>
      </c>
      <c r="V165" s="10">
        <f>SUMIFS(IsQList,IsIList,Table_ExternalData_15[[#This Row],[item_key]],IsITypeList,Table_ExternalData_15[[#This Row],[IType]],IsDList,Table_ExternalData_15[[#Headers],[18]])</f>
        <v>0</v>
      </c>
      <c r="W165" s="10">
        <f>SUMIFS(IsQList,IsIList,Table_ExternalData_15[[#This Row],[item_key]],IsITypeList,Table_ExternalData_15[[#This Row],[IType]],IsDList,Table_ExternalData_15[[#Headers],[19]])</f>
        <v>0</v>
      </c>
      <c r="X165" s="10">
        <f>SUMIFS(IsQList,IsIList,Table_ExternalData_15[[#This Row],[item_key]],IsITypeList,Table_ExternalData_15[[#This Row],[IType]],IsDList,Table_ExternalData_15[[#Headers],[20]])</f>
        <v>0</v>
      </c>
      <c r="Y165" s="10">
        <f>SUMIFS(IsQList,IsIList,Table_ExternalData_15[[#This Row],[item_key]],IsITypeList,Table_ExternalData_15[[#This Row],[IType]],IsDList,Table_ExternalData_15[[#Headers],[21]])</f>
        <v>0</v>
      </c>
      <c r="Z165" s="10">
        <f>SUMIFS(IsQList,IsIList,Table_ExternalData_15[[#This Row],[item_key]],IsITypeList,Table_ExternalData_15[[#This Row],[IType]],IsDList,Table_ExternalData_15[[#Headers],[22]])</f>
        <v>0</v>
      </c>
      <c r="AA165" s="10">
        <f>SUMIFS(IsQList,IsIList,Table_ExternalData_15[[#This Row],[item_key]],IsITypeList,Table_ExternalData_15[[#This Row],[IType]],IsDList,Table_ExternalData_15[[#Headers],[23]])</f>
        <v>0</v>
      </c>
      <c r="AB165" s="10">
        <f>SUMIFS(IsQList,IsIList,Table_ExternalData_15[[#This Row],[item_key]],IsITypeList,Table_ExternalData_15[[#This Row],[IType]],IsDList,Table_ExternalData_15[[#Headers],[24]])</f>
        <v>30</v>
      </c>
      <c r="AC165" s="10">
        <f>SUMIFS(IsQList,IsIList,Table_ExternalData_15[[#This Row],[item_key]],IsITypeList,Table_ExternalData_15[[#This Row],[IType]],IsDList,Table_ExternalData_15[[#Headers],[25]])</f>
        <v>0</v>
      </c>
      <c r="AD165" s="10">
        <f>SUMIFS(IsQList,IsIList,Table_ExternalData_15[[#This Row],[item_key]],IsITypeList,Table_ExternalData_15[[#This Row],[IType]],IsDList,Table_ExternalData_15[[#Headers],[26]])</f>
        <v>0</v>
      </c>
      <c r="AE165" s="10">
        <f>SUMIFS(IsQList,IsIList,Table_ExternalData_15[[#This Row],[item_key]],IsITypeList,Table_ExternalData_15[[#This Row],[IType]],IsDList,Table_ExternalData_15[[#Headers],[27]])</f>
        <v>0</v>
      </c>
      <c r="AF165" s="10">
        <f>SUMIFS(IsQList,IsIList,Table_ExternalData_15[[#This Row],[item_key]],IsITypeList,Table_ExternalData_15[[#This Row],[IType]],IsDList,Table_ExternalData_15[[#Headers],[28]])</f>
        <v>0</v>
      </c>
      <c r="AG165" s="10">
        <f>SUMIFS(IsQList,IsIList,Table_ExternalData_15[[#This Row],[item_key]],IsITypeList,Table_ExternalData_15[[#This Row],[IType]],IsDList,Table_ExternalData_15[[#Headers],[29]])</f>
        <v>0</v>
      </c>
      <c r="AH165" s="10">
        <f>SUMIFS(IsQList,IsIList,Table_ExternalData_15[[#This Row],[item_key]],IsITypeList,Table_ExternalData_15[[#This Row],[IType]],IsDList,Table_ExternalData_15[[#Headers],[30]])</f>
        <v>0</v>
      </c>
      <c r="AI165" s="10">
        <f>SUMIFS(IsQList,IsIList,Table_ExternalData_15[[#This Row],[item_key]],IsITypeList,Table_ExternalData_15[[#This Row],[IType]],IsDList,Table_ExternalData_15[[#Headers],[31]])</f>
        <v>0</v>
      </c>
      <c r="AJ165" s="10">
        <f>SUM(Table_ExternalData_15[[#This Row],[1]:[31]])</f>
        <v>60</v>
      </c>
    </row>
    <row r="166" spans="1:36">
      <c r="A166" s="1" t="s">
        <v>1762</v>
      </c>
      <c r="B166" s="1" t="s">
        <v>2595</v>
      </c>
      <c r="C166" s="1" t="s">
        <v>2596</v>
      </c>
      <c r="D166" s="11" t="s">
        <v>72</v>
      </c>
      <c r="E166" s="10">
        <f>SUMIFS(IsQList,IsIList,Table_ExternalData_15[[#This Row],[item_key]],IsITypeList,Table_ExternalData_15[[#This Row],[IType]],IsDList,Table_ExternalData_15[[#Headers],[1]])</f>
        <v>0</v>
      </c>
      <c r="F166" s="10">
        <f>SUMIFS(IsQList,IsIList,Table_ExternalData_15[[#This Row],[item_key]],IsITypeList,Table_ExternalData_15[[#This Row],[IType]],IsDList,Table_ExternalData_15[[#Headers],[2]])</f>
        <v>0</v>
      </c>
      <c r="G166" s="10">
        <f>SUMIFS(IsQList,IsIList,Table_ExternalData_15[[#This Row],[item_key]],IsITypeList,Table_ExternalData_15[[#This Row],[IType]],IsDList,Table_ExternalData_15[[#Headers],[3]])</f>
        <v>0</v>
      </c>
      <c r="H166" s="10">
        <f>SUMIFS(IsQList,IsIList,Table_ExternalData_15[[#This Row],[item_key]],IsITypeList,Table_ExternalData_15[[#This Row],[IType]],IsDList,Table_ExternalData_15[[#Headers],[4]])</f>
        <v>0</v>
      </c>
      <c r="I166" s="10">
        <f>SUMIFS(IsQList,IsIList,Table_ExternalData_15[[#This Row],[item_key]],IsITypeList,Table_ExternalData_15[[#This Row],[IType]],IsDList,Table_ExternalData_15[[#Headers],[5]])</f>
        <v>0</v>
      </c>
      <c r="J166" s="10">
        <f>SUMIFS(IsQList,IsIList,Table_ExternalData_15[[#This Row],[item_key]],IsITypeList,Table_ExternalData_15[[#This Row],[IType]],IsDList,Table_ExternalData_15[[#Headers],[6]])</f>
        <v>2</v>
      </c>
      <c r="K166" s="10">
        <f>SUMIFS(IsQList,IsIList,Table_ExternalData_15[[#This Row],[item_key]],IsITypeList,Table_ExternalData_15[[#This Row],[IType]],IsDList,Table_ExternalData_15[[#Headers],[7]])</f>
        <v>0</v>
      </c>
      <c r="L166" s="10">
        <f>SUMIFS(IsQList,IsIList,Table_ExternalData_15[[#This Row],[item_key]],IsITypeList,Table_ExternalData_15[[#This Row],[IType]],IsDList,Table_ExternalData_15[[#Headers],[8]])</f>
        <v>0</v>
      </c>
      <c r="M166" s="10">
        <f>SUMIFS(IsQList,IsIList,Table_ExternalData_15[[#This Row],[item_key]],IsITypeList,Table_ExternalData_15[[#This Row],[IType]],IsDList,Table_ExternalData_15[[#Headers],[9]])</f>
        <v>0</v>
      </c>
      <c r="N166" s="10">
        <f>SUMIFS(IsQList,IsIList,Table_ExternalData_15[[#This Row],[item_key]],IsITypeList,Table_ExternalData_15[[#This Row],[IType]],IsDList,Table_ExternalData_15[[#Headers],[10]])</f>
        <v>0</v>
      </c>
      <c r="O166" s="10">
        <f>SUMIFS(IsQList,IsIList,Table_ExternalData_15[[#This Row],[item_key]],IsITypeList,Table_ExternalData_15[[#This Row],[IType]],IsDList,Table_ExternalData_15[[#Headers],[11]])</f>
        <v>0</v>
      </c>
      <c r="P166" s="10">
        <f>SUMIFS(IsQList,IsIList,Table_ExternalData_15[[#This Row],[item_key]],IsITypeList,Table_ExternalData_15[[#This Row],[IType]],IsDList,Table_ExternalData_15[[#Headers],[12]])</f>
        <v>0</v>
      </c>
      <c r="Q166" s="10">
        <f>SUMIFS(IsQList,IsIList,Table_ExternalData_15[[#This Row],[item_key]],IsITypeList,Table_ExternalData_15[[#This Row],[IType]],IsDList,Table_ExternalData_15[[#Headers],[13]])</f>
        <v>0</v>
      </c>
      <c r="R166" s="10">
        <f>SUMIFS(IsQList,IsIList,Table_ExternalData_15[[#This Row],[item_key]],IsITypeList,Table_ExternalData_15[[#This Row],[IType]],IsDList,Table_ExternalData_15[[#Headers],[14]])</f>
        <v>0</v>
      </c>
      <c r="S166" s="10">
        <f>SUMIFS(IsQList,IsIList,Table_ExternalData_15[[#This Row],[item_key]],IsITypeList,Table_ExternalData_15[[#This Row],[IType]],IsDList,Table_ExternalData_15[[#Headers],[15]])</f>
        <v>0</v>
      </c>
      <c r="T166" s="10">
        <f>SUMIFS(IsQList,IsIList,Table_ExternalData_15[[#This Row],[item_key]],IsITypeList,Table_ExternalData_15[[#This Row],[IType]],IsDList,Table_ExternalData_15[[#Headers],[16]])</f>
        <v>0</v>
      </c>
      <c r="U166" s="10">
        <f>SUMIFS(IsQList,IsIList,Table_ExternalData_15[[#This Row],[item_key]],IsITypeList,Table_ExternalData_15[[#This Row],[IType]],IsDList,Table_ExternalData_15[[#Headers],[17]])</f>
        <v>0</v>
      </c>
      <c r="V166" s="10">
        <f>SUMIFS(IsQList,IsIList,Table_ExternalData_15[[#This Row],[item_key]],IsITypeList,Table_ExternalData_15[[#This Row],[IType]],IsDList,Table_ExternalData_15[[#Headers],[18]])</f>
        <v>0</v>
      </c>
      <c r="W166" s="10">
        <f>SUMIFS(IsQList,IsIList,Table_ExternalData_15[[#This Row],[item_key]],IsITypeList,Table_ExternalData_15[[#This Row],[IType]],IsDList,Table_ExternalData_15[[#Headers],[19]])</f>
        <v>0</v>
      </c>
      <c r="X166" s="10">
        <f>SUMIFS(IsQList,IsIList,Table_ExternalData_15[[#This Row],[item_key]],IsITypeList,Table_ExternalData_15[[#This Row],[IType]],IsDList,Table_ExternalData_15[[#Headers],[20]])</f>
        <v>0</v>
      </c>
      <c r="Y166" s="10">
        <f>SUMIFS(IsQList,IsIList,Table_ExternalData_15[[#This Row],[item_key]],IsITypeList,Table_ExternalData_15[[#This Row],[IType]],IsDList,Table_ExternalData_15[[#Headers],[21]])</f>
        <v>0</v>
      </c>
      <c r="Z166" s="10">
        <f>SUMIFS(IsQList,IsIList,Table_ExternalData_15[[#This Row],[item_key]],IsITypeList,Table_ExternalData_15[[#This Row],[IType]],IsDList,Table_ExternalData_15[[#Headers],[22]])</f>
        <v>0</v>
      </c>
      <c r="AA166" s="10">
        <f>SUMIFS(IsQList,IsIList,Table_ExternalData_15[[#This Row],[item_key]],IsITypeList,Table_ExternalData_15[[#This Row],[IType]],IsDList,Table_ExternalData_15[[#Headers],[23]])</f>
        <v>0</v>
      </c>
      <c r="AB166" s="10">
        <f>SUMIFS(IsQList,IsIList,Table_ExternalData_15[[#This Row],[item_key]],IsITypeList,Table_ExternalData_15[[#This Row],[IType]],IsDList,Table_ExternalData_15[[#Headers],[24]])</f>
        <v>0</v>
      </c>
      <c r="AC166" s="10">
        <f>SUMIFS(IsQList,IsIList,Table_ExternalData_15[[#This Row],[item_key]],IsITypeList,Table_ExternalData_15[[#This Row],[IType]],IsDList,Table_ExternalData_15[[#Headers],[25]])</f>
        <v>0</v>
      </c>
      <c r="AD166" s="10">
        <f>SUMIFS(IsQList,IsIList,Table_ExternalData_15[[#This Row],[item_key]],IsITypeList,Table_ExternalData_15[[#This Row],[IType]],IsDList,Table_ExternalData_15[[#Headers],[26]])</f>
        <v>0</v>
      </c>
      <c r="AE166" s="10">
        <f>SUMIFS(IsQList,IsIList,Table_ExternalData_15[[#This Row],[item_key]],IsITypeList,Table_ExternalData_15[[#This Row],[IType]],IsDList,Table_ExternalData_15[[#Headers],[27]])</f>
        <v>0</v>
      </c>
      <c r="AF166" s="10">
        <f>SUMIFS(IsQList,IsIList,Table_ExternalData_15[[#This Row],[item_key]],IsITypeList,Table_ExternalData_15[[#This Row],[IType]],IsDList,Table_ExternalData_15[[#Headers],[28]])</f>
        <v>0</v>
      </c>
      <c r="AG166" s="10">
        <f>SUMIFS(IsQList,IsIList,Table_ExternalData_15[[#This Row],[item_key]],IsITypeList,Table_ExternalData_15[[#This Row],[IType]],IsDList,Table_ExternalData_15[[#Headers],[29]])</f>
        <v>0</v>
      </c>
      <c r="AH166" s="10">
        <f>SUMIFS(IsQList,IsIList,Table_ExternalData_15[[#This Row],[item_key]],IsITypeList,Table_ExternalData_15[[#This Row],[IType]],IsDList,Table_ExternalData_15[[#Headers],[30]])</f>
        <v>8</v>
      </c>
      <c r="AI166" s="10">
        <f>SUMIFS(IsQList,IsIList,Table_ExternalData_15[[#This Row],[item_key]],IsITypeList,Table_ExternalData_15[[#This Row],[IType]],IsDList,Table_ExternalData_15[[#Headers],[31]])</f>
        <v>0</v>
      </c>
      <c r="AJ166" s="10">
        <f>SUM(Table_ExternalData_15[[#This Row],[1]:[31]])</f>
        <v>10</v>
      </c>
    </row>
    <row r="167" spans="1:36">
      <c r="A167" s="1" t="s">
        <v>629</v>
      </c>
      <c r="B167" s="1" t="s">
        <v>2597</v>
      </c>
      <c r="C167" s="1" t="s">
        <v>2352</v>
      </c>
      <c r="D167" s="11" t="s">
        <v>72</v>
      </c>
      <c r="E167" s="10">
        <f>SUMIFS(IsQList,IsIList,Table_ExternalData_15[[#This Row],[item_key]],IsITypeList,Table_ExternalData_15[[#This Row],[IType]],IsDList,Table_ExternalData_15[[#Headers],[1]])</f>
        <v>0</v>
      </c>
      <c r="F167" s="10">
        <f>SUMIFS(IsQList,IsIList,Table_ExternalData_15[[#This Row],[item_key]],IsITypeList,Table_ExternalData_15[[#This Row],[IType]],IsDList,Table_ExternalData_15[[#Headers],[2]])</f>
        <v>0</v>
      </c>
      <c r="G167" s="10">
        <f>SUMIFS(IsQList,IsIList,Table_ExternalData_15[[#This Row],[item_key]],IsITypeList,Table_ExternalData_15[[#This Row],[IType]],IsDList,Table_ExternalData_15[[#Headers],[3]])</f>
        <v>0</v>
      </c>
      <c r="H167" s="10">
        <f>SUMIFS(IsQList,IsIList,Table_ExternalData_15[[#This Row],[item_key]],IsITypeList,Table_ExternalData_15[[#This Row],[IType]],IsDList,Table_ExternalData_15[[#Headers],[4]])</f>
        <v>0</v>
      </c>
      <c r="I167" s="10">
        <f>SUMIFS(IsQList,IsIList,Table_ExternalData_15[[#This Row],[item_key]],IsITypeList,Table_ExternalData_15[[#This Row],[IType]],IsDList,Table_ExternalData_15[[#Headers],[5]])</f>
        <v>0</v>
      </c>
      <c r="J167" s="10">
        <f>SUMIFS(IsQList,IsIList,Table_ExternalData_15[[#This Row],[item_key]],IsITypeList,Table_ExternalData_15[[#This Row],[IType]],IsDList,Table_ExternalData_15[[#Headers],[6]])</f>
        <v>55</v>
      </c>
      <c r="K167" s="10">
        <f>SUMIFS(IsQList,IsIList,Table_ExternalData_15[[#This Row],[item_key]],IsITypeList,Table_ExternalData_15[[#This Row],[IType]],IsDList,Table_ExternalData_15[[#Headers],[7]])</f>
        <v>0</v>
      </c>
      <c r="L167" s="10">
        <f>SUMIFS(IsQList,IsIList,Table_ExternalData_15[[#This Row],[item_key]],IsITypeList,Table_ExternalData_15[[#This Row],[IType]],IsDList,Table_ExternalData_15[[#Headers],[8]])</f>
        <v>0</v>
      </c>
      <c r="M167" s="10">
        <f>SUMIFS(IsQList,IsIList,Table_ExternalData_15[[#This Row],[item_key]],IsITypeList,Table_ExternalData_15[[#This Row],[IType]],IsDList,Table_ExternalData_15[[#Headers],[9]])</f>
        <v>0</v>
      </c>
      <c r="N167" s="10">
        <f>SUMIFS(IsQList,IsIList,Table_ExternalData_15[[#This Row],[item_key]],IsITypeList,Table_ExternalData_15[[#This Row],[IType]],IsDList,Table_ExternalData_15[[#Headers],[10]])</f>
        <v>20</v>
      </c>
      <c r="O167" s="10">
        <f>SUMIFS(IsQList,IsIList,Table_ExternalData_15[[#This Row],[item_key]],IsITypeList,Table_ExternalData_15[[#This Row],[IType]],IsDList,Table_ExternalData_15[[#Headers],[11]])</f>
        <v>0</v>
      </c>
      <c r="P167" s="10">
        <f>SUMIFS(IsQList,IsIList,Table_ExternalData_15[[#This Row],[item_key]],IsITypeList,Table_ExternalData_15[[#This Row],[IType]],IsDList,Table_ExternalData_15[[#Headers],[12]])</f>
        <v>0</v>
      </c>
      <c r="Q167" s="10">
        <f>SUMIFS(IsQList,IsIList,Table_ExternalData_15[[#This Row],[item_key]],IsITypeList,Table_ExternalData_15[[#This Row],[IType]],IsDList,Table_ExternalData_15[[#Headers],[13]])</f>
        <v>0</v>
      </c>
      <c r="R167" s="10">
        <f>SUMIFS(IsQList,IsIList,Table_ExternalData_15[[#This Row],[item_key]],IsITypeList,Table_ExternalData_15[[#This Row],[IType]],IsDList,Table_ExternalData_15[[#Headers],[14]])</f>
        <v>0</v>
      </c>
      <c r="S167" s="10">
        <f>SUMIFS(IsQList,IsIList,Table_ExternalData_15[[#This Row],[item_key]],IsITypeList,Table_ExternalData_15[[#This Row],[IType]],IsDList,Table_ExternalData_15[[#Headers],[15]])</f>
        <v>0</v>
      </c>
      <c r="T167" s="10">
        <f>SUMIFS(IsQList,IsIList,Table_ExternalData_15[[#This Row],[item_key]],IsITypeList,Table_ExternalData_15[[#This Row],[IType]],IsDList,Table_ExternalData_15[[#Headers],[16]])</f>
        <v>55</v>
      </c>
      <c r="U167" s="10">
        <f>SUMIFS(IsQList,IsIList,Table_ExternalData_15[[#This Row],[item_key]],IsITypeList,Table_ExternalData_15[[#This Row],[IType]],IsDList,Table_ExternalData_15[[#Headers],[17]])</f>
        <v>0</v>
      </c>
      <c r="V167" s="10">
        <f>SUMIFS(IsQList,IsIList,Table_ExternalData_15[[#This Row],[item_key]],IsITypeList,Table_ExternalData_15[[#This Row],[IType]],IsDList,Table_ExternalData_15[[#Headers],[18]])</f>
        <v>0</v>
      </c>
      <c r="W167" s="10">
        <f>SUMIFS(IsQList,IsIList,Table_ExternalData_15[[#This Row],[item_key]],IsITypeList,Table_ExternalData_15[[#This Row],[IType]],IsDList,Table_ExternalData_15[[#Headers],[19]])</f>
        <v>0</v>
      </c>
      <c r="X167" s="10">
        <f>SUMIFS(IsQList,IsIList,Table_ExternalData_15[[#This Row],[item_key]],IsITypeList,Table_ExternalData_15[[#This Row],[IType]],IsDList,Table_ExternalData_15[[#Headers],[20]])</f>
        <v>0</v>
      </c>
      <c r="Y167" s="10">
        <f>SUMIFS(IsQList,IsIList,Table_ExternalData_15[[#This Row],[item_key]],IsITypeList,Table_ExternalData_15[[#This Row],[IType]],IsDList,Table_ExternalData_15[[#Headers],[21]])</f>
        <v>0</v>
      </c>
      <c r="Z167" s="10">
        <f>SUMIFS(IsQList,IsIList,Table_ExternalData_15[[#This Row],[item_key]],IsITypeList,Table_ExternalData_15[[#This Row],[IType]],IsDList,Table_ExternalData_15[[#Headers],[22]])</f>
        <v>0</v>
      </c>
      <c r="AA167" s="10">
        <f>SUMIFS(IsQList,IsIList,Table_ExternalData_15[[#This Row],[item_key]],IsITypeList,Table_ExternalData_15[[#This Row],[IType]],IsDList,Table_ExternalData_15[[#Headers],[23]])</f>
        <v>0</v>
      </c>
      <c r="AB167" s="10">
        <f>SUMIFS(IsQList,IsIList,Table_ExternalData_15[[#This Row],[item_key]],IsITypeList,Table_ExternalData_15[[#This Row],[IType]],IsDList,Table_ExternalData_15[[#Headers],[24]])</f>
        <v>2</v>
      </c>
      <c r="AC167" s="10">
        <f>SUMIFS(IsQList,IsIList,Table_ExternalData_15[[#This Row],[item_key]],IsITypeList,Table_ExternalData_15[[#This Row],[IType]],IsDList,Table_ExternalData_15[[#Headers],[25]])</f>
        <v>0</v>
      </c>
      <c r="AD167" s="10">
        <f>SUMIFS(IsQList,IsIList,Table_ExternalData_15[[#This Row],[item_key]],IsITypeList,Table_ExternalData_15[[#This Row],[IType]],IsDList,Table_ExternalData_15[[#Headers],[26]])</f>
        <v>0</v>
      </c>
      <c r="AE167" s="10">
        <f>SUMIFS(IsQList,IsIList,Table_ExternalData_15[[#This Row],[item_key]],IsITypeList,Table_ExternalData_15[[#This Row],[IType]],IsDList,Table_ExternalData_15[[#Headers],[27]])</f>
        <v>0</v>
      </c>
      <c r="AF167" s="10">
        <f>SUMIFS(IsQList,IsIList,Table_ExternalData_15[[#This Row],[item_key]],IsITypeList,Table_ExternalData_15[[#This Row],[IType]],IsDList,Table_ExternalData_15[[#Headers],[28]])</f>
        <v>0</v>
      </c>
      <c r="AG167" s="10">
        <f>SUMIFS(IsQList,IsIList,Table_ExternalData_15[[#This Row],[item_key]],IsITypeList,Table_ExternalData_15[[#This Row],[IType]],IsDList,Table_ExternalData_15[[#Headers],[29]])</f>
        <v>0</v>
      </c>
      <c r="AH167" s="10">
        <f>SUMIFS(IsQList,IsIList,Table_ExternalData_15[[#This Row],[item_key]],IsITypeList,Table_ExternalData_15[[#This Row],[IType]],IsDList,Table_ExternalData_15[[#Headers],[30]])</f>
        <v>50</v>
      </c>
      <c r="AI167" s="10">
        <f>SUMIFS(IsQList,IsIList,Table_ExternalData_15[[#This Row],[item_key]],IsITypeList,Table_ExternalData_15[[#This Row],[IType]],IsDList,Table_ExternalData_15[[#Headers],[31]])</f>
        <v>0</v>
      </c>
      <c r="AJ167" s="10">
        <f>SUM(Table_ExternalData_15[[#This Row],[1]:[31]])</f>
        <v>182</v>
      </c>
    </row>
    <row r="168" spans="1:36">
      <c r="A168" s="1" t="s">
        <v>1763</v>
      </c>
      <c r="B168" s="1" t="s">
        <v>2351</v>
      </c>
      <c r="C168" s="1" t="s">
        <v>2352</v>
      </c>
      <c r="D168" s="11" t="s">
        <v>72</v>
      </c>
      <c r="E168" s="10">
        <f>SUMIFS(IsQList,IsIList,Table_ExternalData_15[[#This Row],[item_key]],IsITypeList,Table_ExternalData_15[[#This Row],[IType]],IsDList,Table_ExternalData_15[[#Headers],[1]])</f>
        <v>0</v>
      </c>
      <c r="F168" s="10">
        <f>SUMIFS(IsQList,IsIList,Table_ExternalData_15[[#This Row],[item_key]],IsITypeList,Table_ExternalData_15[[#This Row],[IType]],IsDList,Table_ExternalData_15[[#Headers],[2]])</f>
        <v>0</v>
      </c>
      <c r="G168" s="10">
        <f>SUMIFS(IsQList,IsIList,Table_ExternalData_15[[#This Row],[item_key]],IsITypeList,Table_ExternalData_15[[#This Row],[IType]],IsDList,Table_ExternalData_15[[#Headers],[3]])</f>
        <v>0</v>
      </c>
      <c r="H168" s="10">
        <f>SUMIFS(IsQList,IsIList,Table_ExternalData_15[[#This Row],[item_key]],IsITypeList,Table_ExternalData_15[[#This Row],[IType]],IsDList,Table_ExternalData_15[[#Headers],[4]])</f>
        <v>0</v>
      </c>
      <c r="I168" s="10">
        <f>SUMIFS(IsQList,IsIList,Table_ExternalData_15[[#This Row],[item_key]],IsITypeList,Table_ExternalData_15[[#This Row],[IType]],IsDList,Table_ExternalData_15[[#Headers],[5]])</f>
        <v>0</v>
      </c>
      <c r="J168" s="10">
        <f>SUMIFS(IsQList,IsIList,Table_ExternalData_15[[#This Row],[item_key]],IsITypeList,Table_ExternalData_15[[#This Row],[IType]],IsDList,Table_ExternalData_15[[#Headers],[6]])</f>
        <v>21</v>
      </c>
      <c r="K168" s="10">
        <f>SUMIFS(IsQList,IsIList,Table_ExternalData_15[[#This Row],[item_key]],IsITypeList,Table_ExternalData_15[[#This Row],[IType]],IsDList,Table_ExternalData_15[[#Headers],[7]])</f>
        <v>0</v>
      </c>
      <c r="L168" s="10">
        <f>SUMIFS(IsQList,IsIList,Table_ExternalData_15[[#This Row],[item_key]],IsITypeList,Table_ExternalData_15[[#This Row],[IType]],IsDList,Table_ExternalData_15[[#Headers],[8]])</f>
        <v>0</v>
      </c>
      <c r="M168" s="10">
        <f>SUMIFS(IsQList,IsIList,Table_ExternalData_15[[#This Row],[item_key]],IsITypeList,Table_ExternalData_15[[#This Row],[IType]],IsDList,Table_ExternalData_15[[#Headers],[9]])</f>
        <v>0</v>
      </c>
      <c r="N168" s="10">
        <f>SUMIFS(IsQList,IsIList,Table_ExternalData_15[[#This Row],[item_key]],IsITypeList,Table_ExternalData_15[[#This Row],[IType]],IsDList,Table_ExternalData_15[[#Headers],[10]])</f>
        <v>4</v>
      </c>
      <c r="O168" s="10">
        <f>SUMIFS(IsQList,IsIList,Table_ExternalData_15[[#This Row],[item_key]],IsITypeList,Table_ExternalData_15[[#This Row],[IType]],IsDList,Table_ExternalData_15[[#Headers],[11]])</f>
        <v>0</v>
      </c>
      <c r="P168" s="10">
        <f>SUMIFS(IsQList,IsIList,Table_ExternalData_15[[#This Row],[item_key]],IsITypeList,Table_ExternalData_15[[#This Row],[IType]],IsDList,Table_ExternalData_15[[#Headers],[12]])</f>
        <v>0</v>
      </c>
      <c r="Q168" s="10">
        <f>SUMIFS(IsQList,IsIList,Table_ExternalData_15[[#This Row],[item_key]],IsITypeList,Table_ExternalData_15[[#This Row],[IType]],IsDList,Table_ExternalData_15[[#Headers],[13]])</f>
        <v>0</v>
      </c>
      <c r="R168" s="10">
        <f>SUMIFS(IsQList,IsIList,Table_ExternalData_15[[#This Row],[item_key]],IsITypeList,Table_ExternalData_15[[#This Row],[IType]],IsDList,Table_ExternalData_15[[#Headers],[14]])</f>
        <v>0</v>
      </c>
      <c r="S168" s="10">
        <f>SUMIFS(IsQList,IsIList,Table_ExternalData_15[[#This Row],[item_key]],IsITypeList,Table_ExternalData_15[[#This Row],[IType]],IsDList,Table_ExternalData_15[[#Headers],[15]])</f>
        <v>0</v>
      </c>
      <c r="T168" s="10">
        <f>SUMIFS(IsQList,IsIList,Table_ExternalData_15[[#This Row],[item_key]],IsITypeList,Table_ExternalData_15[[#This Row],[IType]],IsDList,Table_ExternalData_15[[#Headers],[16]])</f>
        <v>15</v>
      </c>
      <c r="U168" s="10">
        <f>SUMIFS(IsQList,IsIList,Table_ExternalData_15[[#This Row],[item_key]],IsITypeList,Table_ExternalData_15[[#This Row],[IType]],IsDList,Table_ExternalData_15[[#Headers],[17]])</f>
        <v>0</v>
      </c>
      <c r="V168" s="10">
        <f>SUMIFS(IsQList,IsIList,Table_ExternalData_15[[#This Row],[item_key]],IsITypeList,Table_ExternalData_15[[#This Row],[IType]],IsDList,Table_ExternalData_15[[#Headers],[18]])</f>
        <v>0</v>
      </c>
      <c r="W168" s="10">
        <f>SUMIFS(IsQList,IsIList,Table_ExternalData_15[[#This Row],[item_key]],IsITypeList,Table_ExternalData_15[[#This Row],[IType]],IsDList,Table_ExternalData_15[[#Headers],[19]])</f>
        <v>0</v>
      </c>
      <c r="X168" s="10">
        <f>SUMIFS(IsQList,IsIList,Table_ExternalData_15[[#This Row],[item_key]],IsITypeList,Table_ExternalData_15[[#This Row],[IType]],IsDList,Table_ExternalData_15[[#Headers],[20]])</f>
        <v>0</v>
      </c>
      <c r="Y168" s="10">
        <f>SUMIFS(IsQList,IsIList,Table_ExternalData_15[[#This Row],[item_key]],IsITypeList,Table_ExternalData_15[[#This Row],[IType]],IsDList,Table_ExternalData_15[[#Headers],[21]])</f>
        <v>0</v>
      </c>
      <c r="Z168" s="10">
        <f>SUMIFS(IsQList,IsIList,Table_ExternalData_15[[#This Row],[item_key]],IsITypeList,Table_ExternalData_15[[#This Row],[IType]],IsDList,Table_ExternalData_15[[#Headers],[22]])</f>
        <v>0</v>
      </c>
      <c r="AA168" s="10">
        <f>SUMIFS(IsQList,IsIList,Table_ExternalData_15[[#This Row],[item_key]],IsITypeList,Table_ExternalData_15[[#This Row],[IType]],IsDList,Table_ExternalData_15[[#Headers],[23]])</f>
        <v>0</v>
      </c>
      <c r="AB168" s="10">
        <f>SUMIFS(IsQList,IsIList,Table_ExternalData_15[[#This Row],[item_key]],IsITypeList,Table_ExternalData_15[[#This Row],[IType]],IsDList,Table_ExternalData_15[[#Headers],[24]])</f>
        <v>2</v>
      </c>
      <c r="AC168" s="10">
        <f>SUMIFS(IsQList,IsIList,Table_ExternalData_15[[#This Row],[item_key]],IsITypeList,Table_ExternalData_15[[#This Row],[IType]],IsDList,Table_ExternalData_15[[#Headers],[25]])</f>
        <v>0</v>
      </c>
      <c r="AD168" s="10">
        <f>SUMIFS(IsQList,IsIList,Table_ExternalData_15[[#This Row],[item_key]],IsITypeList,Table_ExternalData_15[[#This Row],[IType]],IsDList,Table_ExternalData_15[[#Headers],[26]])</f>
        <v>0</v>
      </c>
      <c r="AE168" s="10">
        <f>SUMIFS(IsQList,IsIList,Table_ExternalData_15[[#This Row],[item_key]],IsITypeList,Table_ExternalData_15[[#This Row],[IType]],IsDList,Table_ExternalData_15[[#Headers],[27]])</f>
        <v>0</v>
      </c>
      <c r="AF168" s="10">
        <f>SUMIFS(IsQList,IsIList,Table_ExternalData_15[[#This Row],[item_key]],IsITypeList,Table_ExternalData_15[[#This Row],[IType]],IsDList,Table_ExternalData_15[[#Headers],[28]])</f>
        <v>0</v>
      </c>
      <c r="AG168" s="10">
        <f>SUMIFS(IsQList,IsIList,Table_ExternalData_15[[#This Row],[item_key]],IsITypeList,Table_ExternalData_15[[#This Row],[IType]],IsDList,Table_ExternalData_15[[#Headers],[29]])</f>
        <v>0</v>
      </c>
      <c r="AH168" s="10">
        <f>SUMIFS(IsQList,IsIList,Table_ExternalData_15[[#This Row],[item_key]],IsITypeList,Table_ExternalData_15[[#This Row],[IType]],IsDList,Table_ExternalData_15[[#Headers],[30]])</f>
        <v>0</v>
      </c>
      <c r="AI168" s="10">
        <f>SUMIFS(IsQList,IsIList,Table_ExternalData_15[[#This Row],[item_key]],IsITypeList,Table_ExternalData_15[[#This Row],[IType]],IsDList,Table_ExternalData_15[[#Headers],[31]])</f>
        <v>0</v>
      </c>
      <c r="AJ168" s="10">
        <f>SUM(Table_ExternalData_15[[#This Row],[1]:[31]])</f>
        <v>42</v>
      </c>
    </row>
    <row r="169" spans="1:36">
      <c r="A169" s="1" t="s">
        <v>1764</v>
      </c>
      <c r="B169" s="1" t="s">
        <v>2598</v>
      </c>
      <c r="C169" s="1" t="s">
        <v>1336</v>
      </c>
      <c r="D169" s="11" t="s">
        <v>72</v>
      </c>
      <c r="E169" s="10">
        <f>SUMIFS(IsQList,IsIList,Table_ExternalData_15[[#This Row],[item_key]],IsITypeList,Table_ExternalData_15[[#This Row],[IType]],IsDList,Table_ExternalData_15[[#Headers],[1]])</f>
        <v>0</v>
      </c>
      <c r="F169" s="10">
        <f>SUMIFS(IsQList,IsIList,Table_ExternalData_15[[#This Row],[item_key]],IsITypeList,Table_ExternalData_15[[#This Row],[IType]],IsDList,Table_ExternalData_15[[#Headers],[2]])</f>
        <v>0</v>
      </c>
      <c r="G169" s="10">
        <f>SUMIFS(IsQList,IsIList,Table_ExternalData_15[[#This Row],[item_key]],IsITypeList,Table_ExternalData_15[[#This Row],[IType]],IsDList,Table_ExternalData_15[[#Headers],[3]])</f>
        <v>0</v>
      </c>
      <c r="H169" s="10">
        <f>SUMIFS(IsQList,IsIList,Table_ExternalData_15[[#This Row],[item_key]],IsITypeList,Table_ExternalData_15[[#This Row],[IType]],IsDList,Table_ExternalData_15[[#Headers],[4]])</f>
        <v>0</v>
      </c>
      <c r="I169" s="10">
        <f>SUMIFS(IsQList,IsIList,Table_ExternalData_15[[#This Row],[item_key]],IsITypeList,Table_ExternalData_15[[#This Row],[IType]],IsDList,Table_ExternalData_15[[#Headers],[5]])</f>
        <v>0</v>
      </c>
      <c r="J169" s="10">
        <f>SUMIFS(IsQList,IsIList,Table_ExternalData_15[[#This Row],[item_key]],IsITypeList,Table_ExternalData_15[[#This Row],[IType]],IsDList,Table_ExternalData_15[[#Headers],[6]])</f>
        <v>30</v>
      </c>
      <c r="K169" s="10">
        <f>SUMIFS(IsQList,IsIList,Table_ExternalData_15[[#This Row],[item_key]],IsITypeList,Table_ExternalData_15[[#This Row],[IType]],IsDList,Table_ExternalData_15[[#Headers],[7]])</f>
        <v>0</v>
      </c>
      <c r="L169" s="10">
        <f>SUMIFS(IsQList,IsIList,Table_ExternalData_15[[#This Row],[item_key]],IsITypeList,Table_ExternalData_15[[#This Row],[IType]],IsDList,Table_ExternalData_15[[#Headers],[8]])</f>
        <v>0</v>
      </c>
      <c r="M169" s="10">
        <f>SUMIFS(IsQList,IsIList,Table_ExternalData_15[[#This Row],[item_key]],IsITypeList,Table_ExternalData_15[[#This Row],[IType]],IsDList,Table_ExternalData_15[[#Headers],[9]])</f>
        <v>0</v>
      </c>
      <c r="N169" s="10">
        <f>SUMIFS(IsQList,IsIList,Table_ExternalData_15[[#This Row],[item_key]],IsITypeList,Table_ExternalData_15[[#This Row],[IType]],IsDList,Table_ExternalData_15[[#Headers],[10]])</f>
        <v>0</v>
      </c>
      <c r="O169" s="10">
        <f>SUMIFS(IsQList,IsIList,Table_ExternalData_15[[#This Row],[item_key]],IsITypeList,Table_ExternalData_15[[#This Row],[IType]],IsDList,Table_ExternalData_15[[#Headers],[11]])</f>
        <v>0</v>
      </c>
      <c r="P169" s="10">
        <f>SUMIFS(IsQList,IsIList,Table_ExternalData_15[[#This Row],[item_key]],IsITypeList,Table_ExternalData_15[[#This Row],[IType]],IsDList,Table_ExternalData_15[[#Headers],[12]])</f>
        <v>0</v>
      </c>
      <c r="Q169" s="10">
        <f>SUMIFS(IsQList,IsIList,Table_ExternalData_15[[#This Row],[item_key]],IsITypeList,Table_ExternalData_15[[#This Row],[IType]],IsDList,Table_ExternalData_15[[#Headers],[13]])</f>
        <v>0</v>
      </c>
      <c r="R169" s="10">
        <f>SUMIFS(IsQList,IsIList,Table_ExternalData_15[[#This Row],[item_key]],IsITypeList,Table_ExternalData_15[[#This Row],[IType]],IsDList,Table_ExternalData_15[[#Headers],[14]])</f>
        <v>0</v>
      </c>
      <c r="S169" s="10">
        <f>SUMIFS(IsQList,IsIList,Table_ExternalData_15[[#This Row],[item_key]],IsITypeList,Table_ExternalData_15[[#This Row],[IType]],IsDList,Table_ExternalData_15[[#Headers],[15]])</f>
        <v>0</v>
      </c>
      <c r="T169" s="10">
        <f>SUMIFS(IsQList,IsIList,Table_ExternalData_15[[#This Row],[item_key]],IsITypeList,Table_ExternalData_15[[#This Row],[IType]],IsDList,Table_ExternalData_15[[#Headers],[16]])</f>
        <v>0</v>
      </c>
      <c r="U169" s="10">
        <f>SUMIFS(IsQList,IsIList,Table_ExternalData_15[[#This Row],[item_key]],IsITypeList,Table_ExternalData_15[[#This Row],[IType]],IsDList,Table_ExternalData_15[[#Headers],[17]])</f>
        <v>0</v>
      </c>
      <c r="V169" s="10">
        <f>SUMIFS(IsQList,IsIList,Table_ExternalData_15[[#This Row],[item_key]],IsITypeList,Table_ExternalData_15[[#This Row],[IType]],IsDList,Table_ExternalData_15[[#Headers],[18]])</f>
        <v>0</v>
      </c>
      <c r="W169" s="10">
        <f>SUMIFS(IsQList,IsIList,Table_ExternalData_15[[#This Row],[item_key]],IsITypeList,Table_ExternalData_15[[#This Row],[IType]],IsDList,Table_ExternalData_15[[#Headers],[19]])</f>
        <v>0</v>
      </c>
      <c r="X169" s="10">
        <f>SUMIFS(IsQList,IsIList,Table_ExternalData_15[[#This Row],[item_key]],IsITypeList,Table_ExternalData_15[[#This Row],[IType]],IsDList,Table_ExternalData_15[[#Headers],[20]])</f>
        <v>0</v>
      </c>
      <c r="Y169" s="10">
        <f>SUMIFS(IsQList,IsIList,Table_ExternalData_15[[#This Row],[item_key]],IsITypeList,Table_ExternalData_15[[#This Row],[IType]],IsDList,Table_ExternalData_15[[#Headers],[21]])</f>
        <v>0</v>
      </c>
      <c r="Z169" s="10">
        <f>SUMIFS(IsQList,IsIList,Table_ExternalData_15[[#This Row],[item_key]],IsITypeList,Table_ExternalData_15[[#This Row],[IType]],IsDList,Table_ExternalData_15[[#Headers],[22]])</f>
        <v>0</v>
      </c>
      <c r="AA169" s="10">
        <f>SUMIFS(IsQList,IsIList,Table_ExternalData_15[[#This Row],[item_key]],IsITypeList,Table_ExternalData_15[[#This Row],[IType]],IsDList,Table_ExternalData_15[[#Headers],[23]])</f>
        <v>0</v>
      </c>
      <c r="AB169" s="10">
        <f>SUMIFS(IsQList,IsIList,Table_ExternalData_15[[#This Row],[item_key]],IsITypeList,Table_ExternalData_15[[#This Row],[IType]],IsDList,Table_ExternalData_15[[#Headers],[24]])</f>
        <v>0</v>
      </c>
      <c r="AC169" s="10">
        <f>SUMIFS(IsQList,IsIList,Table_ExternalData_15[[#This Row],[item_key]],IsITypeList,Table_ExternalData_15[[#This Row],[IType]],IsDList,Table_ExternalData_15[[#Headers],[25]])</f>
        <v>0</v>
      </c>
      <c r="AD169" s="10">
        <f>SUMIFS(IsQList,IsIList,Table_ExternalData_15[[#This Row],[item_key]],IsITypeList,Table_ExternalData_15[[#This Row],[IType]],IsDList,Table_ExternalData_15[[#Headers],[26]])</f>
        <v>0</v>
      </c>
      <c r="AE169" s="10">
        <f>SUMIFS(IsQList,IsIList,Table_ExternalData_15[[#This Row],[item_key]],IsITypeList,Table_ExternalData_15[[#This Row],[IType]],IsDList,Table_ExternalData_15[[#Headers],[27]])</f>
        <v>0</v>
      </c>
      <c r="AF169" s="10">
        <f>SUMIFS(IsQList,IsIList,Table_ExternalData_15[[#This Row],[item_key]],IsITypeList,Table_ExternalData_15[[#This Row],[IType]],IsDList,Table_ExternalData_15[[#Headers],[28]])</f>
        <v>0</v>
      </c>
      <c r="AG169" s="10">
        <f>SUMIFS(IsQList,IsIList,Table_ExternalData_15[[#This Row],[item_key]],IsITypeList,Table_ExternalData_15[[#This Row],[IType]],IsDList,Table_ExternalData_15[[#Headers],[29]])</f>
        <v>0</v>
      </c>
      <c r="AH169" s="10">
        <f>SUMIFS(IsQList,IsIList,Table_ExternalData_15[[#This Row],[item_key]],IsITypeList,Table_ExternalData_15[[#This Row],[IType]],IsDList,Table_ExternalData_15[[#Headers],[30]])</f>
        <v>0</v>
      </c>
      <c r="AI169" s="10">
        <f>SUMIFS(IsQList,IsIList,Table_ExternalData_15[[#This Row],[item_key]],IsITypeList,Table_ExternalData_15[[#This Row],[IType]],IsDList,Table_ExternalData_15[[#Headers],[31]])</f>
        <v>0</v>
      </c>
      <c r="AJ169" s="10">
        <f>SUM(Table_ExternalData_15[[#This Row],[1]:[31]])</f>
        <v>30</v>
      </c>
    </row>
    <row r="170" spans="1:36">
      <c r="A170" s="1" t="s">
        <v>1765</v>
      </c>
      <c r="B170" s="1" t="s">
        <v>2599</v>
      </c>
      <c r="C170" s="1" t="s">
        <v>2600</v>
      </c>
      <c r="D170" s="11" t="s">
        <v>72</v>
      </c>
      <c r="E170" s="10">
        <f>SUMIFS(IsQList,IsIList,Table_ExternalData_15[[#This Row],[item_key]],IsITypeList,Table_ExternalData_15[[#This Row],[IType]],IsDList,Table_ExternalData_15[[#Headers],[1]])</f>
        <v>0</v>
      </c>
      <c r="F170" s="10">
        <f>SUMIFS(IsQList,IsIList,Table_ExternalData_15[[#This Row],[item_key]],IsITypeList,Table_ExternalData_15[[#This Row],[IType]],IsDList,Table_ExternalData_15[[#Headers],[2]])</f>
        <v>0</v>
      </c>
      <c r="G170" s="10">
        <f>SUMIFS(IsQList,IsIList,Table_ExternalData_15[[#This Row],[item_key]],IsITypeList,Table_ExternalData_15[[#This Row],[IType]],IsDList,Table_ExternalData_15[[#Headers],[3]])</f>
        <v>0</v>
      </c>
      <c r="H170" s="10">
        <f>SUMIFS(IsQList,IsIList,Table_ExternalData_15[[#This Row],[item_key]],IsITypeList,Table_ExternalData_15[[#This Row],[IType]],IsDList,Table_ExternalData_15[[#Headers],[4]])</f>
        <v>0</v>
      </c>
      <c r="I170" s="10">
        <f>SUMIFS(IsQList,IsIList,Table_ExternalData_15[[#This Row],[item_key]],IsITypeList,Table_ExternalData_15[[#This Row],[IType]],IsDList,Table_ExternalData_15[[#Headers],[5]])</f>
        <v>0</v>
      </c>
      <c r="J170" s="10">
        <f>SUMIFS(IsQList,IsIList,Table_ExternalData_15[[#This Row],[item_key]],IsITypeList,Table_ExternalData_15[[#This Row],[IType]],IsDList,Table_ExternalData_15[[#Headers],[6]])</f>
        <v>0</v>
      </c>
      <c r="K170" s="10">
        <f>SUMIFS(IsQList,IsIList,Table_ExternalData_15[[#This Row],[item_key]],IsITypeList,Table_ExternalData_15[[#This Row],[IType]],IsDList,Table_ExternalData_15[[#Headers],[7]])</f>
        <v>0</v>
      </c>
      <c r="L170" s="10">
        <f>SUMIFS(IsQList,IsIList,Table_ExternalData_15[[#This Row],[item_key]],IsITypeList,Table_ExternalData_15[[#This Row],[IType]],IsDList,Table_ExternalData_15[[#Headers],[8]])</f>
        <v>0</v>
      </c>
      <c r="M170" s="10">
        <f>SUMIFS(IsQList,IsIList,Table_ExternalData_15[[#This Row],[item_key]],IsITypeList,Table_ExternalData_15[[#This Row],[IType]],IsDList,Table_ExternalData_15[[#Headers],[9]])</f>
        <v>0</v>
      </c>
      <c r="N170" s="10">
        <f>SUMIFS(IsQList,IsIList,Table_ExternalData_15[[#This Row],[item_key]],IsITypeList,Table_ExternalData_15[[#This Row],[IType]],IsDList,Table_ExternalData_15[[#Headers],[10]])</f>
        <v>300</v>
      </c>
      <c r="O170" s="10">
        <f>SUMIFS(IsQList,IsIList,Table_ExternalData_15[[#This Row],[item_key]],IsITypeList,Table_ExternalData_15[[#This Row],[IType]],IsDList,Table_ExternalData_15[[#Headers],[11]])</f>
        <v>0</v>
      </c>
      <c r="P170" s="10">
        <f>SUMIFS(IsQList,IsIList,Table_ExternalData_15[[#This Row],[item_key]],IsITypeList,Table_ExternalData_15[[#This Row],[IType]],IsDList,Table_ExternalData_15[[#Headers],[12]])</f>
        <v>0</v>
      </c>
      <c r="Q170" s="10">
        <f>SUMIFS(IsQList,IsIList,Table_ExternalData_15[[#This Row],[item_key]],IsITypeList,Table_ExternalData_15[[#This Row],[IType]],IsDList,Table_ExternalData_15[[#Headers],[13]])</f>
        <v>0</v>
      </c>
      <c r="R170" s="10">
        <f>SUMIFS(IsQList,IsIList,Table_ExternalData_15[[#This Row],[item_key]],IsITypeList,Table_ExternalData_15[[#This Row],[IType]],IsDList,Table_ExternalData_15[[#Headers],[14]])</f>
        <v>0</v>
      </c>
      <c r="S170" s="10">
        <f>SUMIFS(IsQList,IsIList,Table_ExternalData_15[[#This Row],[item_key]],IsITypeList,Table_ExternalData_15[[#This Row],[IType]],IsDList,Table_ExternalData_15[[#Headers],[15]])</f>
        <v>0</v>
      </c>
      <c r="T170" s="10">
        <f>SUMIFS(IsQList,IsIList,Table_ExternalData_15[[#This Row],[item_key]],IsITypeList,Table_ExternalData_15[[#This Row],[IType]],IsDList,Table_ExternalData_15[[#Headers],[16]])</f>
        <v>90</v>
      </c>
      <c r="U170" s="10">
        <f>SUMIFS(IsQList,IsIList,Table_ExternalData_15[[#This Row],[item_key]],IsITypeList,Table_ExternalData_15[[#This Row],[IType]],IsDList,Table_ExternalData_15[[#Headers],[17]])</f>
        <v>0</v>
      </c>
      <c r="V170" s="10">
        <f>SUMIFS(IsQList,IsIList,Table_ExternalData_15[[#This Row],[item_key]],IsITypeList,Table_ExternalData_15[[#This Row],[IType]],IsDList,Table_ExternalData_15[[#Headers],[18]])</f>
        <v>0</v>
      </c>
      <c r="W170" s="10">
        <f>SUMIFS(IsQList,IsIList,Table_ExternalData_15[[#This Row],[item_key]],IsITypeList,Table_ExternalData_15[[#This Row],[IType]],IsDList,Table_ExternalData_15[[#Headers],[19]])</f>
        <v>0</v>
      </c>
      <c r="X170" s="10">
        <f>SUMIFS(IsQList,IsIList,Table_ExternalData_15[[#This Row],[item_key]],IsITypeList,Table_ExternalData_15[[#This Row],[IType]],IsDList,Table_ExternalData_15[[#Headers],[20]])</f>
        <v>0</v>
      </c>
      <c r="Y170" s="10">
        <f>SUMIFS(IsQList,IsIList,Table_ExternalData_15[[#This Row],[item_key]],IsITypeList,Table_ExternalData_15[[#This Row],[IType]],IsDList,Table_ExternalData_15[[#Headers],[21]])</f>
        <v>0</v>
      </c>
      <c r="Z170" s="10">
        <f>SUMIFS(IsQList,IsIList,Table_ExternalData_15[[#This Row],[item_key]],IsITypeList,Table_ExternalData_15[[#This Row],[IType]],IsDList,Table_ExternalData_15[[#Headers],[22]])</f>
        <v>0</v>
      </c>
      <c r="AA170" s="10">
        <f>SUMIFS(IsQList,IsIList,Table_ExternalData_15[[#This Row],[item_key]],IsITypeList,Table_ExternalData_15[[#This Row],[IType]],IsDList,Table_ExternalData_15[[#Headers],[23]])</f>
        <v>0</v>
      </c>
      <c r="AB170" s="10">
        <f>SUMIFS(IsQList,IsIList,Table_ExternalData_15[[#This Row],[item_key]],IsITypeList,Table_ExternalData_15[[#This Row],[IType]],IsDList,Table_ExternalData_15[[#Headers],[24]])</f>
        <v>0</v>
      </c>
      <c r="AC170" s="10">
        <f>SUMIFS(IsQList,IsIList,Table_ExternalData_15[[#This Row],[item_key]],IsITypeList,Table_ExternalData_15[[#This Row],[IType]],IsDList,Table_ExternalData_15[[#Headers],[25]])</f>
        <v>0</v>
      </c>
      <c r="AD170" s="10">
        <f>SUMIFS(IsQList,IsIList,Table_ExternalData_15[[#This Row],[item_key]],IsITypeList,Table_ExternalData_15[[#This Row],[IType]],IsDList,Table_ExternalData_15[[#Headers],[26]])</f>
        <v>0</v>
      </c>
      <c r="AE170" s="10">
        <f>SUMIFS(IsQList,IsIList,Table_ExternalData_15[[#This Row],[item_key]],IsITypeList,Table_ExternalData_15[[#This Row],[IType]],IsDList,Table_ExternalData_15[[#Headers],[27]])</f>
        <v>0</v>
      </c>
      <c r="AF170" s="10">
        <f>SUMIFS(IsQList,IsIList,Table_ExternalData_15[[#This Row],[item_key]],IsITypeList,Table_ExternalData_15[[#This Row],[IType]],IsDList,Table_ExternalData_15[[#Headers],[28]])</f>
        <v>0</v>
      </c>
      <c r="AG170" s="10">
        <f>SUMIFS(IsQList,IsIList,Table_ExternalData_15[[#This Row],[item_key]],IsITypeList,Table_ExternalData_15[[#This Row],[IType]],IsDList,Table_ExternalData_15[[#Headers],[29]])</f>
        <v>0</v>
      </c>
      <c r="AH170" s="10">
        <f>SUMIFS(IsQList,IsIList,Table_ExternalData_15[[#This Row],[item_key]],IsITypeList,Table_ExternalData_15[[#This Row],[IType]],IsDList,Table_ExternalData_15[[#Headers],[30]])</f>
        <v>0</v>
      </c>
      <c r="AI170" s="10">
        <f>SUMIFS(IsQList,IsIList,Table_ExternalData_15[[#This Row],[item_key]],IsITypeList,Table_ExternalData_15[[#This Row],[IType]],IsDList,Table_ExternalData_15[[#Headers],[31]])</f>
        <v>0</v>
      </c>
      <c r="AJ170" s="10">
        <f>SUM(Table_ExternalData_15[[#This Row],[1]:[31]])</f>
        <v>390</v>
      </c>
    </row>
    <row r="171" spans="1:36">
      <c r="A171" s="1" t="s">
        <v>1766</v>
      </c>
      <c r="B171" s="1" t="s">
        <v>2399</v>
      </c>
      <c r="C171" s="1" t="s">
        <v>1336</v>
      </c>
      <c r="D171" s="11" t="s">
        <v>72</v>
      </c>
      <c r="E171" s="10">
        <f>SUMIFS(IsQList,IsIList,Table_ExternalData_15[[#This Row],[item_key]],IsITypeList,Table_ExternalData_15[[#This Row],[IType]],IsDList,Table_ExternalData_15[[#Headers],[1]])</f>
        <v>0</v>
      </c>
      <c r="F171" s="10">
        <f>SUMIFS(IsQList,IsIList,Table_ExternalData_15[[#This Row],[item_key]],IsITypeList,Table_ExternalData_15[[#This Row],[IType]],IsDList,Table_ExternalData_15[[#Headers],[2]])</f>
        <v>0</v>
      </c>
      <c r="G171" s="10">
        <f>SUMIFS(IsQList,IsIList,Table_ExternalData_15[[#This Row],[item_key]],IsITypeList,Table_ExternalData_15[[#This Row],[IType]],IsDList,Table_ExternalData_15[[#Headers],[3]])</f>
        <v>0</v>
      </c>
      <c r="H171" s="10">
        <f>SUMIFS(IsQList,IsIList,Table_ExternalData_15[[#This Row],[item_key]],IsITypeList,Table_ExternalData_15[[#This Row],[IType]],IsDList,Table_ExternalData_15[[#Headers],[4]])</f>
        <v>0</v>
      </c>
      <c r="I171" s="10">
        <f>SUMIFS(IsQList,IsIList,Table_ExternalData_15[[#This Row],[item_key]],IsITypeList,Table_ExternalData_15[[#This Row],[IType]],IsDList,Table_ExternalData_15[[#Headers],[5]])</f>
        <v>0</v>
      </c>
      <c r="J171" s="10">
        <f>SUMIFS(IsQList,IsIList,Table_ExternalData_15[[#This Row],[item_key]],IsITypeList,Table_ExternalData_15[[#This Row],[IType]],IsDList,Table_ExternalData_15[[#Headers],[6]])</f>
        <v>0</v>
      </c>
      <c r="K171" s="10">
        <f>SUMIFS(IsQList,IsIList,Table_ExternalData_15[[#This Row],[item_key]],IsITypeList,Table_ExternalData_15[[#This Row],[IType]],IsDList,Table_ExternalData_15[[#Headers],[7]])</f>
        <v>0</v>
      </c>
      <c r="L171" s="10">
        <f>SUMIFS(IsQList,IsIList,Table_ExternalData_15[[#This Row],[item_key]],IsITypeList,Table_ExternalData_15[[#This Row],[IType]],IsDList,Table_ExternalData_15[[#Headers],[8]])</f>
        <v>0</v>
      </c>
      <c r="M171" s="10">
        <f>SUMIFS(IsQList,IsIList,Table_ExternalData_15[[#This Row],[item_key]],IsITypeList,Table_ExternalData_15[[#This Row],[IType]],IsDList,Table_ExternalData_15[[#Headers],[9]])</f>
        <v>0</v>
      </c>
      <c r="N171" s="10">
        <f>SUMIFS(IsQList,IsIList,Table_ExternalData_15[[#This Row],[item_key]],IsITypeList,Table_ExternalData_15[[#This Row],[IType]],IsDList,Table_ExternalData_15[[#Headers],[10]])</f>
        <v>0</v>
      </c>
      <c r="O171" s="10">
        <f>SUMIFS(IsQList,IsIList,Table_ExternalData_15[[#This Row],[item_key]],IsITypeList,Table_ExternalData_15[[#This Row],[IType]],IsDList,Table_ExternalData_15[[#Headers],[11]])</f>
        <v>0</v>
      </c>
      <c r="P171" s="10">
        <f>SUMIFS(IsQList,IsIList,Table_ExternalData_15[[#This Row],[item_key]],IsITypeList,Table_ExternalData_15[[#This Row],[IType]],IsDList,Table_ExternalData_15[[#Headers],[12]])</f>
        <v>0</v>
      </c>
      <c r="Q171" s="10">
        <f>SUMIFS(IsQList,IsIList,Table_ExternalData_15[[#This Row],[item_key]],IsITypeList,Table_ExternalData_15[[#This Row],[IType]],IsDList,Table_ExternalData_15[[#Headers],[13]])</f>
        <v>0</v>
      </c>
      <c r="R171" s="10">
        <f>SUMIFS(IsQList,IsIList,Table_ExternalData_15[[#This Row],[item_key]],IsITypeList,Table_ExternalData_15[[#This Row],[IType]],IsDList,Table_ExternalData_15[[#Headers],[14]])</f>
        <v>0</v>
      </c>
      <c r="S171" s="10">
        <f>SUMIFS(IsQList,IsIList,Table_ExternalData_15[[#This Row],[item_key]],IsITypeList,Table_ExternalData_15[[#This Row],[IType]],IsDList,Table_ExternalData_15[[#Headers],[15]])</f>
        <v>0</v>
      </c>
      <c r="T171" s="10">
        <f>SUMIFS(IsQList,IsIList,Table_ExternalData_15[[#This Row],[item_key]],IsITypeList,Table_ExternalData_15[[#This Row],[IType]],IsDList,Table_ExternalData_15[[#Headers],[16]])</f>
        <v>0</v>
      </c>
      <c r="U171" s="10">
        <f>SUMIFS(IsQList,IsIList,Table_ExternalData_15[[#This Row],[item_key]],IsITypeList,Table_ExternalData_15[[#This Row],[IType]],IsDList,Table_ExternalData_15[[#Headers],[17]])</f>
        <v>0</v>
      </c>
      <c r="V171" s="10">
        <f>SUMIFS(IsQList,IsIList,Table_ExternalData_15[[#This Row],[item_key]],IsITypeList,Table_ExternalData_15[[#This Row],[IType]],IsDList,Table_ExternalData_15[[#Headers],[18]])</f>
        <v>0</v>
      </c>
      <c r="W171" s="10">
        <f>SUMIFS(IsQList,IsIList,Table_ExternalData_15[[#This Row],[item_key]],IsITypeList,Table_ExternalData_15[[#This Row],[IType]],IsDList,Table_ExternalData_15[[#Headers],[19]])</f>
        <v>0</v>
      </c>
      <c r="X171" s="10">
        <f>SUMIFS(IsQList,IsIList,Table_ExternalData_15[[#This Row],[item_key]],IsITypeList,Table_ExternalData_15[[#This Row],[IType]],IsDList,Table_ExternalData_15[[#Headers],[20]])</f>
        <v>0</v>
      </c>
      <c r="Y171" s="10">
        <f>SUMIFS(IsQList,IsIList,Table_ExternalData_15[[#This Row],[item_key]],IsITypeList,Table_ExternalData_15[[#This Row],[IType]],IsDList,Table_ExternalData_15[[#Headers],[21]])</f>
        <v>0</v>
      </c>
      <c r="Z171" s="10">
        <f>SUMIFS(IsQList,IsIList,Table_ExternalData_15[[#This Row],[item_key]],IsITypeList,Table_ExternalData_15[[#This Row],[IType]],IsDList,Table_ExternalData_15[[#Headers],[22]])</f>
        <v>0</v>
      </c>
      <c r="AA171" s="10">
        <f>SUMIFS(IsQList,IsIList,Table_ExternalData_15[[#This Row],[item_key]],IsITypeList,Table_ExternalData_15[[#This Row],[IType]],IsDList,Table_ExternalData_15[[#Headers],[23]])</f>
        <v>0</v>
      </c>
      <c r="AB171" s="10">
        <f>SUMIFS(IsQList,IsIList,Table_ExternalData_15[[#This Row],[item_key]],IsITypeList,Table_ExternalData_15[[#This Row],[IType]],IsDList,Table_ExternalData_15[[#Headers],[24]])</f>
        <v>0</v>
      </c>
      <c r="AC171" s="10">
        <f>SUMIFS(IsQList,IsIList,Table_ExternalData_15[[#This Row],[item_key]],IsITypeList,Table_ExternalData_15[[#This Row],[IType]],IsDList,Table_ExternalData_15[[#Headers],[25]])</f>
        <v>0</v>
      </c>
      <c r="AD171" s="10">
        <f>SUMIFS(IsQList,IsIList,Table_ExternalData_15[[#This Row],[item_key]],IsITypeList,Table_ExternalData_15[[#This Row],[IType]],IsDList,Table_ExternalData_15[[#Headers],[26]])</f>
        <v>0</v>
      </c>
      <c r="AE171" s="10">
        <f>SUMIFS(IsQList,IsIList,Table_ExternalData_15[[#This Row],[item_key]],IsITypeList,Table_ExternalData_15[[#This Row],[IType]],IsDList,Table_ExternalData_15[[#Headers],[27]])</f>
        <v>0</v>
      </c>
      <c r="AF171" s="10">
        <f>SUMIFS(IsQList,IsIList,Table_ExternalData_15[[#This Row],[item_key]],IsITypeList,Table_ExternalData_15[[#This Row],[IType]],IsDList,Table_ExternalData_15[[#Headers],[28]])</f>
        <v>0</v>
      </c>
      <c r="AG171" s="10">
        <f>SUMIFS(IsQList,IsIList,Table_ExternalData_15[[#This Row],[item_key]],IsITypeList,Table_ExternalData_15[[#This Row],[IType]],IsDList,Table_ExternalData_15[[#Headers],[29]])</f>
        <v>0</v>
      </c>
      <c r="AH171" s="10">
        <f>SUMIFS(IsQList,IsIList,Table_ExternalData_15[[#This Row],[item_key]],IsITypeList,Table_ExternalData_15[[#This Row],[IType]],IsDList,Table_ExternalData_15[[#Headers],[30]])</f>
        <v>0</v>
      </c>
      <c r="AI171" s="10">
        <f>SUMIFS(IsQList,IsIList,Table_ExternalData_15[[#This Row],[item_key]],IsITypeList,Table_ExternalData_15[[#This Row],[IType]],IsDList,Table_ExternalData_15[[#Headers],[31]])</f>
        <v>0</v>
      </c>
      <c r="AJ171" s="10">
        <f>SUM(Table_ExternalData_15[[#This Row],[1]:[31]])</f>
        <v>0</v>
      </c>
    </row>
    <row r="172" spans="1:36">
      <c r="A172" s="1" t="s">
        <v>634</v>
      </c>
      <c r="B172" s="1" t="s">
        <v>2601</v>
      </c>
      <c r="C172" s="1" t="s">
        <v>2602</v>
      </c>
      <c r="D172" s="11" t="s">
        <v>72</v>
      </c>
      <c r="E172" s="10">
        <f>SUMIFS(IsQList,IsIList,Table_ExternalData_15[[#This Row],[item_key]],IsITypeList,Table_ExternalData_15[[#This Row],[IType]],IsDList,Table_ExternalData_15[[#Headers],[1]])</f>
        <v>0</v>
      </c>
      <c r="F172" s="10">
        <f>SUMIFS(IsQList,IsIList,Table_ExternalData_15[[#This Row],[item_key]],IsITypeList,Table_ExternalData_15[[#This Row],[IType]],IsDList,Table_ExternalData_15[[#Headers],[2]])</f>
        <v>0</v>
      </c>
      <c r="G172" s="10">
        <f>SUMIFS(IsQList,IsIList,Table_ExternalData_15[[#This Row],[item_key]],IsITypeList,Table_ExternalData_15[[#This Row],[IType]],IsDList,Table_ExternalData_15[[#Headers],[3]])</f>
        <v>0</v>
      </c>
      <c r="H172" s="10">
        <f>SUMIFS(IsQList,IsIList,Table_ExternalData_15[[#This Row],[item_key]],IsITypeList,Table_ExternalData_15[[#This Row],[IType]],IsDList,Table_ExternalData_15[[#Headers],[4]])</f>
        <v>0</v>
      </c>
      <c r="I172" s="10">
        <f>SUMIFS(IsQList,IsIList,Table_ExternalData_15[[#This Row],[item_key]],IsITypeList,Table_ExternalData_15[[#This Row],[IType]],IsDList,Table_ExternalData_15[[#Headers],[5]])</f>
        <v>0</v>
      </c>
      <c r="J172" s="10">
        <f>SUMIFS(IsQList,IsIList,Table_ExternalData_15[[#This Row],[item_key]],IsITypeList,Table_ExternalData_15[[#This Row],[IType]],IsDList,Table_ExternalData_15[[#Headers],[6]])</f>
        <v>0</v>
      </c>
      <c r="K172" s="10">
        <f>SUMIFS(IsQList,IsIList,Table_ExternalData_15[[#This Row],[item_key]],IsITypeList,Table_ExternalData_15[[#This Row],[IType]],IsDList,Table_ExternalData_15[[#Headers],[7]])</f>
        <v>0</v>
      </c>
      <c r="L172" s="10">
        <f>SUMIFS(IsQList,IsIList,Table_ExternalData_15[[#This Row],[item_key]],IsITypeList,Table_ExternalData_15[[#This Row],[IType]],IsDList,Table_ExternalData_15[[#Headers],[8]])</f>
        <v>0</v>
      </c>
      <c r="M172" s="10">
        <f>SUMIFS(IsQList,IsIList,Table_ExternalData_15[[#This Row],[item_key]],IsITypeList,Table_ExternalData_15[[#This Row],[IType]],IsDList,Table_ExternalData_15[[#Headers],[9]])</f>
        <v>0</v>
      </c>
      <c r="N172" s="10">
        <f>SUMIFS(IsQList,IsIList,Table_ExternalData_15[[#This Row],[item_key]],IsITypeList,Table_ExternalData_15[[#This Row],[IType]],IsDList,Table_ExternalData_15[[#Headers],[10]])</f>
        <v>0</v>
      </c>
      <c r="O172" s="10">
        <f>SUMIFS(IsQList,IsIList,Table_ExternalData_15[[#This Row],[item_key]],IsITypeList,Table_ExternalData_15[[#This Row],[IType]],IsDList,Table_ExternalData_15[[#Headers],[11]])</f>
        <v>0</v>
      </c>
      <c r="P172" s="10">
        <f>SUMIFS(IsQList,IsIList,Table_ExternalData_15[[#This Row],[item_key]],IsITypeList,Table_ExternalData_15[[#This Row],[IType]],IsDList,Table_ExternalData_15[[#Headers],[12]])</f>
        <v>0</v>
      </c>
      <c r="Q172" s="10">
        <f>SUMIFS(IsQList,IsIList,Table_ExternalData_15[[#This Row],[item_key]],IsITypeList,Table_ExternalData_15[[#This Row],[IType]],IsDList,Table_ExternalData_15[[#Headers],[13]])</f>
        <v>0</v>
      </c>
      <c r="R172" s="10">
        <f>SUMIFS(IsQList,IsIList,Table_ExternalData_15[[#This Row],[item_key]],IsITypeList,Table_ExternalData_15[[#This Row],[IType]],IsDList,Table_ExternalData_15[[#Headers],[14]])</f>
        <v>0</v>
      </c>
      <c r="S172" s="10">
        <f>SUMIFS(IsQList,IsIList,Table_ExternalData_15[[#This Row],[item_key]],IsITypeList,Table_ExternalData_15[[#This Row],[IType]],IsDList,Table_ExternalData_15[[#Headers],[15]])</f>
        <v>0</v>
      </c>
      <c r="T172" s="10">
        <f>SUMIFS(IsQList,IsIList,Table_ExternalData_15[[#This Row],[item_key]],IsITypeList,Table_ExternalData_15[[#This Row],[IType]],IsDList,Table_ExternalData_15[[#Headers],[16]])</f>
        <v>0</v>
      </c>
      <c r="U172" s="10">
        <f>SUMIFS(IsQList,IsIList,Table_ExternalData_15[[#This Row],[item_key]],IsITypeList,Table_ExternalData_15[[#This Row],[IType]],IsDList,Table_ExternalData_15[[#Headers],[17]])</f>
        <v>0</v>
      </c>
      <c r="V172" s="10">
        <f>SUMIFS(IsQList,IsIList,Table_ExternalData_15[[#This Row],[item_key]],IsITypeList,Table_ExternalData_15[[#This Row],[IType]],IsDList,Table_ExternalData_15[[#Headers],[18]])</f>
        <v>0</v>
      </c>
      <c r="W172" s="10">
        <f>SUMIFS(IsQList,IsIList,Table_ExternalData_15[[#This Row],[item_key]],IsITypeList,Table_ExternalData_15[[#This Row],[IType]],IsDList,Table_ExternalData_15[[#Headers],[19]])</f>
        <v>0</v>
      </c>
      <c r="X172" s="10">
        <f>SUMIFS(IsQList,IsIList,Table_ExternalData_15[[#This Row],[item_key]],IsITypeList,Table_ExternalData_15[[#This Row],[IType]],IsDList,Table_ExternalData_15[[#Headers],[20]])</f>
        <v>0</v>
      </c>
      <c r="Y172" s="10">
        <f>SUMIFS(IsQList,IsIList,Table_ExternalData_15[[#This Row],[item_key]],IsITypeList,Table_ExternalData_15[[#This Row],[IType]],IsDList,Table_ExternalData_15[[#Headers],[21]])</f>
        <v>0</v>
      </c>
      <c r="Z172" s="10">
        <f>SUMIFS(IsQList,IsIList,Table_ExternalData_15[[#This Row],[item_key]],IsITypeList,Table_ExternalData_15[[#This Row],[IType]],IsDList,Table_ExternalData_15[[#Headers],[22]])</f>
        <v>0</v>
      </c>
      <c r="AA172" s="10">
        <f>SUMIFS(IsQList,IsIList,Table_ExternalData_15[[#This Row],[item_key]],IsITypeList,Table_ExternalData_15[[#This Row],[IType]],IsDList,Table_ExternalData_15[[#Headers],[23]])</f>
        <v>0</v>
      </c>
      <c r="AB172" s="10">
        <f>SUMIFS(IsQList,IsIList,Table_ExternalData_15[[#This Row],[item_key]],IsITypeList,Table_ExternalData_15[[#This Row],[IType]],IsDList,Table_ExternalData_15[[#Headers],[24]])</f>
        <v>0</v>
      </c>
      <c r="AC172" s="10">
        <f>SUMIFS(IsQList,IsIList,Table_ExternalData_15[[#This Row],[item_key]],IsITypeList,Table_ExternalData_15[[#This Row],[IType]],IsDList,Table_ExternalData_15[[#Headers],[25]])</f>
        <v>0</v>
      </c>
      <c r="AD172" s="10">
        <f>SUMIFS(IsQList,IsIList,Table_ExternalData_15[[#This Row],[item_key]],IsITypeList,Table_ExternalData_15[[#This Row],[IType]],IsDList,Table_ExternalData_15[[#Headers],[26]])</f>
        <v>0</v>
      </c>
      <c r="AE172" s="10">
        <f>SUMIFS(IsQList,IsIList,Table_ExternalData_15[[#This Row],[item_key]],IsITypeList,Table_ExternalData_15[[#This Row],[IType]],IsDList,Table_ExternalData_15[[#Headers],[27]])</f>
        <v>0</v>
      </c>
      <c r="AF172" s="10">
        <f>SUMIFS(IsQList,IsIList,Table_ExternalData_15[[#This Row],[item_key]],IsITypeList,Table_ExternalData_15[[#This Row],[IType]],IsDList,Table_ExternalData_15[[#Headers],[28]])</f>
        <v>0</v>
      </c>
      <c r="AG172" s="10">
        <f>SUMIFS(IsQList,IsIList,Table_ExternalData_15[[#This Row],[item_key]],IsITypeList,Table_ExternalData_15[[#This Row],[IType]],IsDList,Table_ExternalData_15[[#Headers],[29]])</f>
        <v>0</v>
      </c>
      <c r="AH172" s="10">
        <f>SUMIFS(IsQList,IsIList,Table_ExternalData_15[[#This Row],[item_key]],IsITypeList,Table_ExternalData_15[[#This Row],[IType]],IsDList,Table_ExternalData_15[[#Headers],[30]])</f>
        <v>0</v>
      </c>
      <c r="AI172" s="10">
        <f>SUMIFS(IsQList,IsIList,Table_ExternalData_15[[#This Row],[item_key]],IsITypeList,Table_ExternalData_15[[#This Row],[IType]],IsDList,Table_ExternalData_15[[#Headers],[31]])</f>
        <v>0</v>
      </c>
      <c r="AJ172" s="10">
        <f>SUM(Table_ExternalData_15[[#This Row],[1]:[31]])</f>
        <v>0</v>
      </c>
    </row>
    <row r="173" spans="1:36">
      <c r="A173" s="1" t="s">
        <v>635</v>
      </c>
      <c r="B173" s="1" t="s">
        <v>2603</v>
      </c>
      <c r="C173" s="1" t="s">
        <v>2604</v>
      </c>
      <c r="D173" s="11" t="s">
        <v>72</v>
      </c>
      <c r="E173" s="10">
        <f>SUMIFS(IsQList,IsIList,Table_ExternalData_15[[#This Row],[item_key]],IsITypeList,Table_ExternalData_15[[#This Row],[IType]],IsDList,Table_ExternalData_15[[#Headers],[1]])</f>
        <v>0</v>
      </c>
      <c r="F173" s="10">
        <f>SUMIFS(IsQList,IsIList,Table_ExternalData_15[[#This Row],[item_key]],IsITypeList,Table_ExternalData_15[[#This Row],[IType]],IsDList,Table_ExternalData_15[[#Headers],[2]])</f>
        <v>0</v>
      </c>
      <c r="G173" s="10">
        <f>SUMIFS(IsQList,IsIList,Table_ExternalData_15[[#This Row],[item_key]],IsITypeList,Table_ExternalData_15[[#This Row],[IType]],IsDList,Table_ExternalData_15[[#Headers],[3]])</f>
        <v>0</v>
      </c>
      <c r="H173" s="10">
        <f>SUMIFS(IsQList,IsIList,Table_ExternalData_15[[#This Row],[item_key]],IsITypeList,Table_ExternalData_15[[#This Row],[IType]],IsDList,Table_ExternalData_15[[#Headers],[4]])</f>
        <v>0</v>
      </c>
      <c r="I173" s="10">
        <f>SUMIFS(IsQList,IsIList,Table_ExternalData_15[[#This Row],[item_key]],IsITypeList,Table_ExternalData_15[[#This Row],[IType]],IsDList,Table_ExternalData_15[[#Headers],[5]])</f>
        <v>0</v>
      </c>
      <c r="J173" s="10">
        <f>SUMIFS(IsQList,IsIList,Table_ExternalData_15[[#This Row],[item_key]],IsITypeList,Table_ExternalData_15[[#This Row],[IType]],IsDList,Table_ExternalData_15[[#Headers],[6]])</f>
        <v>30</v>
      </c>
      <c r="K173" s="10">
        <f>SUMIFS(IsQList,IsIList,Table_ExternalData_15[[#This Row],[item_key]],IsITypeList,Table_ExternalData_15[[#This Row],[IType]],IsDList,Table_ExternalData_15[[#Headers],[7]])</f>
        <v>0</v>
      </c>
      <c r="L173" s="10">
        <f>SUMIFS(IsQList,IsIList,Table_ExternalData_15[[#This Row],[item_key]],IsITypeList,Table_ExternalData_15[[#This Row],[IType]],IsDList,Table_ExternalData_15[[#Headers],[8]])</f>
        <v>0</v>
      </c>
      <c r="M173" s="10">
        <f>SUMIFS(IsQList,IsIList,Table_ExternalData_15[[#This Row],[item_key]],IsITypeList,Table_ExternalData_15[[#This Row],[IType]],IsDList,Table_ExternalData_15[[#Headers],[9]])</f>
        <v>0</v>
      </c>
      <c r="N173" s="10">
        <f>SUMIFS(IsQList,IsIList,Table_ExternalData_15[[#This Row],[item_key]],IsITypeList,Table_ExternalData_15[[#This Row],[IType]],IsDList,Table_ExternalData_15[[#Headers],[10]])</f>
        <v>0</v>
      </c>
      <c r="O173" s="10">
        <f>SUMIFS(IsQList,IsIList,Table_ExternalData_15[[#This Row],[item_key]],IsITypeList,Table_ExternalData_15[[#This Row],[IType]],IsDList,Table_ExternalData_15[[#Headers],[11]])</f>
        <v>0</v>
      </c>
      <c r="P173" s="10">
        <f>SUMIFS(IsQList,IsIList,Table_ExternalData_15[[#This Row],[item_key]],IsITypeList,Table_ExternalData_15[[#This Row],[IType]],IsDList,Table_ExternalData_15[[#Headers],[12]])</f>
        <v>0</v>
      </c>
      <c r="Q173" s="10">
        <f>SUMIFS(IsQList,IsIList,Table_ExternalData_15[[#This Row],[item_key]],IsITypeList,Table_ExternalData_15[[#This Row],[IType]],IsDList,Table_ExternalData_15[[#Headers],[13]])</f>
        <v>0</v>
      </c>
      <c r="R173" s="10">
        <f>SUMIFS(IsQList,IsIList,Table_ExternalData_15[[#This Row],[item_key]],IsITypeList,Table_ExternalData_15[[#This Row],[IType]],IsDList,Table_ExternalData_15[[#Headers],[14]])</f>
        <v>0</v>
      </c>
      <c r="S173" s="10">
        <f>SUMIFS(IsQList,IsIList,Table_ExternalData_15[[#This Row],[item_key]],IsITypeList,Table_ExternalData_15[[#This Row],[IType]],IsDList,Table_ExternalData_15[[#Headers],[15]])</f>
        <v>0</v>
      </c>
      <c r="T173" s="10">
        <f>SUMIFS(IsQList,IsIList,Table_ExternalData_15[[#This Row],[item_key]],IsITypeList,Table_ExternalData_15[[#This Row],[IType]],IsDList,Table_ExternalData_15[[#Headers],[16]])</f>
        <v>0</v>
      </c>
      <c r="U173" s="10">
        <f>SUMIFS(IsQList,IsIList,Table_ExternalData_15[[#This Row],[item_key]],IsITypeList,Table_ExternalData_15[[#This Row],[IType]],IsDList,Table_ExternalData_15[[#Headers],[17]])</f>
        <v>0</v>
      </c>
      <c r="V173" s="10">
        <f>SUMIFS(IsQList,IsIList,Table_ExternalData_15[[#This Row],[item_key]],IsITypeList,Table_ExternalData_15[[#This Row],[IType]],IsDList,Table_ExternalData_15[[#Headers],[18]])</f>
        <v>0</v>
      </c>
      <c r="W173" s="10">
        <f>SUMIFS(IsQList,IsIList,Table_ExternalData_15[[#This Row],[item_key]],IsITypeList,Table_ExternalData_15[[#This Row],[IType]],IsDList,Table_ExternalData_15[[#Headers],[19]])</f>
        <v>0</v>
      </c>
      <c r="X173" s="10">
        <f>SUMIFS(IsQList,IsIList,Table_ExternalData_15[[#This Row],[item_key]],IsITypeList,Table_ExternalData_15[[#This Row],[IType]],IsDList,Table_ExternalData_15[[#Headers],[20]])</f>
        <v>0</v>
      </c>
      <c r="Y173" s="10">
        <f>SUMIFS(IsQList,IsIList,Table_ExternalData_15[[#This Row],[item_key]],IsITypeList,Table_ExternalData_15[[#This Row],[IType]],IsDList,Table_ExternalData_15[[#Headers],[21]])</f>
        <v>0</v>
      </c>
      <c r="Z173" s="10">
        <f>SUMIFS(IsQList,IsIList,Table_ExternalData_15[[#This Row],[item_key]],IsITypeList,Table_ExternalData_15[[#This Row],[IType]],IsDList,Table_ExternalData_15[[#Headers],[22]])</f>
        <v>0</v>
      </c>
      <c r="AA173" s="10">
        <f>SUMIFS(IsQList,IsIList,Table_ExternalData_15[[#This Row],[item_key]],IsITypeList,Table_ExternalData_15[[#This Row],[IType]],IsDList,Table_ExternalData_15[[#Headers],[23]])</f>
        <v>0</v>
      </c>
      <c r="AB173" s="10">
        <f>SUMIFS(IsQList,IsIList,Table_ExternalData_15[[#This Row],[item_key]],IsITypeList,Table_ExternalData_15[[#This Row],[IType]],IsDList,Table_ExternalData_15[[#Headers],[24]])</f>
        <v>0</v>
      </c>
      <c r="AC173" s="10">
        <f>SUMIFS(IsQList,IsIList,Table_ExternalData_15[[#This Row],[item_key]],IsITypeList,Table_ExternalData_15[[#This Row],[IType]],IsDList,Table_ExternalData_15[[#Headers],[25]])</f>
        <v>0</v>
      </c>
      <c r="AD173" s="10">
        <f>SUMIFS(IsQList,IsIList,Table_ExternalData_15[[#This Row],[item_key]],IsITypeList,Table_ExternalData_15[[#This Row],[IType]],IsDList,Table_ExternalData_15[[#Headers],[26]])</f>
        <v>0</v>
      </c>
      <c r="AE173" s="10">
        <f>SUMIFS(IsQList,IsIList,Table_ExternalData_15[[#This Row],[item_key]],IsITypeList,Table_ExternalData_15[[#This Row],[IType]],IsDList,Table_ExternalData_15[[#Headers],[27]])</f>
        <v>0</v>
      </c>
      <c r="AF173" s="10">
        <f>SUMIFS(IsQList,IsIList,Table_ExternalData_15[[#This Row],[item_key]],IsITypeList,Table_ExternalData_15[[#This Row],[IType]],IsDList,Table_ExternalData_15[[#Headers],[28]])</f>
        <v>0</v>
      </c>
      <c r="AG173" s="10">
        <f>SUMIFS(IsQList,IsIList,Table_ExternalData_15[[#This Row],[item_key]],IsITypeList,Table_ExternalData_15[[#This Row],[IType]],IsDList,Table_ExternalData_15[[#Headers],[29]])</f>
        <v>0</v>
      </c>
      <c r="AH173" s="10">
        <f>SUMIFS(IsQList,IsIList,Table_ExternalData_15[[#This Row],[item_key]],IsITypeList,Table_ExternalData_15[[#This Row],[IType]],IsDList,Table_ExternalData_15[[#Headers],[30]])</f>
        <v>200</v>
      </c>
      <c r="AI173" s="10">
        <f>SUMIFS(IsQList,IsIList,Table_ExternalData_15[[#This Row],[item_key]],IsITypeList,Table_ExternalData_15[[#This Row],[IType]],IsDList,Table_ExternalData_15[[#Headers],[31]])</f>
        <v>0</v>
      </c>
      <c r="AJ173" s="10">
        <f>SUM(Table_ExternalData_15[[#This Row],[1]:[31]])</f>
        <v>230</v>
      </c>
    </row>
    <row r="174" spans="1:36">
      <c r="A174" s="1" t="s">
        <v>638</v>
      </c>
      <c r="B174" s="1" t="s">
        <v>1337</v>
      </c>
      <c r="C174" s="1" t="s">
        <v>1338</v>
      </c>
      <c r="D174" s="11" t="s">
        <v>72</v>
      </c>
      <c r="E174" s="10">
        <f>SUMIFS(IsQList,IsIList,Table_ExternalData_15[[#This Row],[item_key]],IsITypeList,Table_ExternalData_15[[#This Row],[IType]],IsDList,Table_ExternalData_15[[#Headers],[1]])</f>
        <v>0</v>
      </c>
      <c r="F174" s="10">
        <f>SUMIFS(IsQList,IsIList,Table_ExternalData_15[[#This Row],[item_key]],IsITypeList,Table_ExternalData_15[[#This Row],[IType]],IsDList,Table_ExternalData_15[[#Headers],[2]])</f>
        <v>0</v>
      </c>
      <c r="G174" s="10">
        <f>SUMIFS(IsQList,IsIList,Table_ExternalData_15[[#This Row],[item_key]],IsITypeList,Table_ExternalData_15[[#This Row],[IType]],IsDList,Table_ExternalData_15[[#Headers],[3]])</f>
        <v>0</v>
      </c>
      <c r="H174" s="10">
        <f>SUMIFS(IsQList,IsIList,Table_ExternalData_15[[#This Row],[item_key]],IsITypeList,Table_ExternalData_15[[#This Row],[IType]],IsDList,Table_ExternalData_15[[#Headers],[4]])</f>
        <v>0</v>
      </c>
      <c r="I174" s="10">
        <f>SUMIFS(IsQList,IsIList,Table_ExternalData_15[[#This Row],[item_key]],IsITypeList,Table_ExternalData_15[[#This Row],[IType]],IsDList,Table_ExternalData_15[[#Headers],[5]])</f>
        <v>0</v>
      </c>
      <c r="J174" s="10">
        <f>SUMIFS(IsQList,IsIList,Table_ExternalData_15[[#This Row],[item_key]],IsITypeList,Table_ExternalData_15[[#This Row],[IType]],IsDList,Table_ExternalData_15[[#Headers],[6]])</f>
        <v>0</v>
      </c>
      <c r="K174" s="10">
        <f>SUMIFS(IsQList,IsIList,Table_ExternalData_15[[#This Row],[item_key]],IsITypeList,Table_ExternalData_15[[#This Row],[IType]],IsDList,Table_ExternalData_15[[#Headers],[7]])</f>
        <v>0</v>
      </c>
      <c r="L174" s="10">
        <f>SUMIFS(IsQList,IsIList,Table_ExternalData_15[[#This Row],[item_key]],IsITypeList,Table_ExternalData_15[[#This Row],[IType]],IsDList,Table_ExternalData_15[[#Headers],[8]])</f>
        <v>0</v>
      </c>
      <c r="M174" s="10">
        <f>SUMIFS(IsQList,IsIList,Table_ExternalData_15[[#This Row],[item_key]],IsITypeList,Table_ExternalData_15[[#This Row],[IType]],IsDList,Table_ExternalData_15[[#Headers],[9]])</f>
        <v>0</v>
      </c>
      <c r="N174" s="10">
        <f>SUMIFS(IsQList,IsIList,Table_ExternalData_15[[#This Row],[item_key]],IsITypeList,Table_ExternalData_15[[#This Row],[IType]],IsDList,Table_ExternalData_15[[#Headers],[10]])</f>
        <v>0</v>
      </c>
      <c r="O174" s="10">
        <f>SUMIFS(IsQList,IsIList,Table_ExternalData_15[[#This Row],[item_key]],IsITypeList,Table_ExternalData_15[[#This Row],[IType]],IsDList,Table_ExternalData_15[[#Headers],[11]])</f>
        <v>0</v>
      </c>
      <c r="P174" s="10">
        <f>SUMIFS(IsQList,IsIList,Table_ExternalData_15[[#This Row],[item_key]],IsITypeList,Table_ExternalData_15[[#This Row],[IType]],IsDList,Table_ExternalData_15[[#Headers],[12]])</f>
        <v>0</v>
      </c>
      <c r="Q174" s="10">
        <f>SUMIFS(IsQList,IsIList,Table_ExternalData_15[[#This Row],[item_key]],IsITypeList,Table_ExternalData_15[[#This Row],[IType]],IsDList,Table_ExternalData_15[[#Headers],[13]])</f>
        <v>0</v>
      </c>
      <c r="R174" s="10">
        <f>SUMIFS(IsQList,IsIList,Table_ExternalData_15[[#This Row],[item_key]],IsITypeList,Table_ExternalData_15[[#This Row],[IType]],IsDList,Table_ExternalData_15[[#Headers],[14]])</f>
        <v>0</v>
      </c>
      <c r="S174" s="10">
        <f>SUMIFS(IsQList,IsIList,Table_ExternalData_15[[#This Row],[item_key]],IsITypeList,Table_ExternalData_15[[#This Row],[IType]],IsDList,Table_ExternalData_15[[#Headers],[15]])</f>
        <v>0</v>
      </c>
      <c r="T174" s="10">
        <f>SUMIFS(IsQList,IsIList,Table_ExternalData_15[[#This Row],[item_key]],IsITypeList,Table_ExternalData_15[[#This Row],[IType]],IsDList,Table_ExternalData_15[[#Headers],[16]])</f>
        <v>60</v>
      </c>
      <c r="U174" s="10">
        <f>SUMIFS(IsQList,IsIList,Table_ExternalData_15[[#This Row],[item_key]],IsITypeList,Table_ExternalData_15[[#This Row],[IType]],IsDList,Table_ExternalData_15[[#Headers],[17]])</f>
        <v>0</v>
      </c>
      <c r="V174" s="10">
        <f>SUMIFS(IsQList,IsIList,Table_ExternalData_15[[#This Row],[item_key]],IsITypeList,Table_ExternalData_15[[#This Row],[IType]],IsDList,Table_ExternalData_15[[#Headers],[18]])</f>
        <v>0</v>
      </c>
      <c r="W174" s="10">
        <f>SUMIFS(IsQList,IsIList,Table_ExternalData_15[[#This Row],[item_key]],IsITypeList,Table_ExternalData_15[[#This Row],[IType]],IsDList,Table_ExternalData_15[[#Headers],[19]])</f>
        <v>0</v>
      </c>
      <c r="X174" s="10">
        <f>SUMIFS(IsQList,IsIList,Table_ExternalData_15[[#This Row],[item_key]],IsITypeList,Table_ExternalData_15[[#This Row],[IType]],IsDList,Table_ExternalData_15[[#Headers],[20]])</f>
        <v>0</v>
      </c>
      <c r="Y174" s="10">
        <f>SUMIFS(IsQList,IsIList,Table_ExternalData_15[[#This Row],[item_key]],IsITypeList,Table_ExternalData_15[[#This Row],[IType]],IsDList,Table_ExternalData_15[[#Headers],[21]])</f>
        <v>0</v>
      </c>
      <c r="Z174" s="10">
        <f>SUMIFS(IsQList,IsIList,Table_ExternalData_15[[#This Row],[item_key]],IsITypeList,Table_ExternalData_15[[#This Row],[IType]],IsDList,Table_ExternalData_15[[#Headers],[22]])</f>
        <v>0</v>
      </c>
      <c r="AA174" s="10">
        <f>SUMIFS(IsQList,IsIList,Table_ExternalData_15[[#This Row],[item_key]],IsITypeList,Table_ExternalData_15[[#This Row],[IType]],IsDList,Table_ExternalData_15[[#Headers],[23]])</f>
        <v>0</v>
      </c>
      <c r="AB174" s="10">
        <f>SUMIFS(IsQList,IsIList,Table_ExternalData_15[[#This Row],[item_key]],IsITypeList,Table_ExternalData_15[[#This Row],[IType]],IsDList,Table_ExternalData_15[[#Headers],[24]])</f>
        <v>0</v>
      </c>
      <c r="AC174" s="10">
        <f>SUMIFS(IsQList,IsIList,Table_ExternalData_15[[#This Row],[item_key]],IsITypeList,Table_ExternalData_15[[#This Row],[IType]],IsDList,Table_ExternalData_15[[#Headers],[25]])</f>
        <v>0</v>
      </c>
      <c r="AD174" s="10">
        <f>SUMIFS(IsQList,IsIList,Table_ExternalData_15[[#This Row],[item_key]],IsITypeList,Table_ExternalData_15[[#This Row],[IType]],IsDList,Table_ExternalData_15[[#Headers],[26]])</f>
        <v>0</v>
      </c>
      <c r="AE174" s="10">
        <f>SUMIFS(IsQList,IsIList,Table_ExternalData_15[[#This Row],[item_key]],IsITypeList,Table_ExternalData_15[[#This Row],[IType]],IsDList,Table_ExternalData_15[[#Headers],[27]])</f>
        <v>0</v>
      </c>
      <c r="AF174" s="10">
        <f>SUMIFS(IsQList,IsIList,Table_ExternalData_15[[#This Row],[item_key]],IsITypeList,Table_ExternalData_15[[#This Row],[IType]],IsDList,Table_ExternalData_15[[#Headers],[28]])</f>
        <v>0</v>
      </c>
      <c r="AG174" s="10">
        <f>SUMIFS(IsQList,IsIList,Table_ExternalData_15[[#This Row],[item_key]],IsITypeList,Table_ExternalData_15[[#This Row],[IType]],IsDList,Table_ExternalData_15[[#Headers],[29]])</f>
        <v>0</v>
      </c>
      <c r="AH174" s="10">
        <f>SUMIFS(IsQList,IsIList,Table_ExternalData_15[[#This Row],[item_key]],IsITypeList,Table_ExternalData_15[[#This Row],[IType]],IsDList,Table_ExternalData_15[[#Headers],[30]])</f>
        <v>0</v>
      </c>
      <c r="AI174" s="10">
        <f>SUMIFS(IsQList,IsIList,Table_ExternalData_15[[#This Row],[item_key]],IsITypeList,Table_ExternalData_15[[#This Row],[IType]],IsDList,Table_ExternalData_15[[#Headers],[31]])</f>
        <v>0</v>
      </c>
      <c r="AJ174" s="10">
        <f>SUM(Table_ExternalData_15[[#This Row],[1]:[31]])</f>
        <v>60</v>
      </c>
    </row>
    <row r="175" spans="1:36">
      <c r="A175" s="1" t="s">
        <v>639</v>
      </c>
      <c r="B175" s="1" t="s">
        <v>1339</v>
      </c>
      <c r="C175" s="1" t="s">
        <v>1338</v>
      </c>
      <c r="D175" s="11" t="s">
        <v>72</v>
      </c>
      <c r="E175" s="10">
        <f>SUMIFS(IsQList,IsIList,Table_ExternalData_15[[#This Row],[item_key]],IsITypeList,Table_ExternalData_15[[#This Row],[IType]],IsDList,Table_ExternalData_15[[#Headers],[1]])</f>
        <v>0</v>
      </c>
      <c r="F175" s="10">
        <f>SUMIFS(IsQList,IsIList,Table_ExternalData_15[[#This Row],[item_key]],IsITypeList,Table_ExternalData_15[[#This Row],[IType]],IsDList,Table_ExternalData_15[[#Headers],[2]])</f>
        <v>0</v>
      </c>
      <c r="G175" s="10">
        <f>SUMIFS(IsQList,IsIList,Table_ExternalData_15[[#This Row],[item_key]],IsITypeList,Table_ExternalData_15[[#This Row],[IType]],IsDList,Table_ExternalData_15[[#Headers],[3]])</f>
        <v>0</v>
      </c>
      <c r="H175" s="10">
        <f>SUMIFS(IsQList,IsIList,Table_ExternalData_15[[#This Row],[item_key]],IsITypeList,Table_ExternalData_15[[#This Row],[IType]],IsDList,Table_ExternalData_15[[#Headers],[4]])</f>
        <v>0</v>
      </c>
      <c r="I175" s="10">
        <f>SUMIFS(IsQList,IsIList,Table_ExternalData_15[[#This Row],[item_key]],IsITypeList,Table_ExternalData_15[[#This Row],[IType]],IsDList,Table_ExternalData_15[[#Headers],[5]])</f>
        <v>0</v>
      </c>
      <c r="J175" s="10">
        <f>SUMIFS(IsQList,IsIList,Table_ExternalData_15[[#This Row],[item_key]],IsITypeList,Table_ExternalData_15[[#This Row],[IType]],IsDList,Table_ExternalData_15[[#Headers],[6]])</f>
        <v>0</v>
      </c>
      <c r="K175" s="10">
        <f>SUMIFS(IsQList,IsIList,Table_ExternalData_15[[#This Row],[item_key]],IsITypeList,Table_ExternalData_15[[#This Row],[IType]],IsDList,Table_ExternalData_15[[#Headers],[7]])</f>
        <v>0</v>
      </c>
      <c r="L175" s="10">
        <f>SUMIFS(IsQList,IsIList,Table_ExternalData_15[[#This Row],[item_key]],IsITypeList,Table_ExternalData_15[[#This Row],[IType]],IsDList,Table_ExternalData_15[[#Headers],[8]])</f>
        <v>0</v>
      </c>
      <c r="M175" s="10">
        <f>SUMIFS(IsQList,IsIList,Table_ExternalData_15[[#This Row],[item_key]],IsITypeList,Table_ExternalData_15[[#This Row],[IType]],IsDList,Table_ExternalData_15[[#Headers],[9]])</f>
        <v>0</v>
      </c>
      <c r="N175" s="10">
        <f>SUMIFS(IsQList,IsIList,Table_ExternalData_15[[#This Row],[item_key]],IsITypeList,Table_ExternalData_15[[#This Row],[IType]],IsDList,Table_ExternalData_15[[#Headers],[10]])</f>
        <v>0</v>
      </c>
      <c r="O175" s="10">
        <f>SUMIFS(IsQList,IsIList,Table_ExternalData_15[[#This Row],[item_key]],IsITypeList,Table_ExternalData_15[[#This Row],[IType]],IsDList,Table_ExternalData_15[[#Headers],[11]])</f>
        <v>0</v>
      </c>
      <c r="P175" s="10">
        <f>SUMIFS(IsQList,IsIList,Table_ExternalData_15[[#This Row],[item_key]],IsITypeList,Table_ExternalData_15[[#This Row],[IType]],IsDList,Table_ExternalData_15[[#Headers],[12]])</f>
        <v>0</v>
      </c>
      <c r="Q175" s="10">
        <f>SUMIFS(IsQList,IsIList,Table_ExternalData_15[[#This Row],[item_key]],IsITypeList,Table_ExternalData_15[[#This Row],[IType]],IsDList,Table_ExternalData_15[[#Headers],[13]])</f>
        <v>0</v>
      </c>
      <c r="R175" s="10">
        <f>SUMIFS(IsQList,IsIList,Table_ExternalData_15[[#This Row],[item_key]],IsITypeList,Table_ExternalData_15[[#This Row],[IType]],IsDList,Table_ExternalData_15[[#Headers],[14]])</f>
        <v>0</v>
      </c>
      <c r="S175" s="10">
        <f>SUMIFS(IsQList,IsIList,Table_ExternalData_15[[#This Row],[item_key]],IsITypeList,Table_ExternalData_15[[#This Row],[IType]],IsDList,Table_ExternalData_15[[#Headers],[15]])</f>
        <v>0</v>
      </c>
      <c r="T175" s="10">
        <f>SUMIFS(IsQList,IsIList,Table_ExternalData_15[[#This Row],[item_key]],IsITypeList,Table_ExternalData_15[[#This Row],[IType]],IsDList,Table_ExternalData_15[[#Headers],[16]])</f>
        <v>0</v>
      </c>
      <c r="U175" s="10">
        <f>SUMIFS(IsQList,IsIList,Table_ExternalData_15[[#This Row],[item_key]],IsITypeList,Table_ExternalData_15[[#This Row],[IType]],IsDList,Table_ExternalData_15[[#Headers],[17]])</f>
        <v>0</v>
      </c>
      <c r="V175" s="10">
        <f>SUMIFS(IsQList,IsIList,Table_ExternalData_15[[#This Row],[item_key]],IsITypeList,Table_ExternalData_15[[#This Row],[IType]],IsDList,Table_ExternalData_15[[#Headers],[18]])</f>
        <v>0</v>
      </c>
      <c r="W175" s="10">
        <f>SUMIFS(IsQList,IsIList,Table_ExternalData_15[[#This Row],[item_key]],IsITypeList,Table_ExternalData_15[[#This Row],[IType]],IsDList,Table_ExternalData_15[[#Headers],[19]])</f>
        <v>0</v>
      </c>
      <c r="X175" s="10">
        <f>SUMIFS(IsQList,IsIList,Table_ExternalData_15[[#This Row],[item_key]],IsITypeList,Table_ExternalData_15[[#This Row],[IType]],IsDList,Table_ExternalData_15[[#Headers],[20]])</f>
        <v>0</v>
      </c>
      <c r="Y175" s="10">
        <f>SUMIFS(IsQList,IsIList,Table_ExternalData_15[[#This Row],[item_key]],IsITypeList,Table_ExternalData_15[[#This Row],[IType]],IsDList,Table_ExternalData_15[[#Headers],[21]])</f>
        <v>0</v>
      </c>
      <c r="Z175" s="10">
        <f>SUMIFS(IsQList,IsIList,Table_ExternalData_15[[#This Row],[item_key]],IsITypeList,Table_ExternalData_15[[#This Row],[IType]],IsDList,Table_ExternalData_15[[#Headers],[22]])</f>
        <v>0</v>
      </c>
      <c r="AA175" s="10">
        <f>SUMIFS(IsQList,IsIList,Table_ExternalData_15[[#This Row],[item_key]],IsITypeList,Table_ExternalData_15[[#This Row],[IType]],IsDList,Table_ExternalData_15[[#Headers],[23]])</f>
        <v>0</v>
      </c>
      <c r="AB175" s="10">
        <f>SUMIFS(IsQList,IsIList,Table_ExternalData_15[[#This Row],[item_key]],IsITypeList,Table_ExternalData_15[[#This Row],[IType]],IsDList,Table_ExternalData_15[[#Headers],[24]])</f>
        <v>0</v>
      </c>
      <c r="AC175" s="10">
        <f>SUMIFS(IsQList,IsIList,Table_ExternalData_15[[#This Row],[item_key]],IsITypeList,Table_ExternalData_15[[#This Row],[IType]],IsDList,Table_ExternalData_15[[#Headers],[25]])</f>
        <v>0</v>
      </c>
      <c r="AD175" s="10">
        <f>SUMIFS(IsQList,IsIList,Table_ExternalData_15[[#This Row],[item_key]],IsITypeList,Table_ExternalData_15[[#This Row],[IType]],IsDList,Table_ExternalData_15[[#Headers],[26]])</f>
        <v>0</v>
      </c>
      <c r="AE175" s="10">
        <f>SUMIFS(IsQList,IsIList,Table_ExternalData_15[[#This Row],[item_key]],IsITypeList,Table_ExternalData_15[[#This Row],[IType]],IsDList,Table_ExternalData_15[[#Headers],[27]])</f>
        <v>0</v>
      </c>
      <c r="AF175" s="10">
        <f>SUMIFS(IsQList,IsIList,Table_ExternalData_15[[#This Row],[item_key]],IsITypeList,Table_ExternalData_15[[#This Row],[IType]],IsDList,Table_ExternalData_15[[#Headers],[28]])</f>
        <v>0</v>
      </c>
      <c r="AG175" s="10">
        <f>SUMIFS(IsQList,IsIList,Table_ExternalData_15[[#This Row],[item_key]],IsITypeList,Table_ExternalData_15[[#This Row],[IType]],IsDList,Table_ExternalData_15[[#Headers],[29]])</f>
        <v>0</v>
      </c>
      <c r="AH175" s="10">
        <f>SUMIFS(IsQList,IsIList,Table_ExternalData_15[[#This Row],[item_key]],IsITypeList,Table_ExternalData_15[[#This Row],[IType]],IsDList,Table_ExternalData_15[[#Headers],[30]])</f>
        <v>0</v>
      </c>
      <c r="AI175" s="10">
        <f>SUMIFS(IsQList,IsIList,Table_ExternalData_15[[#This Row],[item_key]],IsITypeList,Table_ExternalData_15[[#This Row],[IType]],IsDList,Table_ExternalData_15[[#Headers],[31]])</f>
        <v>0</v>
      </c>
      <c r="AJ175" s="10">
        <f>SUM(Table_ExternalData_15[[#This Row],[1]:[31]])</f>
        <v>0</v>
      </c>
    </row>
    <row r="176" spans="1:36">
      <c r="A176" s="1" t="s">
        <v>640</v>
      </c>
      <c r="B176" s="1" t="s">
        <v>1340</v>
      </c>
      <c r="C176" s="1" t="s">
        <v>1338</v>
      </c>
      <c r="D176" s="11" t="s">
        <v>72</v>
      </c>
      <c r="E176" s="10">
        <f>SUMIFS(IsQList,IsIList,Table_ExternalData_15[[#This Row],[item_key]],IsITypeList,Table_ExternalData_15[[#This Row],[IType]],IsDList,Table_ExternalData_15[[#Headers],[1]])</f>
        <v>0</v>
      </c>
      <c r="F176" s="10">
        <f>SUMIFS(IsQList,IsIList,Table_ExternalData_15[[#This Row],[item_key]],IsITypeList,Table_ExternalData_15[[#This Row],[IType]],IsDList,Table_ExternalData_15[[#Headers],[2]])</f>
        <v>0</v>
      </c>
      <c r="G176" s="10">
        <f>SUMIFS(IsQList,IsIList,Table_ExternalData_15[[#This Row],[item_key]],IsITypeList,Table_ExternalData_15[[#This Row],[IType]],IsDList,Table_ExternalData_15[[#Headers],[3]])</f>
        <v>0</v>
      </c>
      <c r="H176" s="10">
        <f>SUMIFS(IsQList,IsIList,Table_ExternalData_15[[#This Row],[item_key]],IsITypeList,Table_ExternalData_15[[#This Row],[IType]],IsDList,Table_ExternalData_15[[#Headers],[4]])</f>
        <v>0</v>
      </c>
      <c r="I176" s="10">
        <f>SUMIFS(IsQList,IsIList,Table_ExternalData_15[[#This Row],[item_key]],IsITypeList,Table_ExternalData_15[[#This Row],[IType]],IsDList,Table_ExternalData_15[[#Headers],[5]])</f>
        <v>0</v>
      </c>
      <c r="J176" s="10">
        <f>SUMIFS(IsQList,IsIList,Table_ExternalData_15[[#This Row],[item_key]],IsITypeList,Table_ExternalData_15[[#This Row],[IType]],IsDList,Table_ExternalData_15[[#Headers],[6]])</f>
        <v>0</v>
      </c>
      <c r="K176" s="10">
        <f>SUMIFS(IsQList,IsIList,Table_ExternalData_15[[#This Row],[item_key]],IsITypeList,Table_ExternalData_15[[#This Row],[IType]],IsDList,Table_ExternalData_15[[#Headers],[7]])</f>
        <v>0</v>
      </c>
      <c r="L176" s="10">
        <f>SUMIFS(IsQList,IsIList,Table_ExternalData_15[[#This Row],[item_key]],IsITypeList,Table_ExternalData_15[[#This Row],[IType]],IsDList,Table_ExternalData_15[[#Headers],[8]])</f>
        <v>0</v>
      </c>
      <c r="M176" s="10">
        <f>SUMIFS(IsQList,IsIList,Table_ExternalData_15[[#This Row],[item_key]],IsITypeList,Table_ExternalData_15[[#This Row],[IType]],IsDList,Table_ExternalData_15[[#Headers],[9]])</f>
        <v>0</v>
      </c>
      <c r="N176" s="10">
        <f>SUMIFS(IsQList,IsIList,Table_ExternalData_15[[#This Row],[item_key]],IsITypeList,Table_ExternalData_15[[#This Row],[IType]],IsDList,Table_ExternalData_15[[#Headers],[10]])</f>
        <v>0</v>
      </c>
      <c r="O176" s="10">
        <f>SUMIFS(IsQList,IsIList,Table_ExternalData_15[[#This Row],[item_key]],IsITypeList,Table_ExternalData_15[[#This Row],[IType]],IsDList,Table_ExternalData_15[[#Headers],[11]])</f>
        <v>0</v>
      </c>
      <c r="P176" s="10">
        <f>SUMIFS(IsQList,IsIList,Table_ExternalData_15[[#This Row],[item_key]],IsITypeList,Table_ExternalData_15[[#This Row],[IType]],IsDList,Table_ExternalData_15[[#Headers],[12]])</f>
        <v>0</v>
      </c>
      <c r="Q176" s="10">
        <f>SUMIFS(IsQList,IsIList,Table_ExternalData_15[[#This Row],[item_key]],IsITypeList,Table_ExternalData_15[[#This Row],[IType]],IsDList,Table_ExternalData_15[[#Headers],[13]])</f>
        <v>0</v>
      </c>
      <c r="R176" s="10">
        <f>SUMIFS(IsQList,IsIList,Table_ExternalData_15[[#This Row],[item_key]],IsITypeList,Table_ExternalData_15[[#This Row],[IType]],IsDList,Table_ExternalData_15[[#Headers],[14]])</f>
        <v>0</v>
      </c>
      <c r="S176" s="10">
        <f>SUMIFS(IsQList,IsIList,Table_ExternalData_15[[#This Row],[item_key]],IsITypeList,Table_ExternalData_15[[#This Row],[IType]],IsDList,Table_ExternalData_15[[#Headers],[15]])</f>
        <v>0</v>
      </c>
      <c r="T176" s="10">
        <f>SUMIFS(IsQList,IsIList,Table_ExternalData_15[[#This Row],[item_key]],IsITypeList,Table_ExternalData_15[[#This Row],[IType]],IsDList,Table_ExternalData_15[[#Headers],[16]])</f>
        <v>90</v>
      </c>
      <c r="U176" s="10">
        <f>SUMIFS(IsQList,IsIList,Table_ExternalData_15[[#This Row],[item_key]],IsITypeList,Table_ExternalData_15[[#This Row],[IType]],IsDList,Table_ExternalData_15[[#Headers],[17]])</f>
        <v>0</v>
      </c>
      <c r="V176" s="10">
        <f>SUMIFS(IsQList,IsIList,Table_ExternalData_15[[#This Row],[item_key]],IsITypeList,Table_ExternalData_15[[#This Row],[IType]],IsDList,Table_ExternalData_15[[#Headers],[18]])</f>
        <v>0</v>
      </c>
      <c r="W176" s="10">
        <f>SUMIFS(IsQList,IsIList,Table_ExternalData_15[[#This Row],[item_key]],IsITypeList,Table_ExternalData_15[[#This Row],[IType]],IsDList,Table_ExternalData_15[[#Headers],[19]])</f>
        <v>0</v>
      </c>
      <c r="X176" s="10">
        <f>SUMIFS(IsQList,IsIList,Table_ExternalData_15[[#This Row],[item_key]],IsITypeList,Table_ExternalData_15[[#This Row],[IType]],IsDList,Table_ExternalData_15[[#Headers],[20]])</f>
        <v>0</v>
      </c>
      <c r="Y176" s="10">
        <f>SUMIFS(IsQList,IsIList,Table_ExternalData_15[[#This Row],[item_key]],IsITypeList,Table_ExternalData_15[[#This Row],[IType]],IsDList,Table_ExternalData_15[[#Headers],[21]])</f>
        <v>0</v>
      </c>
      <c r="Z176" s="10">
        <f>SUMIFS(IsQList,IsIList,Table_ExternalData_15[[#This Row],[item_key]],IsITypeList,Table_ExternalData_15[[#This Row],[IType]],IsDList,Table_ExternalData_15[[#Headers],[22]])</f>
        <v>0</v>
      </c>
      <c r="AA176" s="10">
        <f>SUMIFS(IsQList,IsIList,Table_ExternalData_15[[#This Row],[item_key]],IsITypeList,Table_ExternalData_15[[#This Row],[IType]],IsDList,Table_ExternalData_15[[#Headers],[23]])</f>
        <v>0</v>
      </c>
      <c r="AB176" s="10">
        <f>SUMIFS(IsQList,IsIList,Table_ExternalData_15[[#This Row],[item_key]],IsITypeList,Table_ExternalData_15[[#This Row],[IType]],IsDList,Table_ExternalData_15[[#Headers],[24]])</f>
        <v>0</v>
      </c>
      <c r="AC176" s="10">
        <f>SUMIFS(IsQList,IsIList,Table_ExternalData_15[[#This Row],[item_key]],IsITypeList,Table_ExternalData_15[[#This Row],[IType]],IsDList,Table_ExternalData_15[[#Headers],[25]])</f>
        <v>0</v>
      </c>
      <c r="AD176" s="10">
        <f>SUMIFS(IsQList,IsIList,Table_ExternalData_15[[#This Row],[item_key]],IsITypeList,Table_ExternalData_15[[#This Row],[IType]],IsDList,Table_ExternalData_15[[#Headers],[26]])</f>
        <v>0</v>
      </c>
      <c r="AE176" s="10">
        <f>SUMIFS(IsQList,IsIList,Table_ExternalData_15[[#This Row],[item_key]],IsITypeList,Table_ExternalData_15[[#This Row],[IType]],IsDList,Table_ExternalData_15[[#Headers],[27]])</f>
        <v>0</v>
      </c>
      <c r="AF176" s="10">
        <f>SUMIFS(IsQList,IsIList,Table_ExternalData_15[[#This Row],[item_key]],IsITypeList,Table_ExternalData_15[[#This Row],[IType]],IsDList,Table_ExternalData_15[[#Headers],[28]])</f>
        <v>0</v>
      </c>
      <c r="AG176" s="10">
        <f>SUMIFS(IsQList,IsIList,Table_ExternalData_15[[#This Row],[item_key]],IsITypeList,Table_ExternalData_15[[#This Row],[IType]],IsDList,Table_ExternalData_15[[#Headers],[29]])</f>
        <v>0</v>
      </c>
      <c r="AH176" s="10">
        <f>SUMIFS(IsQList,IsIList,Table_ExternalData_15[[#This Row],[item_key]],IsITypeList,Table_ExternalData_15[[#This Row],[IType]],IsDList,Table_ExternalData_15[[#Headers],[30]])</f>
        <v>0</v>
      </c>
      <c r="AI176" s="10">
        <f>SUMIFS(IsQList,IsIList,Table_ExternalData_15[[#This Row],[item_key]],IsITypeList,Table_ExternalData_15[[#This Row],[IType]],IsDList,Table_ExternalData_15[[#Headers],[31]])</f>
        <v>0</v>
      </c>
      <c r="AJ176" s="10">
        <f>SUM(Table_ExternalData_15[[#This Row],[1]:[31]])</f>
        <v>90</v>
      </c>
    </row>
    <row r="177" spans="1:36">
      <c r="A177" s="1" t="s">
        <v>1199</v>
      </c>
      <c r="B177" s="1" t="s">
        <v>1341</v>
      </c>
      <c r="C177" s="1" t="s">
        <v>1342</v>
      </c>
      <c r="D177" s="11" t="s">
        <v>72</v>
      </c>
      <c r="E177" s="10">
        <f>SUMIFS(IsQList,IsIList,Table_ExternalData_15[[#This Row],[item_key]],IsITypeList,Table_ExternalData_15[[#This Row],[IType]],IsDList,Table_ExternalData_15[[#Headers],[1]])</f>
        <v>0</v>
      </c>
      <c r="F177" s="10">
        <f>SUMIFS(IsQList,IsIList,Table_ExternalData_15[[#This Row],[item_key]],IsITypeList,Table_ExternalData_15[[#This Row],[IType]],IsDList,Table_ExternalData_15[[#Headers],[2]])</f>
        <v>0</v>
      </c>
      <c r="G177" s="10">
        <f>SUMIFS(IsQList,IsIList,Table_ExternalData_15[[#This Row],[item_key]],IsITypeList,Table_ExternalData_15[[#This Row],[IType]],IsDList,Table_ExternalData_15[[#Headers],[3]])</f>
        <v>0</v>
      </c>
      <c r="H177" s="10">
        <f>SUMIFS(IsQList,IsIList,Table_ExternalData_15[[#This Row],[item_key]],IsITypeList,Table_ExternalData_15[[#This Row],[IType]],IsDList,Table_ExternalData_15[[#Headers],[4]])</f>
        <v>0</v>
      </c>
      <c r="I177" s="10">
        <f>SUMIFS(IsQList,IsIList,Table_ExternalData_15[[#This Row],[item_key]],IsITypeList,Table_ExternalData_15[[#This Row],[IType]],IsDList,Table_ExternalData_15[[#Headers],[5]])</f>
        <v>0</v>
      </c>
      <c r="J177" s="10">
        <f>SUMIFS(IsQList,IsIList,Table_ExternalData_15[[#This Row],[item_key]],IsITypeList,Table_ExternalData_15[[#This Row],[IType]],IsDList,Table_ExternalData_15[[#Headers],[6]])</f>
        <v>0</v>
      </c>
      <c r="K177" s="10">
        <f>SUMIFS(IsQList,IsIList,Table_ExternalData_15[[#This Row],[item_key]],IsITypeList,Table_ExternalData_15[[#This Row],[IType]],IsDList,Table_ExternalData_15[[#Headers],[7]])</f>
        <v>0</v>
      </c>
      <c r="L177" s="10">
        <f>SUMIFS(IsQList,IsIList,Table_ExternalData_15[[#This Row],[item_key]],IsITypeList,Table_ExternalData_15[[#This Row],[IType]],IsDList,Table_ExternalData_15[[#Headers],[8]])</f>
        <v>0</v>
      </c>
      <c r="M177" s="10">
        <f>SUMIFS(IsQList,IsIList,Table_ExternalData_15[[#This Row],[item_key]],IsITypeList,Table_ExternalData_15[[#This Row],[IType]],IsDList,Table_ExternalData_15[[#Headers],[9]])</f>
        <v>0</v>
      </c>
      <c r="N177" s="10">
        <f>SUMIFS(IsQList,IsIList,Table_ExternalData_15[[#This Row],[item_key]],IsITypeList,Table_ExternalData_15[[#This Row],[IType]],IsDList,Table_ExternalData_15[[#Headers],[10]])</f>
        <v>0</v>
      </c>
      <c r="O177" s="10">
        <f>SUMIFS(IsQList,IsIList,Table_ExternalData_15[[#This Row],[item_key]],IsITypeList,Table_ExternalData_15[[#This Row],[IType]],IsDList,Table_ExternalData_15[[#Headers],[11]])</f>
        <v>0</v>
      </c>
      <c r="P177" s="10">
        <f>SUMIFS(IsQList,IsIList,Table_ExternalData_15[[#This Row],[item_key]],IsITypeList,Table_ExternalData_15[[#This Row],[IType]],IsDList,Table_ExternalData_15[[#Headers],[12]])</f>
        <v>0</v>
      </c>
      <c r="Q177" s="10">
        <f>SUMIFS(IsQList,IsIList,Table_ExternalData_15[[#This Row],[item_key]],IsITypeList,Table_ExternalData_15[[#This Row],[IType]],IsDList,Table_ExternalData_15[[#Headers],[13]])</f>
        <v>0</v>
      </c>
      <c r="R177" s="10">
        <f>SUMIFS(IsQList,IsIList,Table_ExternalData_15[[#This Row],[item_key]],IsITypeList,Table_ExternalData_15[[#This Row],[IType]],IsDList,Table_ExternalData_15[[#Headers],[14]])</f>
        <v>0</v>
      </c>
      <c r="S177" s="10">
        <f>SUMIFS(IsQList,IsIList,Table_ExternalData_15[[#This Row],[item_key]],IsITypeList,Table_ExternalData_15[[#This Row],[IType]],IsDList,Table_ExternalData_15[[#Headers],[15]])</f>
        <v>0</v>
      </c>
      <c r="T177" s="10">
        <f>SUMIFS(IsQList,IsIList,Table_ExternalData_15[[#This Row],[item_key]],IsITypeList,Table_ExternalData_15[[#This Row],[IType]],IsDList,Table_ExternalData_15[[#Headers],[16]])</f>
        <v>20</v>
      </c>
      <c r="U177" s="10">
        <f>SUMIFS(IsQList,IsIList,Table_ExternalData_15[[#This Row],[item_key]],IsITypeList,Table_ExternalData_15[[#This Row],[IType]],IsDList,Table_ExternalData_15[[#Headers],[17]])</f>
        <v>0</v>
      </c>
      <c r="V177" s="10">
        <f>SUMIFS(IsQList,IsIList,Table_ExternalData_15[[#This Row],[item_key]],IsITypeList,Table_ExternalData_15[[#This Row],[IType]],IsDList,Table_ExternalData_15[[#Headers],[18]])</f>
        <v>0</v>
      </c>
      <c r="W177" s="10">
        <f>SUMIFS(IsQList,IsIList,Table_ExternalData_15[[#This Row],[item_key]],IsITypeList,Table_ExternalData_15[[#This Row],[IType]],IsDList,Table_ExternalData_15[[#Headers],[19]])</f>
        <v>0</v>
      </c>
      <c r="X177" s="10">
        <f>SUMIFS(IsQList,IsIList,Table_ExternalData_15[[#This Row],[item_key]],IsITypeList,Table_ExternalData_15[[#This Row],[IType]],IsDList,Table_ExternalData_15[[#Headers],[20]])</f>
        <v>0</v>
      </c>
      <c r="Y177" s="10">
        <f>SUMIFS(IsQList,IsIList,Table_ExternalData_15[[#This Row],[item_key]],IsITypeList,Table_ExternalData_15[[#This Row],[IType]],IsDList,Table_ExternalData_15[[#Headers],[21]])</f>
        <v>0</v>
      </c>
      <c r="Z177" s="10">
        <f>SUMIFS(IsQList,IsIList,Table_ExternalData_15[[#This Row],[item_key]],IsITypeList,Table_ExternalData_15[[#This Row],[IType]],IsDList,Table_ExternalData_15[[#Headers],[22]])</f>
        <v>0</v>
      </c>
      <c r="AA177" s="10">
        <f>SUMIFS(IsQList,IsIList,Table_ExternalData_15[[#This Row],[item_key]],IsITypeList,Table_ExternalData_15[[#This Row],[IType]],IsDList,Table_ExternalData_15[[#Headers],[23]])</f>
        <v>0</v>
      </c>
      <c r="AB177" s="10">
        <f>SUMIFS(IsQList,IsIList,Table_ExternalData_15[[#This Row],[item_key]],IsITypeList,Table_ExternalData_15[[#This Row],[IType]],IsDList,Table_ExternalData_15[[#Headers],[24]])</f>
        <v>0</v>
      </c>
      <c r="AC177" s="10">
        <f>SUMIFS(IsQList,IsIList,Table_ExternalData_15[[#This Row],[item_key]],IsITypeList,Table_ExternalData_15[[#This Row],[IType]],IsDList,Table_ExternalData_15[[#Headers],[25]])</f>
        <v>0</v>
      </c>
      <c r="AD177" s="10">
        <f>SUMIFS(IsQList,IsIList,Table_ExternalData_15[[#This Row],[item_key]],IsITypeList,Table_ExternalData_15[[#This Row],[IType]],IsDList,Table_ExternalData_15[[#Headers],[26]])</f>
        <v>0</v>
      </c>
      <c r="AE177" s="10">
        <f>SUMIFS(IsQList,IsIList,Table_ExternalData_15[[#This Row],[item_key]],IsITypeList,Table_ExternalData_15[[#This Row],[IType]],IsDList,Table_ExternalData_15[[#Headers],[27]])</f>
        <v>0</v>
      </c>
      <c r="AF177" s="10">
        <f>SUMIFS(IsQList,IsIList,Table_ExternalData_15[[#This Row],[item_key]],IsITypeList,Table_ExternalData_15[[#This Row],[IType]],IsDList,Table_ExternalData_15[[#Headers],[28]])</f>
        <v>0</v>
      </c>
      <c r="AG177" s="10">
        <f>SUMIFS(IsQList,IsIList,Table_ExternalData_15[[#This Row],[item_key]],IsITypeList,Table_ExternalData_15[[#This Row],[IType]],IsDList,Table_ExternalData_15[[#Headers],[29]])</f>
        <v>0</v>
      </c>
      <c r="AH177" s="10">
        <f>SUMIFS(IsQList,IsIList,Table_ExternalData_15[[#This Row],[item_key]],IsITypeList,Table_ExternalData_15[[#This Row],[IType]],IsDList,Table_ExternalData_15[[#Headers],[30]])</f>
        <v>0</v>
      </c>
      <c r="AI177" s="10">
        <f>SUMIFS(IsQList,IsIList,Table_ExternalData_15[[#This Row],[item_key]],IsITypeList,Table_ExternalData_15[[#This Row],[IType]],IsDList,Table_ExternalData_15[[#Headers],[31]])</f>
        <v>0</v>
      </c>
      <c r="AJ177" s="10">
        <f>SUM(Table_ExternalData_15[[#This Row],[1]:[31]])</f>
        <v>20</v>
      </c>
    </row>
    <row r="178" spans="1:36">
      <c r="A178" s="1" t="s">
        <v>1767</v>
      </c>
      <c r="B178" s="1" t="s">
        <v>2607</v>
      </c>
      <c r="C178" s="1" t="s">
        <v>2608</v>
      </c>
      <c r="D178" s="11" t="s">
        <v>72</v>
      </c>
      <c r="E178" s="10">
        <f>SUMIFS(IsQList,IsIList,Table_ExternalData_15[[#This Row],[item_key]],IsITypeList,Table_ExternalData_15[[#This Row],[IType]],IsDList,Table_ExternalData_15[[#Headers],[1]])</f>
        <v>0</v>
      </c>
      <c r="F178" s="10">
        <f>SUMIFS(IsQList,IsIList,Table_ExternalData_15[[#This Row],[item_key]],IsITypeList,Table_ExternalData_15[[#This Row],[IType]],IsDList,Table_ExternalData_15[[#Headers],[2]])</f>
        <v>0</v>
      </c>
      <c r="G178" s="10">
        <f>SUMIFS(IsQList,IsIList,Table_ExternalData_15[[#This Row],[item_key]],IsITypeList,Table_ExternalData_15[[#This Row],[IType]],IsDList,Table_ExternalData_15[[#Headers],[3]])</f>
        <v>0</v>
      </c>
      <c r="H178" s="10">
        <f>SUMIFS(IsQList,IsIList,Table_ExternalData_15[[#This Row],[item_key]],IsITypeList,Table_ExternalData_15[[#This Row],[IType]],IsDList,Table_ExternalData_15[[#Headers],[4]])</f>
        <v>0</v>
      </c>
      <c r="I178" s="10">
        <f>SUMIFS(IsQList,IsIList,Table_ExternalData_15[[#This Row],[item_key]],IsITypeList,Table_ExternalData_15[[#This Row],[IType]],IsDList,Table_ExternalData_15[[#Headers],[5]])</f>
        <v>0</v>
      </c>
      <c r="J178" s="10">
        <f>SUMIFS(IsQList,IsIList,Table_ExternalData_15[[#This Row],[item_key]],IsITypeList,Table_ExternalData_15[[#This Row],[IType]],IsDList,Table_ExternalData_15[[#Headers],[6]])</f>
        <v>0</v>
      </c>
      <c r="K178" s="10">
        <f>SUMIFS(IsQList,IsIList,Table_ExternalData_15[[#This Row],[item_key]],IsITypeList,Table_ExternalData_15[[#This Row],[IType]],IsDList,Table_ExternalData_15[[#Headers],[7]])</f>
        <v>0</v>
      </c>
      <c r="L178" s="10">
        <f>SUMIFS(IsQList,IsIList,Table_ExternalData_15[[#This Row],[item_key]],IsITypeList,Table_ExternalData_15[[#This Row],[IType]],IsDList,Table_ExternalData_15[[#Headers],[8]])</f>
        <v>0</v>
      </c>
      <c r="M178" s="10">
        <f>SUMIFS(IsQList,IsIList,Table_ExternalData_15[[#This Row],[item_key]],IsITypeList,Table_ExternalData_15[[#This Row],[IType]],IsDList,Table_ExternalData_15[[#Headers],[9]])</f>
        <v>0</v>
      </c>
      <c r="N178" s="10">
        <f>SUMIFS(IsQList,IsIList,Table_ExternalData_15[[#This Row],[item_key]],IsITypeList,Table_ExternalData_15[[#This Row],[IType]],IsDList,Table_ExternalData_15[[#Headers],[10]])</f>
        <v>0</v>
      </c>
      <c r="O178" s="10">
        <f>SUMIFS(IsQList,IsIList,Table_ExternalData_15[[#This Row],[item_key]],IsITypeList,Table_ExternalData_15[[#This Row],[IType]],IsDList,Table_ExternalData_15[[#Headers],[11]])</f>
        <v>0</v>
      </c>
      <c r="P178" s="10">
        <f>SUMIFS(IsQList,IsIList,Table_ExternalData_15[[#This Row],[item_key]],IsITypeList,Table_ExternalData_15[[#This Row],[IType]],IsDList,Table_ExternalData_15[[#Headers],[12]])</f>
        <v>0</v>
      </c>
      <c r="Q178" s="10">
        <f>SUMIFS(IsQList,IsIList,Table_ExternalData_15[[#This Row],[item_key]],IsITypeList,Table_ExternalData_15[[#This Row],[IType]],IsDList,Table_ExternalData_15[[#Headers],[13]])</f>
        <v>0</v>
      </c>
      <c r="R178" s="10">
        <f>SUMIFS(IsQList,IsIList,Table_ExternalData_15[[#This Row],[item_key]],IsITypeList,Table_ExternalData_15[[#This Row],[IType]],IsDList,Table_ExternalData_15[[#Headers],[14]])</f>
        <v>0</v>
      </c>
      <c r="S178" s="10">
        <f>SUMIFS(IsQList,IsIList,Table_ExternalData_15[[#This Row],[item_key]],IsITypeList,Table_ExternalData_15[[#This Row],[IType]],IsDList,Table_ExternalData_15[[#Headers],[15]])</f>
        <v>0</v>
      </c>
      <c r="T178" s="10">
        <f>SUMIFS(IsQList,IsIList,Table_ExternalData_15[[#This Row],[item_key]],IsITypeList,Table_ExternalData_15[[#This Row],[IType]],IsDList,Table_ExternalData_15[[#Headers],[16]])</f>
        <v>0</v>
      </c>
      <c r="U178" s="10">
        <f>SUMIFS(IsQList,IsIList,Table_ExternalData_15[[#This Row],[item_key]],IsITypeList,Table_ExternalData_15[[#This Row],[IType]],IsDList,Table_ExternalData_15[[#Headers],[17]])</f>
        <v>0</v>
      </c>
      <c r="V178" s="10">
        <f>SUMIFS(IsQList,IsIList,Table_ExternalData_15[[#This Row],[item_key]],IsITypeList,Table_ExternalData_15[[#This Row],[IType]],IsDList,Table_ExternalData_15[[#Headers],[18]])</f>
        <v>0</v>
      </c>
      <c r="W178" s="10">
        <f>SUMIFS(IsQList,IsIList,Table_ExternalData_15[[#This Row],[item_key]],IsITypeList,Table_ExternalData_15[[#This Row],[IType]],IsDList,Table_ExternalData_15[[#Headers],[19]])</f>
        <v>0</v>
      </c>
      <c r="X178" s="10">
        <f>SUMIFS(IsQList,IsIList,Table_ExternalData_15[[#This Row],[item_key]],IsITypeList,Table_ExternalData_15[[#This Row],[IType]],IsDList,Table_ExternalData_15[[#Headers],[20]])</f>
        <v>0</v>
      </c>
      <c r="Y178" s="10">
        <f>SUMIFS(IsQList,IsIList,Table_ExternalData_15[[#This Row],[item_key]],IsITypeList,Table_ExternalData_15[[#This Row],[IType]],IsDList,Table_ExternalData_15[[#Headers],[21]])</f>
        <v>0</v>
      </c>
      <c r="Z178" s="10">
        <f>SUMIFS(IsQList,IsIList,Table_ExternalData_15[[#This Row],[item_key]],IsITypeList,Table_ExternalData_15[[#This Row],[IType]],IsDList,Table_ExternalData_15[[#Headers],[22]])</f>
        <v>0</v>
      </c>
      <c r="AA178" s="10">
        <f>SUMIFS(IsQList,IsIList,Table_ExternalData_15[[#This Row],[item_key]],IsITypeList,Table_ExternalData_15[[#This Row],[IType]],IsDList,Table_ExternalData_15[[#Headers],[23]])</f>
        <v>0</v>
      </c>
      <c r="AB178" s="10">
        <f>SUMIFS(IsQList,IsIList,Table_ExternalData_15[[#This Row],[item_key]],IsITypeList,Table_ExternalData_15[[#This Row],[IType]],IsDList,Table_ExternalData_15[[#Headers],[24]])</f>
        <v>0</v>
      </c>
      <c r="AC178" s="10">
        <f>SUMIFS(IsQList,IsIList,Table_ExternalData_15[[#This Row],[item_key]],IsITypeList,Table_ExternalData_15[[#This Row],[IType]],IsDList,Table_ExternalData_15[[#Headers],[25]])</f>
        <v>0</v>
      </c>
      <c r="AD178" s="10">
        <f>SUMIFS(IsQList,IsIList,Table_ExternalData_15[[#This Row],[item_key]],IsITypeList,Table_ExternalData_15[[#This Row],[IType]],IsDList,Table_ExternalData_15[[#Headers],[26]])</f>
        <v>0</v>
      </c>
      <c r="AE178" s="10">
        <f>SUMIFS(IsQList,IsIList,Table_ExternalData_15[[#This Row],[item_key]],IsITypeList,Table_ExternalData_15[[#This Row],[IType]],IsDList,Table_ExternalData_15[[#Headers],[27]])</f>
        <v>0</v>
      </c>
      <c r="AF178" s="10">
        <f>SUMIFS(IsQList,IsIList,Table_ExternalData_15[[#This Row],[item_key]],IsITypeList,Table_ExternalData_15[[#This Row],[IType]],IsDList,Table_ExternalData_15[[#Headers],[28]])</f>
        <v>0</v>
      </c>
      <c r="AG178" s="10">
        <f>SUMIFS(IsQList,IsIList,Table_ExternalData_15[[#This Row],[item_key]],IsITypeList,Table_ExternalData_15[[#This Row],[IType]],IsDList,Table_ExternalData_15[[#Headers],[29]])</f>
        <v>0</v>
      </c>
      <c r="AH178" s="10">
        <f>SUMIFS(IsQList,IsIList,Table_ExternalData_15[[#This Row],[item_key]],IsITypeList,Table_ExternalData_15[[#This Row],[IType]],IsDList,Table_ExternalData_15[[#Headers],[30]])</f>
        <v>0</v>
      </c>
      <c r="AI178" s="10">
        <f>SUMIFS(IsQList,IsIList,Table_ExternalData_15[[#This Row],[item_key]],IsITypeList,Table_ExternalData_15[[#This Row],[IType]],IsDList,Table_ExternalData_15[[#Headers],[31]])</f>
        <v>0</v>
      </c>
      <c r="AJ178" s="10">
        <f>SUM(Table_ExternalData_15[[#This Row],[1]:[31]])</f>
        <v>0</v>
      </c>
    </row>
    <row r="179" spans="1:36">
      <c r="A179" s="1" t="s">
        <v>641</v>
      </c>
      <c r="B179" s="1" t="s">
        <v>2609</v>
      </c>
      <c r="C179" s="1" t="s">
        <v>2610</v>
      </c>
      <c r="D179" s="11" t="s">
        <v>72</v>
      </c>
      <c r="E179" s="10">
        <f>SUMIFS(IsQList,IsIList,Table_ExternalData_15[[#This Row],[item_key]],IsITypeList,Table_ExternalData_15[[#This Row],[IType]],IsDList,Table_ExternalData_15[[#Headers],[1]])</f>
        <v>0</v>
      </c>
      <c r="F179" s="10">
        <f>SUMIFS(IsQList,IsIList,Table_ExternalData_15[[#This Row],[item_key]],IsITypeList,Table_ExternalData_15[[#This Row],[IType]],IsDList,Table_ExternalData_15[[#Headers],[2]])</f>
        <v>0</v>
      </c>
      <c r="G179" s="10">
        <f>SUMIFS(IsQList,IsIList,Table_ExternalData_15[[#This Row],[item_key]],IsITypeList,Table_ExternalData_15[[#This Row],[IType]],IsDList,Table_ExternalData_15[[#Headers],[3]])</f>
        <v>0</v>
      </c>
      <c r="H179" s="10">
        <f>SUMIFS(IsQList,IsIList,Table_ExternalData_15[[#This Row],[item_key]],IsITypeList,Table_ExternalData_15[[#This Row],[IType]],IsDList,Table_ExternalData_15[[#Headers],[4]])</f>
        <v>0</v>
      </c>
      <c r="I179" s="10">
        <f>SUMIFS(IsQList,IsIList,Table_ExternalData_15[[#This Row],[item_key]],IsITypeList,Table_ExternalData_15[[#This Row],[IType]],IsDList,Table_ExternalData_15[[#Headers],[5]])</f>
        <v>0</v>
      </c>
      <c r="J179" s="10">
        <f>SUMIFS(IsQList,IsIList,Table_ExternalData_15[[#This Row],[item_key]],IsITypeList,Table_ExternalData_15[[#This Row],[IType]],IsDList,Table_ExternalData_15[[#Headers],[6]])</f>
        <v>0</v>
      </c>
      <c r="K179" s="10">
        <f>SUMIFS(IsQList,IsIList,Table_ExternalData_15[[#This Row],[item_key]],IsITypeList,Table_ExternalData_15[[#This Row],[IType]],IsDList,Table_ExternalData_15[[#Headers],[7]])</f>
        <v>0</v>
      </c>
      <c r="L179" s="10">
        <f>SUMIFS(IsQList,IsIList,Table_ExternalData_15[[#This Row],[item_key]],IsITypeList,Table_ExternalData_15[[#This Row],[IType]],IsDList,Table_ExternalData_15[[#Headers],[8]])</f>
        <v>0</v>
      </c>
      <c r="M179" s="10">
        <f>SUMIFS(IsQList,IsIList,Table_ExternalData_15[[#This Row],[item_key]],IsITypeList,Table_ExternalData_15[[#This Row],[IType]],IsDList,Table_ExternalData_15[[#Headers],[9]])</f>
        <v>0</v>
      </c>
      <c r="N179" s="10">
        <f>SUMIFS(IsQList,IsIList,Table_ExternalData_15[[#This Row],[item_key]],IsITypeList,Table_ExternalData_15[[#This Row],[IType]],IsDList,Table_ExternalData_15[[#Headers],[10]])</f>
        <v>0</v>
      </c>
      <c r="O179" s="10">
        <f>SUMIFS(IsQList,IsIList,Table_ExternalData_15[[#This Row],[item_key]],IsITypeList,Table_ExternalData_15[[#This Row],[IType]],IsDList,Table_ExternalData_15[[#Headers],[11]])</f>
        <v>0</v>
      </c>
      <c r="P179" s="10">
        <f>SUMIFS(IsQList,IsIList,Table_ExternalData_15[[#This Row],[item_key]],IsITypeList,Table_ExternalData_15[[#This Row],[IType]],IsDList,Table_ExternalData_15[[#Headers],[12]])</f>
        <v>0</v>
      </c>
      <c r="Q179" s="10">
        <f>SUMIFS(IsQList,IsIList,Table_ExternalData_15[[#This Row],[item_key]],IsITypeList,Table_ExternalData_15[[#This Row],[IType]],IsDList,Table_ExternalData_15[[#Headers],[13]])</f>
        <v>0</v>
      </c>
      <c r="R179" s="10">
        <f>SUMIFS(IsQList,IsIList,Table_ExternalData_15[[#This Row],[item_key]],IsITypeList,Table_ExternalData_15[[#This Row],[IType]],IsDList,Table_ExternalData_15[[#Headers],[14]])</f>
        <v>0</v>
      </c>
      <c r="S179" s="10">
        <f>SUMIFS(IsQList,IsIList,Table_ExternalData_15[[#This Row],[item_key]],IsITypeList,Table_ExternalData_15[[#This Row],[IType]],IsDList,Table_ExternalData_15[[#Headers],[15]])</f>
        <v>0</v>
      </c>
      <c r="T179" s="10">
        <f>SUMIFS(IsQList,IsIList,Table_ExternalData_15[[#This Row],[item_key]],IsITypeList,Table_ExternalData_15[[#This Row],[IType]],IsDList,Table_ExternalData_15[[#Headers],[16]])</f>
        <v>0</v>
      </c>
      <c r="U179" s="10">
        <f>SUMIFS(IsQList,IsIList,Table_ExternalData_15[[#This Row],[item_key]],IsITypeList,Table_ExternalData_15[[#This Row],[IType]],IsDList,Table_ExternalData_15[[#Headers],[17]])</f>
        <v>0</v>
      </c>
      <c r="V179" s="10">
        <f>SUMIFS(IsQList,IsIList,Table_ExternalData_15[[#This Row],[item_key]],IsITypeList,Table_ExternalData_15[[#This Row],[IType]],IsDList,Table_ExternalData_15[[#Headers],[18]])</f>
        <v>0</v>
      </c>
      <c r="W179" s="10">
        <f>SUMIFS(IsQList,IsIList,Table_ExternalData_15[[#This Row],[item_key]],IsITypeList,Table_ExternalData_15[[#This Row],[IType]],IsDList,Table_ExternalData_15[[#Headers],[19]])</f>
        <v>0</v>
      </c>
      <c r="X179" s="10">
        <f>SUMIFS(IsQList,IsIList,Table_ExternalData_15[[#This Row],[item_key]],IsITypeList,Table_ExternalData_15[[#This Row],[IType]],IsDList,Table_ExternalData_15[[#Headers],[20]])</f>
        <v>0</v>
      </c>
      <c r="Y179" s="10">
        <f>SUMIFS(IsQList,IsIList,Table_ExternalData_15[[#This Row],[item_key]],IsITypeList,Table_ExternalData_15[[#This Row],[IType]],IsDList,Table_ExternalData_15[[#Headers],[21]])</f>
        <v>0</v>
      </c>
      <c r="Z179" s="10">
        <f>SUMIFS(IsQList,IsIList,Table_ExternalData_15[[#This Row],[item_key]],IsITypeList,Table_ExternalData_15[[#This Row],[IType]],IsDList,Table_ExternalData_15[[#Headers],[22]])</f>
        <v>0</v>
      </c>
      <c r="AA179" s="10">
        <f>SUMIFS(IsQList,IsIList,Table_ExternalData_15[[#This Row],[item_key]],IsITypeList,Table_ExternalData_15[[#This Row],[IType]],IsDList,Table_ExternalData_15[[#Headers],[23]])</f>
        <v>0</v>
      </c>
      <c r="AB179" s="10">
        <f>SUMIFS(IsQList,IsIList,Table_ExternalData_15[[#This Row],[item_key]],IsITypeList,Table_ExternalData_15[[#This Row],[IType]],IsDList,Table_ExternalData_15[[#Headers],[24]])</f>
        <v>0</v>
      </c>
      <c r="AC179" s="10">
        <f>SUMIFS(IsQList,IsIList,Table_ExternalData_15[[#This Row],[item_key]],IsITypeList,Table_ExternalData_15[[#This Row],[IType]],IsDList,Table_ExternalData_15[[#Headers],[25]])</f>
        <v>0</v>
      </c>
      <c r="AD179" s="10">
        <f>SUMIFS(IsQList,IsIList,Table_ExternalData_15[[#This Row],[item_key]],IsITypeList,Table_ExternalData_15[[#This Row],[IType]],IsDList,Table_ExternalData_15[[#Headers],[26]])</f>
        <v>0</v>
      </c>
      <c r="AE179" s="10">
        <f>SUMIFS(IsQList,IsIList,Table_ExternalData_15[[#This Row],[item_key]],IsITypeList,Table_ExternalData_15[[#This Row],[IType]],IsDList,Table_ExternalData_15[[#Headers],[27]])</f>
        <v>0</v>
      </c>
      <c r="AF179" s="10">
        <f>SUMIFS(IsQList,IsIList,Table_ExternalData_15[[#This Row],[item_key]],IsITypeList,Table_ExternalData_15[[#This Row],[IType]],IsDList,Table_ExternalData_15[[#Headers],[28]])</f>
        <v>0</v>
      </c>
      <c r="AG179" s="10">
        <f>SUMIFS(IsQList,IsIList,Table_ExternalData_15[[#This Row],[item_key]],IsITypeList,Table_ExternalData_15[[#This Row],[IType]],IsDList,Table_ExternalData_15[[#Headers],[29]])</f>
        <v>0</v>
      </c>
      <c r="AH179" s="10">
        <f>SUMIFS(IsQList,IsIList,Table_ExternalData_15[[#This Row],[item_key]],IsITypeList,Table_ExternalData_15[[#This Row],[IType]],IsDList,Table_ExternalData_15[[#Headers],[30]])</f>
        <v>0</v>
      </c>
      <c r="AI179" s="10">
        <f>SUMIFS(IsQList,IsIList,Table_ExternalData_15[[#This Row],[item_key]],IsITypeList,Table_ExternalData_15[[#This Row],[IType]],IsDList,Table_ExternalData_15[[#Headers],[31]])</f>
        <v>0</v>
      </c>
      <c r="AJ179" s="10">
        <f>SUM(Table_ExternalData_15[[#This Row],[1]:[31]])</f>
        <v>0</v>
      </c>
    </row>
    <row r="180" spans="1:36">
      <c r="A180" s="1" t="s">
        <v>642</v>
      </c>
      <c r="B180" s="1" t="s">
        <v>1343</v>
      </c>
      <c r="C180" s="1" t="s">
        <v>1342</v>
      </c>
      <c r="D180" s="11" t="s">
        <v>72</v>
      </c>
      <c r="E180" s="10">
        <f>SUMIFS(IsQList,IsIList,Table_ExternalData_15[[#This Row],[item_key]],IsITypeList,Table_ExternalData_15[[#This Row],[IType]],IsDList,Table_ExternalData_15[[#Headers],[1]])</f>
        <v>0</v>
      </c>
      <c r="F180" s="10">
        <f>SUMIFS(IsQList,IsIList,Table_ExternalData_15[[#This Row],[item_key]],IsITypeList,Table_ExternalData_15[[#This Row],[IType]],IsDList,Table_ExternalData_15[[#Headers],[2]])</f>
        <v>0</v>
      </c>
      <c r="G180" s="10">
        <f>SUMIFS(IsQList,IsIList,Table_ExternalData_15[[#This Row],[item_key]],IsITypeList,Table_ExternalData_15[[#This Row],[IType]],IsDList,Table_ExternalData_15[[#Headers],[3]])</f>
        <v>0</v>
      </c>
      <c r="H180" s="10">
        <f>SUMIFS(IsQList,IsIList,Table_ExternalData_15[[#This Row],[item_key]],IsITypeList,Table_ExternalData_15[[#This Row],[IType]],IsDList,Table_ExternalData_15[[#Headers],[4]])</f>
        <v>0</v>
      </c>
      <c r="I180" s="10">
        <f>SUMIFS(IsQList,IsIList,Table_ExternalData_15[[#This Row],[item_key]],IsITypeList,Table_ExternalData_15[[#This Row],[IType]],IsDList,Table_ExternalData_15[[#Headers],[5]])</f>
        <v>0</v>
      </c>
      <c r="J180" s="10">
        <f>SUMIFS(IsQList,IsIList,Table_ExternalData_15[[#This Row],[item_key]],IsITypeList,Table_ExternalData_15[[#This Row],[IType]],IsDList,Table_ExternalData_15[[#Headers],[6]])</f>
        <v>0</v>
      </c>
      <c r="K180" s="10">
        <f>SUMIFS(IsQList,IsIList,Table_ExternalData_15[[#This Row],[item_key]],IsITypeList,Table_ExternalData_15[[#This Row],[IType]],IsDList,Table_ExternalData_15[[#Headers],[7]])</f>
        <v>0</v>
      </c>
      <c r="L180" s="10">
        <f>SUMIFS(IsQList,IsIList,Table_ExternalData_15[[#This Row],[item_key]],IsITypeList,Table_ExternalData_15[[#This Row],[IType]],IsDList,Table_ExternalData_15[[#Headers],[8]])</f>
        <v>0</v>
      </c>
      <c r="M180" s="10">
        <f>SUMIFS(IsQList,IsIList,Table_ExternalData_15[[#This Row],[item_key]],IsITypeList,Table_ExternalData_15[[#This Row],[IType]],IsDList,Table_ExternalData_15[[#Headers],[9]])</f>
        <v>0</v>
      </c>
      <c r="N180" s="10">
        <f>SUMIFS(IsQList,IsIList,Table_ExternalData_15[[#This Row],[item_key]],IsITypeList,Table_ExternalData_15[[#This Row],[IType]],IsDList,Table_ExternalData_15[[#Headers],[10]])</f>
        <v>0</v>
      </c>
      <c r="O180" s="10">
        <f>SUMIFS(IsQList,IsIList,Table_ExternalData_15[[#This Row],[item_key]],IsITypeList,Table_ExternalData_15[[#This Row],[IType]],IsDList,Table_ExternalData_15[[#Headers],[11]])</f>
        <v>0</v>
      </c>
      <c r="P180" s="10">
        <f>SUMIFS(IsQList,IsIList,Table_ExternalData_15[[#This Row],[item_key]],IsITypeList,Table_ExternalData_15[[#This Row],[IType]],IsDList,Table_ExternalData_15[[#Headers],[12]])</f>
        <v>0</v>
      </c>
      <c r="Q180" s="10">
        <f>SUMIFS(IsQList,IsIList,Table_ExternalData_15[[#This Row],[item_key]],IsITypeList,Table_ExternalData_15[[#This Row],[IType]],IsDList,Table_ExternalData_15[[#Headers],[13]])</f>
        <v>0</v>
      </c>
      <c r="R180" s="10">
        <f>SUMIFS(IsQList,IsIList,Table_ExternalData_15[[#This Row],[item_key]],IsITypeList,Table_ExternalData_15[[#This Row],[IType]],IsDList,Table_ExternalData_15[[#Headers],[14]])</f>
        <v>0</v>
      </c>
      <c r="S180" s="10">
        <f>SUMIFS(IsQList,IsIList,Table_ExternalData_15[[#This Row],[item_key]],IsITypeList,Table_ExternalData_15[[#This Row],[IType]],IsDList,Table_ExternalData_15[[#Headers],[15]])</f>
        <v>0</v>
      </c>
      <c r="T180" s="10">
        <f>SUMIFS(IsQList,IsIList,Table_ExternalData_15[[#This Row],[item_key]],IsITypeList,Table_ExternalData_15[[#This Row],[IType]],IsDList,Table_ExternalData_15[[#Headers],[16]])</f>
        <v>10</v>
      </c>
      <c r="U180" s="10">
        <f>SUMIFS(IsQList,IsIList,Table_ExternalData_15[[#This Row],[item_key]],IsITypeList,Table_ExternalData_15[[#This Row],[IType]],IsDList,Table_ExternalData_15[[#Headers],[17]])</f>
        <v>0</v>
      </c>
      <c r="V180" s="10">
        <f>SUMIFS(IsQList,IsIList,Table_ExternalData_15[[#This Row],[item_key]],IsITypeList,Table_ExternalData_15[[#This Row],[IType]],IsDList,Table_ExternalData_15[[#Headers],[18]])</f>
        <v>0</v>
      </c>
      <c r="W180" s="10">
        <f>SUMIFS(IsQList,IsIList,Table_ExternalData_15[[#This Row],[item_key]],IsITypeList,Table_ExternalData_15[[#This Row],[IType]],IsDList,Table_ExternalData_15[[#Headers],[19]])</f>
        <v>0</v>
      </c>
      <c r="X180" s="10">
        <f>SUMIFS(IsQList,IsIList,Table_ExternalData_15[[#This Row],[item_key]],IsITypeList,Table_ExternalData_15[[#This Row],[IType]],IsDList,Table_ExternalData_15[[#Headers],[20]])</f>
        <v>0</v>
      </c>
      <c r="Y180" s="10">
        <f>SUMIFS(IsQList,IsIList,Table_ExternalData_15[[#This Row],[item_key]],IsITypeList,Table_ExternalData_15[[#This Row],[IType]],IsDList,Table_ExternalData_15[[#Headers],[21]])</f>
        <v>0</v>
      </c>
      <c r="Z180" s="10">
        <f>SUMIFS(IsQList,IsIList,Table_ExternalData_15[[#This Row],[item_key]],IsITypeList,Table_ExternalData_15[[#This Row],[IType]],IsDList,Table_ExternalData_15[[#Headers],[22]])</f>
        <v>0</v>
      </c>
      <c r="AA180" s="10">
        <f>SUMIFS(IsQList,IsIList,Table_ExternalData_15[[#This Row],[item_key]],IsITypeList,Table_ExternalData_15[[#This Row],[IType]],IsDList,Table_ExternalData_15[[#Headers],[23]])</f>
        <v>0</v>
      </c>
      <c r="AB180" s="10">
        <f>SUMIFS(IsQList,IsIList,Table_ExternalData_15[[#This Row],[item_key]],IsITypeList,Table_ExternalData_15[[#This Row],[IType]],IsDList,Table_ExternalData_15[[#Headers],[24]])</f>
        <v>0</v>
      </c>
      <c r="AC180" s="10">
        <f>SUMIFS(IsQList,IsIList,Table_ExternalData_15[[#This Row],[item_key]],IsITypeList,Table_ExternalData_15[[#This Row],[IType]],IsDList,Table_ExternalData_15[[#Headers],[25]])</f>
        <v>0</v>
      </c>
      <c r="AD180" s="10">
        <f>SUMIFS(IsQList,IsIList,Table_ExternalData_15[[#This Row],[item_key]],IsITypeList,Table_ExternalData_15[[#This Row],[IType]],IsDList,Table_ExternalData_15[[#Headers],[26]])</f>
        <v>0</v>
      </c>
      <c r="AE180" s="10">
        <f>SUMIFS(IsQList,IsIList,Table_ExternalData_15[[#This Row],[item_key]],IsITypeList,Table_ExternalData_15[[#This Row],[IType]],IsDList,Table_ExternalData_15[[#Headers],[27]])</f>
        <v>0</v>
      </c>
      <c r="AF180" s="10">
        <f>SUMIFS(IsQList,IsIList,Table_ExternalData_15[[#This Row],[item_key]],IsITypeList,Table_ExternalData_15[[#This Row],[IType]],IsDList,Table_ExternalData_15[[#Headers],[28]])</f>
        <v>0</v>
      </c>
      <c r="AG180" s="10">
        <f>SUMIFS(IsQList,IsIList,Table_ExternalData_15[[#This Row],[item_key]],IsITypeList,Table_ExternalData_15[[#This Row],[IType]],IsDList,Table_ExternalData_15[[#Headers],[29]])</f>
        <v>0</v>
      </c>
      <c r="AH180" s="10">
        <f>SUMIFS(IsQList,IsIList,Table_ExternalData_15[[#This Row],[item_key]],IsITypeList,Table_ExternalData_15[[#This Row],[IType]],IsDList,Table_ExternalData_15[[#Headers],[30]])</f>
        <v>295</v>
      </c>
      <c r="AI180" s="10">
        <f>SUMIFS(IsQList,IsIList,Table_ExternalData_15[[#This Row],[item_key]],IsITypeList,Table_ExternalData_15[[#This Row],[IType]],IsDList,Table_ExternalData_15[[#Headers],[31]])</f>
        <v>0</v>
      </c>
      <c r="AJ180" s="10">
        <f>SUM(Table_ExternalData_15[[#This Row],[1]:[31]])</f>
        <v>305</v>
      </c>
    </row>
    <row r="181" spans="1:36">
      <c r="A181" s="1" t="s">
        <v>643</v>
      </c>
      <c r="B181" s="1" t="s">
        <v>1344</v>
      </c>
      <c r="C181" s="1" t="s">
        <v>1342</v>
      </c>
      <c r="D181" s="11" t="s">
        <v>72</v>
      </c>
      <c r="E181" s="10">
        <f>SUMIFS(IsQList,IsIList,Table_ExternalData_15[[#This Row],[item_key]],IsITypeList,Table_ExternalData_15[[#This Row],[IType]],IsDList,Table_ExternalData_15[[#Headers],[1]])</f>
        <v>0</v>
      </c>
      <c r="F181" s="10">
        <f>SUMIFS(IsQList,IsIList,Table_ExternalData_15[[#This Row],[item_key]],IsITypeList,Table_ExternalData_15[[#This Row],[IType]],IsDList,Table_ExternalData_15[[#Headers],[2]])</f>
        <v>0</v>
      </c>
      <c r="G181" s="10">
        <f>SUMIFS(IsQList,IsIList,Table_ExternalData_15[[#This Row],[item_key]],IsITypeList,Table_ExternalData_15[[#This Row],[IType]],IsDList,Table_ExternalData_15[[#Headers],[3]])</f>
        <v>0</v>
      </c>
      <c r="H181" s="10">
        <f>SUMIFS(IsQList,IsIList,Table_ExternalData_15[[#This Row],[item_key]],IsITypeList,Table_ExternalData_15[[#This Row],[IType]],IsDList,Table_ExternalData_15[[#Headers],[4]])</f>
        <v>0</v>
      </c>
      <c r="I181" s="10">
        <f>SUMIFS(IsQList,IsIList,Table_ExternalData_15[[#This Row],[item_key]],IsITypeList,Table_ExternalData_15[[#This Row],[IType]],IsDList,Table_ExternalData_15[[#Headers],[5]])</f>
        <v>0</v>
      </c>
      <c r="J181" s="10">
        <f>SUMIFS(IsQList,IsIList,Table_ExternalData_15[[#This Row],[item_key]],IsITypeList,Table_ExternalData_15[[#This Row],[IType]],IsDList,Table_ExternalData_15[[#Headers],[6]])</f>
        <v>0</v>
      </c>
      <c r="K181" s="10">
        <f>SUMIFS(IsQList,IsIList,Table_ExternalData_15[[#This Row],[item_key]],IsITypeList,Table_ExternalData_15[[#This Row],[IType]],IsDList,Table_ExternalData_15[[#Headers],[7]])</f>
        <v>0</v>
      </c>
      <c r="L181" s="10">
        <f>SUMIFS(IsQList,IsIList,Table_ExternalData_15[[#This Row],[item_key]],IsITypeList,Table_ExternalData_15[[#This Row],[IType]],IsDList,Table_ExternalData_15[[#Headers],[8]])</f>
        <v>0</v>
      </c>
      <c r="M181" s="10">
        <f>SUMIFS(IsQList,IsIList,Table_ExternalData_15[[#This Row],[item_key]],IsITypeList,Table_ExternalData_15[[#This Row],[IType]],IsDList,Table_ExternalData_15[[#Headers],[9]])</f>
        <v>0</v>
      </c>
      <c r="N181" s="10">
        <f>SUMIFS(IsQList,IsIList,Table_ExternalData_15[[#This Row],[item_key]],IsITypeList,Table_ExternalData_15[[#This Row],[IType]],IsDList,Table_ExternalData_15[[#Headers],[10]])</f>
        <v>0</v>
      </c>
      <c r="O181" s="10">
        <f>SUMIFS(IsQList,IsIList,Table_ExternalData_15[[#This Row],[item_key]],IsITypeList,Table_ExternalData_15[[#This Row],[IType]],IsDList,Table_ExternalData_15[[#Headers],[11]])</f>
        <v>0</v>
      </c>
      <c r="P181" s="10">
        <f>SUMIFS(IsQList,IsIList,Table_ExternalData_15[[#This Row],[item_key]],IsITypeList,Table_ExternalData_15[[#This Row],[IType]],IsDList,Table_ExternalData_15[[#Headers],[12]])</f>
        <v>0</v>
      </c>
      <c r="Q181" s="10">
        <f>SUMIFS(IsQList,IsIList,Table_ExternalData_15[[#This Row],[item_key]],IsITypeList,Table_ExternalData_15[[#This Row],[IType]],IsDList,Table_ExternalData_15[[#Headers],[13]])</f>
        <v>0</v>
      </c>
      <c r="R181" s="10">
        <f>SUMIFS(IsQList,IsIList,Table_ExternalData_15[[#This Row],[item_key]],IsITypeList,Table_ExternalData_15[[#This Row],[IType]],IsDList,Table_ExternalData_15[[#Headers],[14]])</f>
        <v>0</v>
      </c>
      <c r="S181" s="10">
        <f>SUMIFS(IsQList,IsIList,Table_ExternalData_15[[#This Row],[item_key]],IsITypeList,Table_ExternalData_15[[#This Row],[IType]],IsDList,Table_ExternalData_15[[#Headers],[15]])</f>
        <v>0</v>
      </c>
      <c r="T181" s="10">
        <f>SUMIFS(IsQList,IsIList,Table_ExternalData_15[[#This Row],[item_key]],IsITypeList,Table_ExternalData_15[[#This Row],[IType]],IsDList,Table_ExternalData_15[[#Headers],[16]])</f>
        <v>20</v>
      </c>
      <c r="U181" s="10">
        <f>SUMIFS(IsQList,IsIList,Table_ExternalData_15[[#This Row],[item_key]],IsITypeList,Table_ExternalData_15[[#This Row],[IType]],IsDList,Table_ExternalData_15[[#Headers],[17]])</f>
        <v>0</v>
      </c>
      <c r="V181" s="10">
        <f>SUMIFS(IsQList,IsIList,Table_ExternalData_15[[#This Row],[item_key]],IsITypeList,Table_ExternalData_15[[#This Row],[IType]],IsDList,Table_ExternalData_15[[#Headers],[18]])</f>
        <v>0</v>
      </c>
      <c r="W181" s="10">
        <f>SUMIFS(IsQList,IsIList,Table_ExternalData_15[[#This Row],[item_key]],IsITypeList,Table_ExternalData_15[[#This Row],[IType]],IsDList,Table_ExternalData_15[[#Headers],[19]])</f>
        <v>0</v>
      </c>
      <c r="X181" s="10">
        <f>SUMIFS(IsQList,IsIList,Table_ExternalData_15[[#This Row],[item_key]],IsITypeList,Table_ExternalData_15[[#This Row],[IType]],IsDList,Table_ExternalData_15[[#Headers],[20]])</f>
        <v>0</v>
      </c>
      <c r="Y181" s="10">
        <f>SUMIFS(IsQList,IsIList,Table_ExternalData_15[[#This Row],[item_key]],IsITypeList,Table_ExternalData_15[[#This Row],[IType]],IsDList,Table_ExternalData_15[[#Headers],[21]])</f>
        <v>0</v>
      </c>
      <c r="Z181" s="10">
        <f>SUMIFS(IsQList,IsIList,Table_ExternalData_15[[#This Row],[item_key]],IsITypeList,Table_ExternalData_15[[#This Row],[IType]],IsDList,Table_ExternalData_15[[#Headers],[22]])</f>
        <v>0</v>
      </c>
      <c r="AA181" s="10">
        <f>SUMIFS(IsQList,IsIList,Table_ExternalData_15[[#This Row],[item_key]],IsITypeList,Table_ExternalData_15[[#This Row],[IType]],IsDList,Table_ExternalData_15[[#Headers],[23]])</f>
        <v>0</v>
      </c>
      <c r="AB181" s="10">
        <f>SUMIFS(IsQList,IsIList,Table_ExternalData_15[[#This Row],[item_key]],IsITypeList,Table_ExternalData_15[[#This Row],[IType]],IsDList,Table_ExternalData_15[[#Headers],[24]])</f>
        <v>0</v>
      </c>
      <c r="AC181" s="10">
        <f>SUMIFS(IsQList,IsIList,Table_ExternalData_15[[#This Row],[item_key]],IsITypeList,Table_ExternalData_15[[#This Row],[IType]],IsDList,Table_ExternalData_15[[#Headers],[25]])</f>
        <v>0</v>
      </c>
      <c r="AD181" s="10">
        <f>SUMIFS(IsQList,IsIList,Table_ExternalData_15[[#This Row],[item_key]],IsITypeList,Table_ExternalData_15[[#This Row],[IType]],IsDList,Table_ExternalData_15[[#Headers],[26]])</f>
        <v>0</v>
      </c>
      <c r="AE181" s="10">
        <f>SUMIFS(IsQList,IsIList,Table_ExternalData_15[[#This Row],[item_key]],IsITypeList,Table_ExternalData_15[[#This Row],[IType]],IsDList,Table_ExternalData_15[[#Headers],[27]])</f>
        <v>0</v>
      </c>
      <c r="AF181" s="10">
        <f>SUMIFS(IsQList,IsIList,Table_ExternalData_15[[#This Row],[item_key]],IsITypeList,Table_ExternalData_15[[#This Row],[IType]],IsDList,Table_ExternalData_15[[#Headers],[28]])</f>
        <v>0</v>
      </c>
      <c r="AG181" s="10">
        <f>SUMIFS(IsQList,IsIList,Table_ExternalData_15[[#This Row],[item_key]],IsITypeList,Table_ExternalData_15[[#This Row],[IType]],IsDList,Table_ExternalData_15[[#Headers],[29]])</f>
        <v>0</v>
      </c>
      <c r="AH181" s="10">
        <f>SUMIFS(IsQList,IsIList,Table_ExternalData_15[[#This Row],[item_key]],IsITypeList,Table_ExternalData_15[[#This Row],[IType]],IsDList,Table_ExternalData_15[[#Headers],[30]])</f>
        <v>0</v>
      </c>
      <c r="AI181" s="10">
        <f>SUMIFS(IsQList,IsIList,Table_ExternalData_15[[#This Row],[item_key]],IsITypeList,Table_ExternalData_15[[#This Row],[IType]],IsDList,Table_ExternalData_15[[#Headers],[31]])</f>
        <v>0</v>
      </c>
      <c r="AJ181" s="10">
        <f>SUM(Table_ExternalData_15[[#This Row],[1]:[31]])</f>
        <v>20</v>
      </c>
    </row>
    <row r="182" spans="1:36">
      <c r="A182" s="1" t="s">
        <v>644</v>
      </c>
      <c r="B182" s="1" t="s">
        <v>2611</v>
      </c>
      <c r="C182" s="1" t="s">
        <v>2610</v>
      </c>
      <c r="D182" s="11" t="s">
        <v>72</v>
      </c>
      <c r="E182" s="10">
        <f>SUMIFS(IsQList,IsIList,Table_ExternalData_15[[#This Row],[item_key]],IsITypeList,Table_ExternalData_15[[#This Row],[IType]],IsDList,Table_ExternalData_15[[#Headers],[1]])</f>
        <v>0</v>
      </c>
      <c r="F182" s="10">
        <f>SUMIFS(IsQList,IsIList,Table_ExternalData_15[[#This Row],[item_key]],IsITypeList,Table_ExternalData_15[[#This Row],[IType]],IsDList,Table_ExternalData_15[[#Headers],[2]])</f>
        <v>0</v>
      </c>
      <c r="G182" s="10">
        <f>SUMIFS(IsQList,IsIList,Table_ExternalData_15[[#This Row],[item_key]],IsITypeList,Table_ExternalData_15[[#This Row],[IType]],IsDList,Table_ExternalData_15[[#Headers],[3]])</f>
        <v>0</v>
      </c>
      <c r="H182" s="10">
        <f>SUMIFS(IsQList,IsIList,Table_ExternalData_15[[#This Row],[item_key]],IsITypeList,Table_ExternalData_15[[#This Row],[IType]],IsDList,Table_ExternalData_15[[#Headers],[4]])</f>
        <v>0</v>
      </c>
      <c r="I182" s="10">
        <f>SUMIFS(IsQList,IsIList,Table_ExternalData_15[[#This Row],[item_key]],IsITypeList,Table_ExternalData_15[[#This Row],[IType]],IsDList,Table_ExternalData_15[[#Headers],[5]])</f>
        <v>0</v>
      </c>
      <c r="J182" s="10">
        <f>SUMIFS(IsQList,IsIList,Table_ExternalData_15[[#This Row],[item_key]],IsITypeList,Table_ExternalData_15[[#This Row],[IType]],IsDList,Table_ExternalData_15[[#Headers],[6]])</f>
        <v>0</v>
      </c>
      <c r="K182" s="10">
        <f>SUMIFS(IsQList,IsIList,Table_ExternalData_15[[#This Row],[item_key]],IsITypeList,Table_ExternalData_15[[#This Row],[IType]],IsDList,Table_ExternalData_15[[#Headers],[7]])</f>
        <v>0</v>
      </c>
      <c r="L182" s="10">
        <f>SUMIFS(IsQList,IsIList,Table_ExternalData_15[[#This Row],[item_key]],IsITypeList,Table_ExternalData_15[[#This Row],[IType]],IsDList,Table_ExternalData_15[[#Headers],[8]])</f>
        <v>0</v>
      </c>
      <c r="M182" s="10">
        <f>SUMIFS(IsQList,IsIList,Table_ExternalData_15[[#This Row],[item_key]],IsITypeList,Table_ExternalData_15[[#This Row],[IType]],IsDList,Table_ExternalData_15[[#Headers],[9]])</f>
        <v>0</v>
      </c>
      <c r="N182" s="10">
        <f>SUMIFS(IsQList,IsIList,Table_ExternalData_15[[#This Row],[item_key]],IsITypeList,Table_ExternalData_15[[#This Row],[IType]],IsDList,Table_ExternalData_15[[#Headers],[10]])</f>
        <v>0</v>
      </c>
      <c r="O182" s="10">
        <f>SUMIFS(IsQList,IsIList,Table_ExternalData_15[[#This Row],[item_key]],IsITypeList,Table_ExternalData_15[[#This Row],[IType]],IsDList,Table_ExternalData_15[[#Headers],[11]])</f>
        <v>0</v>
      </c>
      <c r="P182" s="10">
        <f>SUMIFS(IsQList,IsIList,Table_ExternalData_15[[#This Row],[item_key]],IsITypeList,Table_ExternalData_15[[#This Row],[IType]],IsDList,Table_ExternalData_15[[#Headers],[12]])</f>
        <v>0</v>
      </c>
      <c r="Q182" s="10">
        <f>SUMIFS(IsQList,IsIList,Table_ExternalData_15[[#This Row],[item_key]],IsITypeList,Table_ExternalData_15[[#This Row],[IType]],IsDList,Table_ExternalData_15[[#Headers],[13]])</f>
        <v>0</v>
      </c>
      <c r="R182" s="10">
        <f>SUMIFS(IsQList,IsIList,Table_ExternalData_15[[#This Row],[item_key]],IsITypeList,Table_ExternalData_15[[#This Row],[IType]],IsDList,Table_ExternalData_15[[#Headers],[14]])</f>
        <v>0</v>
      </c>
      <c r="S182" s="10">
        <f>SUMIFS(IsQList,IsIList,Table_ExternalData_15[[#This Row],[item_key]],IsITypeList,Table_ExternalData_15[[#This Row],[IType]],IsDList,Table_ExternalData_15[[#Headers],[15]])</f>
        <v>0</v>
      </c>
      <c r="T182" s="10">
        <f>SUMIFS(IsQList,IsIList,Table_ExternalData_15[[#This Row],[item_key]],IsITypeList,Table_ExternalData_15[[#This Row],[IType]],IsDList,Table_ExternalData_15[[#Headers],[16]])</f>
        <v>0</v>
      </c>
      <c r="U182" s="10">
        <f>SUMIFS(IsQList,IsIList,Table_ExternalData_15[[#This Row],[item_key]],IsITypeList,Table_ExternalData_15[[#This Row],[IType]],IsDList,Table_ExternalData_15[[#Headers],[17]])</f>
        <v>0</v>
      </c>
      <c r="V182" s="10">
        <f>SUMIFS(IsQList,IsIList,Table_ExternalData_15[[#This Row],[item_key]],IsITypeList,Table_ExternalData_15[[#This Row],[IType]],IsDList,Table_ExternalData_15[[#Headers],[18]])</f>
        <v>0</v>
      </c>
      <c r="W182" s="10">
        <f>SUMIFS(IsQList,IsIList,Table_ExternalData_15[[#This Row],[item_key]],IsITypeList,Table_ExternalData_15[[#This Row],[IType]],IsDList,Table_ExternalData_15[[#Headers],[19]])</f>
        <v>0</v>
      </c>
      <c r="X182" s="10">
        <f>SUMIFS(IsQList,IsIList,Table_ExternalData_15[[#This Row],[item_key]],IsITypeList,Table_ExternalData_15[[#This Row],[IType]],IsDList,Table_ExternalData_15[[#Headers],[20]])</f>
        <v>0</v>
      </c>
      <c r="Y182" s="10">
        <f>SUMIFS(IsQList,IsIList,Table_ExternalData_15[[#This Row],[item_key]],IsITypeList,Table_ExternalData_15[[#This Row],[IType]],IsDList,Table_ExternalData_15[[#Headers],[21]])</f>
        <v>0</v>
      </c>
      <c r="Z182" s="10">
        <f>SUMIFS(IsQList,IsIList,Table_ExternalData_15[[#This Row],[item_key]],IsITypeList,Table_ExternalData_15[[#This Row],[IType]],IsDList,Table_ExternalData_15[[#Headers],[22]])</f>
        <v>0</v>
      </c>
      <c r="AA182" s="10">
        <f>SUMIFS(IsQList,IsIList,Table_ExternalData_15[[#This Row],[item_key]],IsITypeList,Table_ExternalData_15[[#This Row],[IType]],IsDList,Table_ExternalData_15[[#Headers],[23]])</f>
        <v>0</v>
      </c>
      <c r="AB182" s="10">
        <f>SUMIFS(IsQList,IsIList,Table_ExternalData_15[[#This Row],[item_key]],IsITypeList,Table_ExternalData_15[[#This Row],[IType]],IsDList,Table_ExternalData_15[[#Headers],[24]])</f>
        <v>0</v>
      </c>
      <c r="AC182" s="10">
        <f>SUMIFS(IsQList,IsIList,Table_ExternalData_15[[#This Row],[item_key]],IsITypeList,Table_ExternalData_15[[#This Row],[IType]],IsDList,Table_ExternalData_15[[#Headers],[25]])</f>
        <v>0</v>
      </c>
      <c r="AD182" s="10">
        <f>SUMIFS(IsQList,IsIList,Table_ExternalData_15[[#This Row],[item_key]],IsITypeList,Table_ExternalData_15[[#This Row],[IType]],IsDList,Table_ExternalData_15[[#Headers],[26]])</f>
        <v>0</v>
      </c>
      <c r="AE182" s="10">
        <f>SUMIFS(IsQList,IsIList,Table_ExternalData_15[[#This Row],[item_key]],IsITypeList,Table_ExternalData_15[[#This Row],[IType]],IsDList,Table_ExternalData_15[[#Headers],[27]])</f>
        <v>0</v>
      </c>
      <c r="AF182" s="10">
        <f>SUMIFS(IsQList,IsIList,Table_ExternalData_15[[#This Row],[item_key]],IsITypeList,Table_ExternalData_15[[#This Row],[IType]],IsDList,Table_ExternalData_15[[#Headers],[28]])</f>
        <v>0</v>
      </c>
      <c r="AG182" s="10">
        <f>SUMIFS(IsQList,IsIList,Table_ExternalData_15[[#This Row],[item_key]],IsITypeList,Table_ExternalData_15[[#This Row],[IType]],IsDList,Table_ExternalData_15[[#Headers],[29]])</f>
        <v>0</v>
      </c>
      <c r="AH182" s="10">
        <f>SUMIFS(IsQList,IsIList,Table_ExternalData_15[[#This Row],[item_key]],IsITypeList,Table_ExternalData_15[[#This Row],[IType]],IsDList,Table_ExternalData_15[[#Headers],[30]])</f>
        <v>0</v>
      </c>
      <c r="AI182" s="10">
        <f>SUMIFS(IsQList,IsIList,Table_ExternalData_15[[#This Row],[item_key]],IsITypeList,Table_ExternalData_15[[#This Row],[IType]],IsDList,Table_ExternalData_15[[#Headers],[31]])</f>
        <v>0</v>
      </c>
      <c r="AJ182" s="10">
        <f>SUM(Table_ExternalData_15[[#This Row],[1]:[31]])</f>
        <v>0</v>
      </c>
    </row>
    <row r="183" spans="1:36">
      <c r="A183" s="1" t="s">
        <v>647</v>
      </c>
      <c r="B183" s="1" t="s">
        <v>1345</v>
      </c>
      <c r="C183" s="1" t="s">
        <v>1346</v>
      </c>
      <c r="D183" s="11" t="s">
        <v>72</v>
      </c>
      <c r="E183" s="10">
        <f>SUMIFS(IsQList,IsIList,Table_ExternalData_15[[#This Row],[item_key]],IsITypeList,Table_ExternalData_15[[#This Row],[IType]],IsDList,Table_ExternalData_15[[#Headers],[1]])</f>
        <v>0</v>
      </c>
      <c r="F183" s="10">
        <f>SUMIFS(IsQList,IsIList,Table_ExternalData_15[[#This Row],[item_key]],IsITypeList,Table_ExternalData_15[[#This Row],[IType]],IsDList,Table_ExternalData_15[[#Headers],[2]])</f>
        <v>0</v>
      </c>
      <c r="G183" s="10">
        <f>SUMIFS(IsQList,IsIList,Table_ExternalData_15[[#This Row],[item_key]],IsITypeList,Table_ExternalData_15[[#This Row],[IType]],IsDList,Table_ExternalData_15[[#Headers],[3]])</f>
        <v>0</v>
      </c>
      <c r="H183" s="10">
        <f>SUMIFS(IsQList,IsIList,Table_ExternalData_15[[#This Row],[item_key]],IsITypeList,Table_ExternalData_15[[#This Row],[IType]],IsDList,Table_ExternalData_15[[#Headers],[4]])</f>
        <v>0</v>
      </c>
      <c r="I183" s="10">
        <f>SUMIFS(IsQList,IsIList,Table_ExternalData_15[[#This Row],[item_key]],IsITypeList,Table_ExternalData_15[[#This Row],[IType]],IsDList,Table_ExternalData_15[[#Headers],[5]])</f>
        <v>0</v>
      </c>
      <c r="J183" s="10">
        <f>SUMIFS(IsQList,IsIList,Table_ExternalData_15[[#This Row],[item_key]],IsITypeList,Table_ExternalData_15[[#This Row],[IType]],IsDList,Table_ExternalData_15[[#Headers],[6]])</f>
        <v>0</v>
      </c>
      <c r="K183" s="10">
        <f>SUMIFS(IsQList,IsIList,Table_ExternalData_15[[#This Row],[item_key]],IsITypeList,Table_ExternalData_15[[#This Row],[IType]],IsDList,Table_ExternalData_15[[#Headers],[7]])</f>
        <v>0</v>
      </c>
      <c r="L183" s="10">
        <f>SUMIFS(IsQList,IsIList,Table_ExternalData_15[[#This Row],[item_key]],IsITypeList,Table_ExternalData_15[[#This Row],[IType]],IsDList,Table_ExternalData_15[[#Headers],[8]])</f>
        <v>0</v>
      </c>
      <c r="M183" s="10">
        <f>SUMIFS(IsQList,IsIList,Table_ExternalData_15[[#This Row],[item_key]],IsITypeList,Table_ExternalData_15[[#This Row],[IType]],IsDList,Table_ExternalData_15[[#Headers],[9]])</f>
        <v>0</v>
      </c>
      <c r="N183" s="10">
        <f>SUMIFS(IsQList,IsIList,Table_ExternalData_15[[#This Row],[item_key]],IsITypeList,Table_ExternalData_15[[#This Row],[IType]],IsDList,Table_ExternalData_15[[#Headers],[10]])</f>
        <v>0</v>
      </c>
      <c r="O183" s="10">
        <f>SUMIFS(IsQList,IsIList,Table_ExternalData_15[[#This Row],[item_key]],IsITypeList,Table_ExternalData_15[[#This Row],[IType]],IsDList,Table_ExternalData_15[[#Headers],[11]])</f>
        <v>0</v>
      </c>
      <c r="P183" s="10">
        <f>SUMIFS(IsQList,IsIList,Table_ExternalData_15[[#This Row],[item_key]],IsITypeList,Table_ExternalData_15[[#This Row],[IType]],IsDList,Table_ExternalData_15[[#Headers],[12]])</f>
        <v>0</v>
      </c>
      <c r="Q183" s="10">
        <f>SUMIFS(IsQList,IsIList,Table_ExternalData_15[[#This Row],[item_key]],IsITypeList,Table_ExternalData_15[[#This Row],[IType]],IsDList,Table_ExternalData_15[[#Headers],[13]])</f>
        <v>0</v>
      </c>
      <c r="R183" s="10">
        <f>SUMIFS(IsQList,IsIList,Table_ExternalData_15[[#This Row],[item_key]],IsITypeList,Table_ExternalData_15[[#This Row],[IType]],IsDList,Table_ExternalData_15[[#Headers],[14]])</f>
        <v>0</v>
      </c>
      <c r="S183" s="10">
        <f>SUMIFS(IsQList,IsIList,Table_ExternalData_15[[#This Row],[item_key]],IsITypeList,Table_ExternalData_15[[#This Row],[IType]],IsDList,Table_ExternalData_15[[#Headers],[15]])</f>
        <v>0</v>
      </c>
      <c r="T183" s="10">
        <f>SUMIFS(IsQList,IsIList,Table_ExternalData_15[[#This Row],[item_key]],IsITypeList,Table_ExternalData_15[[#This Row],[IType]],IsDList,Table_ExternalData_15[[#Headers],[16]])</f>
        <v>4</v>
      </c>
      <c r="U183" s="10">
        <f>SUMIFS(IsQList,IsIList,Table_ExternalData_15[[#This Row],[item_key]],IsITypeList,Table_ExternalData_15[[#This Row],[IType]],IsDList,Table_ExternalData_15[[#Headers],[17]])</f>
        <v>0</v>
      </c>
      <c r="V183" s="10">
        <f>SUMIFS(IsQList,IsIList,Table_ExternalData_15[[#This Row],[item_key]],IsITypeList,Table_ExternalData_15[[#This Row],[IType]],IsDList,Table_ExternalData_15[[#Headers],[18]])</f>
        <v>0</v>
      </c>
      <c r="W183" s="10">
        <f>SUMIFS(IsQList,IsIList,Table_ExternalData_15[[#This Row],[item_key]],IsITypeList,Table_ExternalData_15[[#This Row],[IType]],IsDList,Table_ExternalData_15[[#Headers],[19]])</f>
        <v>0</v>
      </c>
      <c r="X183" s="10">
        <f>SUMIFS(IsQList,IsIList,Table_ExternalData_15[[#This Row],[item_key]],IsITypeList,Table_ExternalData_15[[#This Row],[IType]],IsDList,Table_ExternalData_15[[#Headers],[20]])</f>
        <v>0</v>
      </c>
      <c r="Y183" s="10">
        <f>SUMIFS(IsQList,IsIList,Table_ExternalData_15[[#This Row],[item_key]],IsITypeList,Table_ExternalData_15[[#This Row],[IType]],IsDList,Table_ExternalData_15[[#Headers],[21]])</f>
        <v>0</v>
      </c>
      <c r="Z183" s="10">
        <f>SUMIFS(IsQList,IsIList,Table_ExternalData_15[[#This Row],[item_key]],IsITypeList,Table_ExternalData_15[[#This Row],[IType]],IsDList,Table_ExternalData_15[[#Headers],[22]])</f>
        <v>0</v>
      </c>
      <c r="AA183" s="10">
        <f>SUMIFS(IsQList,IsIList,Table_ExternalData_15[[#This Row],[item_key]],IsITypeList,Table_ExternalData_15[[#This Row],[IType]],IsDList,Table_ExternalData_15[[#Headers],[23]])</f>
        <v>0</v>
      </c>
      <c r="AB183" s="10">
        <f>SUMIFS(IsQList,IsIList,Table_ExternalData_15[[#This Row],[item_key]],IsITypeList,Table_ExternalData_15[[#This Row],[IType]],IsDList,Table_ExternalData_15[[#Headers],[24]])</f>
        <v>0</v>
      </c>
      <c r="AC183" s="10">
        <f>SUMIFS(IsQList,IsIList,Table_ExternalData_15[[#This Row],[item_key]],IsITypeList,Table_ExternalData_15[[#This Row],[IType]],IsDList,Table_ExternalData_15[[#Headers],[25]])</f>
        <v>0</v>
      </c>
      <c r="AD183" s="10">
        <f>SUMIFS(IsQList,IsIList,Table_ExternalData_15[[#This Row],[item_key]],IsITypeList,Table_ExternalData_15[[#This Row],[IType]],IsDList,Table_ExternalData_15[[#Headers],[26]])</f>
        <v>0</v>
      </c>
      <c r="AE183" s="10">
        <f>SUMIFS(IsQList,IsIList,Table_ExternalData_15[[#This Row],[item_key]],IsITypeList,Table_ExternalData_15[[#This Row],[IType]],IsDList,Table_ExternalData_15[[#Headers],[27]])</f>
        <v>0</v>
      </c>
      <c r="AF183" s="10">
        <f>SUMIFS(IsQList,IsIList,Table_ExternalData_15[[#This Row],[item_key]],IsITypeList,Table_ExternalData_15[[#This Row],[IType]],IsDList,Table_ExternalData_15[[#Headers],[28]])</f>
        <v>0</v>
      </c>
      <c r="AG183" s="10">
        <f>SUMIFS(IsQList,IsIList,Table_ExternalData_15[[#This Row],[item_key]],IsITypeList,Table_ExternalData_15[[#This Row],[IType]],IsDList,Table_ExternalData_15[[#Headers],[29]])</f>
        <v>0</v>
      </c>
      <c r="AH183" s="10">
        <f>SUMIFS(IsQList,IsIList,Table_ExternalData_15[[#This Row],[item_key]],IsITypeList,Table_ExternalData_15[[#This Row],[IType]],IsDList,Table_ExternalData_15[[#Headers],[30]])</f>
        <v>10</v>
      </c>
      <c r="AI183" s="10">
        <f>SUMIFS(IsQList,IsIList,Table_ExternalData_15[[#This Row],[item_key]],IsITypeList,Table_ExternalData_15[[#This Row],[IType]],IsDList,Table_ExternalData_15[[#Headers],[31]])</f>
        <v>0</v>
      </c>
      <c r="AJ183" s="10">
        <f>SUM(Table_ExternalData_15[[#This Row],[1]:[31]])</f>
        <v>14</v>
      </c>
    </row>
    <row r="184" spans="1:36">
      <c r="A184" s="1" t="s">
        <v>648</v>
      </c>
      <c r="B184" s="1" t="s">
        <v>2612</v>
      </c>
      <c r="C184" s="1" t="s">
        <v>2613</v>
      </c>
      <c r="D184" s="11" t="s">
        <v>72</v>
      </c>
      <c r="E184" s="10">
        <f>SUMIFS(IsQList,IsIList,Table_ExternalData_15[[#This Row],[item_key]],IsITypeList,Table_ExternalData_15[[#This Row],[IType]],IsDList,Table_ExternalData_15[[#Headers],[1]])</f>
        <v>0</v>
      </c>
      <c r="F184" s="10">
        <f>SUMIFS(IsQList,IsIList,Table_ExternalData_15[[#This Row],[item_key]],IsITypeList,Table_ExternalData_15[[#This Row],[IType]],IsDList,Table_ExternalData_15[[#Headers],[2]])</f>
        <v>0</v>
      </c>
      <c r="G184" s="10">
        <f>SUMIFS(IsQList,IsIList,Table_ExternalData_15[[#This Row],[item_key]],IsITypeList,Table_ExternalData_15[[#This Row],[IType]],IsDList,Table_ExternalData_15[[#Headers],[3]])</f>
        <v>0</v>
      </c>
      <c r="H184" s="10">
        <f>SUMIFS(IsQList,IsIList,Table_ExternalData_15[[#This Row],[item_key]],IsITypeList,Table_ExternalData_15[[#This Row],[IType]],IsDList,Table_ExternalData_15[[#Headers],[4]])</f>
        <v>0</v>
      </c>
      <c r="I184" s="10">
        <f>SUMIFS(IsQList,IsIList,Table_ExternalData_15[[#This Row],[item_key]],IsITypeList,Table_ExternalData_15[[#This Row],[IType]],IsDList,Table_ExternalData_15[[#Headers],[5]])</f>
        <v>0</v>
      </c>
      <c r="J184" s="10">
        <f>SUMIFS(IsQList,IsIList,Table_ExternalData_15[[#This Row],[item_key]],IsITypeList,Table_ExternalData_15[[#This Row],[IType]],IsDList,Table_ExternalData_15[[#Headers],[6]])</f>
        <v>0</v>
      </c>
      <c r="K184" s="10">
        <f>SUMIFS(IsQList,IsIList,Table_ExternalData_15[[#This Row],[item_key]],IsITypeList,Table_ExternalData_15[[#This Row],[IType]],IsDList,Table_ExternalData_15[[#Headers],[7]])</f>
        <v>0</v>
      </c>
      <c r="L184" s="10">
        <f>SUMIFS(IsQList,IsIList,Table_ExternalData_15[[#This Row],[item_key]],IsITypeList,Table_ExternalData_15[[#This Row],[IType]],IsDList,Table_ExternalData_15[[#Headers],[8]])</f>
        <v>0</v>
      </c>
      <c r="M184" s="10">
        <f>SUMIFS(IsQList,IsIList,Table_ExternalData_15[[#This Row],[item_key]],IsITypeList,Table_ExternalData_15[[#This Row],[IType]],IsDList,Table_ExternalData_15[[#Headers],[9]])</f>
        <v>0</v>
      </c>
      <c r="N184" s="10">
        <f>SUMIFS(IsQList,IsIList,Table_ExternalData_15[[#This Row],[item_key]],IsITypeList,Table_ExternalData_15[[#This Row],[IType]],IsDList,Table_ExternalData_15[[#Headers],[10]])</f>
        <v>0</v>
      </c>
      <c r="O184" s="10">
        <f>SUMIFS(IsQList,IsIList,Table_ExternalData_15[[#This Row],[item_key]],IsITypeList,Table_ExternalData_15[[#This Row],[IType]],IsDList,Table_ExternalData_15[[#Headers],[11]])</f>
        <v>0</v>
      </c>
      <c r="P184" s="10">
        <f>SUMIFS(IsQList,IsIList,Table_ExternalData_15[[#This Row],[item_key]],IsITypeList,Table_ExternalData_15[[#This Row],[IType]],IsDList,Table_ExternalData_15[[#Headers],[12]])</f>
        <v>0</v>
      </c>
      <c r="Q184" s="10">
        <f>SUMIFS(IsQList,IsIList,Table_ExternalData_15[[#This Row],[item_key]],IsITypeList,Table_ExternalData_15[[#This Row],[IType]],IsDList,Table_ExternalData_15[[#Headers],[13]])</f>
        <v>0</v>
      </c>
      <c r="R184" s="10">
        <f>SUMIFS(IsQList,IsIList,Table_ExternalData_15[[#This Row],[item_key]],IsITypeList,Table_ExternalData_15[[#This Row],[IType]],IsDList,Table_ExternalData_15[[#Headers],[14]])</f>
        <v>0</v>
      </c>
      <c r="S184" s="10">
        <f>SUMIFS(IsQList,IsIList,Table_ExternalData_15[[#This Row],[item_key]],IsITypeList,Table_ExternalData_15[[#This Row],[IType]],IsDList,Table_ExternalData_15[[#Headers],[15]])</f>
        <v>0</v>
      </c>
      <c r="T184" s="10">
        <f>SUMIFS(IsQList,IsIList,Table_ExternalData_15[[#This Row],[item_key]],IsITypeList,Table_ExternalData_15[[#This Row],[IType]],IsDList,Table_ExternalData_15[[#Headers],[16]])</f>
        <v>4</v>
      </c>
      <c r="U184" s="10">
        <f>SUMIFS(IsQList,IsIList,Table_ExternalData_15[[#This Row],[item_key]],IsITypeList,Table_ExternalData_15[[#This Row],[IType]],IsDList,Table_ExternalData_15[[#Headers],[17]])</f>
        <v>0</v>
      </c>
      <c r="V184" s="10">
        <f>SUMIFS(IsQList,IsIList,Table_ExternalData_15[[#This Row],[item_key]],IsITypeList,Table_ExternalData_15[[#This Row],[IType]],IsDList,Table_ExternalData_15[[#Headers],[18]])</f>
        <v>0</v>
      </c>
      <c r="W184" s="10">
        <f>SUMIFS(IsQList,IsIList,Table_ExternalData_15[[#This Row],[item_key]],IsITypeList,Table_ExternalData_15[[#This Row],[IType]],IsDList,Table_ExternalData_15[[#Headers],[19]])</f>
        <v>0</v>
      </c>
      <c r="X184" s="10">
        <f>SUMIFS(IsQList,IsIList,Table_ExternalData_15[[#This Row],[item_key]],IsITypeList,Table_ExternalData_15[[#This Row],[IType]],IsDList,Table_ExternalData_15[[#Headers],[20]])</f>
        <v>0</v>
      </c>
      <c r="Y184" s="10">
        <f>SUMIFS(IsQList,IsIList,Table_ExternalData_15[[#This Row],[item_key]],IsITypeList,Table_ExternalData_15[[#This Row],[IType]],IsDList,Table_ExternalData_15[[#Headers],[21]])</f>
        <v>0</v>
      </c>
      <c r="Z184" s="10">
        <f>SUMIFS(IsQList,IsIList,Table_ExternalData_15[[#This Row],[item_key]],IsITypeList,Table_ExternalData_15[[#This Row],[IType]],IsDList,Table_ExternalData_15[[#Headers],[22]])</f>
        <v>0</v>
      </c>
      <c r="AA184" s="10">
        <f>SUMIFS(IsQList,IsIList,Table_ExternalData_15[[#This Row],[item_key]],IsITypeList,Table_ExternalData_15[[#This Row],[IType]],IsDList,Table_ExternalData_15[[#Headers],[23]])</f>
        <v>0</v>
      </c>
      <c r="AB184" s="10">
        <f>SUMIFS(IsQList,IsIList,Table_ExternalData_15[[#This Row],[item_key]],IsITypeList,Table_ExternalData_15[[#This Row],[IType]],IsDList,Table_ExternalData_15[[#Headers],[24]])</f>
        <v>20</v>
      </c>
      <c r="AC184" s="10">
        <f>SUMIFS(IsQList,IsIList,Table_ExternalData_15[[#This Row],[item_key]],IsITypeList,Table_ExternalData_15[[#This Row],[IType]],IsDList,Table_ExternalData_15[[#Headers],[25]])</f>
        <v>0</v>
      </c>
      <c r="AD184" s="10">
        <f>SUMIFS(IsQList,IsIList,Table_ExternalData_15[[#This Row],[item_key]],IsITypeList,Table_ExternalData_15[[#This Row],[IType]],IsDList,Table_ExternalData_15[[#Headers],[26]])</f>
        <v>0</v>
      </c>
      <c r="AE184" s="10">
        <f>SUMIFS(IsQList,IsIList,Table_ExternalData_15[[#This Row],[item_key]],IsITypeList,Table_ExternalData_15[[#This Row],[IType]],IsDList,Table_ExternalData_15[[#Headers],[27]])</f>
        <v>0</v>
      </c>
      <c r="AF184" s="10">
        <f>SUMIFS(IsQList,IsIList,Table_ExternalData_15[[#This Row],[item_key]],IsITypeList,Table_ExternalData_15[[#This Row],[IType]],IsDList,Table_ExternalData_15[[#Headers],[28]])</f>
        <v>0</v>
      </c>
      <c r="AG184" s="10">
        <f>SUMIFS(IsQList,IsIList,Table_ExternalData_15[[#This Row],[item_key]],IsITypeList,Table_ExternalData_15[[#This Row],[IType]],IsDList,Table_ExternalData_15[[#Headers],[29]])</f>
        <v>0</v>
      </c>
      <c r="AH184" s="10">
        <f>SUMIFS(IsQList,IsIList,Table_ExternalData_15[[#This Row],[item_key]],IsITypeList,Table_ExternalData_15[[#This Row],[IType]],IsDList,Table_ExternalData_15[[#Headers],[30]])</f>
        <v>65</v>
      </c>
      <c r="AI184" s="10">
        <f>SUMIFS(IsQList,IsIList,Table_ExternalData_15[[#This Row],[item_key]],IsITypeList,Table_ExternalData_15[[#This Row],[IType]],IsDList,Table_ExternalData_15[[#Headers],[31]])</f>
        <v>0</v>
      </c>
      <c r="AJ184" s="10">
        <f>SUM(Table_ExternalData_15[[#This Row],[1]:[31]])</f>
        <v>89</v>
      </c>
    </row>
    <row r="185" spans="1:36">
      <c r="A185" s="1" t="s">
        <v>649</v>
      </c>
      <c r="B185" s="1" t="s">
        <v>2614</v>
      </c>
      <c r="C185" s="1" t="s">
        <v>2615</v>
      </c>
      <c r="D185" s="11" t="s">
        <v>72</v>
      </c>
      <c r="E185" s="10">
        <f>SUMIFS(IsQList,IsIList,Table_ExternalData_15[[#This Row],[item_key]],IsITypeList,Table_ExternalData_15[[#This Row],[IType]],IsDList,Table_ExternalData_15[[#Headers],[1]])</f>
        <v>0</v>
      </c>
      <c r="F185" s="10">
        <f>SUMIFS(IsQList,IsIList,Table_ExternalData_15[[#This Row],[item_key]],IsITypeList,Table_ExternalData_15[[#This Row],[IType]],IsDList,Table_ExternalData_15[[#Headers],[2]])</f>
        <v>0</v>
      </c>
      <c r="G185" s="10">
        <f>SUMIFS(IsQList,IsIList,Table_ExternalData_15[[#This Row],[item_key]],IsITypeList,Table_ExternalData_15[[#This Row],[IType]],IsDList,Table_ExternalData_15[[#Headers],[3]])</f>
        <v>0</v>
      </c>
      <c r="H185" s="10">
        <f>SUMIFS(IsQList,IsIList,Table_ExternalData_15[[#This Row],[item_key]],IsITypeList,Table_ExternalData_15[[#This Row],[IType]],IsDList,Table_ExternalData_15[[#Headers],[4]])</f>
        <v>0</v>
      </c>
      <c r="I185" s="10">
        <f>SUMIFS(IsQList,IsIList,Table_ExternalData_15[[#This Row],[item_key]],IsITypeList,Table_ExternalData_15[[#This Row],[IType]],IsDList,Table_ExternalData_15[[#Headers],[5]])</f>
        <v>0</v>
      </c>
      <c r="J185" s="10">
        <f>SUMIFS(IsQList,IsIList,Table_ExternalData_15[[#This Row],[item_key]],IsITypeList,Table_ExternalData_15[[#This Row],[IType]],IsDList,Table_ExternalData_15[[#Headers],[6]])</f>
        <v>0</v>
      </c>
      <c r="K185" s="10">
        <f>SUMIFS(IsQList,IsIList,Table_ExternalData_15[[#This Row],[item_key]],IsITypeList,Table_ExternalData_15[[#This Row],[IType]],IsDList,Table_ExternalData_15[[#Headers],[7]])</f>
        <v>0</v>
      </c>
      <c r="L185" s="10">
        <f>SUMIFS(IsQList,IsIList,Table_ExternalData_15[[#This Row],[item_key]],IsITypeList,Table_ExternalData_15[[#This Row],[IType]],IsDList,Table_ExternalData_15[[#Headers],[8]])</f>
        <v>0</v>
      </c>
      <c r="M185" s="10">
        <f>SUMIFS(IsQList,IsIList,Table_ExternalData_15[[#This Row],[item_key]],IsITypeList,Table_ExternalData_15[[#This Row],[IType]],IsDList,Table_ExternalData_15[[#Headers],[9]])</f>
        <v>0</v>
      </c>
      <c r="N185" s="10">
        <f>SUMIFS(IsQList,IsIList,Table_ExternalData_15[[#This Row],[item_key]],IsITypeList,Table_ExternalData_15[[#This Row],[IType]],IsDList,Table_ExternalData_15[[#Headers],[10]])</f>
        <v>15</v>
      </c>
      <c r="O185" s="10">
        <f>SUMIFS(IsQList,IsIList,Table_ExternalData_15[[#This Row],[item_key]],IsITypeList,Table_ExternalData_15[[#This Row],[IType]],IsDList,Table_ExternalData_15[[#Headers],[11]])</f>
        <v>0</v>
      </c>
      <c r="P185" s="10">
        <f>SUMIFS(IsQList,IsIList,Table_ExternalData_15[[#This Row],[item_key]],IsITypeList,Table_ExternalData_15[[#This Row],[IType]],IsDList,Table_ExternalData_15[[#Headers],[12]])</f>
        <v>0</v>
      </c>
      <c r="Q185" s="10">
        <f>SUMIFS(IsQList,IsIList,Table_ExternalData_15[[#This Row],[item_key]],IsITypeList,Table_ExternalData_15[[#This Row],[IType]],IsDList,Table_ExternalData_15[[#Headers],[13]])</f>
        <v>0</v>
      </c>
      <c r="R185" s="10">
        <f>SUMIFS(IsQList,IsIList,Table_ExternalData_15[[#This Row],[item_key]],IsITypeList,Table_ExternalData_15[[#This Row],[IType]],IsDList,Table_ExternalData_15[[#Headers],[14]])</f>
        <v>0</v>
      </c>
      <c r="S185" s="10">
        <f>SUMIFS(IsQList,IsIList,Table_ExternalData_15[[#This Row],[item_key]],IsITypeList,Table_ExternalData_15[[#This Row],[IType]],IsDList,Table_ExternalData_15[[#Headers],[15]])</f>
        <v>0</v>
      </c>
      <c r="T185" s="10">
        <f>SUMIFS(IsQList,IsIList,Table_ExternalData_15[[#This Row],[item_key]],IsITypeList,Table_ExternalData_15[[#This Row],[IType]],IsDList,Table_ExternalData_15[[#Headers],[16]])</f>
        <v>4</v>
      </c>
      <c r="U185" s="10">
        <f>SUMIFS(IsQList,IsIList,Table_ExternalData_15[[#This Row],[item_key]],IsITypeList,Table_ExternalData_15[[#This Row],[IType]],IsDList,Table_ExternalData_15[[#Headers],[17]])</f>
        <v>0</v>
      </c>
      <c r="V185" s="10">
        <f>SUMIFS(IsQList,IsIList,Table_ExternalData_15[[#This Row],[item_key]],IsITypeList,Table_ExternalData_15[[#This Row],[IType]],IsDList,Table_ExternalData_15[[#Headers],[18]])</f>
        <v>0</v>
      </c>
      <c r="W185" s="10">
        <f>SUMIFS(IsQList,IsIList,Table_ExternalData_15[[#This Row],[item_key]],IsITypeList,Table_ExternalData_15[[#This Row],[IType]],IsDList,Table_ExternalData_15[[#Headers],[19]])</f>
        <v>0</v>
      </c>
      <c r="X185" s="10">
        <f>SUMIFS(IsQList,IsIList,Table_ExternalData_15[[#This Row],[item_key]],IsITypeList,Table_ExternalData_15[[#This Row],[IType]],IsDList,Table_ExternalData_15[[#Headers],[20]])</f>
        <v>0</v>
      </c>
      <c r="Y185" s="10">
        <f>SUMIFS(IsQList,IsIList,Table_ExternalData_15[[#This Row],[item_key]],IsITypeList,Table_ExternalData_15[[#This Row],[IType]],IsDList,Table_ExternalData_15[[#Headers],[21]])</f>
        <v>0</v>
      </c>
      <c r="Z185" s="10">
        <f>SUMIFS(IsQList,IsIList,Table_ExternalData_15[[#This Row],[item_key]],IsITypeList,Table_ExternalData_15[[#This Row],[IType]],IsDList,Table_ExternalData_15[[#Headers],[22]])</f>
        <v>0</v>
      </c>
      <c r="AA185" s="10">
        <f>SUMIFS(IsQList,IsIList,Table_ExternalData_15[[#This Row],[item_key]],IsITypeList,Table_ExternalData_15[[#This Row],[IType]],IsDList,Table_ExternalData_15[[#Headers],[23]])</f>
        <v>0</v>
      </c>
      <c r="AB185" s="10">
        <f>SUMIFS(IsQList,IsIList,Table_ExternalData_15[[#This Row],[item_key]],IsITypeList,Table_ExternalData_15[[#This Row],[IType]],IsDList,Table_ExternalData_15[[#Headers],[24]])</f>
        <v>20</v>
      </c>
      <c r="AC185" s="10">
        <f>SUMIFS(IsQList,IsIList,Table_ExternalData_15[[#This Row],[item_key]],IsITypeList,Table_ExternalData_15[[#This Row],[IType]],IsDList,Table_ExternalData_15[[#Headers],[25]])</f>
        <v>0</v>
      </c>
      <c r="AD185" s="10">
        <f>SUMIFS(IsQList,IsIList,Table_ExternalData_15[[#This Row],[item_key]],IsITypeList,Table_ExternalData_15[[#This Row],[IType]],IsDList,Table_ExternalData_15[[#Headers],[26]])</f>
        <v>0</v>
      </c>
      <c r="AE185" s="10">
        <f>SUMIFS(IsQList,IsIList,Table_ExternalData_15[[#This Row],[item_key]],IsITypeList,Table_ExternalData_15[[#This Row],[IType]],IsDList,Table_ExternalData_15[[#Headers],[27]])</f>
        <v>0</v>
      </c>
      <c r="AF185" s="10">
        <f>SUMIFS(IsQList,IsIList,Table_ExternalData_15[[#This Row],[item_key]],IsITypeList,Table_ExternalData_15[[#This Row],[IType]],IsDList,Table_ExternalData_15[[#Headers],[28]])</f>
        <v>0</v>
      </c>
      <c r="AG185" s="10">
        <f>SUMIFS(IsQList,IsIList,Table_ExternalData_15[[#This Row],[item_key]],IsITypeList,Table_ExternalData_15[[#This Row],[IType]],IsDList,Table_ExternalData_15[[#Headers],[29]])</f>
        <v>0</v>
      </c>
      <c r="AH185" s="10">
        <f>SUMIFS(IsQList,IsIList,Table_ExternalData_15[[#This Row],[item_key]],IsITypeList,Table_ExternalData_15[[#This Row],[IType]],IsDList,Table_ExternalData_15[[#Headers],[30]])</f>
        <v>85</v>
      </c>
      <c r="AI185" s="10">
        <f>SUMIFS(IsQList,IsIList,Table_ExternalData_15[[#This Row],[item_key]],IsITypeList,Table_ExternalData_15[[#This Row],[IType]],IsDList,Table_ExternalData_15[[#Headers],[31]])</f>
        <v>0</v>
      </c>
      <c r="AJ185" s="10">
        <f>SUM(Table_ExternalData_15[[#This Row],[1]:[31]])</f>
        <v>124</v>
      </c>
    </row>
    <row r="186" spans="1:36">
      <c r="A186" s="1" t="s">
        <v>650</v>
      </c>
      <c r="B186" s="1" t="s">
        <v>1347</v>
      </c>
      <c r="C186" s="1" t="s">
        <v>1348</v>
      </c>
      <c r="D186" s="11" t="s">
        <v>72</v>
      </c>
      <c r="E186" s="10">
        <f>SUMIFS(IsQList,IsIList,Table_ExternalData_15[[#This Row],[item_key]],IsITypeList,Table_ExternalData_15[[#This Row],[IType]],IsDList,Table_ExternalData_15[[#Headers],[1]])</f>
        <v>0</v>
      </c>
      <c r="F186" s="10">
        <f>SUMIFS(IsQList,IsIList,Table_ExternalData_15[[#This Row],[item_key]],IsITypeList,Table_ExternalData_15[[#This Row],[IType]],IsDList,Table_ExternalData_15[[#Headers],[2]])</f>
        <v>0</v>
      </c>
      <c r="G186" s="10">
        <f>SUMIFS(IsQList,IsIList,Table_ExternalData_15[[#This Row],[item_key]],IsITypeList,Table_ExternalData_15[[#This Row],[IType]],IsDList,Table_ExternalData_15[[#Headers],[3]])</f>
        <v>0</v>
      </c>
      <c r="H186" s="10">
        <f>SUMIFS(IsQList,IsIList,Table_ExternalData_15[[#This Row],[item_key]],IsITypeList,Table_ExternalData_15[[#This Row],[IType]],IsDList,Table_ExternalData_15[[#Headers],[4]])</f>
        <v>0</v>
      </c>
      <c r="I186" s="10">
        <f>SUMIFS(IsQList,IsIList,Table_ExternalData_15[[#This Row],[item_key]],IsITypeList,Table_ExternalData_15[[#This Row],[IType]],IsDList,Table_ExternalData_15[[#Headers],[5]])</f>
        <v>0</v>
      </c>
      <c r="J186" s="10">
        <f>SUMIFS(IsQList,IsIList,Table_ExternalData_15[[#This Row],[item_key]],IsITypeList,Table_ExternalData_15[[#This Row],[IType]],IsDList,Table_ExternalData_15[[#Headers],[6]])</f>
        <v>0</v>
      </c>
      <c r="K186" s="10">
        <f>SUMIFS(IsQList,IsIList,Table_ExternalData_15[[#This Row],[item_key]],IsITypeList,Table_ExternalData_15[[#This Row],[IType]],IsDList,Table_ExternalData_15[[#Headers],[7]])</f>
        <v>0</v>
      </c>
      <c r="L186" s="10">
        <f>SUMIFS(IsQList,IsIList,Table_ExternalData_15[[#This Row],[item_key]],IsITypeList,Table_ExternalData_15[[#This Row],[IType]],IsDList,Table_ExternalData_15[[#Headers],[8]])</f>
        <v>0</v>
      </c>
      <c r="M186" s="10">
        <f>SUMIFS(IsQList,IsIList,Table_ExternalData_15[[#This Row],[item_key]],IsITypeList,Table_ExternalData_15[[#This Row],[IType]],IsDList,Table_ExternalData_15[[#Headers],[9]])</f>
        <v>0</v>
      </c>
      <c r="N186" s="10">
        <f>SUMIFS(IsQList,IsIList,Table_ExternalData_15[[#This Row],[item_key]],IsITypeList,Table_ExternalData_15[[#This Row],[IType]],IsDList,Table_ExternalData_15[[#Headers],[10]])</f>
        <v>0</v>
      </c>
      <c r="O186" s="10">
        <f>SUMIFS(IsQList,IsIList,Table_ExternalData_15[[#This Row],[item_key]],IsITypeList,Table_ExternalData_15[[#This Row],[IType]],IsDList,Table_ExternalData_15[[#Headers],[11]])</f>
        <v>0</v>
      </c>
      <c r="P186" s="10">
        <f>SUMIFS(IsQList,IsIList,Table_ExternalData_15[[#This Row],[item_key]],IsITypeList,Table_ExternalData_15[[#This Row],[IType]],IsDList,Table_ExternalData_15[[#Headers],[12]])</f>
        <v>0</v>
      </c>
      <c r="Q186" s="10">
        <f>SUMIFS(IsQList,IsIList,Table_ExternalData_15[[#This Row],[item_key]],IsITypeList,Table_ExternalData_15[[#This Row],[IType]],IsDList,Table_ExternalData_15[[#Headers],[13]])</f>
        <v>0</v>
      </c>
      <c r="R186" s="10">
        <f>SUMIFS(IsQList,IsIList,Table_ExternalData_15[[#This Row],[item_key]],IsITypeList,Table_ExternalData_15[[#This Row],[IType]],IsDList,Table_ExternalData_15[[#Headers],[14]])</f>
        <v>0</v>
      </c>
      <c r="S186" s="10">
        <f>SUMIFS(IsQList,IsIList,Table_ExternalData_15[[#This Row],[item_key]],IsITypeList,Table_ExternalData_15[[#This Row],[IType]],IsDList,Table_ExternalData_15[[#Headers],[15]])</f>
        <v>0</v>
      </c>
      <c r="T186" s="10">
        <f>SUMIFS(IsQList,IsIList,Table_ExternalData_15[[#This Row],[item_key]],IsITypeList,Table_ExternalData_15[[#This Row],[IType]],IsDList,Table_ExternalData_15[[#Headers],[16]])</f>
        <v>4</v>
      </c>
      <c r="U186" s="10">
        <f>SUMIFS(IsQList,IsIList,Table_ExternalData_15[[#This Row],[item_key]],IsITypeList,Table_ExternalData_15[[#This Row],[IType]],IsDList,Table_ExternalData_15[[#Headers],[17]])</f>
        <v>0</v>
      </c>
      <c r="V186" s="10">
        <f>SUMIFS(IsQList,IsIList,Table_ExternalData_15[[#This Row],[item_key]],IsITypeList,Table_ExternalData_15[[#This Row],[IType]],IsDList,Table_ExternalData_15[[#Headers],[18]])</f>
        <v>0</v>
      </c>
      <c r="W186" s="10">
        <f>SUMIFS(IsQList,IsIList,Table_ExternalData_15[[#This Row],[item_key]],IsITypeList,Table_ExternalData_15[[#This Row],[IType]],IsDList,Table_ExternalData_15[[#Headers],[19]])</f>
        <v>0</v>
      </c>
      <c r="X186" s="10">
        <f>SUMIFS(IsQList,IsIList,Table_ExternalData_15[[#This Row],[item_key]],IsITypeList,Table_ExternalData_15[[#This Row],[IType]],IsDList,Table_ExternalData_15[[#Headers],[20]])</f>
        <v>0</v>
      </c>
      <c r="Y186" s="10">
        <f>SUMIFS(IsQList,IsIList,Table_ExternalData_15[[#This Row],[item_key]],IsITypeList,Table_ExternalData_15[[#This Row],[IType]],IsDList,Table_ExternalData_15[[#Headers],[21]])</f>
        <v>0</v>
      </c>
      <c r="Z186" s="10">
        <f>SUMIFS(IsQList,IsIList,Table_ExternalData_15[[#This Row],[item_key]],IsITypeList,Table_ExternalData_15[[#This Row],[IType]],IsDList,Table_ExternalData_15[[#Headers],[22]])</f>
        <v>0</v>
      </c>
      <c r="AA186" s="10">
        <f>SUMIFS(IsQList,IsIList,Table_ExternalData_15[[#This Row],[item_key]],IsITypeList,Table_ExternalData_15[[#This Row],[IType]],IsDList,Table_ExternalData_15[[#Headers],[23]])</f>
        <v>0</v>
      </c>
      <c r="AB186" s="10">
        <f>SUMIFS(IsQList,IsIList,Table_ExternalData_15[[#This Row],[item_key]],IsITypeList,Table_ExternalData_15[[#This Row],[IType]],IsDList,Table_ExternalData_15[[#Headers],[24]])</f>
        <v>0</v>
      </c>
      <c r="AC186" s="10">
        <f>SUMIFS(IsQList,IsIList,Table_ExternalData_15[[#This Row],[item_key]],IsITypeList,Table_ExternalData_15[[#This Row],[IType]],IsDList,Table_ExternalData_15[[#Headers],[25]])</f>
        <v>0</v>
      </c>
      <c r="AD186" s="10">
        <f>SUMIFS(IsQList,IsIList,Table_ExternalData_15[[#This Row],[item_key]],IsITypeList,Table_ExternalData_15[[#This Row],[IType]],IsDList,Table_ExternalData_15[[#Headers],[26]])</f>
        <v>0</v>
      </c>
      <c r="AE186" s="10">
        <f>SUMIFS(IsQList,IsIList,Table_ExternalData_15[[#This Row],[item_key]],IsITypeList,Table_ExternalData_15[[#This Row],[IType]],IsDList,Table_ExternalData_15[[#Headers],[27]])</f>
        <v>0</v>
      </c>
      <c r="AF186" s="10">
        <f>SUMIFS(IsQList,IsIList,Table_ExternalData_15[[#This Row],[item_key]],IsITypeList,Table_ExternalData_15[[#This Row],[IType]],IsDList,Table_ExternalData_15[[#Headers],[28]])</f>
        <v>0</v>
      </c>
      <c r="AG186" s="10">
        <f>SUMIFS(IsQList,IsIList,Table_ExternalData_15[[#This Row],[item_key]],IsITypeList,Table_ExternalData_15[[#This Row],[IType]],IsDList,Table_ExternalData_15[[#Headers],[29]])</f>
        <v>0</v>
      </c>
      <c r="AH186" s="10">
        <f>SUMIFS(IsQList,IsIList,Table_ExternalData_15[[#This Row],[item_key]],IsITypeList,Table_ExternalData_15[[#This Row],[IType]],IsDList,Table_ExternalData_15[[#Headers],[30]])</f>
        <v>0</v>
      </c>
      <c r="AI186" s="10">
        <f>SUMIFS(IsQList,IsIList,Table_ExternalData_15[[#This Row],[item_key]],IsITypeList,Table_ExternalData_15[[#This Row],[IType]],IsDList,Table_ExternalData_15[[#Headers],[31]])</f>
        <v>0</v>
      </c>
      <c r="AJ186" s="10">
        <f>SUM(Table_ExternalData_15[[#This Row],[1]:[31]])</f>
        <v>4</v>
      </c>
    </row>
    <row r="187" spans="1:36">
      <c r="A187" s="1" t="s">
        <v>653</v>
      </c>
      <c r="B187" s="1" t="s">
        <v>2618</v>
      </c>
      <c r="C187" s="1" t="s">
        <v>2619</v>
      </c>
      <c r="D187" s="11" t="s">
        <v>72</v>
      </c>
      <c r="E187" s="10">
        <f>SUMIFS(IsQList,IsIList,Table_ExternalData_15[[#This Row],[item_key]],IsITypeList,Table_ExternalData_15[[#This Row],[IType]],IsDList,Table_ExternalData_15[[#Headers],[1]])</f>
        <v>0</v>
      </c>
      <c r="F187" s="10">
        <f>SUMIFS(IsQList,IsIList,Table_ExternalData_15[[#This Row],[item_key]],IsITypeList,Table_ExternalData_15[[#This Row],[IType]],IsDList,Table_ExternalData_15[[#Headers],[2]])</f>
        <v>0</v>
      </c>
      <c r="G187" s="10">
        <f>SUMIFS(IsQList,IsIList,Table_ExternalData_15[[#This Row],[item_key]],IsITypeList,Table_ExternalData_15[[#This Row],[IType]],IsDList,Table_ExternalData_15[[#Headers],[3]])</f>
        <v>0</v>
      </c>
      <c r="H187" s="10">
        <f>SUMIFS(IsQList,IsIList,Table_ExternalData_15[[#This Row],[item_key]],IsITypeList,Table_ExternalData_15[[#This Row],[IType]],IsDList,Table_ExternalData_15[[#Headers],[4]])</f>
        <v>0</v>
      </c>
      <c r="I187" s="10">
        <f>SUMIFS(IsQList,IsIList,Table_ExternalData_15[[#This Row],[item_key]],IsITypeList,Table_ExternalData_15[[#This Row],[IType]],IsDList,Table_ExternalData_15[[#Headers],[5]])</f>
        <v>0</v>
      </c>
      <c r="J187" s="10">
        <f>SUMIFS(IsQList,IsIList,Table_ExternalData_15[[#This Row],[item_key]],IsITypeList,Table_ExternalData_15[[#This Row],[IType]],IsDList,Table_ExternalData_15[[#Headers],[6]])</f>
        <v>20</v>
      </c>
      <c r="K187" s="10">
        <f>SUMIFS(IsQList,IsIList,Table_ExternalData_15[[#This Row],[item_key]],IsITypeList,Table_ExternalData_15[[#This Row],[IType]],IsDList,Table_ExternalData_15[[#Headers],[7]])</f>
        <v>0</v>
      </c>
      <c r="L187" s="10">
        <f>SUMIFS(IsQList,IsIList,Table_ExternalData_15[[#This Row],[item_key]],IsITypeList,Table_ExternalData_15[[#This Row],[IType]],IsDList,Table_ExternalData_15[[#Headers],[8]])</f>
        <v>0</v>
      </c>
      <c r="M187" s="10">
        <f>SUMIFS(IsQList,IsIList,Table_ExternalData_15[[#This Row],[item_key]],IsITypeList,Table_ExternalData_15[[#This Row],[IType]],IsDList,Table_ExternalData_15[[#Headers],[9]])</f>
        <v>0</v>
      </c>
      <c r="N187" s="10">
        <f>SUMIFS(IsQList,IsIList,Table_ExternalData_15[[#This Row],[item_key]],IsITypeList,Table_ExternalData_15[[#This Row],[IType]],IsDList,Table_ExternalData_15[[#Headers],[10]])</f>
        <v>0</v>
      </c>
      <c r="O187" s="10">
        <f>SUMIFS(IsQList,IsIList,Table_ExternalData_15[[#This Row],[item_key]],IsITypeList,Table_ExternalData_15[[#This Row],[IType]],IsDList,Table_ExternalData_15[[#Headers],[11]])</f>
        <v>0</v>
      </c>
      <c r="P187" s="10">
        <f>SUMIFS(IsQList,IsIList,Table_ExternalData_15[[#This Row],[item_key]],IsITypeList,Table_ExternalData_15[[#This Row],[IType]],IsDList,Table_ExternalData_15[[#Headers],[12]])</f>
        <v>0</v>
      </c>
      <c r="Q187" s="10">
        <f>SUMIFS(IsQList,IsIList,Table_ExternalData_15[[#This Row],[item_key]],IsITypeList,Table_ExternalData_15[[#This Row],[IType]],IsDList,Table_ExternalData_15[[#Headers],[13]])</f>
        <v>0</v>
      </c>
      <c r="R187" s="10">
        <f>SUMIFS(IsQList,IsIList,Table_ExternalData_15[[#This Row],[item_key]],IsITypeList,Table_ExternalData_15[[#This Row],[IType]],IsDList,Table_ExternalData_15[[#Headers],[14]])</f>
        <v>0</v>
      </c>
      <c r="S187" s="10">
        <f>SUMIFS(IsQList,IsIList,Table_ExternalData_15[[#This Row],[item_key]],IsITypeList,Table_ExternalData_15[[#This Row],[IType]],IsDList,Table_ExternalData_15[[#Headers],[15]])</f>
        <v>0</v>
      </c>
      <c r="T187" s="10">
        <f>SUMIFS(IsQList,IsIList,Table_ExternalData_15[[#This Row],[item_key]],IsITypeList,Table_ExternalData_15[[#This Row],[IType]],IsDList,Table_ExternalData_15[[#Headers],[16]])</f>
        <v>0</v>
      </c>
      <c r="U187" s="10">
        <f>SUMIFS(IsQList,IsIList,Table_ExternalData_15[[#This Row],[item_key]],IsITypeList,Table_ExternalData_15[[#This Row],[IType]],IsDList,Table_ExternalData_15[[#Headers],[17]])</f>
        <v>0</v>
      </c>
      <c r="V187" s="10">
        <f>SUMIFS(IsQList,IsIList,Table_ExternalData_15[[#This Row],[item_key]],IsITypeList,Table_ExternalData_15[[#This Row],[IType]],IsDList,Table_ExternalData_15[[#Headers],[18]])</f>
        <v>0</v>
      </c>
      <c r="W187" s="10">
        <f>SUMIFS(IsQList,IsIList,Table_ExternalData_15[[#This Row],[item_key]],IsITypeList,Table_ExternalData_15[[#This Row],[IType]],IsDList,Table_ExternalData_15[[#Headers],[19]])</f>
        <v>0</v>
      </c>
      <c r="X187" s="10">
        <f>SUMIFS(IsQList,IsIList,Table_ExternalData_15[[#This Row],[item_key]],IsITypeList,Table_ExternalData_15[[#This Row],[IType]],IsDList,Table_ExternalData_15[[#Headers],[20]])</f>
        <v>0</v>
      </c>
      <c r="Y187" s="10">
        <f>SUMIFS(IsQList,IsIList,Table_ExternalData_15[[#This Row],[item_key]],IsITypeList,Table_ExternalData_15[[#This Row],[IType]],IsDList,Table_ExternalData_15[[#Headers],[21]])</f>
        <v>0</v>
      </c>
      <c r="Z187" s="10">
        <f>SUMIFS(IsQList,IsIList,Table_ExternalData_15[[#This Row],[item_key]],IsITypeList,Table_ExternalData_15[[#This Row],[IType]],IsDList,Table_ExternalData_15[[#Headers],[22]])</f>
        <v>0</v>
      </c>
      <c r="AA187" s="10">
        <f>SUMIFS(IsQList,IsIList,Table_ExternalData_15[[#This Row],[item_key]],IsITypeList,Table_ExternalData_15[[#This Row],[IType]],IsDList,Table_ExternalData_15[[#Headers],[23]])</f>
        <v>0</v>
      </c>
      <c r="AB187" s="10">
        <f>SUMIFS(IsQList,IsIList,Table_ExternalData_15[[#This Row],[item_key]],IsITypeList,Table_ExternalData_15[[#This Row],[IType]],IsDList,Table_ExternalData_15[[#Headers],[24]])</f>
        <v>0</v>
      </c>
      <c r="AC187" s="10">
        <f>SUMIFS(IsQList,IsIList,Table_ExternalData_15[[#This Row],[item_key]],IsITypeList,Table_ExternalData_15[[#This Row],[IType]],IsDList,Table_ExternalData_15[[#Headers],[25]])</f>
        <v>0</v>
      </c>
      <c r="AD187" s="10">
        <f>SUMIFS(IsQList,IsIList,Table_ExternalData_15[[#This Row],[item_key]],IsITypeList,Table_ExternalData_15[[#This Row],[IType]],IsDList,Table_ExternalData_15[[#Headers],[26]])</f>
        <v>0</v>
      </c>
      <c r="AE187" s="10">
        <f>SUMIFS(IsQList,IsIList,Table_ExternalData_15[[#This Row],[item_key]],IsITypeList,Table_ExternalData_15[[#This Row],[IType]],IsDList,Table_ExternalData_15[[#Headers],[27]])</f>
        <v>0</v>
      </c>
      <c r="AF187" s="10">
        <f>SUMIFS(IsQList,IsIList,Table_ExternalData_15[[#This Row],[item_key]],IsITypeList,Table_ExternalData_15[[#This Row],[IType]],IsDList,Table_ExternalData_15[[#Headers],[28]])</f>
        <v>0</v>
      </c>
      <c r="AG187" s="10">
        <f>SUMIFS(IsQList,IsIList,Table_ExternalData_15[[#This Row],[item_key]],IsITypeList,Table_ExternalData_15[[#This Row],[IType]],IsDList,Table_ExternalData_15[[#Headers],[29]])</f>
        <v>0</v>
      </c>
      <c r="AH187" s="10">
        <f>SUMIFS(IsQList,IsIList,Table_ExternalData_15[[#This Row],[item_key]],IsITypeList,Table_ExternalData_15[[#This Row],[IType]],IsDList,Table_ExternalData_15[[#Headers],[30]])</f>
        <v>0</v>
      </c>
      <c r="AI187" s="10">
        <f>SUMIFS(IsQList,IsIList,Table_ExternalData_15[[#This Row],[item_key]],IsITypeList,Table_ExternalData_15[[#This Row],[IType]],IsDList,Table_ExternalData_15[[#Headers],[31]])</f>
        <v>0</v>
      </c>
      <c r="AJ187" s="10">
        <f>SUM(Table_ExternalData_15[[#This Row],[1]:[31]])</f>
        <v>20</v>
      </c>
    </row>
    <row r="188" spans="1:36">
      <c r="A188" s="1" t="s">
        <v>654</v>
      </c>
      <c r="B188" s="1" t="s">
        <v>1351</v>
      </c>
      <c r="C188" s="1" t="s">
        <v>1352</v>
      </c>
      <c r="D188" s="11" t="s">
        <v>72</v>
      </c>
      <c r="E188" s="10">
        <f>SUMIFS(IsQList,IsIList,Table_ExternalData_15[[#This Row],[item_key]],IsITypeList,Table_ExternalData_15[[#This Row],[IType]],IsDList,Table_ExternalData_15[[#Headers],[1]])</f>
        <v>0</v>
      </c>
      <c r="F188" s="10">
        <f>SUMIFS(IsQList,IsIList,Table_ExternalData_15[[#This Row],[item_key]],IsITypeList,Table_ExternalData_15[[#This Row],[IType]],IsDList,Table_ExternalData_15[[#Headers],[2]])</f>
        <v>0</v>
      </c>
      <c r="G188" s="10">
        <f>SUMIFS(IsQList,IsIList,Table_ExternalData_15[[#This Row],[item_key]],IsITypeList,Table_ExternalData_15[[#This Row],[IType]],IsDList,Table_ExternalData_15[[#Headers],[3]])</f>
        <v>0</v>
      </c>
      <c r="H188" s="10">
        <f>SUMIFS(IsQList,IsIList,Table_ExternalData_15[[#This Row],[item_key]],IsITypeList,Table_ExternalData_15[[#This Row],[IType]],IsDList,Table_ExternalData_15[[#Headers],[4]])</f>
        <v>0</v>
      </c>
      <c r="I188" s="10">
        <f>SUMIFS(IsQList,IsIList,Table_ExternalData_15[[#This Row],[item_key]],IsITypeList,Table_ExternalData_15[[#This Row],[IType]],IsDList,Table_ExternalData_15[[#Headers],[5]])</f>
        <v>0</v>
      </c>
      <c r="J188" s="10">
        <f>SUMIFS(IsQList,IsIList,Table_ExternalData_15[[#This Row],[item_key]],IsITypeList,Table_ExternalData_15[[#This Row],[IType]],IsDList,Table_ExternalData_15[[#Headers],[6]])</f>
        <v>5</v>
      </c>
      <c r="K188" s="10">
        <f>SUMIFS(IsQList,IsIList,Table_ExternalData_15[[#This Row],[item_key]],IsITypeList,Table_ExternalData_15[[#This Row],[IType]],IsDList,Table_ExternalData_15[[#Headers],[7]])</f>
        <v>0</v>
      </c>
      <c r="L188" s="10">
        <f>SUMIFS(IsQList,IsIList,Table_ExternalData_15[[#This Row],[item_key]],IsITypeList,Table_ExternalData_15[[#This Row],[IType]],IsDList,Table_ExternalData_15[[#Headers],[8]])</f>
        <v>0</v>
      </c>
      <c r="M188" s="10">
        <f>SUMIFS(IsQList,IsIList,Table_ExternalData_15[[#This Row],[item_key]],IsITypeList,Table_ExternalData_15[[#This Row],[IType]],IsDList,Table_ExternalData_15[[#Headers],[9]])</f>
        <v>0</v>
      </c>
      <c r="N188" s="10">
        <f>SUMIFS(IsQList,IsIList,Table_ExternalData_15[[#This Row],[item_key]],IsITypeList,Table_ExternalData_15[[#This Row],[IType]],IsDList,Table_ExternalData_15[[#Headers],[10]])</f>
        <v>0</v>
      </c>
      <c r="O188" s="10">
        <f>SUMIFS(IsQList,IsIList,Table_ExternalData_15[[#This Row],[item_key]],IsITypeList,Table_ExternalData_15[[#This Row],[IType]],IsDList,Table_ExternalData_15[[#Headers],[11]])</f>
        <v>0</v>
      </c>
      <c r="P188" s="10">
        <f>SUMIFS(IsQList,IsIList,Table_ExternalData_15[[#This Row],[item_key]],IsITypeList,Table_ExternalData_15[[#This Row],[IType]],IsDList,Table_ExternalData_15[[#Headers],[12]])</f>
        <v>0</v>
      </c>
      <c r="Q188" s="10">
        <f>SUMIFS(IsQList,IsIList,Table_ExternalData_15[[#This Row],[item_key]],IsITypeList,Table_ExternalData_15[[#This Row],[IType]],IsDList,Table_ExternalData_15[[#Headers],[13]])</f>
        <v>0</v>
      </c>
      <c r="R188" s="10">
        <f>SUMIFS(IsQList,IsIList,Table_ExternalData_15[[#This Row],[item_key]],IsITypeList,Table_ExternalData_15[[#This Row],[IType]],IsDList,Table_ExternalData_15[[#Headers],[14]])</f>
        <v>0</v>
      </c>
      <c r="S188" s="10">
        <f>SUMIFS(IsQList,IsIList,Table_ExternalData_15[[#This Row],[item_key]],IsITypeList,Table_ExternalData_15[[#This Row],[IType]],IsDList,Table_ExternalData_15[[#Headers],[15]])</f>
        <v>0</v>
      </c>
      <c r="T188" s="10">
        <f>SUMIFS(IsQList,IsIList,Table_ExternalData_15[[#This Row],[item_key]],IsITypeList,Table_ExternalData_15[[#This Row],[IType]],IsDList,Table_ExternalData_15[[#Headers],[16]])</f>
        <v>20</v>
      </c>
      <c r="U188" s="10">
        <f>SUMIFS(IsQList,IsIList,Table_ExternalData_15[[#This Row],[item_key]],IsITypeList,Table_ExternalData_15[[#This Row],[IType]],IsDList,Table_ExternalData_15[[#Headers],[17]])</f>
        <v>0</v>
      </c>
      <c r="V188" s="10">
        <f>SUMIFS(IsQList,IsIList,Table_ExternalData_15[[#This Row],[item_key]],IsITypeList,Table_ExternalData_15[[#This Row],[IType]],IsDList,Table_ExternalData_15[[#Headers],[18]])</f>
        <v>0</v>
      </c>
      <c r="W188" s="10">
        <f>SUMIFS(IsQList,IsIList,Table_ExternalData_15[[#This Row],[item_key]],IsITypeList,Table_ExternalData_15[[#This Row],[IType]],IsDList,Table_ExternalData_15[[#Headers],[19]])</f>
        <v>0</v>
      </c>
      <c r="X188" s="10">
        <f>SUMIFS(IsQList,IsIList,Table_ExternalData_15[[#This Row],[item_key]],IsITypeList,Table_ExternalData_15[[#This Row],[IType]],IsDList,Table_ExternalData_15[[#Headers],[20]])</f>
        <v>0</v>
      </c>
      <c r="Y188" s="10">
        <f>SUMIFS(IsQList,IsIList,Table_ExternalData_15[[#This Row],[item_key]],IsITypeList,Table_ExternalData_15[[#This Row],[IType]],IsDList,Table_ExternalData_15[[#Headers],[21]])</f>
        <v>0</v>
      </c>
      <c r="Z188" s="10">
        <f>SUMIFS(IsQList,IsIList,Table_ExternalData_15[[#This Row],[item_key]],IsITypeList,Table_ExternalData_15[[#This Row],[IType]],IsDList,Table_ExternalData_15[[#Headers],[22]])</f>
        <v>0</v>
      </c>
      <c r="AA188" s="10">
        <f>SUMIFS(IsQList,IsIList,Table_ExternalData_15[[#This Row],[item_key]],IsITypeList,Table_ExternalData_15[[#This Row],[IType]],IsDList,Table_ExternalData_15[[#Headers],[23]])</f>
        <v>0</v>
      </c>
      <c r="AB188" s="10">
        <f>SUMIFS(IsQList,IsIList,Table_ExternalData_15[[#This Row],[item_key]],IsITypeList,Table_ExternalData_15[[#This Row],[IType]],IsDList,Table_ExternalData_15[[#Headers],[24]])</f>
        <v>0</v>
      </c>
      <c r="AC188" s="10">
        <f>SUMIFS(IsQList,IsIList,Table_ExternalData_15[[#This Row],[item_key]],IsITypeList,Table_ExternalData_15[[#This Row],[IType]],IsDList,Table_ExternalData_15[[#Headers],[25]])</f>
        <v>0</v>
      </c>
      <c r="AD188" s="10">
        <f>SUMIFS(IsQList,IsIList,Table_ExternalData_15[[#This Row],[item_key]],IsITypeList,Table_ExternalData_15[[#This Row],[IType]],IsDList,Table_ExternalData_15[[#Headers],[26]])</f>
        <v>0</v>
      </c>
      <c r="AE188" s="10">
        <f>SUMIFS(IsQList,IsIList,Table_ExternalData_15[[#This Row],[item_key]],IsITypeList,Table_ExternalData_15[[#This Row],[IType]],IsDList,Table_ExternalData_15[[#Headers],[27]])</f>
        <v>0</v>
      </c>
      <c r="AF188" s="10">
        <f>SUMIFS(IsQList,IsIList,Table_ExternalData_15[[#This Row],[item_key]],IsITypeList,Table_ExternalData_15[[#This Row],[IType]],IsDList,Table_ExternalData_15[[#Headers],[28]])</f>
        <v>0</v>
      </c>
      <c r="AG188" s="10">
        <f>SUMIFS(IsQList,IsIList,Table_ExternalData_15[[#This Row],[item_key]],IsITypeList,Table_ExternalData_15[[#This Row],[IType]],IsDList,Table_ExternalData_15[[#Headers],[29]])</f>
        <v>0</v>
      </c>
      <c r="AH188" s="10">
        <f>SUMIFS(IsQList,IsIList,Table_ExternalData_15[[#This Row],[item_key]],IsITypeList,Table_ExternalData_15[[#This Row],[IType]],IsDList,Table_ExternalData_15[[#Headers],[30]])</f>
        <v>0</v>
      </c>
      <c r="AI188" s="10">
        <f>SUMIFS(IsQList,IsIList,Table_ExternalData_15[[#This Row],[item_key]],IsITypeList,Table_ExternalData_15[[#This Row],[IType]],IsDList,Table_ExternalData_15[[#Headers],[31]])</f>
        <v>0</v>
      </c>
      <c r="AJ188" s="10">
        <f>SUM(Table_ExternalData_15[[#This Row],[1]:[31]])</f>
        <v>25</v>
      </c>
    </row>
    <row r="189" spans="1:36">
      <c r="A189" s="1" t="s">
        <v>656</v>
      </c>
      <c r="B189" s="1" t="s">
        <v>2620</v>
      </c>
      <c r="C189" s="1" t="s">
        <v>2621</v>
      </c>
      <c r="D189" s="11" t="s">
        <v>72</v>
      </c>
      <c r="E189" s="10">
        <f>SUMIFS(IsQList,IsIList,Table_ExternalData_15[[#This Row],[item_key]],IsITypeList,Table_ExternalData_15[[#This Row],[IType]],IsDList,Table_ExternalData_15[[#Headers],[1]])</f>
        <v>0</v>
      </c>
      <c r="F189" s="10">
        <f>SUMIFS(IsQList,IsIList,Table_ExternalData_15[[#This Row],[item_key]],IsITypeList,Table_ExternalData_15[[#This Row],[IType]],IsDList,Table_ExternalData_15[[#Headers],[2]])</f>
        <v>0</v>
      </c>
      <c r="G189" s="10">
        <f>SUMIFS(IsQList,IsIList,Table_ExternalData_15[[#This Row],[item_key]],IsITypeList,Table_ExternalData_15[[#This Row],[IType]],IsDList,Table_ExternalData_15[[#Headers],[3]])</f>
        <v>0</v>
      </c>
      <c r="H189" s="10">
        <f>SUMIFS(IsQList,IsIList,Table_ExternalData_15[[#This Row],[item_key]],IsITypeList,Table_ExternalData_15[[#This Row],[IType]],IsDList,Table_ExternalData_15[[#Headers],[4]])</f>
        <v>0</v>
      </c>
      <c r="I189" s="10">
        <f>SUMIFS(IsQList,IsIList,Table_ExternalData_15[[#This Row],[item_key]],IsITypeList,Table_ExternalData_15[[#This Row],[IType]],IsDList,Table_ExternalData_15[[#Headers],[5]])</f>
        <v>0</v>
      </c>
      <c r="J189" s="10">
        <f>SUMIFS(IsQList,IsIList,Table_ExternalData_15[[#This Row],[item_key]],IsITypeList,Table_ExternalData_15[[#This Row],[IType]],IsDList,Table_ExternalData_15[[#Headers],[6]])</f>
        <v>0</v>
      </c>
      <c r="K189" s="10">
        <f>SUMIFS(IsQList,IsIList,Table_ExternalData_15[[#This Row],[item_key]],IsITypeList,Table_ExternalData_15[[#This Row],[IType]],IsDList,Table_ExternalData_15[[#Headers],[7]])</f>
        <v>0</v>
      </c>
      <c r="L189" s="10">
        <f>SUMIFS(IsQList,IsIList,Table_ExternalData_15[[#This Row],[item_key]],IsITypeList,Table_ExternalData_15[[#This Row],[IType]],IsDList,Table_ExternalData_15[[#Headers],[8]])</f>
        <v>0</v>
      </c>
      <c r="M189" s="10">
        <f>SUMIFS(IsQList,IsIList,Table_ExternalData_15[[#This Row],[item_key]],IsITypeList,Table_ExternalData_15[[#This Row],[IType]],IsDList,Table_ExternalData_15[[#Headers],[9]])</f>
        <v>0</v>
      </c>
      <c r="N189" s="10">
        <f>SUMIFS(IsQList,IsIList,Table_ExternalData_15[[#This Row],[item_key]],IsITypeList,Table_ExternalData_15[[#This Row],[IType]],IsDList,Table_ExternalData_15[[#Headers],[10]])</f>
        <v>0</v>
      </c>
      <c r="O189" s="10">
        <f>SUMIFS(IsQList,IsIList,Table_ExternalData_15[[#This Row],[item_key]],IsITypeList,Table_ExternalData_15[[#This Row],[IType]],IsDList,Table_ExternalData_15[[#Headers],[11]])</f>
        <v>0</v>
      </c>
      <c r="P189" s="10">
        <f>SUMIFS(IsQList,IsIList,Table_ExternalData_15[[#This Row],[item_key]],IsITypeList,Table_ExternalData_15[[#This Row],[IType]],IsDList,Table_ExternalData_15[[#Headers],[12]])</f>
        <v>0</v>
      </c>
      <c r="Q189" s="10">
        <f>SUMIFS(IsQList,IsIList,Table_ExternalData_15[[#This Row],[item_key]],IsITypeList,Table_ExternalData_15[[#This Row],[IType]],IsDList,Table_ExternalData_15[[#Headers],[13]])</f>
        <v>0</v>
      </c>
      <c r="R189" s="10">
        <f>SUMIFS(IsQList,IsIList,Table_ExternalData_15[[#This Row],[item_key]],IsITypeList,Table_ExternalData_15[[#This Row],[IType]],IsDList,Table_ExternalData_15[[#Headers],[14]])</f>
        <v>0</v>
      </c>
      <c r="S189" s="10">
        <f>SUMIFS(IsQList,IsIList,Table_ExternalData_15[[#This Row],[item_key]],IsITypeList,Table_ExternalData_15[[#This Row],[IType]],IsDList,Table_ExternalData_15[[#Headers],[15]])</f>
        <v>0</v>
      </c>
      <c r="T189" s="10">
        <f>SUMIFS(IsQList,IsIList,Table_ExternalData_15[[#This Row],[item_key]],IsITypeList,Table_ExternalData_15[[#This Row],[IType]],IsDList,Table_ExternalData_15[[#Headers],[16]])</f>
        <v>0</v>
      </c>
      <c r="U189" s="10">
        <f>SUMIFS(IsQList,IsIList,Table_ExternalData_15[[#This Row],[item_key]],IsITypeList,Table_ExternalData_15[[#This Row],[IType]],IsDList,Table_ExternalData_15[[#Headers],[17]])</f>
        <v>0</v>
      </c>
      <c r="V189" s="10">
        <f>SUMIFS(IsQList,IsIList,Table_ExternalData_15[[#This Row],[item_key]],IsITypeList,Table_ExternalData_15[[#This Row],[IType]],IsDList,Table_ExternalData_15[[#Headers],[18]])</f>
        <v>0</v>
      </c>
      <c r="W189" s="10">
        <f>SUMIFS(IsQList,IsIList,Table_ExternalData_15[[#This Row],[item_key]],IsITypeList,Table_ExternalData_15[[#This Row],[IType]],IsDList,Table_ExternalData_15[[#Headers],[19]])</f>
        <v>0</v>
      </c>
      <c r="X189" s="10">
        <f>SUMIFS(IsQList,IsIList,Table_ExternalData_15[[#This Row],[item_key]],IsITypeList,Table_ExternalData_15[[#This Row],[IType]],IsDList,Table_ExternalData_15[[#Headers],[20]])</f>
        <v>0</v>
      </c>
      <c r="Y189" s="10">
        <f>SUMIFS(IsQList,IsIList,Table_ExternalData_15[[#This Row],[item_key]],IsITypeList,Table_ExternalData_15[[#This Row],[IType]],IsDList,Table_ExternalData_15[[#Headers],[21]])</f>
        <v>0</v>
      </c>
      <c r="Z189" s="10">
        <f>SUMIFS(IsQList,IsIList,Table_ExternalData_15[[#This Row],[item_key]],IsITypeList,Table_ExternalData_15[[#This Row],[IType]],IsDList,Table_ExternalData_15[[#Headers],[22]])</f>
        <v>0</v>
      </c>
      <c r="AA189" s="10">
        <f>SUMIFS(IsQList,IsIList,Table_ExternalData_15[[#This Row],[item_key]],IsITypeList,Table_ExternalData_15[[#This Row],[IType]],IsDList,Table_ExternalData_15[[#Headers],[23]])</f>
        <v>0</v>
      </c>
      <c r="AB189" s="10">
        <f>SUMIFS(IsQList,IsIList,Table_ExternalData_15[[#This Row],[item_key]],IsITypeList,Table_ExternalData_15[[#This Row],[IType]],IsDList,Table_ExternalData_15[[#Headers],[24]])</f>
        <v>0</v>
      </c>
      <c r="AC189" s="10">
        <f>SUMIFS(IsQList,IsIList,Table_ExternalData_15[[#This Row],[item_key]],IsITypeList,Table_ExternalData_15[[#This Row],[IType]],IsDList,Table_ExternalData_15[[#Headers],[25]])</f>
        <v>0</v>
      </c>
      <c r="AD189" s="10">
        <f>SUMIFS(IsQList,IsIList,Table_ExternalData_15[[#This Row],[item_key]],IsITypeList,Table_ExternalData_15[[#This Row],[IType]],IsDList,Table_ExternalData_15[[#Headers],[26]])</f>
        <v>0</v>
      </c>
      <c r="AE189" s="10">
        <f>SUMIFS(IsQList,IsIList,Table_ExternalData_15[[#This Row],[item_key]],IsITypeList,Table_ExternalData_15[[#This Row],[IType]],IsDList,Table_ExternalData_15[[#Headers],[27]])</f>
        <v>0</v>
      </c>
      <c r="AF189" s="10">
        <f>SUMIFS(IsQList,IsIList,Table_ExternalData_15[[#This Row],[item_key]],IsITypeList,Table_ExternalData_15[[#This Row],[IType]],IsDList,Table_ExternalData_15[[#Headers],[28]])</f>
        <v>0</v>
      </c>
      <c r="AG189" s="10">
        <f>SUMIFS(IsQList,IsIList,Table_ExternalData_15[[#This Row],[item_key]],IsITypeList,Table_ExternalData_15[[#This Row],[IType]],IsDList,Table_ExternalData_15[[#Headers],[29]])</f>
        <v>0</v>
      </c>
      <c r="AH189" s="10">
        <f>SUMIFS(IsQList,IsIList,Table_ExternalData_15[[#This Row],[item_key]],IsITypeList,Table_ExternalData_15[[#This Row],[IType]],IsDList,Table_ExternalData_15[[#Headers],[30]])</f>
        <v>0</v>
      </c>
      <c r="AI189" s="10">
        <f>SUMIFS(IsQList,IsIList,Table_ExternalData_15[[#This Row],[item_key]],IsITypeList,Table_ExternalData_15[[#This Row],[IType]],IsDList,Table_ExternalData_15[[#Headers],[31]])</f>
        <v>0</v>
      </c>
      <c r="AJ189" s="10">
        <f>SUM(Table_ExternalData_15[[#This Row],[1]:[31]])</f>
        <v>0</v>
      </c>
    </row>
    <row r="190" spans="1:36">
      <c r="A190" s="1" t="s">
        <v>657</v>
      </c>
      <c r="B190" s="1" t="s">
        <v>1353</v>
      </c>
      <c r="C190" s="1" t="s">
        <v>1354</v>
      </c>
      <c r="D190" s="11" t="s">
        <v>72</v>
      </c>
      <c r="E190" s="10">
        <f>SUMIFS(IsQList,IsIList,Table_ExternalData_15[[#This Row],[item_key]],IsITypeList,Table_ExternalData_15[[#This Row],[IType]],IsDList,Table_ExternalData_15[[#Headers],[1]])</f>
        <v>0</v>
      </c>
      <c r="F190" s="10">
        <f>SUMIFS(IsQList,IsIList,Table_ExternalData_15[[#This Row],[item_key]],IsITypeList,Table_ExternalData_15[[#This Row],[IType]],IsDList,Table_ExternalData_15[[#Headers],[2]])</f>
        <v>0</v>
      </c>
      <c r="G190" s="10">
        <f>SUMIFS(IsQList,IsIList,Table_ExternalData_15[[#This Row],[item_key]],IsITypeList,Table_ExternalData_15[[#This Row],[IType]],IsDList,Table_ExternalData_15[[#Headers],[3]])</f>
        <v>0</v>
      </c>
      <c r="H190" s="10">
        <f>SUMIFS(IsQList,IsIList,Table_ExternalData_15[[#This Row],[item_key]],IsITypeList,Table_ExternalData_15[[#This Row],[IType]],IsDList,Table_ExternalData_15[[#Headers],[4]])</f>
        <v>0</v>
      </c>
      <c r="I190" s="10">
        <f>SUMIFS(IsQList,IsIList,Table_ExternalData_15[[#This Row],[item_key]],IsITypeList,Table_ExternalData_15[[#This Row],[IType]],IsDList,Table_ExternalData_15[[#Headers],[5]])</f>
        <v>0</v>
      </c>
      <c r="J190" s="10">
        <f>SUMIFS(IsQList,IsIList,Table_ExternalData_15[[#This Row],[item_key]],IsITypeList,Table_ExternalData_15[[#This Row],[IType]],IsDList,Table_ExternalData_15[[#Headers],[6]])</f>
        <v>0</v>
      </c>
      <c r="K190" s="10">
        <f>SUMIFS(IsQList,IsIList,Table_ExternalData_15[[#This Row],[item_key]],IsITypeList,Table_ExternalData_15[[#This Row],[IType]],IsDList,Table_ExternalData_15[[#Headers],[7]])</f>
        <v>0</v>
      </c>
      <c r="L190" s="10">
        <f>SUMIFS(IsQList,IsIList,Table_ExternalData_15[[#This Row],[item_key]],IsITypeList,Table_ExternalData_15[[#This Row],[IType]],IsDList,Table_ExternalData_15[[#Headers],[8]])</f>
        <v>0</v>
      </c>
      <c r="M190" s="10">
        <f>SUMIFS(IsQList,IsIList,Table_ExternalData_15[[#This Row],[item_key]],IsITypeList,Table_ExternalData_15[[#This Row],[IType]],IsDList,Table_ExternalData_15[[#Headers],[9]])</f>
        <v>0</v>
      </c>
      <c r="N190" s="10">
        <f>SUMIFS(IsQList,IsIList,Table_ExternalData_15[[#This Row],[item_key]],IsITypeList,Table_ExternalData_15[[#This Row],[IType]],IsDList,Table_ExternalData_15[[#Headers],[10]])</f>
        <v>0</v>
      </c>
      <c r="O190" s="10">
        <f>SUMIFS(IsQList,IsIList,Table_ExternalData_15[[#This Row],[item_key]],IsITypeList,Table_ExternalData_15[[#This Row],[IType]],IsDList,Table_ExternalData_15[[#Headers],[11]])</f>
        <v>0</v>
      </c>
      <c r="P190" s="10">
        <f>SUMIFS(IsQList,IsIList,Table_ExternalData_15[[#This Row],[item_key]],IsITypeList,Table_ExternalData_15[[#This Row],[IType]],IsDList,Table_ExternalData_15[[#Headers],[12]])</f>
        <v>0</v>
      </c>
      <c r="Q190" s="10">
        <f>SUMIFS(IsQList,IsIList,Table_ExternalData_15[[#This Row],[item_key]],IsITypeList,Table_ExternalData_15[[#This Row],[IType]],IsDList,Table_ExternalData_15[[#Headers],[13]])</f>
        <v>0</v>
      </c>
      <c r="R190" s="10">
        <f>SUMIFS(IsQList,IsIList,Table_ExternalData_15[[#This Row],[item_key]],IsITypeList,Table_ExternalData_15[[#This Row],[IType]],IsDList,Table_ExternalData_15[[#Headers],[14]])</f>
        <v>0</v>
      </c>
      <c r="S190" s="10">
        <f>SUMIFS(IsQList,IsIList,Table_ExternalData_15[[#This Row],[item_key]],IsITypeList,Table_ExternalData_15[[#This Row],[IType]],IsDList,Table_ExternalData_15[[#Headers],[15]])</f>
        <v>0</v>
      </c>
      <c r="T190" s="10">
        <f>SUMIFS(IsQList,IsIList,Table_ExternalData_15[[#This Row],[item_key]],IsITypeList,Table_ExternalData_15[[#This Row],[IType]],IsDList,Table_ExternalData_15[[#Headers],[16]])</f>
        <v>0</v>
      </c>
      <c r="U190" s="10">
        <f>SUMIFS(IsQList,IsIList,Table_ExternalData_15[[#This Row],[item_key]],IsITypeList,Table_ExternalData_15[[#This Row],[IType]],IsDList,Table_ExternalData_15[[#Headers],[17]])</f>
        <v>0</v>
      </c>
      <c r="V190" s="10">
        <f>SUMIFS(IsQList,IsIList,Table_ExternalData_15[[#This Row],[item_key]],IsITypeList,Table_ExternalData_15[[#This Row],[IType]],IsDList,Table_ExternalData_15[[#Headers],[18]])</f>
        <v>0</v>
      </c>
      <c r="W190" s="10">
        <f>SUMIFS(IsQList,IsIList,Table_ExternalData_15[[#This Row],[item_key]],IsITypeList,Table_ExternalData_15[[#This Row],[IType]],IsDList,Table_ExternalData_15[[#Headers],[19]])</f>
        <v>0</v>
      </c>
      <c r="X190" s="10">
        <f>SUMIFS(IsQList,IsIList,Table_ExternalData_15[[#This Row],[item_key]],IsITypeList,Table_ExternalData_15[[#This Row],[IType]],IsDList,Table_ExternalData_15[[#Headers],[20]])</f>
        <v>0</v>
      </c>
      <c r="Y190" s="10">
        <f>SUMIFS(IsQList,IsIList,Table_ExternalData_15[[#This Row],[item_key]],IsITypeList,Table_ExternalData_15[[#This Row],[IType]],IsDList,Table_ExternalData_15[[#Headers],[21]])</f>
        <v>0</v>
      </c>
      <c r="Z190" s="10">
        <f>SUMIFS(IsQList,IsIList,Table_ExternalData_15[[#This Row],[item_key]],IsITypeList,Table_ExternalData_15[[#This Row],[IType]],IsDList,Table_ExternalData_15[[#Headers],[22]])</f>
        <v>0</v>
      </c>
      <c r="AA190" s="10">
        <f>SUMIFS(IsQList,IsIList,Table_ExternalData_15[[#This Row],[item_key]],IsITypeList,Table_ExternalData_15[[#This Row],[IType]],IsDList,Table_ExternalData_15[[#Headers],[23]])</f>
        <v>0</v>
      </c>
      <c r="AB190" s="10">
        <f>SUMIFS(IsQList,IsIList,Table_ExternalData_15[[#This Row],[item_key]],IsITypeList,Table_ExternalData_15[[#This Row],[IType]],IsDList,Table_ExternalData_15[[#Headers],[24]])</f>
        <v>0</v>
      </c>
      <c r="AC190" s="10">
        <f>SUMIFS(IsQList,IsIList,Table_ExternalData_15[[#This Row],[item_key]],IsITypeList,Table_ExternalData_15[[#This Row],[IType]],IsDList,Table_ExternalData_15[[#Headers],[25]])</f>
        <v>0</v>
      </c>
      <c r="AD190" s="10">
        <f>SUMIFS(IsQList,IsIList,Table_ExternalData_15[[#This Row],[item_key]],IsITypeList,Table_ExternalData_15[[#This Row],[IType]],IsDList,Table_ExternalData_15[[#Headers],[26]])</f>
        <v>0</v>
      </c>
      <c r="AE190" s="10">
        <f>SUMIFS(IsQList,IsIList,Table_ExternalData_15[[#This Row],[item_key]],IsITypeList,Table_ExternalData_15[[#This Row],[IType]],IsDList,Table_ExternalData_15[[#Headers],[27]])</f>
        <v>0</v>
      </c>
      <c r="AF190" s="10">
        <f>SUMIFS(IsQList,IsIList,Table_ExternalData_15[[#This Row],[item_key]],IsITypeList,Table_ExternalData_15[[#This Row],[IType]],IsDList,Table_ExternalData_15[[#Headers],[28]])</f>
        <v>0</v>
      </c>
      <c r="AG190" s="10">
        <f>SUMIFS(IsQList,IsIList,Table_ExternalData_15[[#This Row],[item_key]],IsITypeList,Table_ExternalData_15[[#This Row],[IType]],IsDList,Table_ExternalData_15[[#Headers],[29]])</f>
        <v>0</v>
      </c>
      <c r="AH190" s="10">
        <f>SUMIFS(IsQList,IsIList,Table_ExternalData_15[[#This Row],[item_key]],IsITypeList,Table_ExternalData_15[[#This Row],[IType]],IsDList,Table_ExternalData_15[[#Headers],[30]])</f>
        <v>0</v>
      </c>
      <c r="AI190" s="10">
        <f>SUMIFS(IsQList,IsIList,Table_ExternalData_15[[#This Row],[item_key]],IsITypeList,Table_ExternalData_15[[#This Row],[IType]],IsDList,Table_ExternalData_15[[#Headers],[31]])</f>
        <v>0</v>
      </c>
      <c r="AJ190" s="10">
        <f>SUM(Table_ExternalData_15[[#This Row],[1]:[31]])</f>
        <v>0</v>
      </c>
    </row>
    <row r="191" spans="1:36">
      <c r="A191" s="1" t="s">
        <v>662</v>
      </c>
      <c r="B191" s="1" t="s">
        <v>2622</v>
      </c>
      <c r="C191" s="1" t="s">
        <v>2623</v>
      </c>
      <c r="D191" s="11" t="s">
        <v>72</v>
      </c>
      <c r="E191" s="10">
        <f>SUMIFS(IsQList,IsIList,Table_ExternalData_15[[#This Row],[item_key]],IsITypeList,Table_ExternalData_15[[#This Row],[IType]],IsDList,Table_ExternalData_15[[#Headers],[1]])</f>
        <v>0</v>
      </c>
      <c r="F191" s="10">
        <f>SUMIFS(IsQList,IsIList,Table_ExternalData_15[[#This Row],[item_key]],IsITypeList,Table_ExternalData_15[[#This Row],[IType]],IsDList,Table_ExternalData_15[[#Headers],[2]])</f>
        <v>0</v>
      </c>
      <c r="G191" s="10">
        <f>SUMIFS(IsQList,IsIList,Table_ExternalData_15[[#This Row],[item_key]],IsITypeList,Table_ExternalData_15[[#This Row],[IType]],IsDList,Table_ExternalData_15[[#Headers],[3]])</f>
        <v>0</v>
      </c>
      <c r="H191" s="10">
        <f>SUMIFS(IsQList,IsIList,Table_ExternalData_15[[#This Row],[item_key]],IsITypeList,Table_ExternalData_15[[#This Row],[IType]],IsDList,Table_ExternalData_15[[#Headers],[4]])</f>
        <v>0</v>
      </c>
      <c r="I191" s="10">
        <f>SUMIFS(IsQList,IsIList,Table_ExternalData_15[[#This Row],[item_key]],IsITypeList,Table_ExternalData_15[[#This Row],[IType]],IsDList,Table_ExternalData_15[[#Headers],[5]])</f>
        <v>0</v>
      </c>
      <c r="J191" s="10">
        <f>SUMIFS(IsQList,IsIList,Table_ExternalData_15[[#This Row],[item_key]],IsITypeList,Table_ExternalData_15[[#This Row],[IType]],IsDList,Table_ExternalData_15[[#Headers],[6]])</f>
        <v>0</v>
      </c>
      <c r="K191" s="10">
        <f>SUMIFS(IsQList,IsIList,Table_ExternalData_15[[#This Row],[item_key]],IsITypeList,Table_ExternalData_15[[#This Row],[IType]],IsDList,Table_ExternalData_15[[#Headers],[7]])</f>
        <v>0</v>
      </c>
      <c r="L191" s="10">
        <f>SUMIFS(IsQList,IsIList,Table_ExternalData_15[[#This Row],[item_key]],IsITypeList,Table_ExternalData_15[[#This Row],[IType]],IsDList,Table_ExternalData_15[[#Headers],[8]])</f>
        <v>0</v>
      </c>
      <c r="M191" s="10">
        <f>SUMIFS(IsQList,IsIList,Table_ExternalData_15[[#This Row],[item_key]],IsITypeList,Table_ExternalData_15[[#This Row],[IType]],IsDList,Table_ExternalData_15[[#Headers],[9]])</f>
        <v>0</v>
      </c>
      <c r="N191" s="10">
        <f>SUMIFS(IsQList,IsIList,Table_ExternalData_15[[#This Row],[item_key]],IsITypeList,Table_ExternalData_15[[#This Row],[IType]],IsDList,Table_ExternalData_15[[#Headers],[10]])</f>
        <v>0</v>
      </c>
      <c r="O191" s="10">
        <f>SUMIFS(IsQList,IsIList,Table_ExternalData_15[[#This Row],[item_key]],IsITypeList,Table_ExternalData_15[[#This Row],[IType]],IsDList,Table_ExternalData_15[[#Headers],[11]])</f>
        <v>0</v>
      </c>
      <c r="P191" s="10">
        <f>SUMIFS(IsQList,IsIList,Table_ExternalData_15[[#This Row],[item_key]],IsITypeList,Table_ExternalData_15[[#This Row],[IType]],IsDList,Table_ExternalData_15[[#Headers],[12]])</f>
        <v>0</v>
      </c>
      <c r="Q191" s="10">
        <f>SUMIFS(IsQList,IsIList,Table_ExternalData_15[[#This Row],[item_key]],IsITypeList,Table_ExternalData_15[[#This Row],[IType]],IsDList,Table_ExternalData_15[[#Headers],[13]])</f>
        <v>0</v>
      </c>
      <c r="R191" s="10">
        <f>SUMIFS(IsQList,IsIList,Table_ExternalData_15[[#This Row],[item_key]],IsITypeList,Table_ExternalData_15[[#This Row],[IType]],IsDList,Table_ExternalData_15[[#Headers],[14]])</f>
        <v>0</v>
      </c>
      <c r="S191" s="10">
        <f>SUMIFS(IsQList,IsIList,Table_ExternalData_15[[#This Row],[item_key]],IsITypeList,Table_ExternalData_15[[#This Row],[IType]],IsDList,Table_ExternalData_15[[#Headers],[15]])</f>
        <v>0</v>
      </c>
      <c r="T191" s="10">
        <f>SUMIFS(IsQList,IsIList,Table_ExternalData_15[[#This Row],[item_key]],IsITypeList,Table_ExternalData_15[[#This Row],[IType]],IsDList,Table_ExternalData_15[[#Headers],[16]])</f>
        <v>0</v>
      </c>
      <c r="U191" s="10">
        <f>SUMIFS(IsQList,IsIList,Table_ExternalData_15[[#This Row],[item_key]],IsITypeList,Table_ExternalData_15[[#This Row],[IType]],IsDList,Table_ExternalData_15[[#Headers],[17]])</f>
        <v>0</v>
      </c>
      <c r="V191" s="10">
        <f>SUMIFS(IsQList,IsIList,Table_ExternalData_15[[#This Row],[item_key]],IsITypeList,Table_ExternalData_15[[#This Row],[IType]],IsDList,Table_ExternalData_15[[#Headers],[18]])</f>
        <v>0</v>
      </c>
      <c r="W191" s="10">
        <f>SUMIFS(IsQList,IsIList,Table_ExternalData_15[[#This Row],[item_key]],IsITypeList,Table_ExternalData_15[[#This Row],[IType]],IsDList,Table_ExternalData_15[[#Headers],[19]])</f>
        <v>0</v>
      </c>
      <c r="X191" s="10">
        <f>SUMIFS(IsQList,IsIList,Table_ExternalData_15[[#This Row],[item_key]],IsITypeList,Table_ExternalData_15[[#This Row],[IType]],IsDList,Table_ExternalData_15[[#Headers],[20]])</f>
        <v>0</v>
      </c>
      <c r="Y191" s="10">
        <f>SUMIFS(IsQList,IsIList,Table_ExternalData_15[[#This Row],[item_key]],IsITypeList,Table_ExternalData_15[[#This Row],[IType]],IsDList,Table_ExternalData_15[[#Headers],[21]])</f>
        <v>0</v>
      </c>
      <c r="Z191" s="10">
        <f>SUMIFS(IsQList,IsIList,Table_ExternalData_15[[#This Row],[item_key]],IsITypeList,Table_ExternalData_15[[#This Row],[IType]],IsDList,Table_ExternalData_15[[#Headers],[22]])</f>
        <v>0</v>
      </c>
      <c r="AA191" s="10">
        <f>SUMIFS(IsQList,IsIList,Table_ExternalData_15[[#This Row],[item_key]],IsITypeList,Table_ExternalData_15[[#This Row],[IType]],IsDList,Table_ExternalData_15[[#Headers],[23]])</f>
        <v>0</v>
      </c>
      <c r="AB191" s="10">
        <f>SUMIFS(IsQList,IsIList,Table_ExternalData_15[[#This Row],[item_key]],IsITypeList,Table_ExternalData_15[[#This Row],[IType]],IsDList,Table_ExternalData_15[[#Headers],[24]])</f>
        <v>0</v>
      </c>
      <c r="AC191" s="10">
        <f>SUMIFS(IsQList,IsIList,Table_ExternalData_15[[#This Row],[item_key]],IsITypeList,Table_ExternalData_15[[#This Row],[IType]],IsDList,Table_ExternalData_15[[#Headers],[25]])</f>
        <v>0</v>
      </c>
      <c r="AD191" s="10">
        <f>SUMIFS(IsQList,IsIList,Table_ExternalData_15[[#This Row],[item_key]],IsITypeList,Table_ExternalData_15[[#This Row],[IType]],IsDList,Table_ExternalData_15[[#Headers],[26]])</f>
        <v>0</v>
      </c>
      <c r="AE191" s="10">
        <f>SUMIFS(IsQList,IsIList,Table_ExternalData_15[[#This Row],[item_key]],IsITypeList,Table_ExternalData_15[[#This Row],[IType]],IsDList,Table_ExternalData_15[[#Headers],[27]])</f>
        <v>0</v>
      </c>
      <c r="AF191" s="10">
        <f>SUMIFS(IsQList,IsIList,Table_ExternalData_15[[#This Row],[item_key]],IsITypeList,Table_ExternalData_15[[#This Row],[IType]],IsDList,Table_ExternalData_15[[#Headers],[28]])</f>
        <v>0</v>
      </c>
      <c r="AG191" s="10">
        <f>SUMIFS(IsQList,IsIList,Table_ExternalData_15[[#This Row],[item_key]],IsITypeList,Table_ExternalData_15[[#This Row],[IType]],IsDList,Table_ExternalData_15[[#Headers],[29]])</f>
        <v>0</v>
      </c>
      <c r="AH191" s="10">
        <f>SUMIFS(IsQList,IsIList,Table_ExternalData_15[[#This Row],[item_key]],IsITypeList,Table_ExternalData_15[[#This Row],[IType]],IsDList,Table_ExternalData_15[[#Headers],[30]])</f>
        <v>0</v>
      </c>
      <c r="AI191" s="10">
        <f>SUMIFS(IsQList,IsIList,Table_ExternalData_15[[#This Row],[item_key]],IsITypeList,Table_ExternalData_15[[#This Row],[IType]],IsDList,Table_ExternalData_15[[#Headers],[31]])</f>
        <v>0</v>
      </c>
      <c r="AJ191" s="10">
        <f>SUM(Table_ExternalData_15[[#This Row],[1]:[31]])</f>
        <v>0</v>
      </c>
    </row>
    <row r="192" spans="1:36">
      <c r="A192" s="1" t="s">
        <v>1773</v>
      </c>
      <c r="B192" s="1" t="s">
        <v>2624</v>
      </c>
      <c r="C192" s="1" t="s">
        <v>2625</v>
      </c>
      <c r="D192" s="11" t="s">
        <v>72</v>
      </c>
      <c r="E192" s="10">
        <f>SUMIFS(IsQList,IsIList,Table_ExternalData_15[[#This Row],[item_key]],IsITypeList,Table_ExternalData_15[[#This Row],[IType]],IsDList,Table_ExternalData_15[[#Headers],[1]])</f>
        <v>0</v>
      </c>
      <c r="F192" s="10">
        <f>SUMIFS(IsQList,IsIList,Table_ExternalData_15[[#This Row],[item_key]],IsITypeList,Table_ExternalData_15[[#This Row],[IType]],IsDList,Table_ExternalData_15[[#Headers],[2]])</f>
        <v>0</v>
      </c>
      <c r="G192" s="10">
        <f>SUMIFS(IsQList,IsIList,Table_ExternalData_15[[#This Row],[item_key]],IsITypeList,Table_ExternalData_15[[#This Row],[IType]],IsDList,Table_ExternalData_15[[#Headers],[3]])</f>
        <v>0</v>
      </c>
      <c r="H192" s="10">
        <f>SUMIFS(IsQList,IsIList,Table_ExternalData_15[[#This Row],[item_key]],IsITypeList,Table_ExternalData_15[[#This Row],[IType]],IsDList,Table_ExternalData_15[[#Headers],[4]])</f>
        <v>0</v>
      </c>
      <c r="I192" s="10">
        <f>SUMIFS(IsQList,IsIList,Table_ExternalData_15[[#This Row],[item_key]],IsITypeList,Table_ExternalData_15[[#This Row],[IType]],IsDList,Table_ExternalData_15[[#Headers],[5]])</f>
        <v>0</v>
      </c>
      <c r="J192" s="10">
        <f>SUMIFS(IsQList,IsIList,Table_ExternalData_15[[#This Row],[item_key]],IsITypeList,Table_ExternalData_15[[#This Row],[IType]],IsDList,Table_ExternalData_15[[#Headers],[6]])</f>
        <v>0</v>
      </c>
      <c r="K192" s="10">
        <f>SUMIFS(IsQList,IsIList,Table_ExternalData_15[[#This Row],[item_key]],IsITypeList,Table_ExternalData_15[[#This Row],[IType]],IsDList,Table_ExternalData_15[[#Headers],[7]])</f>
        <v>0</v>
      </c>
      <c r="L192" s="10">
        <f>SUMIFS(IsQList,IsIList,Table_ExternalData_15[[#This Row],[item_key]],IsITypeList,Table_ExternalData_15[[#This Row],[IType]],IsDList,Table_ExternalData_15[[#Headers],[8]])</f>
        <v>0</v>
      </c>
      <c r="M192" s="10">
        <f>SUMIFS(IsQList,IsIList,Table_ExternalData_15[[#This Row],[item_key]],IsITypeList,Table_ExternalData_15[[#This Row],[IType]],IsDList,Table_ExternalData_15[[#Headers],[9]])</f>
        <v>0</v>
      </c>
      <c r="N192" s="10">
        <f>SUMIFS(IsQList,IsIList,Table_ExternalData_15[[#This Row],[item_key]],IsITypeList,Table_ExternalData_15[[#This Row],[IType]],IsDList,Table_ExternalData_15[[#Headers],[10]])</f>
        <v>236</v>
      </c>
      <c r="O192" s="10">
        <f>SUMIFS(IsQList,IsIList,Table_ExternalData_15[[#This Row],[item_key]],IsITypeList,Table_ExternalData_15[[#This Row],[IType]],IsDList,Table_ExternalData_15[[#Headers],[11]])</f>
        <v>0</v>
      </c>
      <c r="P192" s="10">
        <f>SUMIFS(IsQList,IsIList,Table_ExternalData_15[[#This Row],[item_key]],IsITypeList,Table_ExternalData_15[[#This Row],[IType]],IsDList,Table_ExternalData_15[[#Headers],[12]])</f>
        <v>0</v>
      </c>
      <c r="Q192" s="10">
        <f>SUMIFS(IsQList,IsIList,Table_ExternalData_15[[#This Row],[item_key]],IsITypeList,Table_ExternalData_15[[#This Row],[IType]],IsDList,Table_ExternalData_15[[#Headers],[13]])</f>
        <v>0</v>
      </c>
      <c r="R192" s="10">
        <f>SUMIFS(IsQList,IsIList,Table_ExternalData_15[[#This Row],[item_key]],IsITypeList,Table_ExternalData_15[[#This Row],[IType]],IsDList,Table_ExternalData_15[[#Headers],[14]])</f>
        <v>0</v>
      </c>
      <c r="S192" s="10">
        <f>SUMIFS(IsQList,IsIList,Table_ExternalData_15[[#This Row],[item_key]],IsITypeList,Table_ExternalData_15[[#This Row],[IType]],IsDList,Table_ExternalData_15[[#Headers],[15]])</f>
        <v>0</v>
      </c>
      <c r="T192" s="10">
        <f>SUMIFS(IsQList,IsIList,Table_ExternalData_15[[#This Row],[item_key]],IsITypeList,Table_ExternalData_15[[#This Row],[IType]],IsDList,Table_ExternalData_15[[#Headers],[16]])</f>
        <v>0</v>
      </c>
      <c r="U192" s="10">
        <f>SUMIFS(IsQList,IsIList,Table_ExternalData_15[[#This Row],[item_key]],IsITypeList,Table_ExternalData_15[[#This Row],[IType]],IsDList,Table_ExternalData_15[[#Headers],[17]])</f>
        <v>0</v>
      </c>
      <c r="V192" s="10">
        <f>SUMIFS(IsQList,IsIList,Table_ExternalData_15[[#This Row],[item_key]],IsITypeList,Table_ExternalData_15[[#This Row],[IType]],IsDList,Table_ExternalData_15[[#Headers],[18]])</f>
        <v>0</v>
      </c>
      <c r="W192" s="10">
        <f>SUMIFS(IsQList,IsIList,Table_ExternalData_15[[#This Row],[item_key]],IsITypeList,Table_ExternalData_15[[#This Row],[IType]],IsDList,Table_ExternalData_15[[#Headers],[19]])</f>
        <v>0</v>
      </c>
      <c r="X192" s="10">
        <f>SUMIFS(IsQList,IsIList,Table_ExternalData_15[[#This Row],[item_key]],IsITypeList,Table_ExternalData_15[[#This Row],[IType]],IsDList,Table_ExternalData_15[[#Headers],[20]])</f>
        <v>0</v>
      </c>
      <c r="Y192" s="10">
        <f>SUMIFS(IsQList,IsIList,Table_ExternalData_15[[#This Row],[item_key]],IsITypeList,Table_ExternalData_15[[#This Row],[IType]],IsDList,Table_ExternalData_15[[#Headers],[21]])</f>
        <v>0</v>
      </c>
      <c r="Z192" s="10">
        <f>SUMIFS(IsQList,IsIList,Table_ExternalData_15[[#This Row],[item_key]],IsITypeList,Table_ExternalData_15[[#This Row],[IType]],IsDList,Table_ExternalData_15[[#Headers],[22]])</f>
        <v>0</v>
      </c>
      <c r="AA192" s="10">
        <f>SUMIFS(IsQList,IsIList,Table_ExternalData_15[[#This Row],[item_key]],IsITypeList,Table_ExternalData_15[[#This Row],[IType]],IsDList,Table_ExternalData_15[[#Headers],[23]])</f>
        <v>0</v>
      </c>
      <c r="AB192" s="10">
        <f>SUMIFS(IsQList,IsIList,Table_ExternalData_15[[#This Row],[item_key]],IsITypeList,Table_ExternalData_15[[#This Row],[IType]],IsDList,Table_ExternalData_15[[#Headers],[24]])</f>
        <v>0</v>
      </c>
      <c r="AC192" s="10">
        <f>SUMIFS(IsQList,IsIList,Table_ExternalData_15[[#This Row],[item_key]],IsITypeList,Table_ExternalData_15[[#This Row],[IType]],IsDList,Table_ExternalData_15[[#Headers],[25]])</f>
        <v>0</v>
      </c>
      <c r="AD192" s="10">
        <f>SUMIFS(IsQList,IsIList,Table_ExternalData_15[[#This Row],[item_key]],IsITypeList,Table_ExternalData_15[[#This Row],[IType]],IsDList,Table_ExternalData_15[[#Headers],[26]])</f>
        <v>0</v>
      </c>
      <c r="AE192" s="10">
        <f>SUMIFS(IsQList,IsIList,Table_ExternalData_15[[#This Row],[item_key]],IsITypeList,Table_ExternalData_15[[#This Row],[IType]],IsDList,Table_ExternalData_15[[#Headers],[27]])</f>
        <v>0</v>
      </c>
      <c r="AF192" s="10">
        <f>SUMIFS(IsQList,IsIList,Table_ExternalData_15[[#This Row],[item_key]],IsITypeList,Table_ExternalData_15[[#This Row],[IType]],IsDList,Table_ExternalData_15[[#Headers],[28]])</f>
        <v>0</v>
      </c>
      <c r="AG192" s="10">
        <f>SUMIFS(IsQList,IsIList,Table_ExternalData_15[[#This Row],[item_key]],IsITypeList,Table_ExternalData_15[[#This Row],[IType]],IsDList,Table_ExternalData_15[[#Headers],[29]])</f>
        <v>0</v>
      </c>
      <c r="AH192" s="10">
        <f>SUMIFS(IsQList,IsIList,Table_ExternalData_15[[#This Row],[item_key]],IsITypeList,Table_ExternalData_15[[#This Row],[IType]],IsDList,Table_ExternalData_15[[#Headers],[30]])</f>
        <v>7</v>
      </c>
      <c r="AI192" s="10">
        <f>SUMIFS(IsQList,IsIList,Table_ExternalData_15[[#This Row],[item_key]],IsITypeList,Table_ExternalData_15[[#This Row],[IType]],IsDList,Table_ExternalData_15[[#Headers],[31]])</f>
        <v>0</v>
      </c>
      <c r="AJ192" s="10">
        <f>SUM(Table_ExternalData_15[[#This Row],[1]:[31]])</f>
        <v>243</v>
      </c>
    </row>
    <row r="193" spans="1:36">
      <c r="A193" s="1" t="s">
        <v>664</v>
      </c>
      <c r="B193" s="1" t="s">
        <v>1355</v>
      </c>
      <c r="C193" s="1" t="s">
        <v>1356</v>
      </c>
      <c r="D193" s="11" t="s">
        <v>72</v>
      </c>
      <c r="E193" s="10">
        <f>SUMIFS(IsQList,IsIList,Table_ExternalData_15[[#This Row],[item_key]],IsITypeList,Table_ExternalData_15[[#This Row],[IType]],IsDList,Table_ExternalData_15[[#Headers],[1]])</f>
        <v>0</v>
      </c>
      <c r="F193" s="10">
        <f>SUMIFS(IsQList,IsIList,Table_ExternalData_15[[#This Row],[item_key]],IsITypeList,Table_ExternalData_15[[#This Row],[IType]],IsDList,Table_ExternalData_15[[#Headers],[2]])</f>
        <v>0</v>
      </c>
      <c r="G193" s="10">
        <f>SUMIFS(IsQList,IsIList,Table_ExternalData_15[[#This Row],[item_key]],IsITypeList,Table_ExternalData_15[[#This Row],[IType]],IsDList,Table_ExternalData_15[[#Headers],[3]])</f>
        <v>0</v>
      </c>
      <c r="H193" s="10">
        <f>SUMIFS(IsQList,IsIList,Table_ExternalData_15[[#This Row],[item_key]],IsITypeList,Table_ExternalData_15[[#This Row],[IType]],IsDList,Table_ExternalData_15[[#Headers],[4]])</f>
        <v>0</v>
      </c>
      <c r="I193" s="10">
        <f>SUMIFS(IsQList,IsIList,Table_ExternalData_15[[#This Row],[item_key]],IsITypeList,Table_ExternalData_15[[#This Row],[IType]],IsDList,Table_ExternalData_15[[#Headers],[5]])</f>
        <v>0</v>
      </c>
      <c r="J193" s="10">
        <f>SUMIFS(IsQList,IsIList,Table_ExternalData_15[[#This Row],[item_key]],IsITypeList,Table_ExternalData_15[[#This Row],[IType]],IsDList,Table_ExternalData_15[[#Headers],[6]])</f>
        <v>0</v>
      </c>
      <c r="K193" s="10">
        <f>SUMIFS(IsQList,IsIList,Table_ExternalData_15[[#This Row],[item_key]],IsITypeList,Table_ExternalData_15[[#This Row],[IType]],IsDList,Table_ExternalData_15[[#Headers],[7]])</f>
        <v>0</v>
      </c>
      <c r="L193" s="10">
        <f>SUMIFS(IsQList,IsIList,Table_ExternalData_15[[#This Row],[item_key]],IsITypeList,Table_ExternalData_15[[#This Row],[IType]],IsDList,Table_ExternalData_15[[#Headers],[8]])</f>
        <v>0</v>
      </c>
      <c r="M193" s="10">
        <f>SUMIFS(IsQList,IsIList,Table_ExternalData_15[[#This Row],[item_key]],IsITypeList,Table_ExternalData_15[[#This Row],[IType]],IsDList,Table_ExternalData_15[[#Headers],[9]])</f>
        <v>0</v>
      </c>
      <c r="N193" s="10">
        <f>SUMIFS(IsQList,IsIList,Table_ExternalData_15[[#This Row],[item_key]],IsITypeList,Table_ExternalData_15[[#This Row],[IType]],IsDList,Table_ExternalData_15[[#Headers],[10]])</f>
        <v>0</v>
      </c>
      <c r="O193" s="10">
        <f>SUMIFS(IsQList,IsIList,Table_ExternalData_15[[#This Row],[item_key]],IsITypeList,Table_ExternalData_15[[#This Row],[IType]],IsDList,Table_ExternalData_15[[#Headers],[11]])</f>
        <v>0</v>
      </c>
      <c r="P193" s="10">
        <f>SUMIFS(IsQList,IsIList,Table_ExternalData_15[[#This Row],[item_key]],IsITypeList,Table_ExternalData_15[[#This Row],[IType]],IsDList,Table_ExternalData_15[[#Headers],[12]])</f>
        <v>0</v>
      </c>
      <c r="Q193" s="10">
        <f>SUMIFS(IsQList,IsIList,Table_ExternalData_15[[#This Row],[item_key]],IsITypeList,Table_ExternalData_15[[#This Row],[IType]],IsDList,Table_ExternalData_15[[#Headers],[13]])</f>
        <v>0</v>
      </c>
      <c r="R193" s="10">
        <f>SUMIFS(IsQList,IsIList,Table_ExternalData_15[[#This Row],[item_key]],IsITypeList,Table_ExternalData_15[[#This Row],[IType]],IsDList,Table_ExternalData_15[[#Headers],[14]])</f>
        <v>0</v>
      </c>
      <c r="S193" s="10">
        <f>SUMIFS(IsQList,IsIList,Table_ExternalData_15[[#This Row],[item_key]],IsITypeList,Table_ExternalData_15[[#This Row],[IType]],IsDList,Table_ExternalData_15[[#Headers],[15]])</f>
        <v>0</v>
      </c>
      <c r="T193" s="10">
        <f>SUMIFS(IsQList,IsIList,Table_ExternalData_15[[#This Row],[item_key]],IsITypeList,Table_ExternalData_15[[#This Row],[IType]],IsDList,Table_ExternalData_15[[#Headers],[16]])</f>
        <v>0</v>
      </c>
      <c r="U193" s="10">
        <f>SUMIFS(IsQList,IsIList,Table_ExternalData_15[[#This Row],[item_key]],IsITypeList,Table_ExternalData_15[[#This Row],[IType]],IsDList,Table_ExternalData_15[[#Headers],[17]])</f>
        <v>0</v>
      </c>
      <c r="V193" s="10">
        <f>SUMIFS(IsQList,IsIList,Table_ExternalData_15[[#This Row],[item_key]],IsITypeList,Table_ExternalData_15[[#This Row],[IType]],IsDList,Table_ExternalData_15[[#Headers],[18]])</f>
        <v>0</v>
      </c>
      <c r="W193" s="10">
        <f>SUMIFS(IsQList,IsIList,Table_ExternalData_15[[#This Row],[item_key]],IsITypeList,Table_ExternalData_15[[#This Row],[IType]],IsDList,Table_ExternalData_15[[#Headers],[19]])</f>
        <v>0</v>
      </c>
      <c r="X193" s="10">
        <f>SUMIFS(IsQList,IsIList,Table_ExternalData_15[[#This Row],[item_key]],IsITypeList,Table_ExternalData_15[[#This Row],[IType]],IsDList,Table_ExternalData_15[[#Headers],[20]])</f>
        <v>0</v>
      </c>
      <c r="Y193" s="10">
        <f>SUMIFS(IsQList,IsIList,Table_ExternalData_15[[#This Row],[item_key]],IsITypeList,Table_ExternalData_15[[#This Row],[IType]],IsDList,Table_ExternalData_15[[#Headers],[21]])</f>
        <v>0</v>
      </c>
      <c r="Z193" s="10">
        <f>SUMIFS(IsQList,IsIList,Table_ExternalData_15[[#This Row],[item_key]],IsITypeList,Table_ExternalData_15[[#This Row],[IType]],IsDList,Table_ExternalData_15[[#Headers],[22]])</f>
        <v>0</v>
      </c>
      <c r="AA193" s="10">
        <f>SUMIFS(IsQList,IsIList,Table_ExternalData_15[[#This Row],[item_key]],IsITypeList,Table_ExternalData_15[[#This Row],[IType]],IsDList,Table_ExternalData_15[[#Headers],[23]])</f>
        <v>0</v>
      </c>
      <c r="AB193" s="10">
        <f>SUMIFS(IsQList,IsIList,Table_ExternalData_15[[#This Row],[item_key]],IsITypeList,Table_ExternalData_15[[#This Row],[IType]],IsDList,Table_ExternalData_15[[#Headers],[24]])</f>
        <v>10</v>
      </c>
      <c r="AC193" s="10">
        <f>SUMIFS(IsQList,IsIList,Table_ExternalData_15[[#This Row],[item_key]],IsITypeList,Table_ExternalData_15[[#This Row],[IType]],IsDList,Table_ExternalData_15[[#Headers],[25]])</f>
        <v>0</v>
      </c>
      <c r="AD193" s="10">
        <f>SUMIFS(IsQList,IsIList,Table_ExternalData_15[[#This Row],[item_key]],IsITypeList,Table_ExternalData_15[[#This Row],[IType]],IsDList,Table_ExternalData_15[[#Headers],[26]])</f>
        <v>0</v>
      </c>
      <c r="AE193" s="10">
        <f>SUMIFS(IsQList,IsIList,Table_ExternalData_15[[#This Row],[item_key]],IsITypeList,Table_ExternalData_15[[#This Row],[IType]],IsDList,Table_ExternalData_15[[#Headers],[27]])</f>
        <v>0</v>
      </c>
      <c r="AF193" s="10">
        <f>SUMIFS(IsQList,IsIList,Table_ExternalData_15[[#This Row],[item_key]],IsITypeList,Table_ExternalData_15[[#This Row],[IType]],IsDList,Table_ExternalData_15[[#Headers],[28]])</f>
        <v>0</v>
      </c>
      <c r="AG193" s="10">
        <f>SUMIFS(IsQList,IsIList,Table_ExternalData_15[[#This Row],[item_key]],IsITypeList,Table_ExternalData_15[[#This Row],[IType]],IsDList,Table_ExternalData_15[[#Headers],[29]])</f>
        <v>0</v>
      </c>
      <c r="AH193" s="10">
        <f>SUMIFS(IsQList,IsIList,Table_ExternalData_15[[#This Row],[item_key]],IsITypeList,Table_ExternalData_15[[#This Row],[IType]],IsDList,Table_ExternalData_15[[#Headers],[30]])</f>
        <v>0</v>
      </c>
      <c r="AI193" s="10">
        <f>SUMIFS(IsQList,IsIList,Table_ExternalData_15[[#This Row],[item_key]],IsITypeList,Table_ExternalData_15[[#This Row],[IType]],IsDList,Table_ExternalData_15[[#Headers],[31]])</f>
        <v>0</v>
      </c>
      <c r="AJ193" s="10">
        <f>SUM(Table_ExternalData_15[[#This Row],[1]:[31]])</f>
        <v>10</v>
      </c>
    </row>
    <row r="194" spans="1:36">
      <c r="A194" s="1" t="s">
        <v>665</v>
      </c>
      <c r="B194" s="1" t="s">
        <v>2626</v>
      </c>
      <c r="C194" s="1" t="s">
        <v>2627</v>
      </c>
      <c r="D194" s="11" t="s">
        <v>72</v>
      </c>
      <c r="E194" s="10">
        <f>SUMIFS(IsQList,IsIList,Table_ExternalData_15[[#This Row],[item_key]],IsITypeList,Table_ExternalData_15[[#This Row],[IType]],IsDList,Table_ExternalData_15[[#Headers],[1]])</f>
        <v>0</v>
      </c>
      <c r="F194" s="10">
        <f>SUMIFS(IsQList,IsIList,Table_ExternalData_15[[#This Row],[item_key]],IsITypeList,Table_ExternalData_15[[#This Row],[IType]],IsDList,Table_ExternalData_15[[#Headers],[2]])</f>
        <v>0</v>
      </c>
      <c r="G194" s="10">
        <f>SUMIFS(IsQList,IsIList,Table_ExternalData_15[[#This Row],[item_key]],IsITypeList,Table_ExternalData_15[[#This Row],[IType]],IsDList,Table_ExternalData_15[[#Headers],[3]])</f>
        <v>0</v>
      </c>
      <c r="H194" s="10">
        <f>SUMIFS(IsQList,IsIList,Table_ExternalData_15[[#This Row],[item_key]],IsITypeList,Table_ExternalData_15[[#This Row],[IType]],IsDList,Table_ExternalData_15[[#Headers],[4]])</f>
        <v>0</v>
      </c>
      <c r="I194" s="10">
        <f>SUMIFS(IsQList,IsIList,Table_ExternalData_15[[#This Row],[item_key]],IsITypeList,Table_ExternalData_15[[#This Row],[IType]],IsDList,Table_ExternalData_15[[#Headers],[5]])</f>
        <v>0</v>
      </c>
      <c r="J194" s="10">
        <f>SUMIFS(IsQList,IsIList,Table_ExternalData_15[[#This Row],[item_key]],IsITypeList,Table_ExternalData_15[[#This Row],[IType]],IsDList,Table_ExternalData_15[[#Headers],[6]])</f>
        <v>0</v>
      </c>
      <c r="K194" s="10">
        <f>SUMIFS(IsQList,IsIList,Table_ExternalData_15[[#This Row],[item_key]],IsITypeList,Table_ExternalData_15[[#This Row],[IType]],IsDList,Table_ExternalData_15[[#Headers],[7]])</f>
        <v>0</v>
      </c>
      <c r="L194" s="10">
        <f>SUMIFS(IsQList,IsIList,Table_ExternalData_15[[#This Row],[item_key]],IsITypeList,Table_ExternalData_15[[#This Row],[IType]],IsDList,Table_ExternalData_15[[#Headers],[8]])</f>
        <v>0</v>
      </c>
      <c r="M194" s="10">
        <f>SUMIFS(IsQList,IsIList,Table_ExternalData_15[[#This Row],[item_key]],IsITypeList,Table_ExternalData_15[[#This Row],[IType]],IsDList,Table_ExternalData_15[[#Headers],[9]])</f>
        <v>0</v>
      </c>
      <c r="N194" s="10">
        <f>SUMIFS(IsQList,IsIList,Table_ExternalData_15[[#This Row],[item_key]],IsITypeList,Table_ExternalData_15[[#This Row],[IType]],IsDList,Table_ExternalData_15[[#Headers],[10]])</f>
        <v>0</v>
      </c>
      <c r="O194" s="10">
        <f>SUMIFS(IsQList,IsIList,Table_ExternalData_15[[#This Row],[item_key]],IsITypeList,Table_ExternalData_15[[#This Row],[IType]],IsDList,Table_ExternalData_15[[#Headers],[11]])</f>
        <v>0</v>
      </c>
      <c r="P194" s="10">
        <f>SUMIFS(IsQList,IsIList,Table_ExternalData_15[[#This Row],[item_key]],IsITypeList,Table_ExternalData_15[[#This Row],[IType]],IsDList,Table_ExternalData_15[[#Headers],[12]])</f>
        <v>0</v>
      </c>
      <c r="Q194" s="10">
        <f>SUMIFS(IsQList,IsIList,Table_ExternalData_15[[#This Row],[item_key]],IsITypeList,Table_ExternalData_15[[#This Row],[IType]],IsDList,Table_ExternalData_15[[#Headers],[13]])</f>
        <v>0</v>
      </c>
      <c r="R194" s="10">
        <f>SUMIFS(IsQList,IsIList,Table_ExternalData_15[[#This Row],[item_key]],IsITypeList,Table_ExternalData_15[[#This Row],[IType]],IsDList,Table_ExternalData_15[[#Headers],[14]])</f>
        <v>0</v>
      </c>
      <c r="S194" s="10">
        <f>SUMIFS(IsQList,IsIList,Table_ExternalData_15[[#This Row],[item_key]],IsITypeList,Table_ExternalData_15[[#This Row],[IType]],IsDList,Table_ExternalData_15[[#Headers],[15]])</f>
        <v>0</v>
      </c>
      <c r="T194" s="10">
        <f>SUMIFS(IsQList,IsIList,Table_ExternalData_15[[#This Row],[item_key]],IsITypeList,Table_ExternalData_15[[#This Row],[IType]],IsDList,Table_ExternalData_15[[#Headers],[16]])</f>
        <v>0</v>
      </c>
      <c r="U194" s="10">
        <f>SUMIFS(IsQList,IsIList,Table_ExternalData_15[[#This Row],[item_key]],IsITypeList,Table_ExternalData_15[[#This Row],[IType]],IsDList,Table_ExternalData_15[[#Headers],[17]])</f>
        <v>0</v>
      </c>
      <c r="V194" s="10">
        <f>SUMIFS(IsQList,IsIList,Table_ExternalData_15[[#This Row],[item_key]],IsITypeList,Table_ExternalData_15[[#This Row],[IType]],IsDList,Table_ExternalData_15[[#Headers],[18]])</f>
        <v>0</v>
      </c>
      <c r="W194" s="10">
        <f>SUMIFS(IsQList,IsIList,Table_ExternalData_15[[#This Row],[item_key]],IsITypeList,Table_ExternalData_15[[#This Row],[IType]],IsDList,Table_ExternalData_15[[#Headers],[19]])</f>
        <v>0</v>
      </c>
      <c r="X194" s="10">
        <f>SUMIFS(IsQList,IsIList,Table_ExternalData_15[[#This Row],[item_key]],IsITypeList,Table_ExternalData_15[[#This Row],[IType]],IsDList,Table_ExternalData_15[[#Headers],[20]])</f>
        <v>0</v>
      </c>
      <c r="Y194" s="10">
        <f>SUMIFS(IsQList,IsIList,Table_ExternalData_15[[#This Row],[item_key]],IsITypeList,Table_ExternalData_15[[#This Row],[IType]],IsDList,Table_ExternalData_15[[#Headers],[21]])</f>
        <v>0</v>
      </c>
      <c r="Z194" s="10">
        <f>SUMIFS(IsQList,IsIList,Table_ExternalData_15[[#This Row],[item_key]],IsITypeList,Table_ExternalData_15[[#This Row],[IType]],IsDList,Table_ExternalData_15[[#Headers],[22]])</f>
        <v>0</v>
      </c>
      <c r="AA194" s="10">
        <f>SUMIFS(IsQList,IsIList,Table_ExternalData_15[[#This Row],[item_key]],IsITypeList,Table_ExternalData_15[[#This Row],[IType]],IsDList,Table_ExternalData_15[[#Headers],[23]])</f>
        <v>0</v>
      </c>
      <c r="AB194" s="10">
        <f>SUMIFS(IsQList,IsIList,Table_ExternalData_15[[#This Row],[item_key]],IsITypeList,Table_ExternalData_15[[#This Row],[IType]],IsDList,Table_ExternalData_15[[#Headers],[24]])</f>
        <v>0</v>
      </c>
      <c r="AC194" s="10">
        <f>SUMIFS(IsQList,IsIList,Table_ExternalData_15[[#This Row],[item_key]],IsITypeList,Table_ExternalData_15[[#This Row],[IType]],IsDList,Table_ExternalData_15[[#Headers],[25]])</f>
        <v>0</v>
      </c>
      <c r="AD194" s="10">
        <f>SUMIFS(IsQList,IsIList,Table_ExternalData_15[[#This Row],[item_key]],IsITypeList,Table_ExternalData_15[[#This Row],[IType]],IsDList,Table_ExternalData_15[[#Headers],[26]])</f>
        <v>0</v>
      </c>
      <c r="AE194" s="10">
        <f>SUMIFS(IsQList,IsIList,Table_ExternalData_15[[#This Row],[item_key]],IsITypeList,Table_ExternalData_15[[#This Row],[IType]],IsDList,Table_ExternalData_15[[#Headers],[27]])</f>
        <v>0</v>
      </c>
      <c r="AF194" s="10">
        <f>SUMIFS(IsQList,IsIList,Table_ExternalData_15[[#This Row],[item_key]],IsITypeList,Table_ExternalData_15[[#This Row],[IType]],IsDList,Table_ExternalData_15[[#Headers],[28]])</f>
        <v>0</v>
      </c>
      <c r="AG194" s="10">
        <f>SUMIFS(IsQList,IsIList,Table_ExternalData_15[[#This Row],[item_key]],IsITypeList,Table_ExternalData_15[[#This Row],[IType]],IsDList,Table_ExternalData_15[[#Headers],[29]])</f>
        <v>0</v>
      </c>
      <c r="AH194" s="10">
        <f>SUMIFS(IsQList,IsIList,Table_ExternalData_15[[#This Row],[item_key]],IsITypeList,Table_ExternalData_15[[#This Row],[IType]],IsDList,Table_ExternalData_15[[#Headers],[30]])</f>
        <v>0</v>
      </c>
      <c r="AI194" s="10">
        <f>SUMIFS(IsQList,IsIList,Table_ExternalData_15[[#This Row],[item_key]],IsITypeList,Table_ExternalData_15[[#This Row],[IType]],IsDList,Table_ExternalData_15[[#Headers],[31]])</f>
        <v>0</v>
      </c>
      <c r="AJ194" s="10">
        <f>SUM(Table_ExternalData_15[[#This Row],[1]:[31]])</f>
        <v>0</v>
      </c>
    </row>
    <row r="195" spans="1:36">
      <c r="A195" s="1" t="s">
        <v>667</v>
      </c>
      <c r="B195" s="1" t="s">
        <v>1357</v>
      </c>
      <c r="C195" s="1" t="s">
        <v>1358</v>
      </c>
      <c r="D195" s="11" t="s">
        <v>72</v>
      </c>
      <c r="E195" s="10">
        <f>SUMIFS(IsQList,IsIList,Table_ExternalData_15[[#This Row],[item_key]],IsITypeList,Table_ExternalData_15[[#This Row],[IType]],IsDList,Table_ExternalData_15[[#Headers],[1]])</f>
        <v>0</v>
      </c>
      <c r="F195" s="10">
        <f>SUMIFS(IsQList,IsIList,Table_ExternalData_15[[#This Row],[item_key]],IsITypeList,Table_ExternalData_15[[#This Row],[IType]],IsDList,Table_ExternalData_15[[#Headers],[2]])</f>
        <v>0</v>
      </c>
      <c r="G195" s="10">
        <f>SUMIFS(IsQList,IsIList,Table_ExternalData_15[[#This Row],[item_key]],IsITypeList,Table_ExternalData_15[[#This Row],[IType]],IsDList,Table_ExternalData_15[[#Headers],[3]])</f>
        <v>0</v>
      </c>
      <c r="H195" s="10">
        <f>SUMIFS(IsQList,IsIList,Table_ExternalData_15[[#This Row],[item_key]],IsITypeList,Table_ExternalData_15[[#This Row],[IType]],IsDList,Table_ExternalData_15[[#Headers],[4]])</f>
        <v>0</v>
      </c>
      <c r="I195" s="10">
        <f>SUMIFS(IsQList,IsIList,Table_ExternalData_15[[#This Row],[item_key]],IsITypeList,Table_ExternalData_15[[#This Row],[IType]],IsDList,Table_ExternalData_15[[#Headers],[5]])</f>
        <v>0</v>
      </c>
      <c r="J195" s="10">
        <f>SUMIFS(IsQList,IsIList,Table_ExternalData_15[[#This Row],[item_key]],IsITypeList,Table_ExternalData_15[[#This Row],[IType]],IsDList,Table_ExternalData_15[[#Headers],[6]])</f>
        <v>0</v>
      </c>
      <c r="K195" s="10">
        <f>SUMIFS(IsQList,IsIList,Table_ExternalData_15[[#This Row],[item_key]],IsITypeList,Table_ExternalData_15[[#This Row],[IType]],IsDList,Table_ExternalData_15[[#Headers],[7]])</f>
        <v>0</v>
      </c>
      <c r="L195" s="10">
        <f>SUMIFS(IsQList,IsIList,Table_ExternalData_15[[#This Row],[item_key]],IsITypeList,Table_ExternalData_15[[#This Row],[IType]],IsDList,Table_ExternalData_15[[#Headers],[8]])</f>
        <v>0</v>
      </c>
      <c r="M195" s="10">
        <f>SUMIFS(IsQList,IsIList,Table_ExternalData_15[[#This Row],[item_key]],IsITypeList,Table_ExternalData_15[[#This Row],[IType]],IsDList,Table_ExternalData_15[[#Headers],[9]])</f>
        <v>0</v>
      </c>
      <c r="N195" s="10">
        <f>SUMIFS(IsQList,IsIList,Table_ExternalData_15[[#This Row],[item_key]],IsITypeList,Table_ExternalData_15[[#This Row],[IType]],IsDList,Table_ExternalData_15[[#Headers],[10]])</f>
        <v>0</v>
      </c>
      <c r="O195" s="10">
        <f>SUMIFS(IsQList,IsIList,Table_ExternalData_15[[#This Row],[item_key]],IsITypeList,Table_ExternalData_15[[#This Row],[IType]],IsDList,Table_ExternalData_15[[#Headers],[11]])</f>
        <v>0</v>
      </c>
      <c r="P195" s="10">
        <f>SUMIFS(IsQList,IsIList,Table_ExternalData_15[[#This Row],[item_key]],IsITypeList,Table_ExternalData_15[[#This Row],[IType]],IsDList,Table_ExternalData_15[[#Headers],[12]])</f>
        <v>0</v>
      </c>
      <c r="Q195" s="10">
        <f>SUMIFS(IsQList,IsIList,Table_ExternalData_15[[#This Row],[item_key]],IsITypeList,Table_ExternalData_15[[#This Row],[IType]],IsDList,Table_ExternalData_15[[#Headers],[13]])</f>
        <v>0</v>
      </c>
      <c r="R195" s="10">
        <f>SUMIFS(IsQList,IsIList,Table_ExternalData_15[[#This Row],[item_key]],IsITypeList,Table_ExternalData_15[[#This Row],[IType]],IsDList,Table_ExternalData_15[[#Headers],[14]])</f>
        <v>0</v>
      </c>
      <c r="S195" s="10">
        <f>SUMIFS(IsQList,IsIList,Table_ExternalData_15[[#This Row],[item_key]],IsITypeList,Table_ExternalData_15[[#This Row],[IType]],IsDList,Table_ExternalData_15[[#Headers],[15]])</f>
        <v>0</v>
      </c>
      <c r="T195" s="10">
        <f>SUMIFS(IsQList,IsIList,Table_ExternalData_15[[#This Row],[item_key]],IsITypeList,Table_ExternalData_15[[#This Row],[IType]],IsDList,Table_ExternalData_15[[#Headers],[16]])</f>
        <v>10</v>
      </c>
      <c r="U195" s="10">
        <f>SUMIFS(IsQList,IsIList,Table_ExternalData_15[[#This Row],[item_key]],IsITypeList,Table_ExternalData_15[[#This Row],[IType]],IsDList,Table_ExternalData_15[[#Headers],[17]])</f>
        <v>0</v>
      </c>
      <c r="V195" s="10">
        <f>SUMIFS(IsQList,IsIList,Table_ExternalData_15[[#This Row],[item_key]],IsITypeList,Table_ExternalData_15[[#This Row],[IType]],IsDList,Table_ExternalData_15[[#Headers],[18]])</f>
        <v>0</v>
      </c>
      <c r="W195" s="10">
        <f>SUMIFS(IsQList,IsIList,Table_ExternalData_15[[#This Row],[item_key]],IsITypeList,Table_ExternalData_15[[#This Row],[IType]],IsDList,Table_ExternalData_15[[#Headers],[19]])</f>
        <v>0</v>
      </c>
      <c r="X195" s="10">
        <f>SUMIFS(IsQList,IsIList,Table_ExternalData_15[[#This Row],[item_key]],IsITypeList,Table_ExternalData_15[[#This Row],[IType]],IsDList,Table_ExternalData_15[[#Headers],[20]])</f>
        <v>0</v>
      </c>
      <c r="Y195" s="10">
        <f>SUMIFS(IsQList,IsIList,Table_ExternalData_15[[#This Row],[item_key]],IsITypeList,Table_ExternalData_15[[#This Row],[IType]],IsDList,Table_ExternalData_15[[#Headers],[21]])</f>
        <v>0</v>
      </c>
      <c r="Z195" s="10">
        <f>SUMIFS(IsQList,IsIList,Table_ExternalData_15[[#This Row],[item_key]],IsITypeList,Table_ExternalData_15[[#This Row],[IType]],IsDList,Table_ExternalData_15[[#Headers],[22]])</f>
        <v>0</v>
      </c>
      <c r="AA195" s="10">
        <f>SUMIFS(IsQList,IsIList,Table_ExternalData_15[[#This Row],[item_key]],IsITypeList,Table_ExternalData_15[[#This Row],[IType]],IsDList,Table_ExternalData_15[[#Headers],[23]])</f>
        <v>0</v>
      </c>
      <c r="AB195" s="10">
        <f>SUMIFS(IsQList,IsIList,Table_ExternalData_15[[#This Row],[item_key]],IsITypeList,Table_ExternalData_15[[#This Row],[IType]],IsDList,Table_ExternalData_15[[#Headers],[24]])</f>
        <v>0</v>
      </c>
      <c r="AC195" s="10">
        <f>SUMIFS(IsQList,IsIList,Table_ExternalData_15[[#This Row],[item_key]],IsITypeList,Table_ExternalData_15[[#This Row],[IType]],IsDList,Table_ExternalData_15[[#Headers],[25]])</f>
        <v>0</v>
      </c>
      <c r="AD195" s="10">
        <f>SUMIFS(IsQList,IsIList,Table_ExternalData_15[[#This Row],[item_key]],IsITypeList,Table_ExternalData_15[[#This Row],[IType]],IsDList,Table_ExternalData_15[[#Headers],[26]])</f>
        <v>0</v>
      </c>
      <c r="AE195" s="10">
        <f>SUMIFS(IsQList,IsIList,Table_ExternalData_15[[#This Row],[item_key]],IsITypeList,Table_ExternalData_15[[#This Row],[IType]],IsDList,Table_ExternalData_15[[#Headers],[27]])</f>
        <v>0</v>
      </c>
      <c r="AF195" s="10">
        <f>SUMIFS(IsQList,IsIList,Table_ExternalData_15[[#This Row],[item_key]],IsITypeList,Table_ExternalData_15[[#This Row],[IType]],IsDList,Table_ExternalData_15[[#Headers],[28]])</f>
        <v>0</v>
      </c>
      <c r="AG195" s="10">
        <f>SUMIFS(IsQList,IsIList,Table_ExternalData_15[[#This Row],[item_key]],IsITypeList,Table_ExternalData_15[[#This Row],[IType]],IsDList,Table_ExternalData_15[[#Headers],[29]])</f>
        <v>0</v>
      </c>
      <c r="AH195" s="10">
        <f>SUMIFS(IsQList,IsIList,Table_ExternalData_15[[#This Row],[item_key]],IsITypeList,Table_ExternalData_15[[#This Row],[IType]],IsDList,Table_ExternalData_15[[#Headers],[30]])</f>
        <v>20</v>
      </c>
      <c r="AI195" s="10">
        <f>SUMIFS(IsQList,IsIList,Table_ExternalData_15[[#This Row],[item_key]],IsITypeList,Table_ExternalData_15[[#This Row],[IType]],IsDList,Table_ExternalData_15[[#Headers],[31]])</f>
        <v>0</v>
      </c>
      <c r="AJ195" s="10">
        <f>SUM(Table_ExternalData_15[[#This Row],[1]:[31]])</f>
        <v>30</v>
      </c>
    </row>
    <row r="196" spans="1:36">
      <c r="A196" s="1" t="s">
        <v>669</v>
      </c>
      <c r="B196" s="1" t="s">
        <v>2416</v>
      </c>
      <c r="C196" s="1" t="s">
        <v>2417</v>
      </c>
      <c r="D196" s="11" t="s">
        <v>72</v>
      </c>
      <c r="E196" s="10">
        <f>SUMIFS(IsQList,IsIList,Table_ExternalData_15[[#This Row],[item_key]],IsITypeList,Table_ExternalData_15[[#This Row],[IType]],IsDList,Table_ExternalData_15[[#Headers],[1]])</f>
        <v>0</v>
      </c>
      <c r="F196" s="10">
        <f>SUMIFS(IsQList,IsIList,Table_ExternalData_15[[#This Row],[item_key]],IsITypeList,Table_ExternalData_15[[#This Row],[IType]],IsDList,Table_ExternalData_15[[#Headers],[2]])</f>
        <v>0</v>
      </c>
      <c r="G196" s="10">
        <f>SUMIFS(IsQList,IsIList,Table_ExternalData_15[[#This Row],[item_key]],IsITypeList,Table_ExternalData_15[[#This Row],[IType]],IsDList,Table_ExternalData_15[[#Headers],[3]])</f>
        <v>0</v>
      </c>
      <c r="H196" s="10">
        <f>SUMIFS(IsQList,IsIList,Table_ExternalData_15[[#This Row],[item_key]],IsITypeList,Table_ExternalData_15[[#This Row],[IType]],IsDList,Table_ExternalData_15[[#Headers],[4]])</f>
        <v>0</v>
      </c>
      <c r="I196" s="10">
        <f>SUMIFS(IsQList,IsIList,Table_ExternalData_15[[#This Row],[item_key]],IsITypeList,Table_ExternalData_15[[#This Row],[IType]],IsDList,Table_ExternalData_15[[#Headers],[5]])</f>
        <v>0</v>
      </c>
      <c r="J196" s="10">
        <f>SUMIFS(IsQList,IsIList,Table_ExternalData_15[[#This Row],[item_key]],IsITypeList,Table_ExternalData_15[[#This Row],[IType]],IsDList,Table_ExternalData_15[[#Headers],[6]])</f>
        <v>0</v>
      </c>
      <c r="K196" s="10">
        <f>SUMIFS(IsQList,IsIList,Table_ExternalData_15[[#This Row],[item_key]],IsITypeList,Table_ExternalData_15[[#This Row],[IType]],IsDList,Table_ExternalData_15[[#Headers],[7]])</f>
        <v>0</v>
      </c>
      <c r="L196" s="10">
        <f>SUMIFS(IsQList,IsIList,Table_ExternalData_15[[#This Row],[item_key]],IsITypeList,Table_ExternalData_15[[#This Row],[IType]],IsDList,Table_ExternalData_15[[#Headers],[8]])</f>
        <v>0</v>
      </c>
      <c r="M196" s="10">
        <f>SUMIFS(IsQList,IsIList,Table_ExternalData_15[[#This Row],[item_key]],IsITypeList,Table_ExternalData_15[[#This Row],[IType]],IsDList,Table_ExternalData_15[[#Headers],[9]])</f>
        <v>0</v>
      </c>
      <c r="N196" s="10">
        <f>SUMIFS(IsQList,IsIList,Table_ExternalData_15[[#This Row],[item_key]],IsITypeList,Table_ExternalData_15[[#This Row],[IType]],IsDList,Table_ExternalData_15[[#Headers],[10]])</f>
        <v>0</v>
      </c>
      <c r="O196" s="10">
        <f>SUMIFS(IsQList,IsIList,Table_ExternalData_15[[#This Row],[item_key]],IsITypeList,Table_ExternalData_15[[#This Row],[IType]],IsDList,Table_ExternalData_15[[#Headers],[11]])</f>
        <v>0</v>
      </c>
      <c r="P196" s="10">
        <f>SUMIFS(IsQList,IsIList,Table_ExternalData_15[[#This Row],[item_key]],IsITypeList,Table_ExternalData_15[[#This Row],[IType]],IsDList,Table_ExternalData_15[[#Headers],[12]])</f>
        <v>0</v>
      </c>
      <c r="Q196" s="10">
        <f>SUMIFS(IsQList,IsIList,Table_ExternalData_15[[#This Row],[item_key]],IsITypeList,Table_ExternalData_15[[#This Row],[IType]],IsDList,Table_ExternalData_15[[#Headers],[13]])</f>
        <v>0</v>
      </c>
      <c r="R196" s="10">
        <f>SUMIFS(IsQList,IsIList,Table_ExternalData_15[[#This Row],[item_key]],IsITypeList,Table_ExternalData_15[[#This Row],[IType]],IsDList,Table_ExternalData_15[[#Headers],[14]])</f>
        <v>0</v>
      </c>
      <c r="S196" s="10">
        <f>SUMIFS(IsQList,IsIList,Table_ExternalData_15[[#This Row],[item_key]],IsITypeList,Table_ExternalData_15[[#This Row],[IType]],IsDList,Table_ExternalData_15[[#Headers],[15]])</f>
        <v>0</v>
      </c>
      <c r="T196" s="10">
        <f>SUMIFS(IsQList,IsIList,Table_ExternalData_15[[#This Row],[item_key]],IsITypeList,Table_ExternalData_15[[#This Row],[IType]],IsDList,Table_ExternalData_15[[#Headers],[16]])</f>
        <v>0</v>
      </c>
      <c r="U196" s="10">
        <f>SUMIFS(IsQList,IsIList,Table_ExternalData_15[[#This Row],[item_key]],IsITypeList,Table_ExternalData_15[[#This Row],[IType]],IsDList,Table_ExternalData_15[[#Headers],[17]])</f>
        <v>0</v>
      </c>
      <c r="V196" s="10">
        <f>SUMIFS(IsQList,IsIList,Table_ExternalData_15[[#This Row],[item_key]],IsITypeList,Table_ExternalData_15[[#This Row],[IType]],IsDList,Table_ExternalData_15[[#Headers],[18]])</f>
        <v>0</v>
      </c>
      <c r="W196" s="10">
        <f>SUMIFS(IsQList,IsIList,Table_ExternalData_15[[#This Row],[item_key]],IsITypeList,Table_ExternalData_15[[#This Row],[IType]],IsDList,Table_ExternalData_15[[#Headers],[19]])</f>
        <v>0</v>
      </c>
      <c r="X196" s="10">
        <f>SUMIFS(IsQList,IsIList,Table_ExternalData_15[[#This Row],[item_key]],IsITypeList,Table_ExternalData_15[[#This Row],[IType]],IsDList,Table_ExternalData_15[[#Headers],[20]])</f>
        <v>0</v>
      </c>
      <c r="Y196" s="10">
        <f>SUMIFS(IsQList,IsIList,Table_ExternalData_15[[#This Row],[item_key]],IsITypeList,Table_ExternalData_15[[#This Row],[IType]],IsDList,Table_ExternalData_15[[#Headers],[21]])</f>
        <v>0</v>
      </c>
      <c r="Z196" s="10">
        <f>SUMIFS(IsQList,IsIList,Table_ExternalData_15[[#This Row],[item_key]],IsITypeList,Table_ExternalData_15[[#This Row],[IType]],IsDList,Table_ExternalData_15[[#Headers],[22]])</f>
        <v>0</v>
      </c>
      <c r="AA196" s="10">
        <f>SUMIFS(IsQList,IsIList,Table_ExternalData_15[[#This Row],[item_key]],IsITypeList,Table_ExternalData_15[[#This Row],[IType]],IsDList,Table_ExternalData_15[[#Headers],[23]])</f>
        <v>0</v>
      </c>
      <c r="AB196" s="10">
        <f>SUMIFS(IsQList,IsIList,Table_ExternalData_15[[#This Row],[item_key]],IsITypeList,Table_ExternalData_15[[#This Row],[IType]],IsDList,Table_ExternalData_15[[#Headers],[24]])</f>
        <v>0</v>
      </c>
      <c r="AC196" s="10">
        <f>SUMIFS(IsQList,IsIList,Table_ExternalData_15[[#This Row],[item_key]],IsITypeList,Table_ExternalData_15[[#This Row],[IType]],IsDList,Table_ExternalData_15[[#Headers],[25]])</f>
        <v>0</v>
      </c>
      <c r="AD196" s="10">
        <f>SUMIFS(IsQList,IsIList,Table_ExternalData_15[[#This Row],[item_key]],IsITypeList,Table_ExternalData_15[[#This Row],[IType]],IsDList,Table_ExternalData_15[[#Headers],[26]])</f>
        <v>0</v>
      </c>
      <c r="AE196" s="10">
        <f>SUMIFS(IsQList,IsIList,Table_ExternalData_15[[#This Row],[item_key]],IsITypeList,Table_ExternalData_15[[#This Row],[IType]],IsDList,Table_ExternalData_15[[#Headers],[27]])</f>
        <v>0</v>
      </c>
      <c r="AF196" s="10">
        <f>SUMIFS(IsQList,IsIList,Table_ExternalData_15[[#This Row],[item_key]],IsITypeList,Table_ExternalData_15[[#This Row],[IType]],IsDList,Table_ExternalData_15[[#Headers],[28]])</f>
        <v>0</v>
      </c>
      <c r="AG196" s="10">
        <f>SUMIFS(IsQList,IsIList,Table_ExternalData_15[[#This Row],[item_key]],IsITypeList,Table_ExternalData_15[[#This Row],[IType]],IsDList,Table_ExternalData_15[[#Headers],[29]])</f>
        <v>0</v>
      </c>
      <c r="AH196" s="10">
        <f>SUMIFS(IsQList,IsIList,Table_ExternalData_15[[#This Row],[item_key]],IsITypeList,Table_ExternalData_15[[#This Row],[IType]],IsDList,Table_ExternalData_15[[#Headers],[30]])</f>
        <v>0</v>
      </c>
      <c r="AI196" s="10">
        <f>SUMIFS(IsQList,IsIList,Table_ExternalData_15[[#This Row],[item_key]],IsITypeList,Table_ExternalData_15[[#This Row],[IType]],IsDList,Table_ExternalData_15[[#Headers],[31]])</f>
        <v>0</v>
      </c>
      <c r="AJ196" s="10">
        <f>SUM(Table_ExternalData_15[[#This Row],[1]:[31]])</f>
        <v>0</v>
      </c>
    </row>
    <row r="197" spans="1:36">
      <c r="A197" s="1" t="s">
        <v>670</v>
      </c>
      <c r="B197" s="1" t="s">
        <v>2628</v>
      </c>
      <c r="C197" s="1" t="s">
        <v>1360</v>
      </c>
      <c r="D197" s="11" t="s">
        <v>72</v>
      </c>
      <c r="E197" s="10">
        <f>SUMIFS(IsQList,IsIList,Table_ExternalData_15[[#This Row],[item_key]],IsITypeList,Table_ExternalData_15[[#This Row],[IType]],IsDList,Table_ExternalData_15[[#Headers],[1]])</f>
        <v>0</v>
      </c>
      <c r="F197" s="10">
        <f>SUMIFS(IsQList,IsIList,Table_ExternalData_15[[#This Row],[item_key]],IsITypeList,Table_ExternalData_15[[#This Row],[IType]],IsDList,Table_ExternalData_15[[#Headers],[2]])</f>
        <v>0</v>
      </c>
      <c r="G197" s="10">
        <f>SUMIFS(IsQList,IsIList,Table_ExternalData_15[[#This Row],[item_key]],IsITypeList,Table_ExternalData_15[[#This Row],[IType]],IsDList,Table_ExternalData_15[[#Headers],[3]])</f>
        <v>0</v>
      </c>
      <c r="H197" s="10">
        <f>SUMIFS(IsQList,IsIList,Table_ExternalData_15[[#This Row],[item_key]],IsITypeList,Table_ExternalData_15[[#This Row],[IType]],IsDList,Table_ExternalData_15[[#Headers],[4]])</f>
        <v>0</v>
      </c>
      <c r="I197" s="10">
        <f>SUMIFS(IsQList,IsIList,Table_ExternalData_15[[#This Row],[item_key]],IsITypeList,Table_ExternalData_15[[#This Row],[IType]],IsDList,Table_ExternalData_15[[#Headers],[5]])</f>
        <v>0</v>
      </c>
      <c r="J197" s="10">
        <f>SUMIFS(IsQList,IsIList,Table_ExternalData_15[[#This Row],[item_key]],IsITypeList,Table_ExternalData_15[[#This Row],[IType]],IsDList,Table_ExternalData_15[[#Headers],[6]])</f>
        <v>0</v>
      </c>
      <c r="K197" s="10">
        <f>SUMIFS(IsQList,IsIList,Table_ExternalData_15[[#This Row],[item_key]],IsITypeList,Table_ExternalData_15[[#This Row],[IType]],IsDList,Table_ExternalData_15[[#Headers],[7]])</f>
        <v>0</v>
      </c>
      <c r="L197" s="10">
        <f>SUMIFS(IsQList,IsIList,Table_ExternalData_15[[#This Row],[item_key]],IsITypeList,Table_ExternalData_15[[#This Row],[IType]],IsDList,Table_ExternalData_15[[#Headers],[8]])</f>
        <v>0</v>
      </c>
      <c r="M197" s="10">
        <f>SUMIFS(IsQList,IsIList,Table_ExternalData_15[[#This Row],[item_key]],IsITypeList,Table_ExternalData_15[[#This Row],[IType]],IsDList,Table_ExternalData_15[[#Headers],[9]])</f>
        <v>0</v>
      </c>
      <c r="N197" s="10">
        <f>SUMIFS(IsQList,IsIList,Table_ExternalData_15[[#This Row],[item_key]],IsITypeList,Table_ExternalData_15[[#This Row],[IType]],IsDList,Table_ExternalData_15[[#Headers],[10]])</f>
        <v>0</v>
      </c>
      <c r="O197" s="10">
        <f>SUMIFS(IsQList,IsIList,Table_ExternalData_15[[#This Row],[item_key]],IsITypeList,Table_ExternalData_15[[#This Row],[IType]],IsDList,Table_ExternalData_15[[#Headers],[11]])</f>
        <v>0</v>
      </c>
      <c r="P197" s="10">
        <f>SUMIFS(IsQList,IsIList,Table_ExternalData_15[[#This Row],[item_key]],IsITypeList,Table_ExternalData_15[[#This Row],[IType]],IsDList,Table_ExternalData_15[[#Headers],[12]])</f>
        <v>0</v>
      </c>
      <c r="Q197" s="10">
        <f>SUMIFS(IsQList,IsIList,Table_ExternalData_15[[#This Row],[item_key]],IsITypeList,Table_ExternalData_15[[#This Row],[IType]],IsDList,Table_ExternalData_15[[#Headers],[13]])</f>
        <v>0</v>
      </c>
      <c r="R197" s="10">
        <f>SUMIFS(IsQList,IsIList,Table_ExternalData_15[[#This Row],[item_key]],IsITypeList,Table_ExternalData_15[[#This Row],[IType]],IsDList,Table_ExternalData_15[[#Headers],[14]])</f>
        <v>0</v>
      </c>
      <c r="S197" s="10">
        <f>SUMIFS(IsQList,IsIList,Table_ExternalData_15[[#This Row],[item_key]],IsITypeList,Table_ExternalData_15[[#This Row],[IType]],IsDList,Table_ExternalData_15[[#Headers],[15]])</f>
        <v>0</v>
      </c>
      <c r="T197" s="10">
        <f>SUMIFS(IsQList,IsIList,Table_ExternalData_15[[#This Row],[item_key]],IsITypeList,Table_ExternalData_15[[#This Row],[IType]],IsDList,Table_ExternalData_15[[#Headers],[16]])</f>
        <v>0</v>
      </c>
      <c r="U197" s="10">
        <f>SUMIFS(IsQList,IsIList,Table_ExternalData_15[[#This Row],[item_key]],IsITypeList,Table_ExternalData_15[[#This Row],[IType]],IsDList,Table_ExternalData_15[[#Headers],[17]])</f>
        <v>0</v>
      </c>
      <c r="V197" s="10">
        <f>SUMIFS(IsQList,IsIList,Table_ExternalData_15[[#This Row],[item_key]],IsITypeList,Table_ExternalData_15[[#This Row],[IType]],IsDList,Table_ExternalData_15[[#Headers],[18]])</f>
        <v>0</v>
      </c>
      <c r="W197" s="10">
        <f>SUMIFS(IsQList,IsIList,Table_ExternalData_15[[#This Row],[item_key]],IsITypeList,Table_ExternalData_15[[#This Row],[IType]],IsDList,Table_ExternalData_15[[#Headers],[19]])</f>
        <v>0</v>
      </c>
      <c r="X197" s="10">
        <f>SUMIFS(IsQList,IsIList,Table_ExternalData_15[[#This Row],[item_key]],IsITypeList,Table_ExternalData_15[[#This Row],[IType]],IsDList,Table_ExternalData_15[[#Headers],[20]])</f>
        <v>0</v>
      </c>
      <c r="Y197" s="10">
        <f>SUMIFS(IsQList,IsIList,Table_ExternalData_15[[#This Row],[item_key]],IsITypeList,Table_ExternalData_15[[#This Row],[IType]],IsDList,Table_ExternalData_15[[#Headers],[21]])</f>
        <v>0</v>
      </c>
      <c r="Z197" s="10">
        <f>SUMIFS(IsQList,IsIList,Table_ExternalData_15[[#This Row],[item_key]],IsITypeList,Table_ExternalData_15[[#This Row],[IType]],IsDList,Table_ExternalData_15[[#Headers],[22]])</f>
        <v>0</v>
      </c>
      <c r="AA197" s="10">
        <f>SUMIFS(IsQList,IsIList,Table_ExternalData_15[[#This Row],[item_key]],IsITypeList,Table_ExternalData_15[[#This Row],[IType]],IsDList,Table_ExternalData_15[[#Headers],[23]])</f>
        <v>0</v>
      </c>
      <c r="AB197" s="10">
        <f>SUMIFS(IsQList,IsIList,Table_ExternalData_15[[#This Row],[item_key]],IsITypeList,Table_ExternalData_15[[#This Row],[IType]],IsDList,Table_ExternalData_15[[#Headers],[24]])</f>
        <v>0</v>
      </c>
      <c r="AC197" s="10">
        <f>SUMIFS(IsQList,IsIList,Table_ExternalData_15[[#This Row],[item_key]],IsITypeList,Table_ExternalData_15[[#This Row],[IType]],IsDList,Table_ExternalData_15[[#Headers],[25]])</f>
        <v>0</v>
      </c>
      <c r="AD197" s="10">
        <f>SUMIFS(IsQList,IsIList,Table_ExternalData_15[[#This Row],[item_key]],IsITypeList,Table_ExternalData_15[[#This Row],[IType]],IsDList,Table_ExternalData_15[[#Headers],[26]])</f>
        <v>0</v>
      </c>
      <c r="AE197" s="10">
        <f>SUMIFS(IsQList,IsIList,Table_ExternalData_15[[#This Row],[item_key]],IsITypeList,Table_ExternalData_15[[#This Row],[IType]],IsDList,Table_ExternalData_15[[#Headers],[27]])</f>
        <v>0</v>
      </c>
      <c r="AF197" s="10">
        <f>SUMIFS(IsQList,IsIList,Table_ExternalData_15[[#This Row],[item_key]],IsITypeList,Table_ExternalData_15[[#This Row],[IType]],IsDList,Table_ExternalData_15[[#Headers],[28]])</f>
        <v>0</v>
      </c>
      <c r="AG197" s="10">
        <f>SUMIFS(IsQList,IsIList,Table_ExternalData_15[[#This Row],[item_key]],IsITypeList,Table_ExternalData_15[[#This Row],[IType]],IsDList,Table_ExternalData_15[[#Headers],[29]])</f>
        <v>0</v>
      </c>
      <c r="AH197" s="10">
        <f>SUMIFS(IsQList,IsIList,Table_ExternalData_15[[#This Row],[item_key]],IsITypeList,Table_ExternalData_15[[#This Row],[IType]],IsDList,Table_ExternalData_15[[#Headers],[30]])</f>
        <v>10</v>
      </c>
      <c r="AI197" s="10">
        <f>SUMIFS(IsQList,IsIList,Table_ExternalData_15[[#This Row],[item_key]],IsITypeList,Table_ExternalData_15[[#This Row],[IType]],IsDList,Table_ExternalData_15[[#Headers],[31]])</f>
        <v>0</v>
      </c>
      <c r="AJ197" s="10">
        <f>SUM(Table_ExternalData_15[[#This Row],[1]:[31]])</f>
        <v>10</v>
      </c>
    </row>
    <row r="198" spans="1:36">
      <c r="A198" s="1" t="s">
        <v>674</v>
      </c>
      <c r="B198" s="1" t="s">
        <v>2629</v>
      </c>
      <c r="C198" s="1" t="s">
        <v>2630</v>
      </c>
      <c r="D198" s="11" t="s">
        <v>72</v>
      </c>
      <c r="E198" s="10">
        <f>SUMIFS(IsQList,IsIList,Table_ExternalData_15[[#This Row],[item_key]],IsITypeList,Table_ExternalData_15[[#This Row],[IType]],IsDList,Table_ExternalData_15[[#Headers],[1]])</f>
        <v>0</v>
      </c>
      <c r="F198" s="10">
        <f>SUMIFS(IsQList,IsIList,Table_ExternalData_15[[#This Row],[item_key]],IsITypeList,Table_ExternalData_15[[#This Row],[IType]],IsDList,Table_ExternalData_15[[#Headers],[2]])</f>
        <v>0</v>
      </c>
      <c r="G198" s="10">
        <f>SUMIFS(IsQList,IsIList,Table_ExternalData_15[[#This Row],[item_key]],IsITypeList,Table_ExternalData_15[[#This Row],[IType]],IsDList,Table_ExternalData_15[[#Headers],[3]])</f>
        <v>0</v>
      </c>
      <c r="H198" s="10">
        <f>SUMIFS(IsQList,IsIList,Table_ExternalData_15[[#This Row],[item_key]],IsITypeList,Table_ExternalData_15[[#This Row],[IType]],IsDList,Table_ExternalData_15[[#Headers],[4]])</f>
        <v>0</v>
      </c>
      <c r="I198" s="10">
        <f>SUMIFS(IsQList,IsIList,Table_ExternalData_15[[#This Row],[item_key]],IsITypeList,Table_ExternalData_15[[#This Row],[IType]],IsDList,Table_ExternalData_15[[#Headers],[5]])</f>
        <v>0</v>
      </c>
      <c r="J198" s="10">
        <f>SUMIFS(IsQList,IsIList,Table_ExternalData_15[[#This Row],[item_key]],IsITypeList,Table_ExternalData_15[[#This Row],[IType]],IsDList,Table_ExternalData_15[[#Headers],[6]])</f>
        <v>0</v>
      </c>
      <c r="K198" s="10">
        <f>SUMIFS(IsQList,IsIList,Table_ExternalData_15[[#This Row],[item_key]],IsITypeList,Table_ExternalData_15[[#This Row],[IType]],IsDList,Table_ExternalData_15[[#Headers],[7]])</f>
        <v>0</v>
      </c>
      <c r="L198" s="10">
        <f>SUMIFS(IsQList,IsIList,Table_ExternalData_15[[#This Row],[item_key]],IsITypeList,Table_ExternalData_15[[#This Row],[IType]],IsDList,Table_ExternalData_15[[#Headers],[8]])</f>
        <v>0</v>
      </c>
      <c r="M198" s="10">
        <f>SUMIFS(IsQList,IsIList,Table_ExternalData_15[[#This Row],[item_key]],IsITypeList,Table_ExternalData_15[[#This Row],[IType]],IsDList,Table_ExternalData_15[[#Headers],[9]])</f>
        <v>0</v>
      </c>
      <c r="N198" s="10">
        <f>SUMIFS(IsQList,IsIList,Table_ExternalData_15[[#This Row],[item_key]],IsITypeList,Table_ExternalData_15[[#This Row],[IType]],IsDList,Table_ExternalData_15[[#Headers],[10]])</f>
        <v>0</v>
      </c>
      <c r="O198" s="10">
        <f>SUMIFS(IsQList,IsIList,Table_ExternalData_15[[#This Row],[item_key]],IsITypeList,Table_ExternalData_15[[#This Row],[IType]],IsDList,Table_ExternalData_15[[#Headers],[11]])</f>
        <v>0</v>
      </c>
      <c r="P198" s="10">
        <f>SUMIFS(IsQList,IsIList,Table_ExternalData_15[[#This Row],[item_key]],IsITypeList,Table_ExternalData_15[[#This Row],[IType]],IsDList,Table_ExternalData_15[[#Headers],[12]])</f>
        <v>0</v>
      </c>
      <c r="Q198" s="10">
        <f>SUMIFS(IsQList,IsIList,Table_ExternalData_15[[#This Row],[item_key]],IsITypeList,Table_ExternalData_15[[#This Row],[IType]],IsDList,Table_ExternalData_15[[#Headers],[13]])</f>
        <v>0</v>
      </c>
      <c r="R198" s="10">
        <f>SUMIFS(IsQList,IsIList,Table_ExternalData_15[[#This Row],[item_key]],IsITypeList,Table_ExternalData_15[[#This Row],[IType]],IsDList,Table_ExternalData_15[[#Headers],[14]])</f>
        <v>0</v>
      </c>
      <c r="S198" s="10">
        <f>SUMIFS(IsQList,IsIList,Table_ExternalData_15[[#This Row],[item_key]],IsITypeList,Table_ExternalData_15[[#This Row],[IType]],IsDList,Table_ExternalData_15[[#Headers],[15]])</f>
        <v>0</v>
      </c>
      <c r="T198" s="10">
        <f>SUMIFS(IsQList,IsIList,Table_ExternalData_15[[#This Row],[item_key]],IsITypeList,Table_ExternalData_15[[#This Row],[IType]],IsDList,Table_ExternalData_15[[#Headers],[16]])</f>
        <v>0</v>
      </c>
      <c r="U198" s="10">
        <f>SUMIFS(IsQList,IsIList,Table_ExternalData_15[[#This Row],[item_key]],IsITypeList,Table_ExternalData_15[[#This Row],[IType]],IsDList,Table_ExternalData_15[[#Headers],[17]])</f>
        <v>0</v>
      </c>
      <c r="V198" s="10">
        <f>SUMIFS(IsQList,IsIList,Table_ExternalData_15[[#This Row],[item_key]],IsITypeList,Table_ExternalData_15[[#This Row],[IType]],IsDList,Table_ExternalData_15[[#Headers],[18]])</f>
        <v>0</v>
      </c>
      <c r="W198" s="10">
        <f>SUMIFS(IsQList,IsIList,Table_ExternalData_15[[#This Row],[item_key]],IsITypeList,Table_ExternalData_15[[#This Row],[IType]],IsDList,Table_ExternalData_15[[#Headers],[19]])</f>
        <v>0</v>
      </c>
      <c r="X198" s="10">
        <f>SUMIFS(IsQList,IsIList,Table_ExternalData_15[[#This Row],[item_key]],IsITypeList,Table_ExternalData_15[[#This Row],[IType]],IsDList,Table_ExternalData_15[[#Headers],[20]])</f>
        <v>0</v>
      </c>
      <c r="Y198" s="10">
        <f>SUMIFS(IsQList,IsIList,Table_ExternalData_15[[#This Row],[item_key]],IsITypeList,Table_ExternalData_15[[#This Row],[IType]],IsDList,Table_ExternalData_15[[#Headers],[21]])</f>
        <v>0</v>
      </c>
      <c r="Z198" s="10">
        <f>SUMIFS(IsQList,IsIList,Table_ExternalData_15[[#This Row],[item_key]],IsITypeList,Table_ExternalData_15[[#This Row],[IType]],IsDList,Table_ExternalData_15[[#Headers],[22]])</f>
        <v>0</v>
      </c>
      <c r="AA198" s="10">
        <f>SUMIFS(IsQList,IsIList,Table_ExternalData_15[[#This Row],[item_key]],IsITypeList,Table_ExternalData_15[[#This Row],[IType]],IsDList,Table_ExternalData_15[[#Headers],[23]])</f>
        <v>0</v>
      </c>
      <c r="AB198" s="10">
        <f>SUMIFS(IsQList,IsIList,Table_ExternalData_15[[#This Row],[item_key]],IsITypeList,Table_ExternalData_15[[#This Row],[IType]],IsDList,Table_ExternalData_15[[#Headers],[24]])</f>
        <v>0</v>
      </c>
      <c r="AC198" s="10">
        <f>SUMIFS(IsQList,IsIList,Table_ExternalData_15[[#This Row],[item_key]],IsITypeList,Table_ExternalData_15[[#This Row],[IType]],IsDList,Table_ExternalData_15[[#Headers],[25]])</f>
        <v>0</v>
      </c>
      <c r="AD198" s="10">
        <f>SUMIFS(IsQList,IsIList,Table_ExternalData_15[[#This Row],[item_key]],IsITypeList,Table_ExternalData_15[[#This Row],[IType]],IsDList,Table_ExternalData_15[[#Headers],[26]])</f>
        <v>0</v>
      </c>
      <c r="AE198" s="10">
        <f>SUMIFS(IsQList,IsIList,Table_ExternalData_15[[#This Row],[item_key]],IsITypeList,Table_ExternalData_15[[#This Row],[IType]],IsDList,Table_ExternalData_15[[#Headers],[27]])</f>
        <v>0</v>
      </c>
      <c r="AF198" s="10">
        <f>SUMIFS(IsQList,IsIList,Table_ExternalData_15[[#This Row],[item_key]],IsITypeList,Table_ExternalData_15[[#This Row],[IType]],IsDList,Table_ExternalData_15[[#Headers],[28]])</f>
        <v>0</v>
      </c>
      <c r="AG198" s="10">
        <f>SUMIFS(IsQList,IsIList,Table_ExternalData_15[[#This Row],[item_key]],IsITypeList,Table_ExternalData_15[[#This Row],[IType]],IsDList,Table_ExternalData_15[[#Headers],[29]])</f>
        <v>0</v>
      </c>
      <c r="AH198" s="10">
        <f>SUMIFS(IsQList,IsIList,Table_ExternalData_15[[#This Row],[item_key]],IsITypeList,Table_ExternalData_15[[#This Row],[IType]],IsDList,Table_ExternalData_15[[#Headers],[30]])</f>
        <v>0</v>
      </c>
      <c r="AI198" s="10">
        <f>SUMIFS(IsQList,IsIList,Table_ExternalData_15[[#This Row],[item_key]],IsITypeList,Table_ExternalData_15[[#This Row],[IType]],IsDList,Table_ExternalData_15[[#Headers],[31]])</f>
        <v>0</v>
      </c>
      <c r="AJ198" s="10">
        <f>SUM(Table_ExternalData_15[[#This Row],[1]:[31]])</f>
        <v>0</v>
      </c>
    </row>
    <row r="199" spans="1:36">
      <c r="A199" s="1" t="s">
        <v>676</v>
      </c>
      <c r="B199" s="1" t="s">
        <v>1361</v>
      </c>
      <c r="C199" s="1" t="s">
        <v>1362</v>
      </c>
      <c r="D199" s="11" t="s">
        <v>72</v>
      </c>
      <c r="E199" s="10">
        <f>SUMIFS(IsQList,IsIList,Table_ExternalData_15[[#This Row],[item_key]],IsITypeList,Table_ExternalData_15[[#This Row],[IType]],IsDList,Table_ExternalData_15[[#Headers],[1]])</f>
        <v>0</v>
      </c>
      <c r="F199" s="10">
        <f>SUMIFS(IsQList,IsIList,Table_ExternalData_15[[#This Row],[item_key]],IsITypeList,Table_ExternalData_15[[#This Row],[IType]],IsDList,Table_ExternalData_15[[#Headers],[2]])</f>
        <v>0</v>
      </c>
      <c r="G199" s="10">
        <f>SUMIFS(IsQList,IsIList,Table_ExternalData_15[[#This Row],[item_key]],IsITypeList,Table_ExternalData_15[[#This Row],[IType]],IsDList,Table_ExternalData_15[[#Headers],[3]])</f>
        <v>0</v>
      </c>
      <c r="H199" s="10">
        <f>SUMIFS(IsQList,IsIList,Table_ExternalData_15[[#This Row],[item_key]],IsITypeList,Table_ExternalData_15[[#This Row],[IType]],IsDList,Table_ExternalData_15[[#Headers],[4]])</f>
        <v>0</v>
      </c>
      <c r="I199" s="10">
        <f>SUMIFS(IsQList,IsIList,Table_ExternalData_15[[#This Row],[item_key]],IsITypeList,Table_ExternalData_15[[#This Row],[IType]],IsDList,Table_ExternalData_15[[#Headers],[5]])</f>
        <v>0</v>
      </c>
      <c r="J199" s="10">
        <f>SUMIFS(IsQList,IsIList,Table_ExternalData_15[[#This Row],[item_key]],IsITypeList,Table_ExternalData_15[[#This Row],[IType]],IsDList,Table_ExternalData_15[[#Headers],[6]])</f>
        <v>20</v>
      </c>
      <c r="K199" s="10">
        <f>SUMIFS(IsQList,IsIList,Table_ExternalData_15[[#This Row],[item_key]],IsITypeList,Table_ExternalData_15[[#This Row],[IType]],IsDList,Table_ExternalData_15[[#Headers],[7]])</f>
        <v>0</v>
      </c>
      <c r="L199" s="10">
        <f>SUMIFS(IsQList,IsIList,Table_ExternalData_15[[#This Row],[item_key]],IsITypeList,Table_ExternalData_15[[#This Row],[IType]],IsDList,Table_ExternalData_15[[#Headers],[8]])</f>
        <v>0</v>
      </c>
      <c r="M199" s="10">
        <f>SUMIFS(IsQList,IsIList,Table_ExternalData_15[[#This Row],[item_key]],IsITypeList,Table_ExternalData_15[[#This Row],[IType]],IsDList,Table_ExternalData_15[[#Headers],[9]])</f>
        <v>0</v>
      </c>
      <c r="N199" s="10">
        <f>SUMIFS(IsQList,IsIList,Table_ExternalData_15[[#This Row],[item_key]],IsITypeList,Table_ExternalData_15[[#This Row],[IType]],IsDList,Table_ExternalData_15[[#Headers],[10]])</f>
        <v>20</v>
      </c>
      <c r="O199" s="10">
        <f>SUMIFS(IsQList,IsIList,Table_ExternalData_15[[#This Row],[item_key]],IsITypeList,Table_ExternalData_15[[#This Row],[IType]],IsDList,Table_ExternalData_15[[#Headers],[11]])</f>
        <v>0</v>
      </c>
      <c r="P199" s="10">
        <f>SUMIFS(IsQList,IsIList,Table_ExternalData_15[[#This Row],[item_key]],IsITypeList,Table_ExternalData_15[[#This Row],[IType]],IsDList,Table_ExternalData_15[[#Headers],[12]])</f>
        <v>0</v>
      </c>
      <c r="Q199" s="10">
        <f>SUMIFS(IsQList,IsIList,Table_ExternalData_15[[#This Row],[item_key]],IsITypeList,Table_ExternalData_15[[#This Row],[IType]],IsDList,Table_ExternalData_15[[#Headers],[13]])</f>
        <v>0</v>
      </c>
      <c r="R199" s="10">
        <f>SUMIFS(IsQList,IsIList,Table_ExternalData_15[[#This Row],[item_key]],IsITypeList,Table_ExternalData_15[[#This Row],[IType]],IsDList,Table_ExternalData_15[[#Headers],[14]])</f>
        <v>0</v>
      </c>
      <c r="S199" s="10">
        <f>SUMIFS(IsQList,IsIList,Table_ExternalData_15[[#This Row],[item_key]],IsITypeList,Table_ExternalData_15[[#This Row],[IType]],IsDList,Table_ExternalData_15[[#Headers],[15]])</f>
        <v>0</v>
      </c>
      <c r="T199" s="10">
        <f>SUMIFS(IsQList,IsIList,Table_ExternalData_15[[#This Row],[item_key]],IsITypeList,Table_ExternalData_15[[#This Row],[IType]],IsDList,Table_ExternalData_15[[#Headers],[16]])</f>
        <v>10</v>
      </c>
      <c r="U199" s="10">
        <f>SUMIFS(IsQList,IsIList,Table_ExternalData_15[[#This Row],[item_key]],IsITypeList,Table_ExternalData_15[[#This Row],[IType]],IsDList,Table_ExternalData_15[[#Headers],[17]])</f>
        <v>0</v>
      </c>
      <c r="V199" s="10">
        <f>SUMIFS(IsQList,IsIList,Table_ExternalData_15[[#This Row],[item_key]],IsITypeList,Table_ExternalData_15[[#This Row],[IType]],IsDList,Table_ExternalData_15[[#Headers],[18]])</f>
        <v>0</v>
      </c>
      <c r="W199" s="10">
        <f>SUMIFS(IsQList,IsIList,Table_ExternalData_15[[#This Row],[item_key]],IsITypeList,Table_ExternalData_15[[#This Row],[IType]],IsDList,Table_ExternalData_15[[#Headers],[19]])</f>
        <v>0</v>
      </c>
      <c r="X199" s="10">
        <f>SUMIFS(IsQList,IsIList,Table_ExternalData_15[[#This Row],[item_key]],IsITypeList,Table_ExternalData_15[[#This Row],[IType]],IsDList,Table_ExternalData_15[[#Headers],[20]])</f>
        <v>0</v>
      </c>
      <c r="Y199" s="10">
        <f>SUMIFS(IsQList,IsIList,Table_ExternalData_15[[#This Row],[item_key]],IsITypeList,Table_ExternalData_15[[#This Row],[IType]],IsDList,Table_ExternalData_15[[#Headers],[21]])</f>
        <v>0</v>
      </c>
      <c r="Z199" s="10">
        <f>SUMIFS(IsQList,IsIList,Table_ExternalData_15[[#This Row],[item_key]],IsITypeList,Table_ExternalData_15[[#This Row],[IType]],IsDList,Table_ExternalData_15[[#Headers],[22]])</f>
        <v>0</v>
      </c>
      <c r="AA199" s="10">
        <f>SUMIFS(IsQList,IsIList,Table_ExternalData_15[[#This Row],[item_key]],IsITypeList,Table_ExternalData_15[[#This Row],[IType]],IsDList,Table_ExternalData_15[[#Headers],[23]])</f>
        <v>0</v>
      </c>
      <c r="AB199" s="10">
        <f>SUMIFS(IsQList,IsIList,Table_ExternalData_15[[#This Row],[item_key]],IsITypeList,Table_ExternalData_15[[#This Row],[IType]],IsDList,Table_ExternalData_15[[#Headers],[24]])</f>
        <v>43</v>
      </c>
      <c r="AC199" s="10">
        <f>SUMIFS(IsQList,IsIList,Table_ExternalData_15[[#This Row],[item_key]],IsITypeList,Table_ExternalData_15[[#This Row],[IType]],IsDList,Table_ExternalData_15[[#Headers],[25]])</f>
        <v>0</v>
      </c>
      <c r="AD199" s="10">
        <f>SUMIFS(IsQList,IsIList,Table_ExternalData_15[[#This Row],[item_key]],IsITypeList,Table_ExternalData_15[[#This Row],[IType]],IsDList,Table_ExternalData_15[[#Headers],[26]])</f>
        <v>0</v>
      </c>
      <c r="AE199" s="10">
        <f>SUMIFS(IsQList,IsIList,Table_ExternalData_15[[#This Row],[item_key]],IsITypeList,Table_ExternalData_15[[#This Row],[IType]],IsDList,Table_ExternalData_15[[#Headers],[27]])</f>
        <v>0</v>
      </c>
      <c r="AF199" s="10">
        <f>SUMIFS(IsQList,IsIList,Table_ExternalData_15[[#This Row],[item_key]],IsITypeList,Table_ExternalData_15[[#This Row],[IType]],IsDList,Table_ExternalData_15[[#Headers],[28]])</f>
        <v>0</v>
      </c>
      <c r="AG199" s="10">
        <f>SUMIFS(IsQList,IsIList,Table_ExternalData_15[[#This Row],[item_key]],IsITypeList,Table_ExternalData_15[[#This Row],[IType]],IsDList,Table_ExternalData_15[[#Headers],[29]])</f>
        <v>0</v>
      </c>
      <c r="AH199" s="10">
        <f>SUMIFS(IsQList,IsIList,Table_ExternalData_15[[#This Row],[item_key]],IsITypeList,Table_ExternalData_15[[#This Row],[IType]],IsDList,Table_ExternalData_15[[#Headers],[30]])</f>
        <v>40</v>
      </c>
      <c r="AI199" s="10">
        <f>SUMIFS(IsQList,IsIList,Table_ExternalData_15[[#This Row],[item_key]],IsITypeList,Table_ExternalData_15[[#This Row],[IType]],IsDList,Table_ExternalData_15[[#Headers],[31]])</f>
        <v>0</v>
      </c>
      <c r="AJ199" s="10">
        <f>SUM(Table_ExternalData_15[[#This Row],[1]:[31]])</f>
        <v>133</v>
      </c>
    </row>
    <row r="200" spans="1:36">
      <c r="A200" s="1" t="s">
        <v>677</v>
      </c>
      <c r="B200" s="1" t="s">
        <v>1363</v>
      </c>
      <c r="C200" s="1" t="s">
        <v>1364</v>
      </c>
      <c r="D200" s="11" t="s">
        <v>72</v>
      </c>
      <c r="E200" s="10">
        <f>SUMIFS(IsQList,IsIList,Table_ExternalData_15[[#This Row],[item_key]],IsITypeList,Table_ExternalData_15[[#This Row],[IType]],IsDList,Table_ExternalData_15[[#Headers],[1]])</f>
        <v>0</v>
      </c>
      <c r="F200" s="10">
        <f>SUMIFS(IsQList,IsIList,Table_ExternalData_15[[#This Row],[item_key]],IsITypeList,Table_ExternalData_15[[#This Row],[IType]],IsDList,Table_ExternalData_15[[#Headers],[2]])</f>
        <v>0</v>
      </c>
      <c r="G200" s="10">
        <f>SUMIFS(IsQList,IsIList,Table_ExternalData_15[[#This Row],[item_key]],IsITypeList,Table_ExternalData_15[[#This Row],[IType]],IsDList,Table_ExternalData_15[[#Headers],[3]])</f>
        <v>0</v>
      </c>
      <c r="H200" s="10">
        <f>SUMIFS(IsQList,IsIList,Table_ExternalData_15[[#This Row],[item_key]],IsITypeList,Table_ExternalData_15[[#This Row],[IType]],IsDList,Table_ExternalData_15[[#Headers],[4]])</f>
        <v>0</v>
      </c>
      <c r="I200" s="10">
        <f>SUMIFS(IsQList,IsIList,Table_ExternalData_15[[#This Row],[item_key]],IsITypeList,Table_ExternalData_15[[#This Row],[IType]],IsDList,Table_ExternalData_15[[#Headers],[5]])</f>
        <v>0</v>
      </c>
      <c r="J200" s="10">
        <f>SUMIFS(IsQList,IsIList,Table_ExternalData_15[[#This Row],[item_key]],IsITypeList,Table_ExternalData_15[[#This Row],[IType]],IsDList,Table_ExternalData_15[[#Headers],[6]])</f>
        <v>20</v>
      </c>
      <c r="K200" s="10">
        <f>SUMIFS(IsQList,IsIList,Table_ExternalData_15[[#This Row],[item_key]],IsITypeList,Table_ExternalData_15[[#This Row],[IType]],IsDList,Table_ExternalData_15[[#Headers],[7]])</f>
        <v>0</v>
      </c>
      <c r="L200" s="10">
        <f>SUMIFS(IsQList,IsIList,Table_ExternalData_15[[#This Row],[item_key]],IsITypeList,Table_ExternalData_15[[#This Row],[IType]],IsDList,Table_ExternalData_15[[#Headers],[8]])</f>
        <v>0</v>
      </c>
      <c r="M200" s="10">
        <f>SUMIFS(IsQList,IsIList,Table_ExternalData_15[[#This Row],[item_key]],IsITypeList,Table_ExternalData_15[[#This Row],[IType]],IsDList,Table_ExternalData_15[[#Headers],[9]])</f>
        <v>0</v>
      </c>
      <c r="N200" s="10">
        <f>SUMIFS(IsQList,IsIList,Table_ExternalData_15[[#This Row],[item_key]],IsITypeList,Table_ExternalData_15[[#This Row],[IType]],IsDList,Table_ExternalData_15[[#Headers],[10]])</f>
        <v>20</v>
      </c>
      <c r="O200" s="10">
        <f>SUMIFS(IsQList,IsIList,Table_ExternalData_15[[#This Row],[item_key]],IsITypeList,Table_ExternalData_15[[#This Row],[IType]],IsDList,Table_ExternalData_15[[#Headers],[11]])</f>
        <v>0</v>
      </c>
      <c r="P200" s="10">
        <f>SUMIFS(IsQList,IsIList,Table_ExternalData_15[[#This Row],[item_key]],IsITypeList,Table_ExternalData_15[[#This Row],[IType]],IsDList,Table_ExternalData_15[[#Headers],[12]])</f>
        <v>0</v>
      </c>
      <c r="Q200" s="10">
        <f>SUMIFS(IsQList,IsIList,Table_ExternalData_15[[#This Row],[item_key]],IsITypeList,Table_ExternalData_15[[#This Row],[IType]],IsDList,Table_ExternalData_15[[#Headers],[13]])</f>
        <v>0</v>
      </c>
      <c r="R200" s="10">
        <f>SUMIFS(IsQList,IsIList,Table_ExternalData_15[[#This Row],[item_key]],IsITypeList,Table_ExternalData_15[[#This Row],[IType]],IsDList,Table_ExternalData_15[[#Headers],[14]])</f>
        <v>0</v>
      </c>
      <c r="S200" s="10">
        <f>SUMIFS(IsQList,IsIList,Table_ExternalData_15[[#This Row],[item_key]],IsITypeList,Table_ExternalData_15[[#This Row],[IType]],IsDList,Table_ExternalData_15[[#Headers],[15]])</f>
        <v>0</v>
      </c>
      <c r="T200" s="10">
        <f>SUMIFS(IsQList,IsIList,Table_ExternalData_15[[#This Row],[item_key]],IsITypeList,Table_ExternalData_15[[#This Row],[IType]],IsDList,Table_ExternalData_15[[#Headers],[16]])</f>
        <v>20</v>
      </c>
      <c r="U200" s="10">
        <f>SUMIFS(IsQList,IsIList,Table_ExternalData_15[[#This Row],[item_key]],IsITypeList,Table_ExternalData_15[[#This Row],[IType]],IsDList,Table_ExternalData_15[[#Headers],[17]])</f>
        <v>0</v>
      </c>
      <c r="V200" s="10">
        <f>SUMIFS(IsQList,IsIList,Table_ExternalData_15[[#This Row],[item_key]],IsITypeList,Table_ExternalData_15[[#This Row],[IType]],IsDList,Table_ExternalData_15[[#Headers],[18]])</f>
        <v>0</v>
      </c>
      <c r="W200" s="10">
        <f>SUMIFS(IsQList,IsIList,Table_ExternalData_15[[#This Row],[item_key]],IsITypeList,Table_ExternalData_15[[#This Row],[IType]],IsDList,Table_ExternalData_15[[#Headers],[19]])</f>
        <v>0</v>
      </c>
      <c r="X200" s="10">
        <f>SUMIFS(IsQList,IsIList,Table_ExternalData_15[[#This Row],[item_key]],IsITypeList,Table_ExternalData_15[[#This Row],[IType]],IsDList,Table_ExternalData_15[[#Headers],[20]])</f>
        <v>0</v>
      </c>
      <c r="Y200" s="10">
        <f>SUMIFS(IsQList,IsIList,Table_ExternalData_15[[#This Row],[item_key]],IsITypeList,Table_ExternalData_15[[#This Row],[IType]],IsDList,Table_ExternalData_15[[#Headers],[21]])</f>
        <v>0</v>
      </c>
      <c r="Z200" s="10">
        <f>SUMIFS(IsQList,IsIList,Table_ExternalData_15[[#This Row],[item_key]],IsITypeList,Table_ExternalData_15[[#This Row],[IType]],IsDList,Table_ExternalData_15[[#Headers],[22]])</f>
        <v>0</v>
      </c>
      <c r="AA200" s="10">
        <f>SUMIFS(IsQList,IsIList,Table_ExternalData_15[[#This Row],[item_key]],IsITypeList,Table_ExternalData_15[[#This Row],[IType]],IsDList,Table_ExternalData_15[[#Headers],[23]])</f>
        <v>0</v>
      </c>
      <c r="AB200" s="10">
        <f>SUMIFS(IsQList,IsIList,Table_ExternalData_15[[#This Row],[item_key]],IsITypeList,Table_ExternalData_15[[#This Row],[IType]],IsDList,Table_ExternalData_15[[#Headers],[24]])</f>
        <v>43</v>
      </c>
      <c r="AC200" s="10">
        <f>SUMIFS(IsQList,IsIList,Table_ExternalData_15[[#This Row],[item_key]],IsITypeList,Table_ExternalData_15[[#This Row],[IType]],IsDList,Table_ExternalData_15[[#Headers],[25]])</f>
        <v>0</v>
      </c>
      <c r="AD200" s="10">
        <f>SUMIFS(IsQList,IsIList,Table_ExternalData_15[[#This Row],[item_key]],IsITypeList,Table_ExternalData_15[[#This Row],[IType]],IsDList,Table_ExternalData_15[[#Headers],[26]])</f>
        <v>0</v>
      </c>
      <c r="AE200" s="10">
        <f>SUMIFS(IsQList,IsIList,Table_ExternalData_15[[#This Row],[item_key]],IsITypeList,Table_ExternalData_15[[#This Row],[IType]],IsDList,Table_ExternalData_15[[#Headers],[27]])</f>
        <v>0</v>
      </c>
      <c r="AF200" s="10">
        <f>SUMIFS(IsQList,IsIList,Table_ExternalData_15[[#This Row],[item_key]],IsITypeList,Table_ExternalData_15[[#This Row],[IType]],IsDList,Table_ExternalData_15[[#Headers],[28]])</f>
        <v>0</v>
      </c>
      <c r="AG200" s="10">
        <f>SUMIFS(IsQList,IsIList,Table_ExternalData_15[[#This Row],[item_key]],IsITypeList,Table_ExternalData_15[[#This Row],[IType]],IsDList,Table_ExternalData_15[[#Headers],[29]])</f>
        <v>0</v>
      </c>
      <c r="AH200" s="10">
        <f>SUMIFS(IsQList,IsIList,Table_ExternalData_15[[#This Row],[item_key]],IsITypeList,Table_ExternalData_15[[#This Row],[IType]],IsDList,Table_ExternalData_15[[#Headers],[30]])</f>
        <v>40</v>
      </c>
      <c r="AI200" s="10">
        <f>SUMIFS(IsQList,IsIList,Table_ExternalData_15[[#This Row],[item_key]],IsITypeList,Table_ExternalData_15[[#This Row],[IType]],IsDList,Table_ExternalData_15[[#Headers],[31]])</f>
        <v>0</v>
      </c>
      <c r="AJ200" s="10">
        <f>SUM(Table_ExternalData_15[[#This Row],[1]:[31]])</f>
        <v>143</v>
      </c>
    </row>
    <row r="201" spans="1:36">
      <c r="A201" s="1" t="s">
        <v>1782</v>
      </c>
      <c r="B201" s="1" t="s">
        <v>2631</v>
      </c>
      <c r="C201" s="1" t="s">
        <v>1422</v>
      </c>
      <c r="D201" s="11" t="s">
        <v>72</v>
      </c>
      <c r="E201" s="10">
        <f>SUMIFS(IsQList,IsIList,Table_ExternalData_15[[#This Row],[item_key]],IsITypeList,Table_ExternalData_15[[#This Row],[IType]],IsDList,Table_ExternalData_15[[#Headers],[1]])</f>
        <v>0</v>
      </c>
      <c r="F201" s="10">
        <f>SUMIFS(IsQList,IsIList,Table_ExternalData_15[[#This Row],[item_key]],IsITypeList,Table_ExternalData_15[[#This Row],[IType]],IsDList,Table_ExternalData_15[[#Headers],[2]])</f>
        <v>0</v>
      </c>
      <c r="G201" s="10">
        <f>SUMIFS(IsQList,IsIList,Table_ExternalData_15[[#This Row],[item_key]],IsITypeList,Table_ExternalData_15[[#This Row],[IType]],IsDList,Table_ExternalData_15[[#Headers],[3]])</f>
        <v>0</v>
      </c>
      <c r="H201" s="10">
        <f>SUMIFS(IsQList,IsIList,Table_ExternalData_15[[#This Row],[item_key]],IsITypeList,Table_ExternalData_15[[#This Row],[IType]],IsDList,Table_ExternalData_15[[#Headers],[4]])</f>
        <v>0</v>
      </c>
      <c r="I201" s="10">
        <f>SUMIFS(IsQList,IsIList,Table_ExternalData_15[[#This Row],[item_key]],IsITypeList,Table_ExternalData_15[[#This Row],[IType]],IsDList,Table_ExternalData_15[[#Headers],[5]])</f>
        <v>0</v>
      </c>
      <c r="J201" s="10">
        <f>SUMIFS(IsQList,IsIList,Table_ExternalData_15[[#This Row],[item_key]],IsITypeList,Table_ExternalData_15[[#This Row],[IType]],IsDList,Table_ExternalData_15[[#Headers],[6]])</f>
        <v>0</v>
      </c>
      <c r="K201" s="10">
        <f>SUMIFS(IsQList,IsIList,Table_ExternalData_15[[#This Row],[item_key]],IsITypeList,Table_ExternalData_15[[#This Row],[IType]],IsDList,Table_ExternalData_15[[#Headers],[7]])</f>
        <v>0</v>
      </c>
      <c r="L201" s="10">
        <f>SUMIFS(IsQList,IsIList,Table_ExternalData_15[[#This Row],[item_key]],IsITypeList,Table_ExternalData_15[[#This Row],[IType]],IsDList,Table_ExternalData_15[[#Headers],[8]])</f>
        <v>0</v>
      </c>
      <c r="M201" s="10">
        <f>SUMIFS(IsQList,IsIList,Table_ExternalData_15[[#This Row],[item_key]],IsITypeList,Table_ExternalData_15[[#This Row],[IType]],IsDList,Table_ExternalData_15[[#Headers],[9]])</f>
        <v>0</v>
      </c>
      <c r="N201" s="10">
        <f>SUMIFS(IsQList,IsIList,Table_ExternalData_15[[#This Row],[item_key]],IsITypeList,Table_ExternalData_15[[#This Row],[IType]],IsDList,Table_ExternalData_15[[#Headers],[10]])</f>
        <v>0</v>
      </c>
      <c r="O201" s="10">
        <f>SUMIFS(IsQList,IsIList,Table_ExternalData_15[[#This Row],[item_key]],IsITypeList,Table_ExternalData_15[[#This Row],[IType]],IsDList,Table_ExternalData_15[[#Headers],[11]])</f>
        <v>0</v>
      </c>
      <c r="P201" s="10">
        <f>SUMIFS(IsQList,IsIList,Table_ExternalData_15[[#This Row],[item_key]],IsITypeList,Table_ExternalData_15[[#This Row],[IType]],IsDList,Table_ExternalData_15[[#Headers],[12]])</f>
        <v>0</v>
      </c>
      <c r="Q201" s="10">
        <f>SUMIFS(IsQList,IsIList,Table_ExternalData_15[[#This Row],[item_key]],IsITypeList,Table_ExternalData_15[[#This Row],[IType]],IsDList,Table_ExternalData_15[[#Headers],[13]])</f>
        <v>0</v>
      </c>
      <c r="R201" s="10">
        <f>SUMIFS(IsQList,IsIList,Table_ExternalData_15[[#This Row],[item_key]],IsITypeList,Table_ExternalData_15[[#This Row],[IType]],IsDList,Table_ExternalData_15[[#Headers],[14]])</f>
        <v>0</v>
      </c>
      <c r="S201" s="10">
        <f>SUMIFS(IsQList,IsIList,Table_ExternalData_15[[#This Row],[item_key]],IsITypeList,Table_ExternalData_15[[#This Row],[IType]],IsDList,Table_ExternalData_15[[#Headers],[15]])</f>
        <v>0</v>
      </c>
      <c r="T201" s="10">
        <f>SUMIFS(IsQList,IsIList,Table_ExternalData_15[[#This Row],[item_key]],IsITypeList,Table_ExternalData_15[[#This Row],[IType]],IsDList,Table_ExternalData_15[[#Headers],[16]])</f>
        <v>15</v>
      </c>
      <c r="U201" s="10">
        <f>SUMIFS(IsQList,IsIList,Table_ExternalData_15[[#This Row],[item_key]],IsITypeList,Table_ExternalData_15[[#This Row],[IType]],IsDList,Table_ExternalData_15[[#Headers],[17]])</f>
        <v>0</v>
      </c>
      <c r="V201" s="10">
        <f>SUMIFS(IsQList,IsIList,Table_ExternalData_15[[#This Row],[item_key]],IsITypeList,Table_ExternalData_15[[#This Row],[IType]],IsDList,Table_ExternalData_15[[#Headers],[18]])</f>
        <v>0</v>
      </c>
      <c r="W201" s="10">
        <f>SUMIFS(IsQList,IsIList,Table_ExternalData_15[[#This Row],[item_key]],IsITypeList,Table_ExternalData_15[[#This Row],[IType]],IsDList,Table_ExternalData_15[[#Headers],[19]])</f>
        <v>0</v>
      </c>
      <c r="X201" s="10">
        <f>SUMIFS(IsQList,IsIList,Table_ExternalData_15[[#This Row],[item_key]],IsITypeList,Table_ExternalData_15[[#This Row],[IType]],IsDList,Table_ExternalData_15[[#Headers],[20]])</f>
        <v>0</v>
      </c>
      <c r="Y201" s="10">
        <f>SUMIFS(IsQList,IsIList,Table_ExternalData_15[[#This Row],[item_key]],IsITypeList,Table_ExternalData_15[[#This Row],[IType]],IsDList,Table_ExternalData_15[[#Headers],[21]])</f>
        <v>0</v>
      </c>
      <c r="Z201" s="10">
        <f>SUMIFS(IsQList,IsIList,Table_ExternalData_15[[#This Row],[item_key]],IsITypeList,Table_ExternalData_15[[#This Row],[IType]],IsDList,Table_ExternalData_15[[#Headers],[22]])</f>
        <v>0</v>
      </c>
      <c r="AA201" s="10">
        <f>SUMIFS(IsQList,IsIList,Table_ExternalData_15[[#This Row],[item_key]],IsITypeList,Table_ExternalData_15[[#This Row],[IType]],IsDList,Table_ExternalData_15[[#Headers],[23]])</f>
        <v>0</v>
      </c>
      <c r="AB201" s="10">
        <f>SUMIFS(IsQList,IsIList,Table_ExternalData_15[[#This Row],[item_key]],IsITypeList,Table_ExternalData_15[[#This Row],[IType]],IsDList,Table_ExternalData_15[[#Headers],[24]])</f>
        <v>0</v>
      </c>
      <c r="AC201" s="10">
        <f>SUMIFS(IsQList,IsIList,Table_ExternalData_15[[#This Row],[item_key]],IsITypeList,Table_ExternalData_15[[#This Row],[IType]],IsDList,Table_ExternalData_15[[#Headers],[25]])</f>
        <v>0</v>
      </c>
      <c r="AD201" s="10">
        <f>SUMIFS(IsQList,IsIList,Table_ExternalData_15[[#This Row],[item_key]],IsITypeList,Table_ExternalData_15[[#This Row],[IType]],IsDList,Table_ExternalData_15[[#Headers],[26]])</f>
        <v>0</v>
      </c>
      <c r="AE201" s="10">
        <f>SUMIFS(IsQList,IsIList,Table_ExternalData_15[[#This Row],[item_key]],IsITypeList,Table_ExternalData_15[[#This Row],[IType]],IsDList,Table_ExternalData_15[[#Headers],[27]])</f>
        <v>0</v>
      </c>
      <c r="AF201" s="10">
        <f>SUMIFS(IsQList,IsIList,Table_ExternalData_15[[#This Row],[item_key]],IsITypeList,Table_ExternalData_15[[#This Row],[IType]],IsDList,Table_ExternalData_15[[#Headers],[28]])</f>
        <v>0</v>
      </c>
      <c r="AG201" s="10">
        <f>SUMIFS(IsQList,IsIList,Table_ExternalData_15[[#This Row],[item_key]],IsITypeList,Table_ExternalData_15[[#This Row],[IType]],IsDList,Table_ExternalData_15[[#Headers],[29]])</f>
        <v>0</v>
      </c>
      <c r="AH201" s="10">
        <f>SUMIFS(IsQList,IsIList,Table_ExternalData_15[[#This Row],[item_key]],IsITypeList,Table_ExternalData_15[[#This Row],[IType]],IsDList,Table_ExternalData_15[[#Headers],[30]])</f>
        <v>5</v>
      </c>
      <c r="AI201" s="10">
        <f>SUMIFS(IsQList,IsIList,Table_ExternalData_15[[#This Row],[item_key]],IsITypeList,Table_ExternalData_15[[#This Row],[IType]],IsDList,Table_ExternalData_15[[#Headers],[31]])</f>
        <v>0</v>
      </c>
      <c r="AJ201" s="10">
        <f>SUM(Table_ExternalData_15[[#This Row],[1]:[31]])</f>
        <v>20</v>
      </c>
    </row>
    <row r="202" spans="1:36">
      <c r="A202" s="1" t="s">
        <v>702</v>
      </c>
      <c r="B202" s="1" t="s">
        <v>1365</v>
      </c>
      <c r="C202" s="1" t="s">
        <v>1366</v>
      </c>
      <c r="D202" s="11" t="s">
        <v>72</v>
      </c>
      <c r="E202" s="10">
        <f>SUMIFS(IsQList,IsIList,Table_ExternalData_15[[#This Row],[item_key]],IsITypeList,Table_ExternalData_15[[#This Row],[IType]],IsDList,Table_ExternalData_15[[#Headers],[1]])</f>
        <v>0</v>
      </c>
      <c r="F202" s="10">
        <f>SUMIFS(IsQList,IsIList,Table_ExternalData_15[[#This Row],[item_key]],IsITypeList,Table_ExternalData_15[[#This Row],[IType]],IsDList,Table_ExternalData_15[[#Headers],[2]])</f>
        <v>0</v>
      </c>
      <c r="G202" s="10">
        <f>SUMIFS(IsQList,IsIList,Table_ExternalData_15[[#This Row],[item_key]],IsITypeList,Table_ExternalData_15[[#This Row],[IType]],IsDList,Table_ExternalData_15[[#Headers],[3]])</f>
        <v>0</v>
      </c>
      <c r="H202" s="10">
        <f>SUMIFS(IsQList,IsIList,Table_ExternalData_15[[#This Row],[item_key]],IsITypeList,Table_ExternalData_15[[#This Row],[IType]],IsDList,Table_ExternalData_15[[#Headers],[4]])</f>
        <v>0</v>
      </c>
      <c r="I202" s="10">
        <f>SUMIFS(IsQList,IsIList,Table_ExternalData_15[[#This Row],[item_key]],IsITypeList,Table_ExternalData_15[[#This Row],[IType]],IsDList,Table_ExternalData_15[[#Headers],[5]])</f>
        <v>0</v>
      </c>
      <c r="J202" s="10">
        <f>SUMIFS(IsQList,IsIList,Table_ExternalData_15[[#This Row],[item_key]],IsITypeList,Table_ExternalData_15[[#This Row],[IType]],IsDList,Table_ExternalData_15[[#Headers],[6]])</f>
        <v>0</v>
      </c>
      <c r="K202" s="10">
        <f>SUMIFS(IsQList,IsIList,Table_ExternalData_15[[#This Row],[item_key]],IsITypeList,Table_ExternalData_15[[#This Row],[IType]],IsDList,Table_ExternalData_15[[#Headers],[7]])</f>
        <v>0</v>
      </c>
      <c r="L202" s="10">
        <f>SUMIFS(IsQList,IsIList,Table_ExternalData_15[[#This Row],[item_key]],IsITypeList,Table_ExternalData_15[[#This Row],[IType]],IsDList,Table_ExternalData_15[[#Headers],[8]])</f>
        <v>0</v>
      </c>
      <c r="M202" s="10">
        <f>SUMIFS(IsQList,IsIList,Table_ExternalData_15[[#This Row],[item_key]],IsITypeList,Table_ExternalData_15[[#This Row],[IType]],IsDList,Table_ExternalData_15[[#Headers],[9]])</f>
        <v>0</v>
      </c>
      <c r="N202" s="10">
        <f>SUMIFS(IsQList,IsIList,Table_ExternalData_15[[#This Row],[item_key]],IsITypeList,Table_ExternalData_15[[#This Row],[IType]],IsDList,Table_ExternalData_15[[#Headers],[10]])</f>
        <v>0</v>
      </c>
      <c r="O202" s="10">
        <f>SUMIFS(IsQList,IsIList,Table_ExternalData_15[[#This Row],[item_key]],IsITypeList,Table_ExternalData_15[[#This Row],[IType]],IsDList,Table_ExternalData_15[[#Headers],[11]])</f>
        <v>0</v>
      </c>
      <c r="P202" s="10">
        <f>SUMIFS(IsQList,IsIList,Table_ExternalData_15[[#This Row],[item_key]],IsITypeList,Table_ExternalData_15[[#This Row],[IType]],IsDList,Table_ExternalData_15[[#Headers],[12]])</f>
        <v>0</v>
      </c>
      <c r="Q202" s="10">
        <f>SUMIFS(IsQList,IsIList,Table_ExternalData_15[[#This Row],[item_key]],IsITypeList,Table_ExternalData_15[[#This Row],[IType]],IsDList,Table_ExternalData_15[[#Headers],[13]])</f>
        <v>0</v>
      </c>
      <c r="R202" s="10">
        <f>SUMIFS(IsQList,IsIList,Table_ExternalData_15[[#This Row],[item_key]],IsITypeList,Table_ExternalData_15[[#This Row],[IType]],IsDList,Table_ExternalData_15[[#Headers],[14]])</f>
        <v>0</v>
      </c>
      <c r="S202" s="10">
        <f>SUMIFS(IsQList,IsIList,Table_ExternalData_15[[#This Row],[item_key]],IsITypeList,Table_ExternalData_15[[#This Row],[IType]],IsDList,Table_ExternalData_15[[#Headers],[15]])</f>
        <v>0</v>
      </c>
      <c r="T202" s="10">
        <f>SUMIFS(IsQList,IsIList,Table_ExternalData_15[[#This Row],[item_key]],IsITypeList,Table_ExternalData_15[[#This Row],[IType]],IsDList,Table_ExternalData_15[[#Headers],[16]])</f>
        <v>0</v>
      </c>
      <c r="U202" s="10">
        <f>SUMIFS(IsQList,IsIList,Table_ExternalData_15[[#This Row],[item_key]],IsITypeList,Table_ExternalData_15[[#This Row],[IType]],IsDList,Table_ExternalData_15[[#Headers],[17]])</f>
        <v>0</v>
      </c>
      <c r="V202" s="10">
        <f>SUMIFS(IsQList,IsIList,Table_ExternalData_15[[#This Row],[item_key]],IsITypeList,Table_ExternalData_15[[#This Row],[IType]],IsDList,Table_ExternalData_15[[#Headers],[18]])</f>
        <v>0</v>
      </c>
      <c r="W202" s="10">
        <f>SUMIFS(IsQList,IsIList,Table_ExternalData_15[[#This Row],[item_key]],IsITypeList,Table_ExternalData_15[[#This Row],[IType]],IsDList,Table_ExternalData_15[[#Headers],[19]])</f>
        <v>0</v>
      </c>
      <c r="X202" s="10">
        <f>SUMIFS(IsQList,IsIList,Table_ExternalData_15[[#This Row],[item_key]],IsITypeList,Table_ExternalData_15[[#This Row],[IType]],IsDList,Table_ExternalData_15[[#Headers],[20]])</f>
        <v>0</v>
      </c>
      <c r="Y202" s="10">
        <f>SUMIFS(IsQList,IsIList,Table_ExternalData_15[[#This Row],[item_key]],IsITypeList,Table_ExternalData_15[[#This Row],[IType]],IsDList,Table_ExternalData_15[[#Headers],[21]])</f>
        <v>0</v>
      </c>
      <c r="Z202" s="10">
        <f>SUMIFS(IsQList,IsIList,Table_ExternalData_15[[#This Row],[item_key]],IsITypeList,Table_ExternalData_15[[#This Row],[IType]],IsDList,Table_ExternalData_15[[#Headers],[22]])</f>
        <v>0</v>
      </c>
      <c r="AA202" s="10">
        <f>SUMIFS(IsQList,IsIList,Table_ExternalData_15[[#This Row],[item_key]],IsITypeList,Table_ExternalData_15[[#This Row],[IType]],IsDList,Table_ExternalData_15[[#Headers],[23]])</f>
        <v>0</v>
      </c>
      <c r="AB202" s="10">
        <f>SUMIFS(IsQList,IsIList,Table_ExternalData_15[[#This Row],[item_key]],IsITypeList,Table_ExternalData_15[[#This Row],[IType]],IsDList,Table_ExternalData_15[[#Headers],[24]])</f>
        <v>4</v>
      </c>
      <c r="AC202" s="10">
        <f>SUMIFS(IsQList,IsIList,Table_ExternalData_15[[#This Row],[item_key]],IsITypeList,Table_ExternalData_15[[#This Row],[IType]],IsDList,Table_ExternalData_15[[#Headers],[25]])</f>
        <v>0</v>
      </c>
      <c r="AD202" s="10">
        <f>SUMIFS(IsQList,IsIList,Table_ExternalData_15[[#This Row],[item_key]],IsITypeList,Table_ExternalData_15[[#This Row],[IType]],IsDList,Table_ExternalData_15[[#Headers],[26]])</f>
        <v>0</v>
      </c>
      <c r="AE202" s="10">
        <f>SUMIFS(IsQList,IsIList,Table_ExternalData_15[[#This Row],[item_key]],IsITypeList,Table_ExternalData_15[[#This Row],[IType]],IsDList,Table_ExternalData_15[[#Headers],[27]])</f>
        <v>0</v>
      </c>
      <c r="AF202" s="10">
        <f>SUMIFS(IsQList,IsIList,Table_ExternalData_15[[#This Row],[item_key]],IsITypeList,Table_ExternalData_15[[#This Row],[IType]],IsDList,Table_ExternalData_15[[#Headers],[28]])</f>
        <v>0</v>
      </c>
      <c r="AG202" s="10">
        <f>SUMIFS(IsQList,IsIList,Table_ExternalData_15[[#This Row],[item_key]],IsITypeList,Table_ExternalData_15[[#This Row],[IType]],IsDList,Table_ExternalData_15[[#Headers],[29]])</f>
        <v>0</v>
      </c>
      <c r="AH202" s="10">
        <f>SUMIFS(IsQList,IsIList,Table_ExternalData_15[[#This Row],[item_key]],IsITypeList,Table_ExternalData_15[[#This Row],[IType]],IsDList,Table_ExternalData_15[[#Headers],[30]])</f>
        <v>60</v>
      </c>
      <c r="AI202" s="10">
        <f>SUMIFS(IsQList,IsIList,Table_ExternalData_15[[#This Row],[item_key]],IsITypeList,Table_ExternalData_15[[#This Row],[IType]],IsDList,Table_ExternalData_15[[#Headers],[31]])</f>
        <v>0</v>
      </c>
      <c r="AJ202" s="10">
        <f>SUM(Table_ExternalData_15[[#This Row],[1]:[31]])</f>
        <v>64</v>
      </c>
    </row>
    <row r="203" spans="1:36">
      <c r="A203" s="1" t="s">
        <v>703</v>
      </c>
      <c r="B203" s="1" t="s">
        <v>2632</v>
      </c>
      <c r="C203" s="1" t="s">
        <v>2633</v>
      </c>
      <c r="D203" s="11" t="s">
        <v>72</v>
      </c>
      <c r="E203" s="10">
        <f>SUMIFS(IsQList,IsIList,Table_ExternalData_15[[#This Row],[item_key]],IsITypeList,Table_ExternalData_15[[#This Row],[IType]],IsDList,Table_ExternalData_15[[#Headers],[1]])</f>
        <v>0</v>
      </c>
      <c r="F203" s="10">
        <f>SUMIFS(IsQList,IsIList,Table_ExternalData_15[[#This Row],[item_key]],IsITypeList,Table_ExternalData_15[[#This Row],[IType]],IsDList,Table_ExternalData_15[[#Headers],[2]])</f>
        <v>0</v>
      </c>
      <c r="G203" s="10">
        <f>SUMIFS(IsQList,IsIList,Table_ExternalData_15[[#This Row],[item_key]],IsITypeList,Table_ExternalData_15[[#This Row],[IType]],IsDList,Table_ExternalData_15[[#Headers],[3]])</f>
        <v>0</v>
      </c>
      <c r="H203" s="10">
        <f>SUMIFS(IsQList,IsIList,Table_ExternalData_15[[#This Row],[item_key]],IsITypeList,Table_ExternalData_15[[#This Row],[IType]],IsDList,Table_ExternalData_15[[#Headers],[4]])</f>
        <v>0</v>
      </c>
      <c r="I203" s="10">
        <f>SUMIFS(IsQList,IsIList,Table_ExternalData_15[[#This Row],[item_key]],IsITypeList,Table_ExternalData_15[[#This Row],[IType]],IsDList,Table_ExternalData_15[[#Headers],[5]])</f>
        <v>0</v>
      </c>
      <c r="J203" s="10">
        <f>SUMIFS(IsQList,IsIList,Table_ExternalData_15[[#This Row],[item_key]],IsITypeList,Table_ExternalData_15[[#This Row],[IType]],IsDList,Table_ExternalData_15[[#Headers],[6]])</f>
        <v>10</v>
      </c>
      <c r="K203" s="10">
        <f>SUMIFS(IsQList,IsIList,Table_ExternalData_15[[#This Row],[item_key]],IsITypeList,Table_ExternalData_15[[#This Row],[IType]],IsDList,Table_ExternalData_15[[#Headers],[7]])</f>
        <v>0</v>
      </c>
      <c r="L203" s="10">
        <f>SUMIFS(IsQList,IsIList,Table_ExternalData_15[[#This Row],[item_key]],IsITypeList,Table_ExternalData_15[[#This Row],[IType]],IsDList,Table_ExternalData_15[[#Headers],[8]])</f>
        <v>0</v>
      </c>
      <c r="M203" s="10">
        <f>SUMIFS(IsQList,IsIList,Table_ExternalData_15[[#This Row],[item_key]],IsITypeList,Table_ExternalData_15[[#This Row],[IType]],IsDList,Table_ExternalData_15[[#Headers],[9]])</f>
        <v>0</v>
      </c>
      <c r="N203" s="10">
        <f>SUMIFS(IsQList,IsIList,Table_ExternalData_15[[#This Row],[item_key]],IsITypeList,Table_ExternalData_15[[#This Row],[IType]],IsDList,Table_ExternalData_15[[#Headers],[10]])</f>
        <v>0</v>
      </c>
      <c r="O203" s="10">
        <f>SUMIFS(IsQList,IsIList,Table_ExternalData_15[[#This Row],[item_key]],IsITypeList,Table_ExternalData_15[[#This Row],[IType]],IsDList,Table_ExternalData_15[[#Headers],[11]])</f>
        <v>0</v>
      </c>
      <c r="P203" s="10">
        <f>SUMIFS(IsQList,IsIList,Table_ExternalData_15[[#This Row],[item_key]],IsITypeList,Table_ExternalData_15[[#This Row],[IType]],IsDList,Table_ExternalData_15[[#Headers],[12]])</f>
        <v>0</v>
      </c>
      <c r="Q203" s="10">
        <f>SUMIFS(IsQList,IsIList,Table_ExternalData_15[[#This Row],[item_key]],IsITypeList,Table_ExternalData_15[[#This Row],[IType]],IsDList,Table_ExternalData_15[[#Headers],[13]])</f>
        <v>0</v>
      </c>
      <c r="R203" s="10">
        <f>SUMIFS(IsQList,IsIList,Table_ExternalData_15[[#This Row],[item_key]],IsITypeList,Table_ExternalData_15[[#This Row],[IType]],IsDList,Table_ExternalData_15[[#Headers],[14]])</f>
        <v>0</v>
      </c>
      <c r="S203" s="10">
        <f>SUMIFS(IsQList,IsIList,Table_ExternalData_15[[#This Row],[item_key]],IsITypeList,Table_ExternalData_15[[#This Row],[IType]],IsDList,Table_ExternalData_15[[#Headers],[15]])</f>
        <v>0</v>
      </c>
      <c r="T203" s="10">
        <f>SUMIFS(IsQList,IsIList,Table_ExternalData_15[[#This Row],[item_key]],IsITypeList,Table_ExternalData_15[[#This Row],[IType]],IsDList,Table_ExternalData_15[[#Headers],[16]])</f>
        <v>0</v>
      </c>
      <c r="U203" s="10">
        <f>SUMIFS(IsQList,IsIList,Table_ExternalData_15[[#This Row],[item_key]],IsITypeList,Table_ExternalData_15[[#This Row],[IType]],IsDList,Table_ExternalData_15[[#Headers],[17]])</f>
        <v>0</v>
      </c>
      <c r="V203" s="10">
        <f>SUMIFS(IsQList,IsIList,Table_ExternalData_15[[#This Row],[item_key]],IsITypeList,Table_ExternalData_15[[#This Row],[IType]],IsDList,Table_ExternalData_15[[#Headers],[18]])</f>
        <v>0</v>
      </c>
      <c r="W203" s="10">
        <f>SUMIFS(IsQList,IsIList,Table_ExternalData_15[[#This Row],[item_key]],IsITypeList,Table_ExternalData_15[[#This Row],[IType]],IsDList,Table_ExternalData_15[[#Headers],[19]])</f>
        <v>0</v>
      </c>
      <c r="X203" s="10">
        <f>SUMIFS(IsQList,IsIList,Table_ExternalData_15[[#This Row],[item_key]],IsITypeList,Table_ExternalData_15[[#This Row],[IType]],IsDList,Table_ExternalData_15[[#Headers],[20]])</f>
        <v>0</v>
      </c>
      <c r="Y203" s="10">
        <f>SUMIFS(IsQList,IsIList,Table_ExternalData_15[[#This Row],[item_key]],IsITypeList,Table_ExternalData_15[[#This Row],[IType]],IsDList,Table_ExternalData_15[[#Headers],[21]])</f>
        <v>0</v>
      </c>
      <c r="Z203" s="10">
        <f>SUMIFS(IsQList,IsIList,Table_ExternalData_15[[#This Row],[item_key]],IsITypeList,Table_ExternalData_15[[#This Row],[IType]],IsDList,Table_ExternalData_15[[#Headers],[22]])</f>
        <v>0</v>
      </c>
      <c r="AA203" s="10">
        <f>SUMIFS(IsQList,IsIList,Table_ExternalData_15[[#This Row],[item_key]],IsITypeList,Table_ExternalData_15[[#This Row],[IType]],IsDList,Table_ExternalData_15[[#Headers],[23]])</f>
        <v>0</v>
      </c>
      <c r="AB203" s="10">
        <f>SUMIFS(IsQList,IsIList,Table_ExternalData_15[[#This Row],[item_key]],IsITypeList,Table_ExternalData_15[[#This Row],[IType]],IsDList,Table_ExternalData_15[[#Headers],[24]])</f>
        <v>10</v>
      </c>
      <c r="AC203" s="10">
        <f>SUMIFS(IsQList,IsIList,Table_ExternalData_15[[#This Row],[item_key]],IsITypeList,Table_ExternalData_15[[#This Row],[IType]],IsDList,Table_ExternalData_15[[#Headers],[25]])</f>
        <v>0</v>
      </c>
      <c r="AD203" s="10">
        <f>SUMIFS(IsQList,IsIList,Table_ExternalData_15[[#This Row],[item_key]],IsITypeList,Table_ExternalData_15[[#This Row],[IType]],IsDList,Table_ExternalData_15[[#Headers],[26]])</f>
        <v>0</v>
      </c>
      <c r="AE203" s="10">
        <f>SUMIFS(IsQList,IsIList,Table_ExternalData_15[[#This Row],[item_key]],IsITypeList,Table_ExternalData_15[[#This Row],[IType]],IsDList,Table_ExternalData_15[[#Headers],[27]])</f>
        <v>0</v>
      </c>
      <c r="AF203" s="10">
        <f>SUMIFS(IsQList,IsIList,Table_ExternalData_15[[#This Row],[item_key]],IsITypeList,Table_ExternalData_15[[#This Row],[IType]],IsDList,Table_ExternalData_15[[#Headers],[28]])</f>
        <v>0</v>
      </c>
      <c r="AG203" s="10">
        <f>SUMIFS(IsQList,IsIList,Table_ExternalData_15[[#This Row],[item_key]],IsITypeList,Table_ExternalData_15[[#This Row],[IType]],IsDList,Table_ExternalData_15[[#Headers],[29]])</f>
        <v>0</v>
      </c>
      <c r="AH203" s="10">
        <f>SUMIFS(IsQList,IsIList,Table_ExternalData_15[[#This Row],[item_key]],IsITypeList,Table_ExternalData_15[[#This Row],[IType]],IsDList,Table_ExternalData_15[[#Headers],[30]])</f>
        <v>20</v>
      </c>
      <c r="AI203" s="10">
        <f>SUMIFS(IsQList,IsIList,Table_ExternalData_15[[#This Row],[item_key]],IsITypeList,Table_ExternalData_15[[#This Row],[IType]],IsDList,Table_ExternalData_15[[#Headers],[31]])</f>
        <v>0</v>
      </c>
      <c r="AJ203" s="10">
        <f>SUM(Table_ExternalData_15[[#This Row],[1]:[31]])</f>
        <v>40</v>
      </c>
    </row>
    <row r="204" spans="1:36">
      <c r="A204" s="1" t="s">
        <v>704</v>
      </c>
      <c r="B204" s="1" t="s">
        <v>2634</v>
      </c>
      <c r="C204" s="1" t="s">
        <v>2633</v>
      </c>
      <c r="D204" s="11" t="s">
        <v>72</v>
      </c>
      <c r="E204" s="10">
        <f>SUMIFS(IsQList,IsIList,Table_ExternalData_15[[#This Row],[item_key]],IsITypeList,Table_ExternalData_15[[#This Row],[IType]],IsDList,Table_ExternalData_15[[#Headers],[1]])</f>
        <v>0</v>
      </c>
      <c r="F204" s="10">
        <f>SUMIFS(IsQList,IsIList,Table_ExternalData_15[[#This Row],[item_key]],IsITypeList,Table_ExternalData_15[[#This Row],[IType]],IsDList,Table_ExternalData_15[[#Headers],[2]])</f>
        <v>0</v>
      </c>
      <c r="G204" s="10">
        <f>SUMIFS(IsQList,IsIList,Table_ExternalData_15[[#This Row],[item_key]],IsITypeList,Table_ExternalData_15[[#This Row],[IType]],IsDList,Table_ExternalData_15[[#Headers],[3]])</f>
        <v>0</v>
      </c>
      <c r="H204" s="10">
        <f>SUMIFS(IsQList,IsIList,Table_ExternalData_15[[#This Row],[item_key]],IsITypeList,Table_ExternalData_15[[#This Row],[IType]],IsDList,Table_ExternalData_15[[#Headers],[4]])</f>
        <v>0</v>
      </c>
      <c r="I204" s="10">
        <f>SUMIFS(IsQList,IsIList,Table_ExternalData_15[[#This Row],[item_key]],IsITypeList,Table_ExternalData_15[[#This Row],[IType]],IsDList,Table_ExternalData_15[[#Headers],[5]])</f>
        <v>0</v>
      </c>
      <c r="J204" s="10">
        <f>SUMIFS(IsQList,IsIList,Table_ExternalData_15[[#This Row],[item_key]],IsITypeList,Table_ExternalData_15[[#This Row],[IType]],IsDList,Table_ExternalData_15[[#Headers],[6]])</f>
        <v>0</v>
      </c>
      <c r="K204" s="10">
        <f>SUMIFS(IsQList,IsIList,Table_ExternalData_15[[#This Row],[item_key]],IsITypeList,Table_ExternalData_15[[#This Row],[IType]],IsDList,Table_ExternalData_15[[#Headers],[7]])</f>
        <v>0</v>
      </c>
      <c r="L204" s="10">
        <f>SUMIFS(IsQList,IsIList,Table_ExternalData_15[[#This Row],[item_key]],IsITypeList,Table_ExternalData_15[[#This Row],[IType]],IsDList,Table_ExternalData_15[[#Headers],[8]])</f>
        <v>0</v>
      </c>
      <c r="M204" s="10">
        <f>SUMIFS(IsQList,IsIList,Table_ExternalData_15[[#This Row],[item_key]],IsITypeList,Table_ExternalData_15[[#This Row],[IType]],IsDList,Table_ExternalData_15[[#Headers],[9]])</f>
        <v>0</v>
      </c>
      <c r="N204" s="10">
        <f>SUMIFS(IsQList,IsIList,Table_ExternalData_15[[#This Row],[item_key]],IsITypeList,Table_ExternalData_15[[#This Row],[IType]],IsDList,Table_ExternalData_15[[#Headers],[10]])</f>
        <v>0</v>
      </c>
      <c r="O204" s="10">
        <f>SUMIFS(IsQList,IsIList,Table_ExternalData_15[[#This Row],[item_key]],IsITypeList,Table_ExternalData_15[[#This Row],[IType]],IsDList,Table_ExternalData_15[[#Headers],[11]])</f>
        <v>0</v>
      </c>
      <c r="P204" s="10">
        <f>SUMIFS(IsQList,IsIList,Table_ExternalData_15[[#This Row],[item_key]],IsITypeList,Table_ExternalData_15[[#This Row],[IType]],IsDList,Table_ExternalData_15[[#Headers],[12]])</f>
        <v>0</v>
      </c>
      <c r="Q204" s="10">
        <f>SUMIFS(IsQList,IsIList,Table_ExternalData_15[[#This Row],[item_key]],IsITypeList,Table_ExternalData_15[[#This Row],[IType]],IsDList,Table_ExternalData_15[[#Headers],[13]])</f>
        <v>0</v>
      </c>
      <c r="R204" s="10">
        <f>SUMIFS(IsQList,IsIList,Table_ExternalData_15[[#This Row],[item_key]],IsITypeList,Table_ExternalData_15[[#This Row],[IType]],IsDList,Table_ExternalData_15[[#Headers],[14]])</f>
        <v>0</v>
      </c>
      <c r="S204" s="10">
        <f>SUMIFS(IsQList,IsIList,Table_ExternalData_15[[#This Row],[item_key]],IsITypeList,Table_ExternalData_15[[#This Row],[IType]],IsDList,Table_ExternalData_15[[#Headers],[15]])</f>
        <v>0</v>
      </c>
      <c r="T204" s="10">
        <f>SUMIFS(IsQList,IsIList,Table_ExternalData_15[[#This Row],[item_key]],IsITypeList,Table_ExternalData_15[[#This Row],[IType]],IsDList,Table_ExternalData_15[[#Headers],[16]])</f>
        <v>20</v>
      </c>
      <c r="U204" s="10">
        <f>SUMIFS(IsQList,IsIList,Table_ExternalData_15[[#This Row],[item_key]],IsITypeList,Table_ExternalData_15[[#This Row],[IType]],IsDList,Table_ExternalData_15[[#Headers],[17]])</f>
        <v>0</v>
      </c>
      <c r="V204" s="10">
        <f>SUMIFS(IsQList,IsIList,Table_ExternalData_15[[#This Row],[item_key]],IsITypeList,Table_ExternalData_15[[#This Row],[IType]],IsDList,Table_ExternalData_15[[#Headers],[18]])</f>
        <v>0</v>
      </c>
      <c r="W204" s="10">
        <f>SUMIFS(IsQList,IsIList,Table_ExternalData_15[[#This Row],[item_key]],IsITypeList,Table_ExternalData_15[[#This Row],[IType]],IsDList,Table_ExternalData_15[[#Headers],[19]])</f>
        <v>0</v>
      </c>
      <c r="X204" s="10">
        <f>SUMIFS(IsQList,IsIList,Table_ExternalData_15[[#This Row],[item_key]],IsITypeList,Table_ExternalData_15[[#This Row],[IType]],IsDList,Table_ExternalData_15[[#Headers],[20]])</f>
        <v>0</v>
      </c>
      <c r="Y204" s="10">
        <f>SUMIFS(IsQList,IsIList,Table_ExternalData_15[[#This Row],[item_key]],IsITypeList,Table_ExternalData_15[[#This Row],[IType]],IsDList,Table_ExternalData_15[[#Headers],[21]])</f>
        <v>0</v>
      </c>
      <c r="Z204" s="10">
        <f>SUMIFS(IsQList,IsIList,Table_ExternalData_15[[#This Row],[item_key]],IsITypeList,Table_ExternalData_15[[#This Row],[IType]],IsDList,Table_ExternalData_15[[#Headers],[22]])</f>
        <v>0</v>
      </c>
      <c r="AA204" s="10">
        <f>SUMIFS(IsQList,IsIList,Table_ExternalData_15[[#This Row],[item_key]],IsITypeList,Table_ExternalData_15[[#This Row],[IType]],IsDList,Table_ExternalData_15[[#Headers],[23]])</f>
        <v>0</v>
      </c>
      <c r="AB204" s="10">
        <f>SUMIFS(IsQList,IsIList,Table_ExternalData_15[[#This Row],[item_key]],IsITypeList,Table_ExternalData_15[[#This Row],[IType]],IsDList,Table_ExternalData_15[[#Headers],[24]])</f>
        <v>5</v>
      </c>
      <c r="AC204" s="10">
        <f>SUMIFS(IsQList,IsIList,Table_ExternalData_15[[#This Row],[item_key]],IsITypeList,Table_ExternalData_15[[#This Row],[IType]],IsDList,Table_ExternalData_15[[#Headers],[25]])</f>
        <v>0</v>
      </c>
      <c r="AD204" s="10">
        <f>SUMIFS(IsQList,IsIList,Table_ExternalData_15[[#This Row],[item_key]],IsITypeList,Table_ExternalData_15[[#This Row],[IType]],IsDList,Table_ExternalData_15[[#Headers],[26]])</f>
        <v>0</v>
      </c>
      <c r="AE204" s="10">
        <f>SUMIFS(IsQList,IsIList,Table_ExternalData_15[[#This Row],[item_key]],IsITypeList,Table_ExternalData_15[[#This Row],[IType]],IsDList,Table_ExternalData_15[[#Headers],[27]])</f>
        <v>0</v>
      </c>
      <c r="AF204" s="10">
        <f>SUMIFS(IsQList,IsIList,Table_ExternalData_15[[#This Row],[item_key]],IsITypeList,Table_ExternalData_15[[#This Row],[IType]],IsDList,Table_ExternalData_15[[#Headers],[28]])</f>
        <v>0</v>
      </c>
      <c r="AG204" s="10">
        <f>SUMIFS(IsQList,IsIList,Table_ExternalData_15[[#This Row],[item_key]],IsITypeList,Table_ExternalData_15[[#This Row],[IType]],IsDList,Table_ExternalData_15[[#Headers],[29]])</f>
        <v>0</v>
      </c>
      <c r="AH204" s="10">
        <f>SUMIFS(IsQList,IsIList,Table_ExternalData_15[[#This Row],[item_key]],IsITypeList,Table_ExternalData_15[[#This Row],[IType]],IsDList,Table_ExternalData_15[[#Headers],[30]])</f>
        <v>0</v>
      </c>
      <c r="AI204" s="10">
        <f>SUMIFS(IsQList,IsIList,Table_ExternalData_15[[#This Row],[item_key]],IsITypeList,Table_ExternalData_15[[#This Row],[IType]],IsDList,Table_ExternalData_15[[#Headers],[31]])</f>
        <v>0</v>
      </c>
      <c r="AJ204" s="10">
        <f>SUM(Table_ExternalData_15[[#This Row],[1]:[31]])</f>
        <v>25</v>
      </c>
    </row>
    <row r="205" spans="1:36">
      <c r="A205" s="1" t="s">
        <v>707</v>
      </c>
      <c r="B205" s="1" t="s">
        <v>2635</v>
      </c>
      <c r="C205" s="1" t="s">
        <v>2636</v>
      </c>
      <c r="D205" s="11" t="s">
        <v>72</v>
      </c>
      <c r="E205" s="10">
        <f>SUMIFS(IsQList,IsIList,Table_ExternalData_15[[#This Row],[item_key]],IsITypeList,Table_ExternalData_15[[#This Row],[IType]],IsDList,Table_ExternalData_15[[#Headers],[1]])</f>
        <v>0</v>
      </c>
      <c r="F205" s="10">
        <f>SUMIFS(IsQList,IsIList,Table_ExternalData_15[[#This Row],[item_key]],IsITypeList,Table_ExternalData_15[[#This Row],[IType]],IsDList,Table_ExternalData_15[[#Headers],[2]])</f>
        <v>0</v>
      </c>
      <c r="G205" s="10">
        <f>SUMIFS(IsQList,IsIList,Table_ExternalData_15[[#This Row],[item_key]],IsITypeList,Table_ExternalData_15[[#This Row],[IType]],IsDList,Table_ExternalData_15[[#Headers],[3]])</f>
        <v>0</v>
      </c>
      <c r="H205" s="10">
        <f>SUMIFS(IsQList,IsIList,Table_ExternalData_15[[#This Row],[item_key]],IsITypeList,Table_ExternalData_15[[#This Row],[IType]],IsDList,Table_ExternalData_15[[#Headers],[4]])</f>
        <v>0</v>
      </c>
      <c r="I205" s="10">
        <f>SUMIFS(IsQList,IsIList,Table_ExternalData_15[[#This Row],[item_key]],IsITypeList,Table_ExternalData_15[[#This Row],[IType]],IsDList,Table_ExternalData_15[[#Headers],[5]])</f>
        <v>0</v>
      </c>
      <c r="J205" s="10">
        <f>SUMIFS(IsQList,IsIList,Table_ExternalData_15[[#This Row],[item_key]],IsITypeList,Table_ExternalData_15[[#This Row],[IType]],IsDList,Table_ExternalData_15[[#Headers],[6]])</f>
        <v>25</v>
      </c>
      <c r="K205" s="10">
        <f>SUMIFS(IsQList,IsIList,Table_ExternalData_15[[#This Row],[item_key]],IsITypeList,Table_ExternalData_15[[#This Row],[IType]],IsDList,Table_ExternalData_15[[#Headers],[7]])</f>
        <v>0</v>
      </c>
      <c r="L205" s="10">
        <f>SUMIFS(IsQList,IsIList,Table_ExternalData_15[[#This Row],[item_key]],IsITypeList,Table_ExternalData_15[[#This Row],[IType]],IsDList,Table_ExternalData_15[[#Headers],[8]])</f>
        <v>0</v>
      </c>
      <c r="M205" s="10">
        <f>SUMIFS(IsQList,IsIList,Table_ExternalData_15[[#This Row],[item_key]],IsITypeList,Table_ExternalData_15[[#This Row],[IType]],IsDList,Table_ExternalData_15[[#Headers],[9]])</f>
        <v>0</v>
      </c>
      <c r="N205" s="10">
        <f>SUMIFS(IsQList,IsIList,Table_ExternalData_15[[#This Row],[item_key]],IsITypeList,Table_ExternalData_15[[#This Row],[IType]],IsDList,Table_ExternalData_15[[#Headers],[10]])</f>
        <v>0</v>
      </c>
      <c r="O205" s="10">
        <f>SUMIFS(IsQList,IsIList,Table_ExternalData_15[[#This Row],[item_key]],IsITypeList,Table_ExternalData_15[[#This Row],[IType]],IsDList,Table_ExternalData_15[[#Headers],[11]])</f>
        <v>0</v>
      </c>
      <c r="P205" s="10">
        <f>SUMIFS(IsQList,IsIList,Table_ExternalData_15[[#This Row],[item_key]],IsITypeList,Table_ExternalData_15[[#This Row],[IType]],IsDList,Table_ExternalData_15[[#Headers],[12]])</f>
        <v>0</v>
      </c>
      <c r="Q205" s="10">
        <f>SUMIFS(IsQList,IsIList,Table_ExternalData_15[[#This Row],[item_key]],IsITypeList,Table_ExternalData_15[[#This Row],[IType]],IsDList,Table_ExternalData_15[[#Headers],[13]])</f>
        <v>0</v>
      </c>
      <c r="R205" s="10">
        <f>SUMIFS(IsQList,IsIList,Table_ExternalData_15[[#This Row],[item_key]],IsITypeList,Table_ExternalData_15[[#This Row],[IType]],IsDList,Table_ExternalData_15[[#Headers],[14]])</f>
        <v>0</v>
      </c>
      <c r="S205" s="10">
        <f>SUMIFS(IsQList,IsIList,Table_ExternalData_15[[#This Row],[item_key]],IsITypeList,Table_ExternalData_15[[#This Row],[IType]],IsDList,Table_ExternalData_15[[#Headers],[15]])</f>
        <v>0</v>
      </c>
      <c r="T205" s="10">
        <f>SUMIFS(IsQList,IsIList,Table_ExternalData_15[[#This Row],[item_key]],IsITypeList,Table_ExternalData_15[[#This Row],[IType]],IsDList,Table_ExternalData_15[[#Headers],[16]])</f>
        <v>30</v>
      </c>
      <c r="U205" s="10">
        <f>SUMIFS(IsQList,IsIList,Table_ExternalData_15[[#This Row],[item_key]],IsITypeList,Table_ExternalData_15[[#This Row],[IType]],IsDList,Table_ExternalData_15[[#Headers],[17]])</f>
        <v>0</v>
      </c>
      <c r="V205" s="10">
        <f>SUMIFS(IsQList,IsIList,Table_ExternalData_15[[#This Row],[item_key]],IsITypeList,Table_ExternalData_15[[#This Row],[IType]],IsDList,Table_ExternalData_15[[#Headers],[18]])</f>
        <v>0</v>
      </c>
      <c r="W205" s="10">
        <f>SUMIFS(IsQList,IsIList,Table_ExternalData_15[[#This Row],[item_key]],IsITypeList,Table_ExternalData_15[[#This Row],[IType]],IsDList,Table_ExternalData_15[[#Headers],[19]])</f>
        <v>0</v>
      </c>
      <c r="X205" s="10">
        <f>SUMIFS(IsQList,IsIList,Table_ExternalData_15[[#This Row],[item_key]],IsITypeList,Table_ExternalData_15[[#This Row],[IType]],IsDList,Table_ExternalData_15[[#Headers],[20]])</f>
        <v>0</v>
      </c>
      <c r="Y205" s="10">
        <f>SUMIFS(IsQList,IsIList,Table_ExternalData_15[[#This Row],[item_key]],IsITypeList,Table_ExternalData_15[[#This Row],[IType]],IsDList,Table_ExternalData_15[[#Headers],[21]])</f>
        <v>0</v>
      </c>
      <c r="Z205" s="10">
        <f>SUMIFS(IsQList,IsIList,Table_ExternalData_15[[#This Row],[item_key]],IsITypeList,Table_ExternalData_15[[#This Row],[IType]],IsDList,Table_ExternalData_15[[#Headers],[22]])</f>
        <v>0</v>
      </c>
      <c r="AA205" s="10">
        <f>SUMIFS(IsQList,IsIList,Table_ExternalData_15[[#This Row],[item_key]],IsITypeList,Table_ExternalData_15[[#This Row],[IType]],IsDList,Table_ExternalData_15[[#Headers],[23]])</f>
        <v>0</v>
      </c>
      <c r="AB205" s="10">
        <f>SUMIFS(IsQList,IsIList,Table_ExternalData_15[[#This Row],[item_key]],IsITypeList,Table_ExternalData_15[[#This Row],[IType]],IsDList,Table_ExternalData_15[[#Headers],[24]])</f>
        <v>5</v>
      </c>
      <c r="AC205" s="10">
        <f>SUMIFS(IsQList,IsIList,Table_ExternalData_15[[#This Row],[item_key]],IsITypeList,Table_ExternalData_15[[#This Row],[IType]],IsDList,Table_ExternalData_15[[#Headers],[25]])</f>
        <v>0</v>
      </c>
      <c r="AD205" s="10">
        <f>SUMIFS(IsQList,IsIList,Table_ExternalData_15[[#This Row],[item_key]],IsITypeList,Table_ExternalData_15[[#This Row],[IType]],IsDList,Table_ExternalData_15[[#Headers],[26]])</f>
        <v>0</v>
      </c>
      <c r="AE205" s="10">
        <f>SUMIFS(IsQList,IsIList,Table_ExternalData_15[[#This Row],[item_key]],IsITypeList,Table_ExternalData_15[[#This Row],[IType]],IsDList,Table_ExternalData_15[[#Headers],[27]])</f>
        <v>0</v>
      </c>
      <c r="AF205" s="10">
        <f>SUMIFS(IsQList,IsIList,Table_ExternalData_15[[#This Row],[item_key]],IsITypeList,Table_ExternalData_15[[#This Row],[IType]],IsDList,Table_ExternalData_15[[#Headers],[28]])</f>
        <v>0</v>
      </c>
      <c r="AG205" s="10">
        <f>SUMIFS(IsQList,IsIList,Table_ExternalData_15[[#This Row],[item_key]],IsITypeList,Table_ExternalData_15[[#This Row],[IType]],IsDList,Table_ExternalData_15[[#Headers],[29]])</f>
        <v>0</v>
      </c>
      <c r="AH205" s="10">
        <f>SUMIFS(IsQList,IsIList,Table_ExternalData_15[[#This Row],[item_key]],IsITypeList,Table_ExternalData_15[[#This Row],[IType]],IsDList,Table_ExternalData_15[[#Headers],[30]])</f>
        <v>30</v>
      </c>
      <c r="AI205" s="10">
        <f>SUMIFS(IsQList,IsIList,Table_ExternalData_15[[#This Row],[item_key]],IsITypeList,Table_ExternalData_15[[#This Row],[IType]],IsDList,Table_ExternalData_15[[#Headers],[31]])</f>
        <v>0</v>
      </c>
      <c r="AJ205" s="10">
        <f>SUM(Table_ExternalData_15[[#This Row],[1]:[31]])</f>
        <v>90</v>
      </c>
    </row>
    <row r="206" spans="1:36">
      <c r="A206" s="1" t="s">
        <v>709</v>
      </c>
      <c r="B206" s="1" t="s">
        <v>1367</v>
      </c>
      <c r="C206" s="1" t="s">
        <v>1368</v>
      </c>
      <c r="D206" s="11" t="s">
        <v>72</v>
      </c>
      <c r="E206" s="10">
        <f>SUMIFS(IsQList,IsIList,Table_ExternalData_15[[#This Row],[item_key]],IsITypeList,Table_ExternalData_15[[#This Row],[IType]],IsDList,Table_ExternalData_15[[#Headers],[1]])</f>
        <v>0</v>
      </c>
      <c r="F206" s="10">
        <f>SUMIFS(IsQList,IsIList,Table_ExternalData_15[[#This Row],[item_key]],IsITypeList,Table_ExternalData_15[[#This Row],[IType]],IsDList,Table_ExternalData_15[[#Headers],[2]])</f>
        <v>0</v>
      </c>
      <c r="G206" s="10">
        <f>SUMIFS(IsQList,IsIList,Table_ExternalData_15[[#This Row],[item_key]],IsITypeList,Table_ExternalData_15[[#This Row],[IType]],IsDList,Table_ExternalData_15[[#Headers],[3]])</f>
        <v>0</v>
      </c>
      <c r="H206" s="10">
        <f>SUMIFS(IsQList,IsIList,Table_ExternalData_15[[#This Row],[item_key]],IsITypeList,Table_ExternalData_15[[#This Row],[IType]],IsDList,Table_ExternalData_15[[#Headers],[4]])</f>
        <v>0</v>
      </c>
      <c r="I206" s="10">
        <f>SUMIFS(IsQList,IsIList,Table_ExternalData_15[[#This Row],[item_key]],IsITypeList,Table_ExternalData_15[[#This Row],[IType]],IsDList,Table_ExternalData_15[[#Headers],[5]])</f>
        <v>0</v>
      </c>
      <c r="J206" s="10">
        <f>SUMIFS(IsQList,IsIList,Table_ExternalData_15[[#This Row],[item_key]],IsITypeList,Table_ExternalData_15[[#This Row],[IType]],IsDList,Table_ExternalData_15[[#Headers],[6]])</f>
        <v>19</v>
      </c>
      <c r="K206" s="10">
        <f>SUMIFS(IsQList,IsIList,Table_ExternalData_15[[#This Row],[item_key]],IsITypeList,Table_ExternalData_15[[#This Row],[IType]],IsDList,Table_ExternalData_15[[#Headers],[7]])</f>
        <v>0</v>
      </c>
      <c r="L206" s="10">
        <f>SUMIFS(IsQList,IsIList,Table_ExternalData_15[[#This Row],[item_key]],IsITypeList,Table_ExternalData_15[[#This Row],[IType]],IsDList,Table_ExternalData_15[[#Headers],[8]])</f>
        <v>0</v>
      </c>
      <c r="M206" s="10">
        <f>SUMIFS(IsQList,IsIList,Table_ExternalData_15[[#This Row],[item_key]],IsITypeList,Table_ExternalData_15[[#This Row],[IType]],IsDList,Table_ExternalData_15[[#Headers],[9]])</f>
        <v>0</v>
      </c>
      <c r="N206" s="10">
        <f>SUMIFS(IsQList,IsIList,Table_ExternalData_15[[#This Row],[item_key]],IsITypeList,Table_ExternalData_15[[#This Row],[IType]],IsDList,Table_ExternalData_15[[#Headers],[10]])</f>
        <v>76</v>
      </c>
      <c r="O206" s="10">
        <f>SUMIFS(IsQList,IsIList,Table_ExternalData_15[[#This Row],[item_key]],IsITypeList,Table_ExternalData_15[[#This Row],[IType]],IsDList,Table_ExternalData_15[[#Headers],[11]])</f>
        <v>0</v>
      </c>
      <c r="P206" s="10">
        <f>SUMIFS(IsQList,IsIList,Table_ExternalData_15[[#This Row],[item_key]],IsITypeList,Table_ExternalData_15[[#This Row],[IType]],IsDList,Table_ExternalData_15[[#Headers],[12]])</f>
        <v>0</v>
      </c>
      <c r="Q206" s="10">
        <f>SUMIFS(IsQList,IsIList,Table_ExternalData_15[[#This Row],[item_key]],IsITypeList,Table_ExternalData_15[[#This Row],[IType]],IsDList,Table_ExternalData_15[[#Headers],[13]])</f>
        <v>0</v>
      </c>
      <c r="R206" s="10">
        <f>SUMIFS(IsQList,IsIList,Table_ExternalData_15[[#This Row],[item_key]],IsITypeList,Table_ExternalData_15[[#This Row],[IType]],IsDList,Table_ExternalData_15[[#Headers],[14]])</f>
        <v>0</v>
      </c>
      <c r="S206" s="10">
        <f>SUMIFS(IsQList,IsIList,Table_ExternalData_15[[#This Row],[item_key]],IsITypeList,Table_ExternalData_15[[#This Row],[IType]],IsDList,Table_ExternalData_15[[#Headers],[15]])</f>
        <v>0</v>
      </c>
      <c r="T206" s="10">
        <f>SUMIFS(IsQList,IsIList,Table_ExternalData_15[[#This Row],[item_key]],IsITypeList,Table_ExternalData_15[[#This Row],[IType]],IsDList,Table_ExternalData_15[[#Headers],[16]])</f>
        <v>30</v>
      </c>
      <c r="U206" s="10">
        <f>SUMIFS(IsQList,IsIList,Table_ExternalData_15[[#This Row],[item_key]],IsITypeList,Table_ExternalData_15[[#This Row],[IType]],IsDList,Table_ExternalData_15[[#Headers],[17]])</f>
        <v>0</v>
      </c>
      <c r="V206" s="10">
        <f>SUMIFS(IsQList,IsIList,Table_ExternalData_15[[#This Row],[item_key]],IsITypeList,Table_ExternalData_15[[#This Row],[IType]],IsDList,Table_ExternalData_15[[#Headers],[18]])</f>
        <v>0</v>
      </c>
      <c r="W206" s="10">
        <f>SUMIFS(IsQList,IsIList,Table_ExternalData_15[[#This Row],[item_key]],IsITypeList,Table_ExternalData_15[[#This Row],[IType]],IsDList,Table_ExternalData_15[[#Headers],[19]])</f>
        <v>0</v>
      </c>
      <c r="X206" s="10">
        <f>SUMIFS(IsQList,IsIList,Table_ExternalData_15[[#This Row],[item_key]],IsITypeList,Table_ExternalData_15[[#This Row],[IType]],IsDList,Table_ExternalData_15[[#Headers],[20]])</f>
        <v>0</v>
      </c>
      <c r="Y206" s="10">
        <f>SUMIFS(IsQList,IsIList,Table_ExternalData_15[[#This Row],[item_key]],IsITypeList,Table_ExternalData_15[[#This Row],[IType]],IsDList,Table_ExternalData_15[[#Headers],[21]])</f>
        <v>0</v>
      </c>
      <c r="Z206" s="10">
        <f>SUMIFS(IsQList,IsIList,Table_ExternalData_15[[#This Row],[item_key]],IsITypeList,Table_ExternalData_15[[#This Row],[IType]],IsDList,Table_ExternalData_15[[#Headers],[22]])</f>
        <v>0</v>
      </c>
      <c r="AA206" s="10">
        <f>SUMIFS(IsQList,IsIList,Table_ExternalData_15[[#This Row],[item_key]],IsITypeList,Table_ExternalData_15[[#This Row],[IType]],IsDList,Table_ExternalData_15[[#Headers],[23]])</f>
        <v>0</v>
      </c>
      <c r="AB206" s="10">
        <f>SUMIFS(IsQList,IsIList,Table_ExternalData_15[[#This Row],[item_key]],IsITypeList,Table_ExternalData_15[[#This Row],[IType]],IsDList,Table_ExternalData_15[[#Headers],[24]])</f>
        <v>10</v>
      </c>
      <c r="AC206" s="10">
        <f>SUMIFS(IsQList,IsIList,Table_ExternalData_15[[#This Row],[item_key]],IsITypeList,Table_ExternalData_15[[#This Row],[IType]],IsDList,Table_ExternalData_15[[#Headers],[25]])</f>
        <v>0</v>
      </c>
      <c r="AD206" s="10">
        <f>SUMIFS(IsQList,IsIList,Table_ExternalData_15[[#This Row],[item_key]],IsITypeList,Table_ExternalData_15[[#This Row],[IType]],IsDList,Table_ExternalData_15[[#Headers],[26]])</f>
        <v>0</v>
      </c>
      <c r="AE206" s="10">
        <f>SUMIFS(IsQList,IsIList,Table_ExternalData_15[[#This Row],[item_key]],IsITypeList,Table_ExternalData_15[[#This Row],[IType]],IsDList,Table_ExternalData_15[[#Headers],[27]])</f>
        <v>0</v>
      </c>
      <c r="AF206" s="10">
        <f>SUMIFS(IsQList,IsIList,Table_ExternalData_15[[#This Row],[item_key]],IsITypeList,Table_ExternalData_15[[#This Row],[IType]],IsDList,Table_ExternalData_15[[#Headers],[28]])</f>
        <v>0</v>
      </c>
      <c r="AG206" s="10">
        <f>SUMIFS(IsQList,IsIList,Table_ExternalData_15[[#This Row],[item_key]],IsITypeList,Table_ExternalData_15[[#This Row],[IType]],IsDList,Table_ExternalData_15[[#Headers],[29]])</f>
        <v>0</v>
      </c>
      <c r="AH206" s="10">
        <f>SUMIFS(IsQList,IsIList,Table_ExternalData_15[[#This Row],[item_key]],IsITypeList,Table_ExternalData_15[[#This Row],[IType]],IsDList,Table_ExternalData_15[[#Headers],[30]])</f>
        <v>70</v>
      </c>
      <c r="AI206" s="10">
        <f>SUMIFS(IsQList,IsIList,Table_ExternalData_15[[#This Row],[item_key]],IsITypeList,Table_ExternalData_15[[#This Row],[IType]],IsDList,Table_ExternalData_15[[#Headers],[31]])</f>
        <v>0</v>
      </c>
      <c r="AJ206" s="10">
        <f>SUM(Table_ExternalData_15[[#This Row],[1]:[31]])</f>
        <v>205</v>
      </c>
    </row>
    <row r="207" spans="1:36">
      <c r="A207" s="1" t="s">
        <v>710</v>
      </c>
      <c r="B207" s="1" t="s">
        <v>2637</v>
      </c>
      <c r="C207" s="1" t="s">
        <v>1368</v>
      </c>
      <c r="D207" s="11" t="s">
        <v>72</v>
      </c>
      <c r="E207" s="10">
        <f>SUMIFS(IsQList,IsIList,Table_ExternalData_15[[#This Row],[item_key]],IsITypeList,Table_ExternalData_15[[#This Row],[IType]],IsDList,Table_ExternalData_15[[#Headers],[1]])</f>
        <v>0</v>
      </c>
      <c r="F207" s="10">
        <f>SUMIFS(IsQList,IsIList,Table_ExternalData_15[[#This Row],[item_key]],IsITypeList,Table_ExternalData_15[[#This Row],[IType]],IsDList,Table_ExternalData_15[[#Headers],[2]])</f>
        <v>0</v>
      </c>
      <c r="G207" s="10">
        <f>SUMIFS(IsQList,IsIList,Table_ExternalData_15[[#This Row],[item_key]],IsITypeList,Table_ExternalData_15[[#This Row],[IType]],IsDList,Table_ExternalData_15[[#Headers],[3]])</f>
        <v>0</v>
      </c>
      <c r="H207" s="10">
        <f>SUMIFS(IsQList,IsIList,Table_ExternalData_15[[#This Row],[item_key]],IsITypeList,Table_ExternalData_15[[#This Row],[IType]],IsDList,Table_ExternalData_15[[#Headers],[4]])</f>
        <v>0</v>
      </c>
      <c r="I207" s="10">
        <f>SUMIFS(IsQList,IsIList,Table_ExternalData_15[[#This Row],[item_key]],IsITypeList,Table_ExternalData_15[[#This Row],[IType]],IsDList,Table_ExternalData_15[[#Headers],[5]])</f>
        <v>0</v>
      </c>
      <c r="J207" s="10">
        <f>SUMIFS(IsQList,IsIList,Table_ExternalData_15[[#This Row],[item_key]],IsITypeList,Table_ExternalData_15[[#This Row],[IType]],IsDList,Table_ExternalData_15[[#Headers],[6]])</f>
        <v>0</v>
      </c>
      <c r="K207" s="10">
        <f>SUMIFS(IsQList,IsIList,Table_ExternalData_15[[#This Row],[item_key]],IsITypeList,Table_ExternalData_15[[#This Row],[IType]],IsDList,Table_ExternalData_15[[#Headers],[7]])</f>
        <v>0</v>
      </c>
      <c r="L207" s="10">
        <f>SUMIFS(IsQList,IsIList,Table_ExternalData_15[[#This Row],[item_key]],IsITypeList,Table_ExternalData_15[[#This Row],[IType]],IsDList,Table_ExternalData_15[[#Headers],[8]])</f>
        <v>0</v>
      </c>
      <c r="M207" s="10">
        <f>SUMIFS(IsQList,IsIList,Table_ExternalData_15[[#This Row],[item_key]],IsITypeList,Table_ExternalData_15[[#This Row],[IType]],IsDList,Table_ExternalData_15[[#Headers],[9]])</f>
        <v>0</v>
      </c>
      <c r="N207" s="10">
        <f>SUMIFS(IsQList,IsIList,Table_ExternalData_15[[#This Row],[item_key]],IsITypeList,Table_ExternalData_15[[#This Row],[IType]],IsDList,Table_ExternalData_15[[#Headers],[10]])</f>
        <v>0</v>
      </c>
      <c r="O207" s="10">
        <f>SUMIFS(IsQList,IsIList,Table_ExternalData_15[[#This Row],[item_key]],IsITypeList,Table_ExternalData_15[[#This Row],[IType]],IsDList,Table_ExternalData_15[[#Headers],[11]])</f>
        <v>0</v>
      </c>
      <c r="P207" s="10">
        <f>SUMIFS(IsQList,IsIList,Table_ExternalData_15[[#This Row],[item_key]],IsITypeList,Table_ExternalData_15[[#This Row],[IType]],IsDList,Table_ExternalData_15[[#Headers],[12]])</f>
        <v>0</v>
      </c>
      <c r="Q207" s="10">
        <f>SUMIFS(IsQList,IsIList,Table_ExternalData_15[[#This Row],[item_key]],IsITypeList,Table_ExternalData_15[[#This Row],[IType]],IsDList,Table_ExternalData_15[[#Headers],[13]])</f>
        <v>0</v>
      </c>
      <c r="R207" s="10">
        <f>SUMIFS(IsQList,IsIList,Table_ExternalData_15[[#This Row],[item_key]],IsITypeList,Table_ExternalData_15[[#This Row],[IType]],IsDList,Table_ExternalData_15[[#Headers],[14]])</f>
        <v>0</v>
      </c>
      <c r="S207" s="10">
        <f>SUMIFS(IsQList,IsIList,Table_ExternalData_15[[#This Row],[item_key]],IsITypeList,Table_ExternalData_15[[#This Row],[IType]],IsDList,Table_ExternalData_15[[#Headers],[15]])</f>
        <v>0</v>
      </c>
      <c r="T207" s="10">
        <f>SUMIFS(IsQList,IsIList,Table_ExternalData_15[[#This Row],[item_key]],IsITypeList,Table_ExternalData_15[[#This Row],[IType]],IsDList,Table_ExternalData_15[[#Headers],[16]])</f>
        <v>20</v>
      </c>
      <c r="U207" s="10">
        <f>SUMIFS(IsQList,IsIList,Table_ExternalData_15[[#This Row],[item_key]],IsITypeList,Table_ExternalData_15[[#This Row],[IType]],IsDList,Table_ExternalData_15[[#Headers],[17]])</f>
        <v>0</v>
      </c>
      <c r="V207" s="10">
        <f>SUMIFS(IsQList,IsIList,Table_ExternalData_15[[#This Row],[item_key]],IsITypeList,Table_ExternalData_15[[#This Row],[IType]],IsDList,Table_ExternalData_15[[#Headers],[18]])</f>
        <v>0</v>
      </c>
      <c r="W207" s="10">
        <f>SUMIFS(IsQList,IsIList,Table_ExternalData_15[[#This Row],[item_key]],IsITypeList,Table_ExternalData_15[[#This Row],[IType]],IsDList,Table_ExternalData_15[[#Headers],[19]])</f>
        <v>0</v>
      </c>
      <c r="X207" s="10">
        <f>SUMIFS(IsQList,IsIList,Table_ExternalData_15[[#This Row],[item_key]],IsITypeList,Table_ExternalData_15[[#This Row],[IType]],IsDList,Table_ExternalData_15[[#Headers],[20]])</f>
        <v>0</v>
      </c>
      <c r="Y207" s="10">
        <f>SUMIFS(IsQList,IsIList,Table_ExternalData_15[[#This Row],[item_key]],IsITypeList,Table_ExternalData_15[[#This Row],[IType]],IsDList,Table_ExternalData_15[[#Headers],[21]])</f>
        <v>0</v>
      </c>
      <c r="Z207" s="10">
        <f>SUMIFS(IsQList,IsIList,Table_ExternalData_15[[#This Row],[item_key]],IsITypeList,Table_ExternalData_15[[#This Row],[IType]],IsDList,Table_ExternalData_15[[#Headers],[22]])</f>
        <v>0</v>
      </c>
      <c r="AA207" s="10">
        <f>SUMIFS(IsQList,IsIList,Table_ExternalData_15[[#This Row],[item_key]],IsITypeList,Table_ExternalData_15[[#This Row],[IType]],IsDList,Table_ExternalData_15[[#Headers],[23]])</f>
        <v>0</v>
      </c>
      <c r="AB207" s="10">
        <f>SUMIFS(IsQList,IsIList,Table_ExternalData_15[[#This Row],[item_key]],IsITypeList,Table_ExternalData_15[[#This Row],[IType]],IsDList,Table_ExternalData_15[[#Headers],[24]])</f>
        <v>5</v>
      </c>
      <c r="AC207" s="10">
        <f>SUMIFS(IsQList,IsIList,Table_ExternalData_15[[#This Row],[item_key]],IsITypeList,Table_ExternalData_15[[#This Row],[IType]],IsDList,Table_ExternalData_15[[#Headers],[25]])</f>
        <v>0</v>
      </c>
      <c r="AD207" s="10">
        <f>SUMIFS(IsQList,IsIList,Table_ExternalData_15[[#This Row],[item_key]],IsITypeList,Table_ExternalData_15[[#This Row],[IType]],IsDList,Table_ExternalData_15[[#Headers],[26]])</f>
        <v>0</v>
      </c>
      <c r="AE207" s="10">
        <f>SUMIFS(IsQList,IsIList,Table_ExternalData_15[[#This Row],[item_key]],IsITypeList,Table_ExternalData_15[[#This Row],[IType]],IsDList,Table_ExternalData_15[[#Headers],[27]])</f>
        <v>0</v>
      </c>
      <c r="AF207" s="10">
        <f>SUMIFS(IsQList,IsIList,Table_ExternalData_15[[#This Row],[item_key]],IsITypeList,Table_ExternalData_15[[#This Row],[IType]],IsDList,Table_ExternalData_15[[#Headers],[28]])</f>
        <v>0</v>
      </c>
      <c r="AG207" s="10">
        <f>SUMIFS(IsQList,IsIList,Table_ExternalData_15[[#This Row],[item_key]],IsITypeList,Table_ExternalData_15[[#This Row],[IType]],IsDList,Table_ExternalData_15[[#Headers],[29]])</f>
        <v>0</v>
      </c>
      <c r="AH207" s="10">
        <f>SUMIFS(IsQList,IsIList,Table_ExternalData_15[[#This Row],[item_key]],IsITypeList,Table_ExternalData_15[[#This Row],[IType]],IsDList,Table_ExternalData_15[[#Headers],[30]])</f>
        <v>10</v>
      </c>
      <c r="AI207" s="10">
        <f>SUMIFS(IsQList,IsIList,Table_ExternalData_15[[#This Row],[item_key]],IsITypeList,Table_ExternalData_15[[#This Row],[IType]],IsDList,Table_ExternalData_15[[#Headers],[31]])</f>
        <v>0</v>
      </c>
      <c r="AJ207" s="10">
        <f>SUM(Table_ExternalData_15[[#This Row],[1]:[31]])</f>
        <v>35</v>
      </c>
    </row>
    <row r="208" spans="1:36">
      <c r="A208" s="1" t="s">
        <v>1785</v>
      </c>
      <c r="B208" s="1" t="s">
        <v>2638</v>
      </c>
      <c r="C208" s="1" t="s">
        <v>2639</v>
      </c>
      <c r="D208" s="11" t="s">
        <v>72</v>
      </c>
      <c r="E208" s="10">
        <f>SUMIFS(IsQList,IsIList,Table_ExternalData_15[[#This Row],[item_key]],IsITypeList,Table_ExternalData_15[[#This Row],[IType]],IsDList,Table_ExternalData_15[[#Headers],[1]])</f>
        <v>0</v>
      </c>
      <c r="F208" s="10">
        <f>SUMIFS(IsQList,IsIList,Table_ExternalData_15[[#This Row],[item_key]],IsITypeList,Table_ExternalData_15[[#This Row],[IType]],IsDList,Table_ExternalData_15[[#Headers],[2]])</f>
        <v>0</v>
      </c>
      <c r="G208" s="10">
        <f>SUMIFS(IsQList,IsIList,Table_ExternalData_15[[#This Row],[item_key]],IsITypeList,Table_ExternalData_15[[#This Row],[IType]],IsDList,Table_ExternalData_15[[#Headers],[3]])</f>
        <v>0</v>
      </c>
      <c r="H208" s="10">
        <f>SUMIFS(IsQList,IsIList,Table_ExternalData_15[[#This Row],[item_key]],IsITypeList,Table_ExternalData_15[[#This Row],[IType]],IsDList,Table_ExternalData_15[[#Headers],[4]])</f>
        <v>0</v>
      </c>
      <c r="I208" s="10">
        <f>SUMIFS(IsQList,IsIList,Table_ExternalData_15[[#This Row],[item_key]],IsITypeList,Table_ExternalData_15[[#This Row],[IType]],IsDList,Table_ExternalData_15[[#Headers],[5]])</f>
        <v>0</v>
      </c>
      <c r="J208" s="10">
        <f>SUMIFS(IsQList,IsIList,Table_ExternalData_15[[#This Row],[item_key]],IsITypeList,Table_ExternalData_15[[#This Row],[IType]],IsDList,Table_ExternalData_15[[#Headers],[6]])</f>
        <v>0</v>
      </c>
      <c r="K208" s="10">
        <f>SUMIFS(IsQList,IsIList,Table_ExternalData_15[[#This Row],[item_key]],IsITypeList,Table_ExternalData_15[[#This Row],[IType]],IsDList,Table_ExternalData_15[[#Headers],[7]])</f>
        <v>0</v>
      </c>
      <c r="L208" s="10">
        <f>SUMIFS(IsQList,IsIList,Table_ExternalData_15[[#This Row],[item_key]],IsITypeList,Table_ExternalData_15[[#This Row],[IType]],IsDList,Table_ExternalData_15[[#Headers],[8]])</f>
        <v>0</v>
      </c>
      <c r="M208" s="10">
        <f>SUMIFS(IsQList,IsIList,Table_ExternalData_15[[#This Row],[item_key]],IsITypeList,Table_ExternalData_15[[#This Row],[IType]],IsDList,Table_ExternalData_15[[#Headers],[9]])</f>
        <v>0</v>
      </c>
      <c r="N208" s="10">
        <f>SUMIFS(IsQList,IsIList,Table_ExternalData_15[[#This Row],[item_key]],IsITypeList,Table_ExternalData_15[[#This Row],[IType]],IsDList,Table_ExternalData_15[[#Headers],[10]])</f>
        <v>0</v>
      </c>
      <c r="O208" s="10">
        <f>SUMIFS(IsQList,IsIList,Table_ExternalData_15[[#This Row],[item_key]],IsITypeList,Table_ExternalData_15[[#This Row],[IType]],IsDList,Table_ExternalData_15[[#Headers],[11]])</f>
        <v>0</v>
      </c>
      <c r="P208" s="10">
        <f>SUMIFS(IsQList,IsIList,Table_ExternalData_15[[#This Row],[item_key]],IsITypeList,Table_ExternalData_15[[#This Row],[IType]],IsDList,Table_ExternalData_15[[#Headers],[12]])</f>
        <v>0</v>
      </c>
      <c r="Q208" s="10">
        <f>SUMIFS(IsQList,IsIList,Table_ExternalData_15[[#This Row],[item_key]],IsITypeList,Table_ExternalData_15[[#This Row],[IType]],IsDList,Table_ExternalData_15[[#Headers],[13]])</f>
        <v>0</v>
      </c>
      <c r="R208" s="10">
        <f>SUMIFS(IsQList,IsIList,Table_ExternalData_15[[#This Row],[item_key]],IsITypeList,Table_ExternalData_15[[#This Row],[IType]],IsDList,Table_ExternalData_15[[#Headers],[14]])</f>
        <v>0</v>
      </c>
      <c r="S208" s="10">
        <f>SUMIFS(IsQList,IsIList,Table_ExternalData_15[[#This Row],[item_key]],IsITypeList,Table_ExternalData_15[[#This Row],[IType]],IsDList,Table_ExternalData_15[[#Headers],[15]])</f>
        <v>0</v>
      </c>
      <c r="T208" s="10">
        <f>SUMIFS(IsQList,IsIList,Table_ExternalData_15[[#This Row],[item_key]],IsITypeList,Table_ExternalData_15[[#This Row],[IType]],IsDList,Table_ExternalData_15[[#Headers],[16]])</f>
        <v>0</v>
      </c>
      <c r="U208" s="10">
        <f>SUMIFS(IsQList,IsIList,Table_ExternalData_15[[#This Row],[item_key]],IsITypeList,Table_ExternalData_15[[#This Row],[IType]],IsDList,Table_ExternalData_15[[#Headers],[17]])</f>
        <v>0</v>
      </c>
      <c r="V208" s="10">
        <f>SUMIFS(IsQList,IsIList,Table_ExternalData_15[[#This Row],[item_key]],IsITypeList,Table_ExternalData_15[[#This Row],[IType]],IsDList,Table_ExternalData_15[[#Headers],[18]])</f>
        <v>0</v>
      </c>
      <c r="W208" s="10">
        <f>SUMIFS(IsQList,IsIList,Table_ExternalData_15[[#This Row],[item_key]],IsITypeList,Table_ExternalData_15[[#This Row],[IType]],IsDList,Table_ExternalData_15[[#Headers],[19]])</f>
        <v>0</v>
      </c>
      <c r="X208" s="10">
        <f>SUMIFS(IsQList,IsIList,Table_ExternalData_15[[#This Row],[item_key]],IsITypeList,Table_ExternalData_15[[#This Row],[IType]],IsDList,Table_ExternalData_15[[#Headers],[20]])</f>
        <v>0</v>
      </c>
      <c r="Y208" s="10">
        <f>SUMIFS(IsQList,IsIList,Table_ExternalData_15[[#This Row],[item_key]],IsITypeList,Table_ExternalData_15[[#This Row],[IType]],IsDList,Table_ExternalData_15[[#Headers],[21]])</f>
        <v>0</v>
      </c>
      <c r="Z208" s="10">
        <f>SUMIFS(IsQList,IsIList,Table_ExternalData_15[[#This Row],[item_key]],IsITypeList,Table_ExternalData_15[[#This Row],[IType]],IsDList,Table_ExternalData_15[[#Headers],[22]])</f>
        <v>0</v>
      </c>
      <c r="AA208" s="10">
        <f>SUMIFS(IsQList,IsIList,Table_ExternalData_15[[#This Row],[item_key]],IsITypeList,Table_ExternalData_15[[#This Row],[IType]],IsDList,Table_ExternalData_15[[#Headers],[23]])</f>
        <v>0</v>
      </c>
      <c r="AB208" s="10">
        <f>SUMIFS(IsQList,IsIList,Table_ExternalData_15[[#This Row],[item_key]],IsITypeList,Table_ExternalData_15[[#This Row],[IType]],IsDList,Table_ExternalData_15[[#Headers],[24]])</f>
        <v>0</v>
      </c>
      <c r="AC208" s="10">
        <f>SUMIFS(IsQList,IsIList,Table_ExternalData_15[[#This Row],[item_key]],IsITypeList,Table_ExternalData_15[[#This Row],[IType]],IsDList,Table_ExternalData_15[[#Headers],[25]])</f>
        <v>0</v>
      </c>
      <c r="AD208" s="10">
        <f>SUMIFS(IsQList,IsIList,Table_ExternalData_15[[#This Row],[item_key]],IsITypeList,Table_ExternalData_15[[#This Row],[IType]],IsDList,Table_ExternalData_15[[#Headers],[26]])</f>
        <v>0</v>
      </c>
      <c r="AE208" s="10">
        <f>SUMIFS(IsQList,IsIList,Table_ExternalData_15[[#This Row],[item_key]],IsITypeList,Table_ExternalData_15[[#This Row],[IType]],IsDList,Table_ExternalData_15[[#Headers],[27]])</f>
        <v>0</v>
      </c>
      <c r="AF208" s="10">
        <f>SUMIFS(IsQList,IsIList,Table_ExternalData_15[[#This Row],[item_key]],IsITypeList,Table_ExternalData_15[[#This Row],[IType]],IsDList,Table_ExternalData_15[[#Headers],[28]])</f>
        <v>0</v>
      </c>
      <c r="AG208" s="10">
        <f>SUMIFS(IsQList,IsIList,Table_ExternalData_15[[#This Row],[item_key]],IsITypeList,Table_ExternalData_15[[#This Row],[IType]],IsDList,Table_ExternalData_15[[#Headers],[29]])</f>
        <v>0</v>
      </c>
      <c r="AH208" s="10">
        <f>SUMIFS(IsQList,IsIList,Table_ExternalData_15[[#This Row],[item_key]],IsITypeList,Table_ExternalData_15[[#This Row],[IType]],IsDList,Table_ExternalData_15[[#Headers],[30]])</f>
        <v>0</v>
      </c>
      <c r="AI208" s="10">
        <f>SUMIFS(IsQList,IsIList,Table_ExternalData_15[[#This Row],[item_key]],IsITypeList,Table_ExternalData_15[[#This Row],[IType]],IsDList,Table_ExternalData_15[[#Headers],[31]])</f>
        <v>0</v>
      </c>
      <c r="AJ208" s="10">
        <f>SUM(Table_ExternalData_15[[#This Row],[1]:[31]])</f>
        <v>0</v>
      </c>
    </row>
    <row r="209" spans="1:36">
      <c r="A209" s="1" t="s">
        <v>1788</v>
      </c>
      <c r="B209" s="1" t="s">
        <v>2640</v>
      </c>
      <c r="C209" s="1" t="s">
        <v>2641</v>
      </c>
      <c r="D209" s="11" t="s">
        <v>72</v>
      </c>
      <c r="E209" s="10">
        <f>SUMIFS(IsQList,IsIList,Table_ExternalData_15[[#This Row],[item_key]],IsITypeList,Table_ExternalData_15[[#This Row],[IType]],IsDList,Table_ExternalData_15[[#Headers],[1]])</f>
        <v>0</v>
      </c>
      <c r="F209" s="10">
        <f>SUMIFS(IsQList,IsIList,Table_ExternalData_15[[#This Row],[item_key]],IsITypeList,Table_ExternalData_15[[#This Row],[IType]],IsDList,Table_ExternalData_15[[#Headers],[2]])</f>
        <v>0</v>
      </c>
      <c r="G209" s="10">
        <f>SUMIFS(IsQList,IsIList,Table_ExternalData_15[[#This Row],[item_key]],IsITypeList,Table_ExternalData_15[[#This Row],[IType]],IsDList,Table_ExternalData_15[[#Headers],[3]])</f>
        <v>0</v>
      </c>
      <c r="H209" s="10">
        <f>SUMIFS(IsQList,IsIList,Table_ExternalData_15[[#This Row],[item_key]],IsITypeList,Table_ExternalData_15[[#This Row],[IType]],IsDList,Table_ExternalData_15[[#Headers],[4]])</f>
        <v>0</v>
      </c>
      <c r="I209" s="10">
        <f>SUMIFS(IsQList,IsIList,Table_ExternalData_15[[#This Row],[item_key]],IsITypeList,Table_ExternalData_15[[#This Row],[IType]],IsDList,Table_ExternalData_15[[#Headers],[5]])</f>
        <v>0</v>
      </c>
      <c r="J209" s="10">
        <f>SUMIFS(IsQList,IsIList,Table_ExternalData_15[[#This Row],[item_key]],IsITypeList,Table_ExternalData_15[[#This Row],[IType]],IsDList,Table_ExternalData_15[[#Headers],[6]])</f>
        <v>0</v>
      </c>
      <c r="K209" s="10">
        <f>SUMIFS(IsQList,IsIList,Table_ExternalData_15[[#This Row],[item_key]],IsITypeList,Table_ExternalData_15[[#This Row],[IType]],IsDList,Table_ExternalData_15[[#Headers],[7]])</f>
        <v>0</v>
      </c>
      <c r="L209" s="10">
        <f>SUMIFS(IsQList,IsIList,Table_ExternalData_15[[#This Row],[item_key]],IsITypeList,Table_ExternalData_15[[#This Row],[IType]],IsDList,Table_ExternalData_15[[#Headers],[8]])</f>
        <v>0</v>
      </c>
      <c r="M209" s="10">
        <f>SUMIFS(IsQList,IsIList,Table_ExternalData_15[[#This Row],[item_key]],IsITypeList,Table_ExternalData_15[[#This Row],[IType]],IsDList,Table_ExternalData_15[[#Headers],[9]])</f>
        <v>0</v>
      </c>
      <c r="N209" s="10">
        <f>SUMIFS(IsQList,IsIList,Table_ExternalData_15[[#This Row],[item_key]],IsITypeList,Table_ExternalData_15[[#This Row],[IType]],IsDList,Table_ExternalData_15[[#Headers],[10]])</f>
        <v>0</v>
      </c>
      <c r="O209" s="10">
        <f>SUMIFS(IsQList,IsIList,Table_ExternalData_15[[#This Row],[item_key]],IsITypeList,Table_ExternalData_15[[#This Row],[IType]],IsDList,Table_ExternalData_15[[#Headers],[11]])</f>
        <v>0</v>
      </c>
      <c r="P209" s="10">
        <f>SUMIFS(IsQList,IsIList,Table_ExternalData_15[[#This Row],[item_key]],IsITypeList,Table_ExternalData_15[[#This Row],[IType]],IsDList,Table_ExternalData_15[[#Headers],[12]])</f>
        <v>0</v>
      </c>
      <c r="Q209" s="10">
        <f>SUMIFS(IsQList,IsIList,Table_ExternalData_15[[#This Row],[item_key]],IsITypeList,Table_ExternalData_15[[#This Row],[IType]],IsDList,Table_ExternalData_15[[#Headers],[13]])</f>
        <v>0</v>
      </c>
      <c r="R209" s="10">
        <f>SUMIFS(IsQList,IsIList,Table_ExternalData_15[[#This Row],[item_key]],IsITypeList,Table_ExternalData_15[[#This Row],[IType]],IsDList,Table_ExternalData_15[[#Headers],[14]])</f>
        <v>0</v>
      </c>
      <c r="S209" s="10">
        <f>SUMIFS(IsQList,IsIList,Table_ExternalData_15[[#This Row],[item_key]],IsITypeList,Table_ExternalData_15[[#This Row],[IType]],IsDList,Table_ExternalData_15[[#Headers],[15]])</f>
        <v>0</v>
      </c>
      <c r="T209" s="10">
        <f>SUMIFS(IsQList,IsIList,Table_ExternalData_15[[#This Row],[item_key]],IsITypeList,Table_ExternalData_15[[#This Row],[IType]],IsDList,Table_ExternalData_15[[#Headers],[16]])</f>
        <v>0</v>
      </c>
      <c r="U209" s="10">
        <f>SUMIFS(IsQList,IsIList,Table_ExternalData_15[[#This Row],[item_key]],IsITypeList,Table_ExternalData_15[[#This Row],[IType]],IsDList,Table_ExternalData_15[[#Headers],[17]])</f>
        <v>0</v>
      </c>
      <c r="V209" s="10">
        <f>SUMIFS(IsQList,IsIList,Table_ExternalData_15[[#This Row],[item_key]],IsITypeList,Table_ExternalData_15[[#This Row],[IType]],IsDList,Table_ExternalData_15[[#Headers],[18]])</f>
        <v>0</v>
      </c>
      <c r="W209" s="10">
        <f>SUMIFS(IsQList,IsIList,Table_ExternalData_15[[#This Row],[item_key]],IsITypeList,Table_ExternalData_15[[#This Row],[IType]],IsDList,Table_ExternalData_15[[#Headers],[19]])</f>
        <v>0</v>
      </c>
      <c r="X209" s="10">
        <f>SUMIFS(IsQList,IsIList,Table_ExternalData_15[[#This Row],[item_key]],IsITypeList,Table_ExternalData_15[[#This Row],[IType]],IsDList,Table_ExternalData_15[[#Headers],[20]])</f>
        <v>0</v>
      </c>
      <c r="Y209" s="10">
        <f>SUMIFS(IsQList,IsIList,Table_ExternalData_15[[#This Row],[item_key]],IsITypeList,Table_ExternalData_15[[#This Row],[IType]],IsDList,Table_ExternalData_15[[#Headers],[21]])</f>
        <v>0</v>
      </c>
      <c r="Z209" s="10">
        <f>SUMIFS(IsQList,IsIList,Table_ExternalData_15[[#This Row],[item_key]],IsITypeList,Table_ExternalData_15[[#This Row],[IType]],IsDList,Table_ExternalData_15[[#Headers],[22]])</f>
        <v>0</v>
      </c>
      <c r="AA209" s="10">
        <f>SUMIFS(IsQList,IsIList,Table_ExternalData_15[[#This Row],[item_key]],IsITypeList,Table_ExternalData_15[[#This Row],[IType]],IsDList,Table_ExternalData_15[[#Headers],[23]])</f>
        <v>0</v>
      </c>
      <c r="AB209" s="10">
        <f>SUMIFS(IsQList,IsIList,Table_ExternalData_15[[#This Row],[item_key]],IsITypeList,Table_ExternalData_15[[#This Row],[IType]],IsDList,Table_ExternalData_15[[#Headers],[24]])</f>
        <v>0</v>
      </c>
      <c r="AC209" s="10">
        <f>SUMIFS(IsQList,IsIList,Table_ExternalData_15[[#This Row],[item_key]],IsITypeList,Table_ExternalData_15[[#This Row],[IType]],IsDList,Table_ExternalData_15[[#Headers],[25]])</f>
        <v>0</v>
      </c>
      <c r="AD209" s="10">
        <f>SUMIFS(IsQList,IsIList,Table_ExternalData_15[[#This Row],[item_key]],IsITypeList,Table_ExternalData_15[[#This Row],[IType]],IsDList,Table_ExternalData_15[[#Headers],[26]])</f>
        <v>0</v>
      </c>
      <c r="AE209" s="10">
        <f>SUMIFS(IsQList,IsIList,Table_ExternalData_15[[#This Row],[item_key]],IsITypeList,Table_ExternalData_15[[#This Row],[IType]],IsDList,Table_ExternalData_15[[#Headers],[27]])</f>
        <v>0</v>
      </c>
      <c r="AF209" s="10">
        <f>SUMIFS(IsQList,IsIList,Table_ExternalData_15[[#This Row],[item_key]],IsITypeList,Table_ExternalData_15[[#This Row],[IType]],IsDList,Table_ExternalData_15[[#Headers],[28]])</f>
        <v>0</v>
      </c>
      <c r="AG209" s="10">
        <f>SUMIFS(IsQList,IsIList,Table_ExternalData_15[[#This Row],[item_key]],IsITypeList,Table_ExternalData_15[[#This Row],[IType]],IsDList,Table_ExternalData_15[[#Headers],[29]])</f>
        <v>0</v>
      </c>
      <c r="AH209" s="10">
        <f>SUMIFS(IsQList,IsIList,Table_ExternalData_15[[#This Row],[item_key]],IsITypeList,Table_ExternalData_15[[#This Row],[IType]],IsDList,Table_ExternalData_15[[#Headers],[30]])</f>
        <v>0</v>
      </c>
      <c r="AI209" s="10">
        <f>SUMIFS(IsQList,IsIList,Table_ExternalData_15[[#This Row],[item_key]],IsITypeList,Table_ExternalData_15[[#This Row],[IType]],IsDList,Table_ExternalData_15[[#Headers],[31]])</f>
        <v>0</v>
      </c>
      <c r="AJ209" s="10">
        <f>SUM(Table_ExternalData_15[[#This Row],[1]:[31]])</f>
        <v>0</v>
      </c>
    </row>
    <row r="210" spans="1:36">
      <c r="A210" s="1" t="s">
        <v>712</v>
      </c>
      <c r="B210" s="1" t="s">
        <v>2642</v>
      </c>
      <c r="C210" s="1" t="s">
        <v>2643</v>
      </c>
      <c r="D210" s="11" t="s">
        <v>72</v>
      </c>
      <c r="E210" s="10">
        <f>SUMIFS(IsQList,IsIList,Table_ExternalData_15[[#This Row],[item_key]],IsITypeList,Table_ExternalData_15[[#This Row],[IType]],IsDList,Table_ExternalData_15[[#Headers],[1]])</f>
        <v>0</v>
      </c>
      <c r="F210" s="10">
        <f>SUMIFS(IsQList,IsIList,Table_ExternalData_15[[#This Row],[item_key]],IsITypeList,Table_ExternalData_15[[#This Row],[IType]],IsDList,Table_ExternalData_15[[#Headers],[2]])</f>
        <v>0</v>
      </c>
      <c r="G210" s="10">
        <f>SUMIFS(IsQList,IsIList,Table_ExternalData_15[[#This Row],[item_key]],IsITypeList,Table_ExternalData_15[[#This Row],[IType]],IsDList,Table_ExternalData_15[[#Headers],[3]])</f>
        <v>0</v>
      </c>
      <c r="H210" s="10">
        <f>SUMIFS(IsQList,IsIList,Table_ExternalData_15[[#This Row],[item_key]],IsITypeList,Table_ExternalData_15[[#This Row],[IType]],IsDList,Table_ExternalData_15[[#Headers],[4]])</f>
        <v>0</v>
      </c>
      <c r="I210" s="10">
        <f>SUMIFS(IsQList,IsIList,Table_ExternalData_15[[#This Row],[item_key]],IsITypeList,Table_ExternalData_15[[#This Row],[IType]],IsDList,Table_ExternalData_15[[#Headers],[5]])</f>
        <v>0</v>
      </c>
      <c r="J210" s="10">
        <f>SUMIFS(IsQList,IsIList,Table_ExternalData_15[[#This Row],[item_key]],IsITypeList,Table_ExternalData_15[[#This Row],[IType]],IsDList,Table_ExternalData_15[[#Headers],[6]])</f>
        <v>13</v>
      </c>
      <c r="K210" s="10">
        <f>SUMIFS(IsQList,IsIList,Table_ExternalData_15[[#This Row],[item_key]],IsITypeList,Table_ExternalData_15[[#This Row],[IType]],IsDList,Table_ExternalData_15[[#Headers],[7]])</f>
        <v>0</v>
      </c>
      <c r="L210" s="10">
        <f>SUMIFS(IsQList,IsIList,Table_ExternalData_15[[#This Row],[item_key]],IsITypeList,Table_ExternalData_15[[#This Row],[IType]],IsDList,Table_ExternalData_15[[#Headers],[8]])</f>
        <v>0</v>
      </c>
      <c r="M210" s="10">
        <f>SUMIFS(IsQList,IsIList,Table_ExternalData_15[[#This Row],[item_key]],IsITypeList,Table_ExternalData_15[[#This Row],[IType]],IsDList,Table_ExternalData_15[[#Headers],[9]])</f>
        <v>0</v>
      </c>
      <c r="N210" s="10">
        <f>SUMIFS(IsQList,IsIList,Table_ExternalData_15[[#This Row],[item_key]],IsITypeList,Table_ExternalData_15[[#This Row],[IType]],IsDList,Table_ExternalData_15[[#Headers],[10]])</f>
        <v>0</v>
      </c>
      <c r="O210" s="10">
        <f>SUMIFS(IsQList,IsIList,Table_ExternalData_15[[#This Row],[item_key]],IsITypeList,Table_ExternalData_15[[#This Row],[IType]],IsDList,Table_ExternalData_15[[#Headers],[11]])</f>
        <v>0</v>
      </c>
      <c r="P210" s="10">
        <f>SUMIFS(IsQList,IsIList,Table_ExternalData_15[[#This Row],[item_key]],IsITypeList,Table_ExternalData_15[[#This Row],[IType]],IsDList,Table_ExternalData_15[[#Headers],[12]])</f>
        <v>0</v>
      </c>
      <c r="Q210" s="10">
        <f>SUMIFS(IsQList,IsIList,Table_ExternalData_15[[#This Row],[item_key]],IsITypeList,Table_ExternalData_15[[#This Row],[IType]],IsDList,Table_ExternalData_15[[#Headers],[13]])</f>
        <v>0</v>
      </c>
      <c r="R210" s="10">
        <f>SUMIFS(IsQList,IsIList,Table_ExternalData_15[[#This Row],[item_key]],IsITypeList,Table_ExternalData_15[[#This Row],[IType]],IsDList,Table_ExternalData_15[[#Headers],[14]])</f>
        <v>0</v>
      </c>
      <c r="S210" s="10">
        <f>SUMIFS(IsQList,IsIList,Table_ExternalData_15[[#This Row],[item_key]],IsITypeList,Table_ExternalData_15[[#This Row],[IType]],IsDList,Table_ExternalData_15[[#Headers],[15]])</f>
        <v>0</v>
      </c>
      <c r="T210" s="10">
        <f>SUMIFS(IsQList,IsIList,Table_ExternalData_15[[#This Row],[item_key]],IsITypeList,Table_ExternalData_15[[#This Row],[IType]],IsDList,Table_ExternalData_15[[#Headers],[16]])</f>
        <v>11</v>
      </c>
      <c r="U210" s="10">
        <f>SUMIFS(IsQList,IsIList,Table_ExternalData_15[[#This Row],[item_key]],IsITypeList,Table_ExternalData_15[[#This Row],[IType]],IsDList,Table_ExternalData_15[[#Headers],[17]])</f>
        <v>0</v>
      </c>
      <c r="V210" s="10">
        <f>SUMIFS(IsQList,IsIList,Table_ExternalData_15[[#This Row],[item_key]],IsITypeList,Table_ExternalData_15[[#This Row],[IType]],IsDList,Table_ExternalData_15[[#Headers],[18]])</f>
        <v>0</v>
      </c>
      <c r="W210" s="10">
        <f>SUMIFS(IsQList,IsIList,Table_ExternalData_15[[#This Row],[item_key]],IsITypeList,Table_ExternalData_15[[#This Row],[IType]],IsDList,Table_ExternalData_15[[#Headers],[19]])</f>
        <v>0</v>
      </c>
      <c r="X210" s="10">
        <f>SUMIFS(IsQList,IsIList,Table_ExternalData_15[[#This Row],[item_key]],IsITypeList,Table_ExternalData_15[[#This Row],[IType]],IsDList,Table_ExternalData_15[[#Headers],[20]])</f>
        <v>0</v>
      </c>
      <c r="Y210" s="10">
        <f>SUMIFS(IsQList,IsIList,Table_ExternalData_15[[#This Row],[item_key]],IsITypeList,Table_ExternalData_15[[#This Row],[IType]],IsDList,Table_ExternalData_15[[#Headers],[21]])</f>
        <v>0</v>
      </c>
      <c r="Z210" s="10">
        <f>SUMIFS(IsQList,IsIList,Table_ExternalData_15[[#This Row],[item_key]],IsITypeList,Table_ExternalData_15[[#This Row],[IType]],IsDList,Table_ExternalData_15[[#Headers],[22]])</f>
        <v>0</v>
      </c>
      <c r="AA210" s="10">
        <f>SUMIFS(IsQList,IsIList,Table_ExternalData_15[[#This Row],[item_key]],IsITypeList,Table_ExternalData_15[[#This Row],[IType]],IsDList,Table_ExternalData_15[[#Headers],[23]])</f>
        <v>0</v>
      </c>
      <c r="AB210" s="10">
        <f>SUMIFS(IsQList,IsIList,Table_ExternalData_15[[#This Row],[item_key]],IsITypeList,Table_ExternalData_15[[#This Row],[IType]],IsDList,Table_ExternalData_15[[#Headers],[24]])</f>
        <v>0</v>
      </c>
      <c r="AC210" s="10">
        <f>SUMIFS(IsQList,IsIList,Table_ExternalData_15[[#This Row],[item_key]],IsITypeList,Table_ExternalData_15[[#This Row],[IType]],IsDList,Table_ExternalData_15[[#Headers],[25]])</f>
        <v>0</v>
      </c>
      <c r="AD210" s="10">
        <f>SUMIFS(IsQList,IsIList,Table_ExternalData_15[[#This Row],[item_key]],IsITypeList,Table_ExternalData_15[[#This Row],[IType]],IsDList,Table_ExternalData_15[[#Headers],[26]])</f>
        <v>0</v>
      </c>
      <c r="AE210" s="10">
        <f>SUMIFS(IsQList,IsIList,Table_ExternalData_15[[#This Row],[item_key]],IsITypeList,Table_ExternalData_15[[#This Row],[IType]],IsDList,Table_ExternalData_15[[#Headers],[27]])</f>
        <v>0</v>
      </c>
      <c r="AF210" s="10">
        <f>SUMIFS(IsQList,IsIList,Table_ExternalData_15[[#This Row],[item_key]],IsITypeList,Table_ExternalData_15[[#This Row],[IType]],IsDList,Table_ExternalData_15[[#Headers],[28]])</f>
        <v>0</v>
      </c>
      <c r="AG210" s="10">
        <f>SUMIFS(IsQList,IsIList,Table_ExternalData_15[[#This Row],[item_key]],IsITypeList,Table_ExternalData_15[[#This Row],[IType]],IsDList,Table_ExternalData_15[[#Headers],[29]])</f>
        <v>0</v>
      </c>
      <c r="AH210" s="10">
        <f>SUMIFS(IsQList,IsIList,Table_ExternalData_15[[#This Row],[item_key]],IsITypeList,Table_ExternalData_15[[#This Row],[IType]],IsDList,Table_ExternalData_15[[#Headers],[30]])</f>
        <v>1</v>
      </c>
      <c r="AI210" s="10">
        <f>SUMIFS(IsQList,IsIList,Table_ExternalData_15[[#This Row],[item_key]],IsITypeList,Table_ExternalData_15[[#This Row],[IType]],IsDList,Table_ExternalData_15[[#Headers],[31]])</f>
        <v>0</v>
      </c>
      <c r="AJ210" s="10">
        <f>SUM(Table_ExternalData_15[[#This Row],[1]:[31]])</f>
        <v>25</v>
      </c>
    </row>
    <row r="211" spans="1:36">
      <c r="A211" s="1" t="s">
        <v>1790</v>
      </c>
      <c r="B211" s="1" t="s">
        <v>2644</v>
      </c>
      <c r="C211" s="1" t="s">
        <v>2645</v>
      </c>
      <c r="D211" s="11" t="s">
        <v>72</v>
      </c>
      <c r="E211" s="10">
        <f>SUMIFS(IsQList,IsIList,Table_ExternalData_15[[#This Row],[item_key]],IsITypeList,Table_ExternalData_15[[#This Row],[IType]],IsDList,Table_ExternalData_15[[#Headers],[1]])</f>
        <v>0</v>
      </c>
      <c r="F211" s="10">
        <f>SUMIFS(IsQList,IsIList,Table_ExternalData_15[[#This Row],[item_key]],IsITypeList,Table_ExternalData_15[[#This Row],[IType]],IsDList,Table_ExternalData_15[[#Headers],[2]])</f>
        <v>0</v>
      </c>
      <c r="G211" s="10">
        <f>SUMIFS(IsQList,IsIList,Table_ExternalData_15[[#This Row],[item_key]],IsITypeList,Table_ExternalData_15[[#This Row],[IType]],IsDList,Table_ExternalData_15[[#Headers],[3]])</f>
        <v>0</v>
      </c>
      <c r="H211" s="10">
        <f>SUMIFS(IsQList,IsIList,Table_ExternalData_15[[#This Row],[item_key]],IsITypeList,Table_ExternalData_15[[#This Row],[IType]],IsDList,Table_ExternalData_15[[#Headers],[4]])</f>
        <v>0</v>
      </c>
      <c r="I211" s="10">
        <f>SUMIFS(IsQList,IsIList,Table_ExternalData_15[[#This Row],[item_key]],IsITypeList,Table_ExternalData_15[[#This Row],[IType]],IsDList,Table_ExternalData_15[[#Headers],[5]])</f>
        <v>0</v>
      </c>
      <c r="J211" s="10">
        <f>SUMIFS(IsQList,IsIList,Table_ExternalData_15[[#This Row],[item_key]],IsITypeList,Table_ExternalData_15[[#This Row],[IType]],IsDList,Table_ExternalData_15[[#Headers],[6]])</f>
        <v>2</v>
      </c>
      <c r="K211" s="10">
        <f>SUMIFS(IsQList,IsIList,Table_ExternalData_15[[#This Row],[item_key]],IsITypeList,Table_ExternalData_15[[#This Row],[IType]],IsDList,Table_ExternalData_15[[#Headers],[7]])</f>
        <v>0</v>
      </c>
      <c r="L211" s="10">
        <f>SUMIFS(IsQList,IsIList,Table_ExternalData_15[[#This Row],[item_key]],IsITypeList,Table_ExternalData_15[[#This Row],[IType]],IsDList,Table_ExternalData_15[[#Headers],[8]])</f>
        <v>0</v>
      </c>
      <c r="M211" s="10">
        <f>SUMIFS(IsQList,IsIList,Table_ExternalData_15[[#This Row],[item_key]],IsITypeList,Table_ExternalData_15[[#This Row],[IType]],IsDList,Table_ExternalData_15[[#Headers],[9]])</f>
        <v>0</v>
      </c>
      <c r="N211" s="10">
        <f>SUMIFS(IsQList,IsIList,Table_ExternalData_15[[#This Row],[item_key]],IsITypeList,Table_ExternalData_15[[#This Row],[IType]],IsDList,Table_ExternalData_15[[#Headers],[10]])</f>
        <v>0</v>
      </c>
      <c r="O211" s="10">
        <f>SUMIFS(IsQList,IsIList,Table_ExternalData_15[[#This Row],[item_key]],IsITypeList,Table_ExternalData_15[[#This Row],[IType]],IsDList,Table_ExternalData_15[[#Headers],[11]])</f>
        <v>0</v>
      </c>
      <c r="P211" s="10">
        <f>SUMIFS(IsQList,IsIList,Table_ExternalData_15[[#This Row],[item_key]],IsITypeList,Table_ExternalData_15[[#This Row],[IType]],IsDList,Table_ExternalData_15[[#Headers],[12]])</f>
        <v>0</v>
      </c>
      <c r="Q211" s="10">
        <f>SUMIFS(IsQList,IsIList,Table_ExternalData_15[[#This Row],[item_key]],IsITypeList,Table_ExternalData_15[[#This Row],[IType]],IsDList,Table_ExternalData_15[[#Headers],[13]])</f>
        <v>0</v>
      </c>
      <c r="R211" s="10">
        <f>SUMIFS(IsQList,IsIList,Table_ExternalData_15[[#This Row],[item_key]],IsITypeList,Table_ExternalData_15[[#This Row],[IType]],IsDList,Table_ExternalData_15[[#Headers],[14]])</f>
        <v>0</v>
      </c>
      <c r="S211" s="10">
        <f>SUMIFS(IsQList,IsIList,Table_ExternalData_15[[#This Row],[item_key]],IsITypeList,Table_ExternalData_15[[#This Row],[IType]],IsDList,Table_ExternalData_15[[#Headers],[15]])</f>
        <v>0</v>
      </c>
      <c r="T211" s="10">
        <f>SUMIFS(IsQList,IsIList,Table_ExternalData_15[[#This Row],[item_key]],IsITypeList,Table_ExternalData_15[[#This Row],[IType]],IsDList,Table_ExternalData_15[[#Headers],[16]])</f>
        <v>5</v>
      </c>
      <c r="U211" s="10">
        <f>SUMIFS(IsQList,IsIList,Table_ExternalData_15[[#This Row],[item_key]],IsITypeList,Table_ExternalData_15[[#This Row],[IType]],IsDList,Table_ExternalData_15[[#Headers],[17]])</f>
        <v>0</v>
      </c>
      <c r="V211" s="10">
        <f>SUMIFS(IsQList,IsIList,Table_ExternalData_15[[#This Row],[item_key]],IsITypeList,Table_ExternalData_15[[#This Row],[IType]],IsDList,Table_ExternalData_15[[#Headers],[18]])</f>
        <v>0</v>
      </c>
      <c r="W211" s="10">
        <f>SUMIFS(IsQList,IsIList,Table_ExternalData_15[[#This Row],[item_key]],IsITypeList,Table_ExternalData_15[[#This Row],[IType]],IsDList,Table_ExternalData_15[[#Headers],[19]])</f>
        <v>0</v>
      </c>
      <c r="X211" s="10">
        <f>SUMIFS(IsQList,IsIList,Table_ExternalData_15[[#This Row],[item_key]],IsITypeList,Table_ExternalData_15[[#This Row],[IType]],IsDList,Table_ExternalData_15[[#Headers],[20]])</f>
        <v>0</v>
      </c>
      <c r="Y211" s="10">
        <f>SUMIFS(IsQList,IsIList,Table_ExternalData_15[[#This Row],[item_key]],IsITypeList,Table_ExternalData_15[[#This Row],[IType]],IsDList,Table_ExternalData_15[[#Headers],[21]])</f>
        <v>0</v>
      </c>
      <c r="Z211" s="10">
        <f>SUMIFS(IsQList,IsIList,Table_ExternalData_15[[#This Row],[item_key]],IsITypeList,Table_ExternalData_15[[#This Row],[IType]],IsDList,Table_ExternalData_15[[#Headers],[22]])</f>
        <v>0</v>
      </c>
      <c r="AA211" s="10">
        <f>SUMIFS(IsQList,IsIList,Table_ExternalData_15[[#This Row],[item_key]],IsITypeList,Table_ExternalData_15[[#This Row],[IType]],IsDList,Table_ExternalData_15[[#Headers],[23]])</f>
        <v>0</v>
      </c>
      <c r="AB211" s="10">
        <f>SUMIFS(IsQList,IsIList,Table_ExternalData_15[[#This Row],[item_key]],IsITypeList,Table_ExternalData_15[[#This Row],[IType]],IsDList,Table_ExternalData_15[[#Headers],[24]])</f>
        <v>0</v>
      </c>
      <c r="AC211" s="10">
        <f>SUMIFS(IsQList,IsIList,Table_ExternalData_15[[#This Row],[item_key]],IsITypeList,Table_ExternalData_15[[#This Row],[IType]],IsDList,Table_ExternalData_15[[#Headers],[25]])</f>
        <v>0</v>
      </c>
      <c r="AD211" s="10">
        <f>SUMIFS(IsQList,IsIList,Table_ExternalData_15[[#This Row],[item_key]],IsITypeList,Table_ExternalData_15[[#This Row],[IType]],IsDList,Table_ExternalData_15[[#Headers],[26]])</f>
        <v>0</v>
      </c>
      <c r="AE211" s="10">
        <f>SUMIFS(IsQList,IsIList,Table_ExternalData_15[[#This Row],[item_key]],IsITypeList,Table_ExternalData_15[[#This Row],[IType]],IsDList,Table_ExternalData_15[[#Headers],[27]])</f>
        <v>0</v>
      </c>
      <c r="AF211" s="10">
        <f>SUMIFS(IsQList,IsIList,Table_ExternalData_15[[#This Row],[item_key]],IsITypeList,Table_ExternalData_15[[#This Row],[IType]],IsDList,Table_ExternalData_15[[#Headers],[28]])</f>
        <v>0</v>
      </c>
      <c r="AG211" s="10">
        <f>SUMIFS(IsQList,IsIList,Table_ExternalData_15[[#This Row],[item_key]],IsITypeList,Table_ExternalData_15[[#This Row],[IType]],IsDList,Table_ExternalData_15[[#Headers],[29]])</f>
        <v>0</v>
      </c>
      <c r="AH211" s="10">
        <f>SUMIFS(IsQList,IsIList,Table_ExternalData_15[[#This Row],[item_key]],IsITypeList,Table_ExternalData_15[[#This Row],[IType]],IsDList,Table_ExternalData_15[[#Headers],[30]])</f>
        <v>0</v>
      </c>
      <c r="AI211" s="10">
        <f>SUMIFS(IsQList,IsIList,Table_ExternalData_15[[#This Row],[item_key]],IsITypeList,Table_ExternalData_15[[#This Row],[IType]],IsDList,Table_ExternalData_15[[#Headers],[31]])</f>
        <v>0</v>
      </c>
      <c r="AJ211" s="10">
        <f>SUM(Table_ExternalData_15[[#This Row],[1]:[31]])</f>
        <v>7</v>
      </c>
    </row>
    <row r="212" spans="1:36">
      <c r="A212" s="1" t="s">
        <v>1791</v>
      </c>
      <c r="B212" s="1" t="s">
        <v>2646</v>
      </c>
      <c r="C212" s="1" t="s">
        <v>2647</v>
      </c>
      <c r="D212" s="11" t="s">
        <v>72</v>
      </c>
      <c r="E212" s="10">
        <f>SUMIFS(IsQList,IsIList,Table_ExternalData_15[[#This Row],[item_key]],IsITypeList,Table_ExternalData_15[[#This Row],[IType]],IsDList,Table_ExternalData_15[[#Headers],[1]])</f>
        <v>0</v>
      </c>
      <c r="F212" s="10">
        <f>SUMIFS(IsQList,IsIList,Table_ExternalData_15[[#This Row],[item_key]],IsITypeList,Table_ExternalData_15[[#This Row],[IType]],IsDList,Table_ExternalData_15[[#Headers],[2]])</f>
        <v>0</v>
      </c>
      <c r="G212" s="10">
        <f>SUMIFS(IsQList,IsIList,Table_ExternalData_15[[#This Row],[item_key]],IsITypeList,Table_ExternalData_15[[#This Row],[IType]],IsDList,Table_ExternalData_15[[#Headers],[3]])</f>
        <v>0</v>
      </c>
      <c r="H212" s="10">
        <f>SUMIFS(IsQList,IsIList,Table_ExternalData_15[[#This Row],[item_key]],IsITypeList,Table_ExternalData_15[[#This Row],[IType]],IsDList,Table_ExternalData_15[[#Headers],[4]])</f>
        <v>0</v>
      </c>
      <c r="I212" s="10">
        <f>SUMIFS(IsQList,IsIList,Table_ExternalData_15[[#This Row],[item_key]],IsITypeList,Table_ExternalData_15[[#This Row],[IType]],IsDList,Table_ExternalData_15[[#Headers],[5]])</f>
        <v>0</v>
      </c>
      <c r="J212" s="10">
        <f>SUMIFS(IsQList,IsIList,Table_ExternalData_15[[#This Row],[item_key]],IsITypeList,Table_ExternalData_15[[#This Row],[IType]],IsDList,Table_ExternalData_15[[#Headers],[6]])</f>
        <v>0</v>
      </c>
      <c r="K212" s="10">
        <f>SUMIFS(IsQList,IsIList,Table_ExternalData_15[[#This Row],[item_key]],IsITypeList,Table_ExternalData_15[[#This Row],[IType]],IsDList,Table_ExternalData_15[[#Headers],[7]])</f>
        <v>0</v>
      </c>
      <c r="L212" s="10">
        <f>SUMIFS(IsQList,IsIList,Table_ExternalData_15[[#This Row],[item_key]],IsITypeList,Table_ExternalData_15[[#This Row],[IType]],IsDList,Table_ExternalData_15[[#Headers],[8]])</f>
        <v>0</v>
      </c>
      <c r="M212" s="10">
        <f>SUMIFS(IsQList,IsIList,Table_ExternalData_15[[#This Row],[item_key]],IsITypeList,Table_ExternalData_15[[#This Row],[IType]],IsDList,Table_ExternalData_15[[#Headers],[9]])</f>
        <v>0</v>
      </c>
      <c r="N212" s="10">
        <f>SUMIFS(IsQList,IsIList,Table_ExternalData_15[[#This Row],[item_key]],IsITypeList,Table_ExternalData_15[[#This Row],[IType]],IsDList,Table_ExternalData_15[[#Headers],[10]])</f>
        <v>0</v>
      </c>
      <c r="O212" s="10">
        <f>SUMIFS(IsQList,IsIList,Table_ExternalData_15[[#This Row],[item_key]],IsITypeList,Table_ExternalData_15[[#This Row],[IType]],IsDList,Table_ExternalData_15[[#Headers],[11]])</f>
        <v>0</v>
      </c>
      <c r="P212" s="10">
        <f>SUMIFS(IsQList,IsIList,Table_ExternalData_15[[#This Row],[item_key]],IsITypeList,Table_ExternalData_15[[#This Row],[IType]],IsDList,Table_ExternalData_15[[#Headers],[12]])</f>
        <v>0</v>
      </c>
      <c r="Q212" s="10">
        <f>SUMIFS(IsQList,IsIList,Table_ExternalData_15[[#This Row],[item_key]],IsITypeList,Table_ExternalData_15[[#This Row],[IType]],IsDList,Table_ExternalData_15[[#Headers],[13]])</f>
        <v>0</v>
      </c>
      <c r="R212" s="10">
        <f>SUMIFS(IsQList,IsIList,Table_ExternalData_15[[#This Row],[item_key]],IsITypeList,Table_ExternalData_15[[#This Row],[IType]],IsDList,Table_ExternalData_15[[#Headers],[14]])</f>
        <v>0</v>
      </c>
      <c r="S212" s="10">
        <f>SUMIFS(IsQList,IsIList,Table_ExternalData_15[[#This Row],[item_key]],IsITypeList,Table_ExternalData_15[[#This Row],[IType]],IsDList,Table_ExternalData_15[[#Headers],[15]])</f>
        <v>0</v>
      </c>
      <c r="T212" s="10">
        <f>SUMIFS(IsQList,IsIList,Table_ExternalData_15[[#This Row],[item_key]],IsITypeList,Table_ExternalData_15[[#This Row],[IType]],IsDList,Table_ExternalData_15[[#Headers],[16]])</f>
        <v>0</v>
      </c>
      <c r="U212" s="10">
        <f>SUMIFS(IsQList,IsIList,Table_ExternalData_15[[#This Row],[item_key]],IsITypeList,Table_ExternalData_15[[#This Row],[IType]],IsDList,Table_ExternalData_15[[#Headers],[17]])</f>
        <v>0</v>
      </c>
      <c r="V212" s="10">
        <f>SUMIFS(IsQList,IsIList,Table_ExternalData_15[[#This Row],[item_key]],IsITypeList,Table_ExternalData_15[[#This Row],[IType]],IsDList,Table_ExternalData_15[[#Headers],[18]])</f>
        <v>0</v>
      </c>
      <c r="W212" s="10">
        <f>SUMIFS(IsQList,IsIList,Table_ExternalData_15[[#This Row],[item_key]],IsITypeList,Table_ExternalData_15[[#This Row],[IType]],IsDList,Table_ExternalData_15[[#Headers],[19]])</f>
        <v>0</v>
      </c>
      <c r="X212" s="10">
        <f>SUMIFS(IsQList,IsIList,Table_ExternalData_15[[#This Row],[item_key]],IsITypeList,Table_ExternalData_15[[#This Row],[IType]],IsDList,Table_ExternalData_15[[#Headers],[20]])</f>
        <v>0</v>
      </c>
      <c r="Y212" s="10">
        <f>SUMIFS(IsQList,IsIList,Table_ExternalData_15[[#This Row],[item_key]],IsITypeList,Table_ExternalData_15[[#This Row],[IType]],IsDList,Table_ExternalData_15[[#Headers],[21]])</f>
        <v>0</v>
      </c>
      <c r="Z212" s="10">
        <f>SUMIFS(IsQList,IsIList,Table_ExternalData_15[[#This Row],[item_key]],IsITypeList,Table_ExternalData_15[[#This Row],[IType]],IsDList,Table_ExternalData_15[[#Headers],[22]])</f>
        <v>0</v>
      </c>
      <c r="AA212" s="10">
        <f>SUMIFS(IsQList,IsIList,Table_ExternalData_15[[#This Row],[item_key]],IsITypeList,Table_ExternalData_15[[#This Row],[IType]],IsDList,Table_ExternalData_15[[#Headers],[23]])</f>
        <v>0</v>
      </c>
      <c r="AB212" s="10">
        <f>SUMIFS(IsQList,IsIList,Table_ExternalData_15[[#This Row],[item_key]],IsITypeList,Table_ExternalData_15[[#This Row],[IType]],IsDList,Table_ExternalData_15[[#Headers],[24]])</f>
        <v>0</v>
      </c>
      <c r="AC212" s="10">
        <f>SUMIFS(IsQList,IsIList,Table_ExternalData_15[[#This Row],[item_key]],IsITypeList,Table_ExternalData_15[[#This Row],[IType]],IsDList,Table_ExternalData_15[[#Headers],[25]])</f>
        <v>0</v>
      </c>
      <c r="AD212" s="10">
        <f>SUMIFS(IsQList,IsIList,Table_ExternalData_15[[#This Row],[item_key]],IsITypeList,Table_ExternalData_15[[#This Row],[IType]],IsDList,Table_ExternalData_15[[#Headers],[26]])</f>
        <v>0</v>
      </c>
      <c r="AE212" s="10">
        <f>SUMIFS(IsQList,IsIList,Table_ExternalData_15[[#This Row],[item_key]],IsITypeList,Table_ExternalData_15[[#This Row],[IType]],IsDList,Table_ExternalData_15[[#Headers],[27]])</f>
        <v>0</v>
      </c>
      <c r="AF212" s="10">
        <f>SUMIFS(IsQList,IsIList,Table_ExternalData_15[[#This Row],[item_key]],IsITypeList,Table_ExternalData_15[[#This Row],[IType]],IsDList,Table_ExternalData_15[[#Headers],[28]])</f>
        <v>0</v>
      </c>
      <c r="AG212" s="10">
        <f>SUMIFS(IsQList,IsIList,Table_ExternalData_15[[#This Row],[item_key]],IsITypeList,Table_ExternalData_15[[#This Row],[IType]],IsDList,Table_ExternalData_15[[#Headers],[29]])</f>
        <v>0</v>
      </c>
      <c r="AH212" s="10">
        <f>SUMIFS(IsQList,IsIList,Table_ExternalData_15[[#This Row],[item_key]],IsITypeList,Table_ExternalData_15[[#This Row],[IType]],IsDList,Table_ExternalData_15[[#Headers],[30]])</f>
        <v>0</v>
      </c>
      <c r="AI212" s="10">
        <f>SUMIFS(IsQList,IsIList,Table_ExternalData_15[[#This Row],[item_key]],IsITypeList,Table_ExternalData_15[[#This Row],[IType]],IsDList,Table_ExternalData_15[[#Headers],[31]])</f>
        <v>0</v>
      </c>
      <c r="AJ212" s="10">
        <f>SUM(Table_ExternalData_15[[#This Row],[1]:[31]])</f>
        <v>0</v>
      </c>
    </row>
    <row r="213" spans="1:36">
      <c r="A213" s="1" t="s">
        <v>1799</v>
      </c>
      <c r="B213" s="1" t="s">
        <v>2400</v>
      </c>
      <c r="C213" s="1" t="s">
        <v>2401</v>
      </c>
      <c r="D213" s="11" t="s">
        <v>72</v>
      </c>
      <c r="E213" s="10">
        <f>SUMIFS(IsQList,IsIList,Table_ExternalData_15[[#This Row],[item_key]],IsITypeList,Table_ExternalData_15[[#This Row],[IType]],IsDList,Table_ExternalData_15[[#Headers],[1]])</f>
        <v>0</v>
      </c>
      <c r="F213" s="10">
        <f>SUMIFS(IsQList,IsIList,Table_ExternalData_15[[#This Row],[item_key]],IsITypeList,Table_ExternalData_15[[#This Row],[IType]],IsDList,Table_ExternalData_15[[#Headers],[2]])</f>
        <v>0</v>
      </c>
      <c r="G213" s="10">
        <f>SUMIFS(IsQList,IsIList,Table_ExternalData_15[[#This Row],[item_key]],IsITypeList,Table_ExternalData_15[[#This Row],[IType]],IsDList,Table_ExternalData_15[[#Headers],[3]])</f>
        <v>0</v>
      </c>
      <c r="H213" s="10">
        <f>SUMIFS(IsQList,IsIList,Table_ExternalData_15[[#This Row],[item_key]],IsITypeList,Table_ExternalData_15[[#This Row],[IType]],IsDList,Table_ExternalData_15[[#Headers],[4]])</f>
        <v>0</v>
      </c>
      <c r="I213" s="10">
        <f>SUMIFS(IsQList,IsIList,Table_ExternalData_15[[#This Row],[item_key]],IsITypeList,Table_ExternalData_15[[#This Row],[IType]],IsDList,Table_ExternalData_15[[#Headers],[5]])</f>
        <v>0</v>
      </c>
      <c r="J213" s="10">
        <f>SUMIFS(IsQList,IsIList,Table_ExternalData_15[[#This Row],[item_key]],IsITypeList,Table_ExternalData_15[[#This Row],[IType]],IsDList,Table_ExternalData_15[[#Headers],[6]])</f>
        <v>0</v>
      </c>
      <c r="K213" s="10">
        <f>SUMIFS(IsQList,IsIList,Table_ExternalData_15[[#This Row],[item_key]],IsITypeList,Table_ExternalData_15[[#This Row],[IType]],IsDList,Table_ExternalData_15[[#Headers],[7]])</f>
        <v>0</v>
      </c>
      <c r="L213" s="10">
        <f>SUMIFS(IsQList,IsIList,Table_ExternalData_15[[#This Row],[item_key]],IsITypeList,Table_ExternalData_15[[#This Row],[IType]],IsDList,Table_ExternalData_15[[#Headers],[8]])</f>
        <v>0</v>
      </c>
      <c r="M213" s="10">
        <f>SUMIFS(IsQList,IsIList,Table_ExternalData_15[[#This Row],[item_key]],IsITypeList,Table_ExternalData_15[[#This Row],[IType]],IsDList,Table_ExternalData_15[[#Headers],[9]])</f>
        <v>0</v>
      </c>
      <c r="N213" s="10">
        <f>SUMIFS(IsQList,IsIList,Table_ExternalData_15[[#This Row],[item_key]],IsITypeList,Table_ExternalData_15[[#This Row],[IType]],IsDList,Table_ExternalData_15[[#Headers],[10]])</f>
        <v>0</v>
      </c>
      <c r="O213" s="10">
        <f>SUMIFS(IsQList,IsIList,Table_ExternalData_15[[#This Row],[item_key]],IsITypeList,Table_ExternalData_15[[#This Row],[IType]],IsDList,Table_ExternalData_15[[#Headers],[11]])</f>
        <v>0</v>
      </c>
      <c r="P213" s="10">
        <f>SUMIFS(IsQList,IsIList,Table_ExternalData_15[[#This Row],[item_key]],IsITypeList,Table_ExternalData_15[[#This Row],[IType]],IsDList,Table_ExternalData_15[[#Headers],[12]])</f>
        <v>0</v>
      </c>
      <c r="Q213" s="10">
        <f>SUMIFS(IsQList,IsIList,Table_ExternalData_15[[#This Row],[item_key]],IsITypeList,Table_ExternalData_15[[#This Row],[IType]],IsDList,Table_ExternalData_15[[#Headers],[13]])</f>
        <v>0</v>
      </c>
      <c r="R213" s="10">
        <f>SUMIFS(IsQList,IsIList,Table_ExternalData_15[[#This Row],[item_key]],IsITypeList,Table_ExternalData_15[[#This Row],[IType]],IsDList,Table_ExternalData_15[[#Headers],[14]])</f>
        <v>0</v>
      </c>
      <c r="S213" s="10">
        <f>SUMIFS(IsQList,IsIList,Table_ExternalData_15[[#This Row],[item_key]],IsITypeList,Table_ExternalData_15[[#This Row],[IType]],IsDList,Table_ExternalData_15[[#Headers],[15]])</f>
        <v>0</v>
      </c>
      <c r="T213" s="10">
        <f>SUMIFS(IsQList,IsIList,Table_ExternalData_15[[#This Row],[item_key]],IsITypeList,Table_ExternalData_15[[#This Row],[IType]],IsDList,Table_ExternalData_15[[#Headers],[16]])</f>
        <v>0</v>
      </c>
      <c r="U213" s="10">
        <f>SUMIFS(IsQList,IsIList,Table_ExternalData_15[[#This Row],[item_key]],IsITypeList,Table_ExternalData_15[[#This Row],[IType]],IsDList,Table_ExternalData_15[[#Headers],[17]])</f>
        <v>0</v>
      </c>
      <c r="V213" s="10">
        <f>SUMIFS(IsQList,IsIList,Table_ExternalData_15[[#This Row],[item_key]],IsITypeList,Table_ExternalData_15[[#This Row],[IType]],IsDList,Table_ExternalData_15[[#Headers],[18]])</f>
        <v>0</v>
      </c>
      <c r="W213" s="10">
        <f>SUMIFS(IsQList,IsIList,Table_ExternalData_15[[#This Row],[item_key]],IsITypeList,Table_ExternalData_15[[#This Row],[IType]],IsDList,Table_ExternalData_15[[#Headers],[19]])</f>
        <v>0</v>
      </c>
      <c r="X213" s="10">
        <f>SUMIFS(IsQList,IsIList,Table_ExternalData_15[[#This Row],[item_key]],IsITypeList,Table_ExternalData_15[[#This Row],[IType]],IsDList,Table_ExternalData_15[[#Headers],[20]])</f>
        <v>0</v>
      </c>
      <c r="Y213" s="10">
        <f>SUMIFS(IsQList,IsIList,Table_ExternalData_15[[#This Row],[item_key]],IsITypeList,Table_ExternalData_15[[#This Row],[IType]],IsDList,Table_ExternalData_15[[#Headers],[21]])</f>
        <v>0</v>
      </c>
      <c r="Z213" s="10">
        <f>SUMIFS(IsQList,IsIList,Table_ExternalData_15[[#This Row],[item_key]],IsITypeList,Table_ExternalData_15[[#This Row],[IType]],IsDList,Table_ExternalData_15[[#Headers],[22]])</f>
        <v>0</v>
      </c>
      <c r="AA213" s="10">
        <f>SUMIFS(IsQList,IsIList,Table_ExternalData_15[[#This Row],[item_key]],IsITypeList,Table_ExternalData_15[[#This Row],[IType]],IsDList,Table_ExternalData_15[[#Headers],[23]])</f>
        <v>0</v>
      </c>
      <c r="AB213" s="10">
        <f>SUMIFS(IsQList,IsIList,Table_ExternalData_15[[#This Row],[item_key]],IsITypeList,Table_ExternalData_15[[#This Row],[IType]],IsDList,Table_ExternalData_15[[#Headers],[24]])</f>
        <v>0</v>
      </c>
      <c r="AC213" s="10">
        <f>SUMIFS(IsQList,IsIList,Table_ExternalData_15[[#This Row],[item_key]],IsITypeList,Table_ExternalData_15[[#This Row],[IType]],IsDList,Table_ExternalData_15[[#Headers],[25]])</f>
        <v>0</v>
      </c>
      <c r="AD213" s="10">
        <f>SUMIFS(IsQList,IsIList,Table_ExternalData_15[[#This Row],[item_key]],IsITypeList,Table_ExternalData_15[[#This Row],[IType]],IsDList,Table_ExternalData_15[[#Headers],[26]])</f>
        <v>0</v>
      </c>
      <c r="AE213" s="10">
        <f>SUMIFS(IsQList,IsIList,Table_ExternalData_15[[#This Row],[item_key]],IsITypeList,Table_ExternalData_15[[#This Row],[IType]],IsDList,Table_ExternalData_15[[#Headers],[27]])</f>
        <v>0</v>
      </c>
      <c r="AF213" s="10">
        <f>SUMIFS(IsQList,IsIList,Table_ExternalData_15[[#This Row],[item_key]],IsITypeList,Table_ExternalData_15[[#This Row],[IType]],IsDList,Table_ExternalData_15[[#Headers],[28]])</f>
        <v>0</v>
      </c>
      <c r="AG213" s="10">
        <f>SUMIFS(IsQList,IsIList,Table_ExternalData_15[[#This Row],[item_key]],IsITypeList,Table_ExternalData_15[[#This Row],[IType]],IsDList,Table_ExternalData_15[[#Headers],[29]])</f>
        <v>0</v>
      </c>
      <c r="AH213" s="10">
        <f>SUMIFS(IsQList,IsIList,Table_ExternalData_15[[#This Row],[item_key]],IsITypeList,Table_ExternalData_15[[#This Row],[IType]],IsDList,Table_ExternalData_15[[#Headers],[30]])</f>
        <v>0</v>
      </c>
      <c r="AI213" s="10">
        <f>SUMIFS(IsQList,IsIList,Table_ExternalData_15[[#This Row],[item_key]],IsITypeList,Table_ExternalData_15[[#This Row],[IType]],IsDList,Table_ExternalData_15[[#Headers],[31]])</f>
        <v>0</v>
      </c>
      <c r="AJ213" s="10">
        <f>SUM(Table_ExternalData_15[[#This Row],[1]:[31]])</f>
        <v>0</v>
      </c>
    </row>
    <row r="214" spans="1:36">
      <c r="A214" s="1" t="s">
        <v>715</v>
      </c>
      <c r="B214" s="1" t="s">
        <v>2652</v>
      </c>
      <c r="C214" s="1" t="s">
        <v>2653</v>
      </c>
      <c r="D214" s="11" t="s">
        <v>72</v>
      </c>
      <c r="E214" s="10">
        <f>SUMIFS(IsQList,IsIList,Table_ExternalData_15[[#This Row],[item_key]],IsITypeList,Table_ExternalData_15[[#This Row],[IType]],IsDList,Table_ExternalData_15[[#Headers],[1]])</f>
        <v>0</v>
      </c>
      <c r="F214" s="10">
        <f>SUMIFS(IsQList,IsIList,Table_ExternalData_15[[#This Row],[item_key]],IsITypeList,Table_ExternalData_15[[#This Row],[IType]],IsDList,Table_ExternalData_15[[#Headers],[2]])</f>
        <v>0</v>
      </c>
      <c r="G214" s="10">
        <f>SUMIFS(IsQList,IsIList,Table_ExternalData_15[[#This Row],[item_key]],IsITypeList,Table_ExternalData_15[[#This Row],[IType]],IsDList,Table_ExternalData_15[[#Headers],[3]])</f>
        <v>0</v>
      </c>
      <c r="H214" s="10">
        <f>SUMIFS(IsQList,IsIList,Table_ExternalData_15[[#This Row],[item_key]],IsITypeList,Table_ExternalData_15[[#This Row],[IType]],IsDList,Table_ExternalData_15[[#Headers],[4]])</f>
        <v>0</v>
      </c>
      <c r="I214" s="10">
        <f>SUMIFS(IsQList,IsIList,Table_ExternalData_15[[#This Row],[item_key]],IsITypeList,Table_ExternalData_15[[#This Row],[IType]],IsDList,Table_ExternalData_15[[#Headers],[5]])</f>
        <v>0</v>
      </c>
      <c r="J214" s="10">
        <f>SUMIFS(IsQList,IsIList,Table_ExternalData_15[[#This Row],[item_key]],IsITypeList,Table_ExternalData_15[[#This Row],[IType]],IsDList,Table_ExternalData_15[[#Headers],[6]])</f>
        <v>2</v>
      </c>
      <c r="K214" s="10">
        <f>SUMIFS(IsQList,IsIList,Table_ExternalData_15[[#This Row],[item_key]],IsITypeList,Table_ExternalData_15[[#This Row],[IType]],IsDList,Table_ExternalData_15[[#Headers],[7]])</f>
        <v>0</v>
      </c>
      <c r="L214" s="10">
        <f>SUMIFS(IsQList,IsIList,Table_ExternalData_15[[#This Row],[item_key]],IsITypeList,Table_ExternalData_15[[#This Row],[IType]],IsDList,Table_ExternalData_15[[#Headers],[8]])</f>
        <v>0</v>
      </c>
      <c r="M214" s="10">
        <f>SUMIFS(IsQList,IsIList,Table_ExternalData_15[[#This Row],[item_key]],IsITypeList,Table_ExternalData_15[[#This Row],[IType]],IsDList,Table_ExternalData_15[[#Headers],[9]])</f>
        <v>0</v>
      </c>
      <c r="N214" s="10">
        <f>SUMIFS(IsQList,IsIList,Table_ExternalData_15[[#This Row],[item_key]],IsITypeList,Table_ExternalData_15[[#This Row],[IType]],IsDList,Table_ExternalData_15[[#Headers],[10]])</f>
        <v>0</v>
      </c>
      <c r="O214" s="10">
        <f>SUMIFS(IsQList,IsIList,Table_ExternalData_15[[#This Row],[item_key]],IsITypeList,Table_ExternalData_15[[#This Row],[IType]],IsDList,Table_ExternalData_15[[#Headers],[11]])</f>
        <v>0</v>
      </c>
      <c r="P214" s="10">
        <f>SUMIFS(IsQList,IsIList,Table_ExternalData_15[[#This Row],[item_key]],IsITypeList,Table_ExternalData_15[[#This Row],[IType]],IsDList,Table_ExternalData_15[[#Headers],[12]])</f>
        <v>0</v>
      </c>
      <c r="Q214" s="10">
        <f>SUMIFS(IsQList,IsIList,Table_ExternalData_15[[#This Row],[item_key]],IsITypeList,Table_ExternalData_15[[#This Row],[IType]],IsDList,Table_ExternalData_15[[#Headers],[13]])</f>
        <v>0</v>
      </c>
      <c r="R214" s="10">
        <f>SUMIFS(IsQList,IsIList,Table_ExternalData_15[[#This Row],[item_key]],IsITypeList,Table_ExternalData_15[[#This Row],[IType]],IsDList,Table_ExternalData_15[[#Headers],[14]])</f>
        <v>0</v>
      </c>
      <c r="S214" s="10">
        <f>SUMIFS(IsQList,IsIList,Table_ExternalData_15[[#This Row],[item_key]],IsITypeList,Table_ExternalData_15[[#This Row],[IType]],IsDList,Table_ExternalData_15[[#Headers],[15]])</f>
        <v>0</v>
      </c>
      <c r="T214" s="10">
        <f>SUMIFS(IsQList,IsIList,Table_ExternalData_15[[#This Row],[item_key]],IsITypeList,Table_ExternalData_15[[#This Row],[IType]],IsDList,Table_ExternalData_15[[#Headers],[16]])</f>
        <v>0</v>
      </c>
      <c r="U214" s="10">
        <f>SUMIFS(IsQList,IsIList,Table_ExternalData_15[[#This Row],[item_key]],IsITypeList,Table_ExternalData_15[[#This Row],[IType]],IsDList,Table_ExternalData_15[[#Headers],[17]])</f>
        <v>0</v>
      </c>
      <c r="V214" s="10">
        <f>SUMIFS(IsQList,IsIList,Table_ExternalData_15[[#This Row],[item_key]],IsITypeList,Table_ExternalData_15[[#This Row],[IType]],IsDList,Table_ExternalData_15[[#Headers],[18]])</f>
        <v>0</v>
      </c>
      <c r="W214" s="10">
        <f>SUMIFS(IsQList,IsIList,Table_ExternalData_15[[#This Row],[item_key]],IsITypeList,Table_ExternalData_15[[#This Row],[IType]],IsDList,Table_ExternalData_15[[#Headers],[19]])</f>
        <v>0</v>
      </c>
      <c r="X214" s="10">
        <f>SUMIFS(IsQList,IsIList,Table_ExternalData_15[[#This Row],[item_key]],IsITypeList,Table_ExternalData_15[[#This Row],[IType]],IsDList,Table_ExternalData_15[[#Headers],[20]])</f>
        <v>0</v>
      </c>
      <c r="Y214" s="10">
        <f>SUMIFS(IsQList,IsIList,Table_ExternalData_15[[#This Row],[item_key]],IsITypeList,Table_ExternalData_15[[#This Row],[IType]],IsDList,Table_ExternalData_15[[#Headers],[21]])</f>
        <v>0</v>
      </c>
      <c r="Z214" s="10">
        <f>SUMIFS(IsQList,IsIList,Table_ExternalData_15[[#This Row],[item_key]],IsITypeList,Table_ExternalData_15[[#This Row],[IType]],IsDList,Table_ExternalData_15[[#Headers],[22]])</f>
        <v>0</v>
      </c>
      <c r="AA214" s="10">
        <f>SUMIFS(IsQList,IsIList,Table_ExternalData_15[[#This Row],[item_key]],IsITypeList,Table_ExternalData_15[[#This Row],[IType]],IsDList,Table_ExternalData_15[[#Headers],[23]])</f>
        <v>0</v>
      </c>
      <c r="AB214" s="10">
        <f>SUMIFS(IsQList,IsIList,Table_ExternalData_15[[#This Row],[item_key]],IsITypeList,Table_ExternalData_15[[#This Row],[IType]],IsDList,Table_ExternalData_15[[#Headers],[24]])</f>
        <v>0</v>
      </c>
      <c r="AC214" s="10">
        <f>SUMIFS(IsQList,IsIList,Table_ExternalData_15[[#This Row],[item_key]],IsITypeList,Table_ExternalData_15[[#This Row],[IType]],IsDList,Table_ExternalData_15[[#Headers],[25]])</f>
        <v>0</v>
      </c>
      <c r="AD214" s="10">
        <f>SUMIFS(IsQList,IsIList,Table_ExternalData_15[[#This Row],[item_key]],IsITypeList,Table_ExternalData_15[[#This Row],[IType]],IsDList,Table_ExternalData_15[[#Headers],[26]])</f>
        <v>0</v>
      </c>
      <c r="AE214" s="10">
        <f>SUMIFS(IsQList,IsIList,Table_ExternalData_15[[#This Row],[item_key]],IsITypeList,Table_ExternalData_15[[#This Row],[IType]],IsDList,Table_ExternalData_15[[#Headers],[27]])</f>
        <v>0</v>
      </c>
      <c r="AF214" s="10">
        <f>SUMIFS(IsQList,IsIList,Table_ExternalData_15[[#This Row],[item_key]],IsITypeList,Table_ExternalData_15[[#This Row],[IType]],IsDList,Table_ExternalData_15[[#Headers],[28]])</f>
        <v>0</v>
      </c>
      <c r="AG214" s="10">
        <f>SUMIFS(IsQList,IsIList,Table_ExternalData_15[[#This Row],[item_key]],IsITypeList,Table_ExternalData_15[[#This Row],[IType]],IsDList,Table_ExternalData_15[[#Headers],[29]])</f>
        <v>0</v>
      </c>
      <c r="AH214" s="10">
        <f>SUMIFS(IsQList,IsIList,Table_ExternalData_15[[#This Row],[item_key]],IsITypeList,Table_ExternalData_15[[#This Row],[IType]],IsDList,Table_ExternalData_15[[#Headers],[30]])</f>
        <v>0</v>
      </c>
      <c r="AI214" s="10">
        <f>SUMIFS(IsQList,IsIList,Table_ExternalData_15[[#This Row],[item_key]],IsITypeList,Table_ExternalData_15[[#This Row],[IType]],IsDList,Table_ExternalData_15[[#Headers],[31]])</f>
        <v>0</v>
      </c>
      <c r="AJ214" s="10">
        <f>SUM(Table_ExternalData_15[[#This Row],[1]:[31]])</f>
        <v>2</v>
      </c>
    </row>
    <row r="215" spans="1:36">
      <c r="A215" s="1" t="s">
        <v>716</v>
      </c>
      <c r="B215" s="1" t="s">
        <v>2654</v>
      </c>
      <c r="C215" s="1" t="s">
        <v>2655</v>
      </c>
      <c r="D215" s="11" t="s">
        <v>72</v>
      </c>
      <c r="E215" s="10">
        <f>SUMIFS(IsQList,IsIList,Table_ExternalData_15[[#This Row],[item_key]],IsITypeList,Table_ExternalData_15[[#This Row],[IType]],IsDList,Table_ExternalData_15[[#Headers],[1]])</f>
        <v>0</v>
      </c>
      <c r="F215" s="10">
        <f>SUMIFS(IsQList,IsIList,Table_ExternalData_15[[#This Row],[item_key]],IsITypeList,Table_ExternalData_15[[#This Row],[IType]],IsDList,Table_ExternalData_15[[#Headers],[2]])</f>
        <v>0</v>
      </c>
      <c r="G215" s="10">
        <f>SUMIFS(IsQList,IsIList,Table_ExternalData_15[[#This Row],[item_key]],IsITypeList,Table_ExternalData_15[[#This Row],[IType]],IsDList,Table_ExternalData_15[[#Headers],[3]])</f>
        <v>0</v>
      </c>
      <c r="H215" s="10">
        <f>SUMIFS(IsQList,IsIList,Table_ExternalData_15[[#This Row],[item_key]],IsITypeList,Table_ExternalData_15[[#This Row],[IType]],IsDList,Table_ExternalData_15[[#Headers],[4]])</f>
        <v>0</v>
      </c>
      <c r="I215" s="10">
        <f>SUMIFS(IsQList,IsIList,Table_ExternalData_15[[#This Row],[item_key]],IsITypeList,Table_ExternalData_15[[#This Row],[IType]],IsDList,Table_ExternalData_15[[#Headers],[5]])</f>
        <v>0</v>
      </c>
      <c r="J215" s="10">
        <f>SUMIFS(IsQList,IsIList,Table_ExternalData_15[[#This Row],[item_key]],IsITypeList,Table_ExternalData_15[[#This Row],[IType]],IsDList,Table_ExternalData_15[[#Headers],[6]])</f>
        <v>0</v>
      </c>
      <c r="K215" s="10">
        <f>SUMIFS(IsQList,IsIList,Table_ExternalData_15[[#This Row],[item_key]],IsITypeList,Table_ExternalData_15[[#This Row],[IType]],IsDList,Table_ExternalData_15[[#Headers],[7]])</f>
        <v>0</v>
      </c>
      <c r="L215" s="10">
        <f>SUMIFS(IsQList,IsIList,Table_ExternalData_15[[#This Row],[item_key]],IsITypeList,Table_ExternalData_15[[#This Row],[IType]],IsDList,Table_ExternalData_15[[#Headers],[8]])</f>
        <v>0</v>
      </c>
      <c r="M215" s="10">
        <f>SUMIFS(IsQList,IsIList,Table_ExternalData_15[[#This Row],[item_key]],IsITypeList,Table_ExternalData_15[[#This Row],[IType]],IsDList,Table_ExternalData_15[[#Headers],[9]])</f>
        <v>0</v>
      </c>
      <c r="N215" s="10">
        <f>SUMIFS(IsQList,IsIList,Table_ExternalData_15[[#This Row],[item_key]],IsITypeList,Table_ExternalData_15[[#This Row],[IType]],IsDList,Table_ExternalData_15[[#Headers],[10]])</f>
        <v>6</v>
      </c>
      <c r="O215" s="10">
        <f>SUMIFS(IsQList,IsIList,Table_ExternalData_15[[#This Row],[item_key]],IsITypeList,Table_ExternalData_15[[#This Row],[IType]],IsDList,Table_ExternalData_15[[#Headers],[11]])</f>
        <v>0</v>
      </c>
      <c r="P215" s="10">
        <f>SUMIFS(IsQList,IsIList,Table_ExternalData_15[[#This Row],[item_key]],IsITypeList,Table_ExternalData_15[[#This Row],[IType]],IsDList,Table_ExternalData_15[[#Headers],[12]])</f>
        <v>0</v>
      </c>
      <c r="Q215" s="10">
        <f>SUMIFS(IsQList,IsIList,Table_ExternalData_15[[#This Row],[item_key]],IsITypeList,Table_ExternalData_15[[#This Row],[IType]],IsDList,Table_ExternalData_15[[#Headers],[13]])</f>
        <v>0</v>
      </c>
      <c r="R215" s="10">
        <f>SUMIFS(IsQList,IsIList,Table_ExternalData_15[[#This Row],[item_key]],IsITypeList,Table_ExternalData_15[[#This Row],[IType]],IsDList,Table_ExternalData_15[[#Headers],[14]])</f>
        <v>0</v>
      </c>
      <c r="S215" s="10">
        <f>SUMIFS(IsQList,IsIList,Table_ExternalData_15[[#This Row],[item_key]],IsITypeList,Table_ExternalData_15[[#This Row],[IType]],IsDList,Table_ExternalData_15[[#Headers],[15]])</f>
        <v>0</v>
      </c>
      <c r="T215" s="10">
        <f>SUMIFS(IsQList,IsIList,Table_ExternalData_15[[#This Row],[item_key]],IsITypeList,Table_ExternalData_15[[#This Row],[IType]],IsDList,Table_ExternalData_15[[#Headers],[16]])</f>
        <v>0</v>
      </c>
      <c r="U215" s="10">
        <f>SUMIFS(IsQList,IsIList,Table_ExternalData_15[[#This Row],[item_key]],IsITypeList,Table_ExternalData_15[[#This Row],[IType]],IsDList,Table_ExternalData_15[[#Headers],[17]])</f>
        <v>0</v>
      </c>
      <c r="V215" s="10">
        <f>SUMIFS(IsQList,IsIList,Table_ExternalData_15[[#This Row],[item_key]],IsITypeList,Table_ExternalData_15[[#This Row],[IType]],IsDList,Table_ExternalData_15[[#Headers],[18]])</f>
        <v>0</v>
      </c>
      <c r="W215" s="10">
        <f>SUMIFS(IsQList,IsIList,Table_ExternalData_15[[#This Row],[item_key]],IsITypeList,Table_ExternalData_15[[#This Row],[IType]],IsDList,Table_ExternalData_15[[#Headers],[19]])</f>
        <v>0</v>
      </c>
      <c r="X215" s="10">
        <f>SUMIFS(IsQList,IsIList,Table_ExternalData_15[[#This Row],[item_key]],IsITypeList,Table_ExternalData_15[[#This Row],[IType]],IsDList,Table_ExternalData_15[[#Headers],[20]])</f>
        <v>0</v>
      </c>
      <c r="Y215" s="10">
        <f>SUMIFS(IsQList,IsIList,Table_ExternalData_15[[#This Row],[item_key]],IsITypeList,Table_ExternalData_15[[#This Row],[IType]],IsDList,Table_ExternalData_15[[#Headers],[21]])</f>
        <v>0</v>
      </c>
      <c r="Z215" s="10">
        <f>SUMIFS(IsQList,IsIList,Table_ExternalData_15[[#This Row],[item_key]],IsITypeList,Table_ExternalData_15[[#This Row],[IType]],IsDList,Table_ExternalData_15[[#Headers],[22]])</f>
        <v>0</v>
      </c>
      <c r="AA215" s="10">
        <f>SUMIFS(IsQList,IsIList,Table_ExternalData_15[[#This Row],[item_key]],IsITypeList,Table_ExternalData_15[[#This Row],[IType]],IsDList,Table_ExternalData_15[[#Headers],[23]])</f>
        <v>0</v>
      </c>
      <c r="AB215" s="10">
        <f>SUMIFS(IsQList,IsIList,Table_ExternalData_15[[#This Row],[item_key]],IsITypeList,Table_ExternalData_15[[#This Row],[IType]],IsDList,Table_ExternalData_15[[#Headers],[24]])</f>
        <v>0</v>
      </c>
      <c r="AC215" s="10">
        <f>SUMIFS(IsQList,IsIList,Table_ExternalData_15[[#This Row],[item_key]],IsITypeList,Table_ExternalData_15[[#This Row],[IType]],IsDList,Table_ExternalData_15[[#Headers],[25]])</f>
        <v>0</v>
      </c>
      <c r="AD215" s="10">
        <f>SUMIFS(IsQList,IsIList,Table_ExternalData_15[[#This Row],[item_key]],IsITypeList,Table_ExternalData_15[[#This Row],[IType]],IsDList,Table_ExternalData_15[[#Headers],[26]])</f>
        <v>0</v>
      </c>
      <c r="AE215" s="10">
        <f>SUMIFS(IsQList,IsIList,Table_ExternalData_15[[#This Row],[item_key]],IsITypeList,Table_ExternalData_15[[#This Row],[IType]],IsDList,Table_ExternalData_15[[#Headers],[27]])</f>
        <v>0</v>
      </c>
      <c r="AF215" s="10">
        <f>SUMIFS(IsQList,IsIList,Table_ExternalData_15[[#This Row],[item_key]],IsITypeList,Table_ExternalData_15[[#This Row],[IType]],IsDList,Table_ExternalData_15[[#Headers],[28]])</f>
        <v>0</v>
      </c>
      <c r="AG215" s="10">
        <f>SUMIFS(IsQList,IsIList,Table_ExternalData_15[[#This Row],[item_key]],IsITypeList,Table_ExternalData_15[[#This Row],[IType]],IsDList,Table_ExternalData_15[[#Headers],[29]])</f>
        <v>0</v>
      </c>
      <c r="AH215" s="10">
        <f>SUMIFS(IsQList,IsIList,Table_ExternalData_15[[#This Row],[item_key]],IsITypeList,Table_ExternalData_15[[#This Row],[IType]],IsDList,Table_ExternalData_15[[#Headers],[30]])</f>
        <v>0</v>
      </c>
      <c r="AI215" s="10">
        <f>SUMIFS(IsQList,IsIList,Table_ExternalData_15[[#This Row],[item_key]],IsITypeList,Table_ExternalData_15[[#This Row],[IType]],IsDList,Table_ExternalData_15[[#Headers],[31]])</f>
        <v>0</v>
      </c>
      <c r="AJ215" s="10">
        <f>SUM(Table_ExternalData_15[[#This Row],[1]:[31]])</f>
        <v>6</v>
      </c>
    </row>
    <row r="216" spans="1:36">
      <c r="A216" s="1" t="s">
        <v>1804</v>
      </c>
      <c r="B216" s="1" t="s">
        <v>2656</v>
      </c>
      <c r="C216" s="1" t="s">
        <v>2657</v>
      </c>
      <c r="D216" s="11" t="s">
        <v>72</v>
      </c>
      <c r="E216" s="10">
        <f>SUMIFS(IsQList,IsIList,Table_ExternalData_15[[#This Row],[item_key]],IsITypeList,Table_ExternalData_15[[#This Row],[IType]],IsDList,Table_ExternalData_15[[#Headers],[1]])</f>
        <v>0</v>
      </c>
      <c r="F216" s="10">
        <f>SUMIFS(IsQList,IsIList,Table_ExternalData_15[[#This Row],[item_key]],IsITypeList,Table_ExternalData_15[[#This Row],[IType]],IsDList,Table_ExternalData_15[[#Headers],[2]])</f>
        <v>0</v>
      </c>
      <c r="G216" s="10">
        <f>SUMIFS(IsQList,IsIList,Table_ExternalData_15[[#This Row],[item_key]],IsITypeList,Table_ExternalData_15[[#This Row],[IType]],IsDList,Table_ExternalData_15[[#Headers],[3]])</f>
        <v>0</v>
      </c>
      <c r="H216" s="10">
        <f>SUMIFS(IsQList,IsIList,Table_ExternalData_15[[#This Row],[item_key]],IsITypeList,Table_ExternalData_15[[#This Row],[IType]],IsDList,Table_ExternalData_15[[#Headers],[4]])</f>
        <v>0</v>
      </c>
      <c r="I216" s="10">
        <f>SUMIFS(IsQList,IsIList,Table_ExternalData_15[[#This Row],[item_key]],IsITypeList,Table_ExternalData_15[[#This Row],[IType]],IsDList,Table_ExternalData_15[[#Headers],[5]])</f>
        <v>0</v>
      </c>
      <c r="J216" s="10">
        <f>SUMIFS(IsQList,IsIList,Table_ExternalData_15[[#This Row],[item_key]],IsITypeList,Table_ExternalData_15[[#This Row],[IType]],IsDList,Table_ExternalData_15[[#Headers],[6]])</f>
        <v>0</v>
      </c>
      <c r="K216" s="10">
        <f>SUMIFS(IsQList,IsIList,Table_ExternalData_15[[#This Row],[item_key]],IsITypeList,Table_ExternalData_15[[#This Row],[IType]],IsDList,Table_ExternalData_15[[#Headers],[7]])</f>
        <v>0</v>
      </c>
      <c r="L216" s="10">
        <f>SUMIFS(IsQList,IsIList,Table_ExternalData_15[[#This Row],[item_key]],IsITypeList,Table_ExternalData_15[[#This Row],[IType]],IsDList,Table_ExternalData_15[[#Headers],[8]])</f>
        <v>0</v>
      </c>
      <c r="M216" s="10">
        <f>SUMIFS(IsQList,IsIList,Table_ExternalData_15[[#This Row],[item_key]],IsITypeList,Table_ExternalData_15[[#This Row],[IType]],IsDList,Table_ExternalData_15[[#Headers],[9]])</f>
        <v>0</v>
      </c>
      <c r="N216" s="10">
        <f>SUMIFS(IsQList,IsIList,Table_ExternalData_15[[#This Row],[item_key]],IsITypeList,Table_ExternalData_15[[#This Row],[IType]],IsDList,Table_ExternalData_15[[#Headers],[10]])</f>
        <v>5</v>
      </c>
      <c r="O216" s="10">
        <f>SUMIFS(IsQList,IsIList,Table_ExternalData_15[[#This Row],[item_key]],IsITypeList,Table_ExternalData_15[[#This Row],[IType]],IsDList,Table_ExternalData_15[[#Headers],[11]])</f>
        <v>0</v>
      </c>
      <c r="P216" s="10">
        <f>SUMIFS(IsQList,IsIList,Table_ExternalData_15[[#This Row],[item_key]],IsITypeList,Table_ExternalData_15[[#This Row],[IType]],IsDList,Table_ExternalData_15[[#Headers],[12]])</f>
        <v>0</v>
      </c>
      <c r="Q216" s="10">
        <f>SUMIFS(IsQList,IsIList,Table_ExternalData_15[[#This Row],[item_key]],IsITypeList,Table_ExternalData_15[[#This Row],[IType]],IsDList,Table_ExternalData_15[[#Headers],[13]])</f>
        <v>0</v>
      </c>
      <c r="R216" s="10">
        <f>SUMIFS(IsQList,IsIList,Table_ExternalData_15[[#This Row],[item_key]],IsITypeList,Table_ExternalData_15[[#This Row],[IType]],IsDList,Table_ExternalData_15[[#Headers],[14]])</f>
        <v>0</v>
      </c>
      <c r="S216" s="10">
        <f>SUMIFS(IsQList,IsIList,Table_ExternalData_15[[#This Row],[item_key]],IsITypeList,Table_ExternalData_15[[#This Row],[IType]],IsDList,Table_ExternalData_15[[#Headers],[15]])</f>
        <v>0</v>
      </c>
      <c r="T216" s="10">
        <f>SUMIFS(IsQList,IsIList,Table_ExternalData_15[[#This Row],[item_key]],IsITypeList,Table_ExternalData_15[[#This Row],[IType]],IsDList,Table_ExternalData_15[[#Headers],[16]])</f>
        <v>0</v>
      </c>
      <c r="U216" s="10">
        <f>SUMIFS(IsQList,IsIList,Table_ExternalData_15[[#This Row],[item_key]],IsITypeList,Table_ExternalData_15[[#This Row],[IType]],IsDList,Table_ExternalData_15[[#Headers],[17]])</f>
        <v>0</v>
      </c>
      <c r="V216" s="10">
        <f>SUMIFS(IsQList,IsIList,Table_ExternalData_15[[#This Row],[item_key]],IsITypeList,Table_ExternalData_15[[#This Row],[IType]],IsDList,Table_ExternalData_15[[#Headers],[18]])</f>
        <v>0</v>
      </c>
      <c r="W216" s="10">
        <f>SUMIFS(IsQList,IsIList,Table_ExternalData_15[[#This Row],[item_key]],IsITypeList,Table_ExternalData_15[[#This Row],[IType]],IsDList,Table_ExternalData_15[[#Headers],[19]])</f>
        <v>0</v>
      </c>
      <c r="X216" s="10">
        <f>SUMIFS(IsQList,IsIList,Table_ExternalData_15[[#This Row],[item_key]],IsITypeList,Table_ExternalData_15[[#This Row],[IType]],IsDList,Table_ExternalData_15[[#Headers],[20]])</f>
        <v>0</v>
      </c>
      <c r="Y216" s="10">
        <f>SUMIFS(IsQList,IsIList,Table_ExternalData_15[[#This Row],[item_key]],IsITypeList,Table_ExternalData_15[[#This Row],[IType]],IsDList,Table_ExternalData_15[[#Headers],[21]])</f>
        <v>0</v>
      </c>
      <c r="Z216" s="10">
        <f>SUMIFS(IsQList,IsIList,Table_ExternalData_15[[#This Row],[item_key]],IsITypeList,Table_ExternalData_15[[#This Row],[IType]],IsDList,Table_ExternalData_15[[#Headers],[22]])</f>
        <v>0</v>
      </c>
      <c r="AA216" s="10">
        <f>SUMIFS(IsQList,IsIList,Table_ExternalData_15[[#This Row],[item_key]],IsITypeList,Table_ExternalData_15[[#This Row],[IType]],IsDList,Table_ExternalData_15[[#Headers],[23]])</f>
        <v>0</v>
      </c>
      <c r="AB216" s="10">
        <f>SUMIFS(IsQList,IsIList,Table_ExternalData_15[[#This Row],[item_key]],IsITypeList,Table_ExternalData_15[[#This Row],[IType]],IsDList,Table_ExternalData_15[[#Headers],[24]])</f>
        <v>0</v>
      </c>
      <c r="AC216" s="10">
        <f>SUMIFS(IsQList,IsIList,Table_ExternalData_15[[#This Row],[item_key]],IsITypeList,Table_ExternalData_15[[#This Row],[IType]],IsDList,Table_ExternalData_15[[#Headers],[25]])</f>
        <v>0</v>
      </c>
      <c r="AD216" s="10">
        <f>SUMIFS(IsQList,IsIList,Table_ExternalData_15[[#This Row],[item_key]],IsITypeList,Table_ExternalData_15[[#This Row],[IType]],IsDList,Table_ExternalData_15[[#Headers],[26]])</f>
        <v>0</v>
      </c>
      <c r="AE216" s="10">
        <f>SUMIFS(IsQList,IsIList,Table_ExternalData_15[[#This Row],[item_key]],IsITypeList,Table_ExternalData_15[[#This Row],[IType]],IsDList,Table_ExternalData_15[[#Headers],[27]])</f>
        <v>0</v>
      </c>
      <c r="AF216" s="10">
        <f>SUMIFS(IsQList,IsIList,Table_ExternalData_15[[#This Row],[item_key]],IsITypeList,Table_ExternalData_15[[#This Row],[IType]],IsDList,Table_ExternalData_15[[#Headers],[28]])</f>
        <v>0</v>
      </c>
      <c r="AG216" s="10">
        <f>SUMIFS(IsQList,IsIList,Table_ExternalData_15[[#This Row],[item_key]],IsITypeList,Table_ExternalData_15[[#This Row],[IType]],IsDList,Table_ExternalData_15[[#Headers],[29]])</f>
        <v>0</v>
      </c>
      <c r="AH216" s="10">
        <f>SUMIFS(IsQList,IsIList,Table_ExternalData_15[[#This Row],[item_key]],IsITypeList,Table_ExternalData_15[[#This Row],[IType]],IsDList,Table_ExternalData_15[[#Headers],[30]])</f>
        <v>0</v>
      </c>
      <c r="AI216" s="10">
        <f>SUMIFS(IsQList,IsIList,Table_ExternalData_15[[#This Row],[item_key]],IsITypeList,Table_ExternalData_15[[#This Row],[IType]],IsDList,Table_ExternalData_15[[#Headers],[31]])</f>
        <v>0</v>
      </c>
      <c r="AJ216" s="10">
        <f>SUM(Table_ExternalData_15[[#This Row],[1]:[31]])</f>
        <v>5</v>
      </c>
    </row>
    <row r="217" spans="1:36">
      <c r="A217" s="1" t="s">
        <v>717</v>
      </c>
      <c r="B217" s="1" t="s">
        <v>2375</v>
      </c>
      <c r="C217" s="1" t="s">
        <v>2376</v>
      </c>
      <c r="D217" s="11" t="s">
        <v>72</v>
      </c>
      <c r="E217" s="10">
        <f>SUMIFS(IsQList,IsIList,Table_ExternalData_15[[#This Row],[item_key]],IsITypeList,Table_ExternalData_15[[#This Row],[IType]],IsDList,Table_ExternalData_15[[#Headers],[1]])</f>
        <v>0</v>
      </c>
      <c r="F217" s="10">
        <f>SUMIFS(IsQList,IsIList,Table_ExternalData_15[[#This Row],[item_key]],IsITypeList,Table_ExternalData_15[[#This Row],[IType]],IsDList,Table_ExternalData_15[[#Headers],[2]])</f>
        <v>0</v>
      </c>
      <c r="G217" s="10">
        <f>SUMIFS(IsQList,IsIList,Table_ExternalData_15[[#This Row],[item_key]],IsITypeList,Table_ExternalData_15[[#This Row],[IType]],IsDList,Table_ExternalData_15[[#Headers],[3]])</f>
        <v>0</v>
      </c>
      <c r="H217" s="10">
        <f>SUMIFS(IsQList,IsIList,Table_ExternalData_15[[#This Row],[item_key]],IsITypeList,Table_ExternalData_15[[#This Row],[IType]],IsDList,Table_ExternalData_15[[#Headers],[4]])</f>
        <v>0</v>
      </c>
      <c r="I217" s="10">
        <f>SUMIFS(IsQList,IsIList,Table_ExternalData_15[[#This Row],[item_key]],IsITypeList,Table_ExternalData_15[[#This Row],[IType]],IsDList,Table_ExternalData_15[[#Headers],[5]])</f>
        <v>0</v>
      </c>
      <c r="J217" s="10">
        <f>SUMIFS(IsQList,IsIList,Table_ExternalData_15[[#This Row],[item_key]],IsITypeList,Table_ExternalData_15[[#This Row],[IType]],IsDList,Table_ExternalData_15[[#Headers],[6]])</f>
        <v>0</v>
      </c>
      <c r="K217" s="10">
        <f>SUMIFS(IsQList,IsIList,Table_ExternalData_15[[#This Row],[item_key]],IsITypeList,Table_ExternalData_15[[#This Row],[IType]],IsDList,Table_ExternalData_15[[#Headers],[7]])</f>
        <v>0</v>
      </c>
      <c r="L217" s="10">
        <f>SUMIFS(IsQList,IsIList,Table_ExternalData_15[[#This Row],[item_key]],IsITypeList,Table_ExternalData_15[[#This Row],[IType]],IsDList,Table_ExternalData_15[[#Headers],[8]])</f>
        <v>0</v>
      </c>
      <c r="M217" s="10">
        <f>SUMIFS(IsQList,IsIList,Table_ExternalData_15[[#This Row],[item_key]],IsITypeList,Table_ExternalData_15[[#This Row],[IType]],IsDList,Table_ExternalData_15[[#Headers],[9]])</f>
        <v>0</v>
      </c>
      <c r="N217" s="10">
        <f>SUMIFS(IsQList,IsIList,Table_ExternalData_15[[#This Row],[item_key]],IsITypeList,Table_ExternalData_15[[#This Row],[IType]],IsDList,Table_ExternalData_15[[#Headers],[10]])</f>
        <v>0</v>
      </c>
      <c r="O217" s="10">
        <f>SUMIFS(IsQList,IsIList,Table_ExternalData_15[[#This Row],[item_key]],IsITypeList,Table_ExternalData_15[[#This Row],[IType]],IsDList,Table_ExternalData_15[[#Headers],[11]])</f>
        <v>0</v>
      </c>
      <c r="P217" s="10">
        <f>SUMIFS(IsQList,IsIList,Table_ExternalData_15[[#This Row],[item_key]],IsITypeList,Table_ExternalData_15[[#This Row],[IType]],IsDList,Table_ExternalData_15[[#Headers],[12]])</f>
        <v>0</v>
      </c>
      <c r="Q217" s="10">
        <f>SUMIFS(IsQList,IsIList,Table_ExternalData_15[[#This Row],[item_key]],IsITypeList,Table_ExternalData_15[[#This Row],[IType]],IsDList,Table_ExternalData_15[[#Headers],[13]])</f>
        <v>0</v>
      </c>
      <c r="R217" s="10">
        <f>SUMIFS(IsQList,IsIList,Table_ExternalData_15[[#This Row],[item_key]],IsITypeList,Table_ExternalData_15[[#This Row],[IType]],IsDList,Table_ExternalData_15[[#Headers],[14]])</f>
        <v>0</v>
      </c>
      <c r="S217" s="10">
        <f>SUMIFS(IsQList,IsIList,Table_ExternalData_15[[#This Row],[item_key]],IsITypeList,Table_ExternalData_15[[#This Row],[IType]],IsDList,Table_ExternalData_15[[#Headers],[15]])</f>
        <v>0</v>
      </c>
      <c r="T217" s="10">
        <f>SUMIFS(IsQList,IsIList,Table_ExternalData_15[[#This Row],[item_key]],IsITypeList,Table_ExternalData_15[[#This Row],[IType]],IsDList,Table_ExternalData_15[[#Headers],[16]])</f>
        <v>4</v>
      </c>
      <c r="U217" s="10">
        <f>SUMIFS(IsQList,IsIList,Table_ExternalData_15[[#This Row],[item_key]],IsITypeList,Table_ExternalData_15[[#This Row],[IType]],IsDList,Table_ExternalData_15[[#Headers],[17]])</f>
        <v>0</v>
      </c>
      <c r="V217" s="10">
        <f>SUMIFS(IsQList,IsIList,Table_ExternalData_15[[#This Row],[item_key]],IsITypeList,Table_ExternalData_15[[#This Row],[IType]],IsDList,Table_ExternalData_15[[#Headers],[18]])</f>
        <v>0</v>
      </c>
      <c r="W217" s="10">
        <f>SUMIFS(IsQList,IsIList,Table_ExternalData_15[[#This Row],[item_key]],IsITypeList,Table_ExternalData_15[[#This Row],[IType]],IsDList,Table_ExternalData_15[[#Headers],[19]])</f>
        <v>0</v>
      </c>
      <c r="X217" s="10">
        <f>SUMIFS(IsQList,IsIList,Table_ExternalData_15[[#This Row],[item_key]],IsITypeList,Table_ExternalData_15[[#This Row],[IType]],IsDList,Table_ExternalData_15[[#Headers],[20]])</f>
        <v>0</v>
      </c>
      <c r="Y217" s="10">
        <f>SUMIFS(IsQList,IsIList,Table_ExternalData_15[[#This Row],[item_key]],IsITypeList,Table_ExternalData_15[[#This Row],[IType]],IsDList,Table_ExternalData_15[[#Headers],[21]])</f>
        <v>0</v>
      </c>
      <c r="Z217" s="10">
        <f>SUMIFS(IsQList,IsIList,Table_ExternalData_15[[#This Row],[item_key]],IsITypeList,Table_ExternalData_15[[#This Row],[IType]],IsDList,Table_ExternalData_15[[#Headers],[22]])</f>
        <v>0</v>
      </c>
      <c r="AA217" s="10">
        <f>SUMIFS(IsQList,IsIList,Table_ExternalData_15[[#This Row],[item_key]],IsITypeList,Table_ExternalData_15[[#This Row],[IType]],IsDList,Table_ExternalData_15[[#Headers],[23]])</f>
        <v>0</v>
      </c>
      <c r="AB217" s="10">
        <f>SUMIFS(IsQList,IsIList,Table_ExternalData_15[[#This Row],[item_key]],IsITypeList,Table_ExternalData_15[[#This Row],[IType]],IsDList,Table_ExternalData_15[[#Headers],[24]])</f>
        <v>0</v>
      </c>
      <c r="AC217" s="10">
        <f>SUMIFS(IsQList,IsIList,Table_ExternalData_15[[#This Row],[item_key]],IsITypeList,Table_ExternalData_15[[#This Row],[IType]],IsDList,Table_ExternalData_15[[#Headers],[25]])</f>
        <v>0</v>
      </c>
      <c r="AD217" s="10">
        <f>SUMIFS(IsQList,IsIList,Table_ExternalData_15[[#This Row],[item_key]],IsITypeList,Table_ExternalData_15[[#This Row],[IType]],IsDList,Table_ExternalData_15[[#Headers],[26]])</f>
        <v>0</v>
      </c>
      <c r="AE217" s="10">
        <f>SUMIFS(IsQList,IsIList,Table_ExternalData_15[[#This Row],[item_key]],IsITypeList,Table_ExternalData_15[[#This Row],[IType]],IsDList,Table_ExternalData_15[[#Headers],[27]])</f>
        <v>0</v>
      </c>
      <c r="AF217" s="10">
        <f>SUMIFS(IsQList,IsIList,Table_ExternalData_15[[#This Row],[item_key]],IsITypeList,Table_ExternalData_15[[#This Row],[IType]],IsDList,Table_ExternalData_15[[#Headers],[28]])</f>
        <v>0</v>
      </c>
      <c r="AG217" s="10">
        <f>SUMIFS(IsQList,IsIList,Table_ExternalData_15[[#This Row],[item_key]],IsITypeList,Table_ExternalData_15[[#This Row],[IType]],IsDList,Table_ExternalData_15[[#Headers],[29]])</f>
        <v>0</v>
      </c>
      <c r="AH217" s="10">
        <f>SUMIFS(IsQList,IsIList,Table_ExternalData_15[[#This Row],[item_key]],IsITypeList,Table_ExternalData_15[[#This Row],[IType]],IsDList,Table_ExternalData_15[[#Headers],[30]])</f>
        <v>0</v>
      </c>
      <c r="AI217" s="10">
        <f>SUMIFS(IsQList,IsIList,Table_ExternalData_15[[#This Row],[item_key]],IsITypeList,Table_ExternalData_15[[#This Row],[IType]],IsDList,Table_ExternalData_15[[#Headers],[31]])</f>
        <v>0</v>
      </c>
      <c r="AJ217" s="10">
        <f>SUM(Table_ExternalData_15[[#This Row],[1]:[31]])</f>
        <v>4</v>
      </c>
    </row>
    <row r="218" spans="1:36">
      <c r="A218" s="1" t="s">
        <v>718</v>
      </c>
      <c r="B218" s="1" t="s">
        <v>1369</v>
      </c>
      <c r="C218" s="1" t="s">
        <v>1370</v>
      </c>
      <c r="D218" s="11" t="s">
        <v>72</v>
      </c>
      <c r="E218" s="10">
        <f>SUMIFS(IsQList,IsIList,Table_ExternalData_15[[#This Row],[item_key]],IsITypeList,Table_ExternalData_15[[#This Row],[IType]],IsDList,Table_ExternalData_15[[#Headers],[1]])</f>
        <v>0</v>
      </c>
      <c r="F218" s="10">
        <f>SUMIFS(IsQList,IsIList,Table_ExternalData_15[[#This Row],[item_key]],IsITypeList,Table_ExternalData_15[[#This Row],[IType]],IsDList,Table_ExternalData_15[[#Headers],[2]])</f>
        <v>0</v>
      </c>
      <c r="G218" s="10">
        <f>SUMIFS(IsQList,IsIList,Table_ExternalData_15[[#This Row],[item_key]],IsITypeList,Table_ExternalData_15[[#This Row],[IType]],IsDList,Table_ExternalData_15[[#Headers],[3]])</f>
        <v>0</v>
      </c>
      <c r="H218" s="10">
        <f>SUMIFS(IsQList,IsIList,Table_ExternalData_15[[#This Row],[item_key]],IsITypeList,Table_ExternalData_15[[#This Row],[IType]],IsDList,Table_ExternalData_15[[#Headers],[4]])</f>
        <v>0</v>
      </c>
      <c r="I218" s="10">
        <f>SUMIFS(IsQList,IsIList,Table_ExternalData_15[[#This Row],[item_key]],IsITypeList,Table_ExternalData_15[[#This Row],[IType]],IsDList,Table_ExternalData_15[[#Headers],[5]])</f>
        <v>0</v>
      </c>
      <c r="J218" s="10">
        <f>SUMIFS(IsQList,IsIList,Table_ExternalData_15[[#This Row],[item_key]],IsITypeList,Table_ExternalData_15[[#This Row],[IType]],IsDList,Table_ExternalData_15[[#Headers],[6]])</f>
        <v>0</v>
      </c>
      <c r="K218" s="10">
        <f>SUMIFS(IsQList,IsIList,Table_ExternalData_15[[#This Row],[item_key]],IsITypeList,Table_ExternalData_15[[#This Row],[IType]],IsDList,Table_ExternalData_15[[#Headers],[7]])</f>
        <v>0</v>
      </c>
      <c r="L218" s="10">
        <f>SUMIFS(IsQList,IsIList,Table_ExternalData_15[[#This Row],[item_key]],IsITypeList,Table_ExternalData_15[[#This Row],[IType]],IsDList,Table_ExternalData_15[[#Headers],[8]])</f>
        <v>0</v>
      </c>
      <c r="M218" s="10">
        <f>SUMIFS(IsQList,IsIList,Table_ExternalData_15[[#This Row],[item_key]],IsITypeList,Table_ExternalData_15[[#This Row],[IType]],IsDList,Table_ExternalData_15[[#Headers],[9]])</f>
        <v>0</v>
      </c>
      <c r="N218" s="10">
        <f>SUMIFS(IsQList,IsIList,Table_ExternalData_15[[#This Row],[item_key]],IsITypeList,Table_ExternalData_15[[#This Row],[IType]],IsDList,Table_ExternalData_15[[#Headers],[10]])</f>
        <v>167</v>
      </c>
      <c r="O218" s="10">
        <f>SUMIFS(IsQList,IsIList,Table_ExternalData_15[[#This Row],[item_key]],IsITypeList,Table_ExternalData_15[[#This Row],[IType]],IsDList,Table_ExternalData_15[[#Headers],[11]])</f>
        <v>0</v>
      </c>
      <c r="P218" s="10">
        <f>SUMIFS(IsQList,IsIList,Table_ExternalData_15[[#This Row],[item_key]],IsITypeList,Table_ExternalData_15[[#This Row],[IType]],IsDList,Table_ExternalData_15[[#Headers],[12]])</f>
        <v>0</v>
      </c>
      <c r="Q218" s="10">
        <f>SUMIFS(IsQList,IsIList,Table_ExternalData_15[[#This Row],[item_key]],IsITypeList,Table_ExternalData_15[[#This Row],[IType]],IsDList,Table_ExternalData_15[[#Headers],[13]])</f>
        <v>0</v>
      </c>
      <c r="R218" s="10">
        <f>SUMIFS(IsQList,IsIList,Table_ExternalData_15[[#This Row],[item_key]],IsITypeList,Table_ExternalData_15[[#This Row],[IType]],IsDList,Table_ExternalData_15[[#Headers],[14]])</f>
        <v>0</v>
      </c>
      <c r="S218" s="10">
        <f>SUMIFS(IsQList,IsIList,Table_ExternalData_15[[#This Row],[item_key]],IsITypeList,Table_ExternalData_15[[#This Row],[IType]],IsDList,Table_ExternalData_15[[#Headers],[15]])</f>
        <v>0</v>
      </c>
      <c r="T218" s="10">
        <f>SUMIFS(IsQList,IsIList,Table_ExternalData_15[[#This Row],[item_key]],IsITypeList,Table_ExternalData_15[[#This Row],[IType]],IsDList,Table_ExternalData_15[[#Headers],[16]])</f>
        <v>0</v>
      </c>
      <c r="U218" s="10">
        <f>SUMIFS(IsQList,IsIList,Table_ExternalData_15[[#This Row],[item_key]],IsITypeList,Table_ExternalData_15[[#This Row],[IType]],IsDList,Table_ExternalData_15[[#Headers],[17]])</f>
        <v>0</v>
      </c>
      <c r="V218" s="10">
        <f>SUMIFS(IsQList,IsIList,Table_ExternalData_15[[#This Row],[item_key]],IsITypeList,Table_ExternalData_15[[#This Row],[IType]],IsDList,Table_ExternalData_15[[#Headers],[18]])</f>
        <v>0</v>
      </c>
      <c r="W218" s="10">
        <f>SUMIFS(IsQList,IsIList,Table_ExternalData_15[[#This Row],[item_key]],IsITypeList,Table_ExternalData_15[[#This Row],[IType]],IsDList,Table_ExternalData_15[[#Headers],[19]])</f>
        <v>0</v>
      </c>
      <c r="X218" s="10">
        <f>SUMIFS(IsQList,IsIList,Table_ExternalData_15[[#This Row],[item_key]],IsITypeList,Table_ExternalData_15[[#This Row],[IType]],IsDList,Table_ExternalData_15[[#Headers],[20]])</f>
        <v>0</v>
      </c>
      <c r="Y218" s="10">
        <f>SUMIFS(IsQList,IsIList,Table_ExternalData_15[[#This Row],[item_key]],IsITypeList,Table_ExternalData_15[[#This Row],[IType]],IsDList,Table_ExternalData_15[[#Headers],[21]])</f>
        <v>0</v>
      </c>
      <c r="Z218" s="10">
        <f>SUMIFS(IsQList,IsIList,Table_ExternalData_15[[#This Row],[item_key]],IsITypeList,Table_ExternalData_15[[#This Row],[IType]],IsDList,Table_ExternalData_15[[#Headers],[22]])</f>
        <v>0</v>
      </c>
      <c r="AA218" s="10">
        <f>SUMIFS(IsQList,IsIList,Table_ExternalData_15[[#This Row],[item_key]],IsITypeList,Table_ExternalData_15[[#This Row],[IType]],IsDList,Table_ExternalData_15[[#Headers],[23]])</f>
        <v>0</v>
      </c>
      <c r="AB218" s="10">
        <f>SUMIFS(IsQList,IsIList,Table_ExternalData_15[[#This Row],[item_key]],IsITypeList,Table_ExternalData_15[[#This Row],[IType]],IsDList,Table_ExternalData_15[[#Headers],[24]])</f>
        <v>0</v>
      </c>
      <c r="AC218" s="10">
        <f>SUMIFS(IsQList,IsIList,Table_ExternalData_15[[#This Row],[item_key]],IsITypeList,Table_ExternalData_15[[#This Row],[IType]],IsDList,Table_ExternalData_15[[#Headers],[25]])</f>
        <v>0</v>
      </c>
      <c r="AD218" s="10">
        <f>SUMIFS(IsQList,IsIList,Table_ExternalData_15[[#This Row],[item_key]],IsITypeList,Table_ExternalData_15[[#This Row],[IType]],IsDList,Table_ExternalData_15[[#Headers],[26]])</f>
        <v>0</v>
      </c>
      <c r="AE218" s="10">
        <f>SUMIFS(IsQList,IsIList,Table_ExternalData_15[[#This Row],[item_key]],IsITypeList,Table_ExternalData_15[[#This Row],[IType]],IsDList,Table_ExternalData_15[[#Headers],[27]])</f>
        <v>0</v>
      </c>
      <c r="AF218" s="10">
        <f>SUMIFS(IsQList,IsIList,Table_ExternalData_15[[#This Row],[item_key]],IsITypeList,Table_ExternalData_15[[#This Row],[IType]],IsDList,Table_ExternalData_15[[#Headers],[28]])</f>
        <v>0</v>
      </c>
      <c r="AG218" s="10">
        <f>SUMIFS(IsQList,IsIList,Table_ExternalData_15[[#This Row],[item_key]],IsITypeList,Table_ExternalData_15[[#This Row],[IType]],IsDList,Table_ExternalData_15[[#Headers],[29]])</f>
        <v>0</v>
      </c>
      <c r="AH218" s="10">
        <f>SUMIFS(IsQList,IsIList,Table_ExternalData_15[[#This Row],[item_key]],IsITypeList,Table_ExternalData_15[[#This Row],[IType]],IsDList,Table_ExternalData_15[[#Headers],[30]])</f>
        <v>0</v>
      </c>
      <c r="AI218" s="10">
        <f>SUMIFS(IsQList,IsIList,Table_ExternalData_15[[#This Row],[item_key]],IsITypeList,Table_ExternalData_15[[#This Row],[IType]],IsDList,Table_ExternalData_15[[#Headers],[31]])</f>
        <v>0</v>
      </c>
      <c r="AJ218" s="10">
        <f>SUM(Table_ExternalData_15[[#This Row],[1]:[31]])</f>
        <v>167</v>
      </c>
    </row>
    <row r="219" spans="1:36">
      <c r="A219" s="1" t="s">
        <v>1810</v>
      </c>
      <c r="B219" s="1" t="s">
        <v>2658</v>
      </c>
      <c r="C219" s="1" t="s">
        <v>1515</v>
      </c>
      <c r="D219" s="11" t="s">
        <v>72</v>
      </c>
      <c r="E219" s="10">
        <f>SUMIFS(IsQList,IsIList,Table_ExternalData_15[[#This Row],[item_key]],IsITypeList,Table_ExternalData_15[[#This Row],[IType]],IsDList,Table_ExternalData_15[[#Headers],[1]])</f>
        <v>0</v>
      </c>
      <c r="F219" s="10">
        <f>SUMIFS(IsQList,IsIList,Table_ExternalData_15[[#This Row],[item_key]],IsITypeList,Table_ExternalData_15[[#This Row],[IType]],IsDList,Table_ExternalData_15[[#Headers],[2]])</f>
        <v>0</v>
      </c>
      <c r="G219" s="10">
        <f>SUMIFS(IsQList,IsIList,Table_ExternalData_15[[#This Row],[item_key]],IsITypeList,Table_ExternalData_15[[#This Row],[IType]],IsDList,Table_ExternalData_15[[#Headers],[3]])</f>
        <v>0</v>
      </c>
      <c r="H219" s="10">
        <f>SUMIFS(IsQList,IsIList,Table_ExternalData_15[[#This Row],[item_key]],IsITypeList,Table_ExternalData_15[[#This Row],[IType]],IsDList,Table_ExternalData_15[[#Headers],[4]])</f>
        <v>0</v>
      </c>
      <c r="I219" s="10">
        <f>SUMIFS(IsQList,IsIList,Table_ExternalData_15[[#This Row],[item_key]],IsITypeList,Table_ExternalData_15[[#This Row],[IType]],IsDList,Table_ExternalData_15[[#Headers],[5]])</f>
        <v>0</v>
      </c>
      <c r="J219" s="10">
        <f>SUMIFS(IsQList,IsIList,Table_ExternalData_15[[#This Row],[item_key]],IsITypeList,Table_ExternalData_15[[#This Row],[IType]],IsDList,Table_ExternalData_15[[#Headers],[6]])</f>
        <v>0</v>
      </c>
      <c r="K219" s="10">
        <f>SUMIFS(IsQList,IsIList,Table_ExternalData_15[[#This Row],[item_key]],IsITypeList,Table_ExternalData_15[[#This Row],[IType]],IsDList,Table_ExternalData_15[[#Headers],[7]])</f>
        <v>0</v>
      </c>
      <c r="L219" s="10">
        <f>SUMIFS(IsQList,IsIList,Table_ExternalData_15[[#This Row],[item_key]],IsITypeList,Table_ExternalData_15[[#This Row],[IType]],IsDList,Table_ExternalData_15[[#Headers],[8]])</f>
        <v>0</v>
      </c>
      <c r="M219" s="10">
        <f>SUMIFS(IsQList,IsIList,Table_ExternalData_15[[#This Row],[item_key]],IsITypeList,Table_ExternalData_15[[#This Row],[IType]],IsDList,Table_ExternalData_15[[#Headers],[9]])</f>
        <v>0</v>
      </c>
      <c r="N219" s="10">
        <f>SUMIFS(IsQList,IsIList,Table_ExternalData_15[[#This Row],[item_key]],IsITypeList,Table_ExternalData_15[[#This Row],[IType]],IsDList,Table_ExternalData_15[[#Headers],[10]])</f>
        <v>0</v>
      </c>
      <c r="O219" s="10">
        <f>SUMIFS(IsQList,IsIList,Table_ExternalData_15[[#This Row],[item_key]],IsITypeList,Table_ExternalData_15[[#This Row],[IType]],IsDList,Table_ExternalData_15[[#Headers],[11]])</f>
        <v>0</v>
      </c>
      <c r="P219" s="10">
        <f>SUMIFS(IsQList,IsIList,Table_ExternalData_15[[#This Row],[item_key]],IsITypeList,Table_ExternalData_15[[#This Row],[IType]],IsDList,Table_ExternalData_15[[#Headers],[12]])</f>
        <v>0</v>
      </c>
      <c r="Q219" s="10">
        <f>SUMIFS(IsQList,IsIList,Table_ExternalData_15[[#This Row],[item_key]],IsITypeList,Table_ExternalData_15[[#This Row],[IType]],IsDList,Table_ExternalData_15[[#Headers],[13]])</f>
        <v>0</v>
      </c>
      <c r="R219" s="10">
        <f>SUMIFS(IsQList,IsIList,Table_ExternalData_15[[#This Row],[item_key]],IsITypeList,Table_ExternalData_15[[#This Row],[IType]],IsDList,Table_ExternalData_15[[#Headers],[14]])</f>
        <v>0</v>
      </c>
      <c r="S219" s="10">
        <f>SUMIFS(IsQList,IsIList,Table_ExternalData_15[[#This Row],[item_key]],IsITypeList,Table_ExternalData_15[[#This Row],[IType]],IsDList,Table_ExternalData_15[[#Headers],[15]])</f>
        <v>0</v>
      </c>
      <c r="T219" s="10">
        <f>SUMIFS(IsQList,IsIList,Table_ExternalData_15[[#This Row],[item_key]],IsITypeList,Table_ExternalData_15[[#This Row],[IType]],IsDList,Table_ExternalData_15[[#Headers],[16]])</f>
        <v>0</v>
      </c>
      <c r="U219" s="10">
        <f>SUMIFS(IsQList,IsIList,Table_ExternalData_15[[#This Row],[item_key]],IsITypeList,Table_ExternalData_15[[#This Row],[IType]],IsDList,Table_ExternalData_15[[#Headers],[17]])</f>
        <v>0</v>
      </c>
      <c r="V219" s="10">
        <f>SUMIFS(IsQList,IsIList,Table_ExternalData_15[[#This Row],[item_key]],IsITypeList,Table_ExternalData_15[[#This Row],[IType]],IsDList,Table_ExternalData_15[[#Headers],[18]])</f>
        <v>0</v>
      </c>
      <c r="W219" s="10">
        <f>SUMIFS(IsQList,IsIList,Table_ExternalData_15[[#This Row],[item_key]],IsITypeList,Table_ExternalData_15[[#This Row],[IType]],IsDList,Table_ExternalData_15[[#Headers],[19]])</f>
        <v>0</v>
      </c>
      <c r="X219" s="10">
        <f>SUMIFS(IsQList,IsIList,Table_ExternalData_15[[#This Row],[item_key]],IsITypeList,Table_ExternalData_15[[#This Row],[IType]],IsDList,Table_ExternalData_15[[#Headers],[20]])</f>
        <v>0</v>
      </c>
      <c r="Y219" s="10">
        <f>SUMIFS(IsQList,IsIList,Table_ExternalData_15[[#This Row],[item_key]],IsITypeList,Table_ExternalData_15[[#This Row],[IType]],IsDList,Table_ExternalData_15[[#Headers],[21]])</f>
        <v>0</v>
      </c>
      <c r="Z219" s="10">
        <f>SUMIFS(IsQList,IsIList,Table_ExternalData_15[[#This Row],[item_key]],IsITypeList,Table_ExternalData_15[[#This Row],[IType]],IsDList,Table_ExternalData_15[[#Headers],[22]])</f>
        <v>0</v>
      </c>
      <c r="AA219" s="10">
        <f>SUMIFS(IsQList,IsIList,Table_ExternalData_15[[#This Row],[item_key]],IsITypeList,Table_ExternalData_15[[#This Row],[IType]],IsDList,Table_ExternalData_15[[#Headers],[23]])</f>
        <v>0</v>
      </c>
      <c r="AB219" s="10">
        <f>SUMIFS(IsQList,IsIList,Table_ExternalData_15[[#This Row],[item_key]],IsITypeList,Table_ExternalData_15[[#This Row],[IType]],IsDList,Table_ExternalData_15[[#Headers],[24]])</f>
        <v>0</v>
      </c>
      <c r="AC219" s="10">
        <f>SUMIFS(IsQList,IsIList,Table_ExternalData_15[[#This Row],[item_key]],IsITypeList,Table_ExternalData_15[[#This Row],[IType]],IsDList,Table_ExternalData_15[[#Headers],[25]])</f>
        <v>0</v>
      </c>
      <c r="AD219" s="10">
        <f>SUMIFS(IsQList,IsIList,Table_ExternalData_15[[#This Row],[item_key]],IsITypeList,Table_ExternalData_15[[#This Row],[IType]],IsDList,Table_ExternalData_15[[#Headers],[26]])</f>
        <v>0</v>
      </c>
      <c r="AE219" s="10">
        <f>SUMIFS(IsQList,IsIList,Table_ExternalData_15[[#This Row],[item_key]],IsITypeList,Table_ExternalData_15[[#This Row],[IType]],IsDList,Table_ExternalData_15[[#Headers],[27]])</f>
        <v>0</v>
      </c>
      <c r="AF219" s="10">
        <f>SUMIFS(IsQList,IsIList,Table_ExternalData_15[[#This Row],[item_key]],IsITypeList,Table_ExternalData_15[[#This Row],[IType]],IsDList,Table_ExternalData_15[[#Headers],[28]])</f>
        <v>0</v>
      </c>
      <c r="AG219" s="10">
        <f>SUMIFS(IsQList,IsIList,Table_ExternalData_15[[#This Row],[item_key]],IsITypeList,Table_ExternalData_15[[#This Row],[IType]],IsDList,Table_ExternalData_15[[#Headers],[29]])</f>
        <v>0</v>
      </c>
      <c r="AH219" s="10">
        <f>SUMIFS(IsQList,IsIList,Table_ExternalData_15[[#This Row],[item_key]],IsITypeList,Table_ExternalData_15[[#This Row],[IType]],IsDList,Table_ExternalData_15[[#Headers],[30]])</f>
        <v>0</v>
      </c>
      <c r="AI219" s="10">
        <f>SUMIFS(IsQList,IsIList,Table_ExternalData_15[[#This Row],[item_key]],IsITypeList,Table_ExternalData_15[[#This Row],[IType]],IsDList,Table_ExternalData_15[[#Headers],[31]])</f>
        <v>0</v>
      </c>
      <c r="AJ219" s="10">
        <f>SUM(Table_ExternalData_15[[#This Row],[1]:[31]])</f>
        <v>0</v>
      </c>
    </row>
    <row r="220" spans="1:36">
      <c r="A220" s="1" t="s">
        <v>1813</v>
      </c>
      <c r="B220" s="1" t="s">
        <v>2659</v>
      </c>
      <c r="C220" s="1" t="s">
        <v>2660</v>
      </c>
      <c r="D220" s="11" t="s">
        <v>72</v>
      </c>
      <c r="E220" s="10">
        <f>SUMIFS(IsQList,IsIList,Table_ExternalData_15[[#This Row],[item_key]],IsITypeList,Table_ExternalData_15[[#This Row],[IType]],IsDList,Table_ExternalData_15[[#Headers],[1]])</f>
        <v>0</v>
      </c>
      <c r="F220" s="10">
        <f>SUMIFS(IsQList,IsIList,Table_ExternalData_15[[#This Row],[item_key]],IsITypeList,Table_ExternalData_15[[#This Row],[IType]],IsDList,Table_ExternalData_15[[#Headers],[2]])</f>
        <v>0</v>
      </c>
      <c r="G220" s="10">
        <f>SUMIFS(IsQList,IsIList,Table_ExternalData_15[[#This Row],[item_key]],IsITypeList,Table_ExternalData_15[[#This Row],[IType]],IsDList,Table_ExternalData_15[[#Headers],[3]])</f>
        <v>0</v>
      </c>
      <c r="H220" s="10">
        <f>SUMIFS(IsQList,IsIList,Table_ExternalData_15[[#This Row],[item_key]],IsITypeList,Table_ExternalData_15[[#This Row],[IType]],IsDList,Table_ExternalData_15[[#Headers],[4]])</f>
        <v>0</v>
      </c>
      <c r="I220" s="10">
        <f>SUMIFS(IsQList,IsIList,Table_ExternalData_15[[#This Row],[item_key]],IsITypeList,Table_ExternalData_15[[#This Row],[IType]],IsDList,Table_ExternalData_15[[#Headers],[5]])</f>
        <v>0</v>
      </c>
      <c r="J220" s="10">
        <f>SUMIFS(IsQList,IsIList,Table_ExternalData_15[[#This Row],[item_key]],IsITypeList,Table_ExternalData_15[[#This Row],[IType]],IsDList,Table_ExternalData_15[[#Headers],[6]])</f>
        <v>0</v>
      </c>
      <c r="K220" s="10">
        <f>SUMIFS(IsQList,IsIList,Table_ExternalData_15[[#This Row],[item_key]],IsITypeList,Table_ExternalData_15[[#This Row],[IType]],IsDList,Table_ExternalData_15[[#Headers],[7]])</f>
        <v>0</v>
      </c>
      <c r="L220" s="10">
        <f>SUMIFS(IsQList,IsIList,Table_ExternalData_15[[#This Row],[item_key]],IsITypeList,Table_ExternalData_15[[#This Row],[IType]],IsDList,Table_ExternalData_15[[#Headers],[8]])</f>
        <v>0</v>
      </c>
      <c r="M220" s="10">
        <f>SUMIFS(IsQList,IsIList,Table_ExternalData_15[[#This Row],[item_key]],IsITypeList,Table_ExternalData_15[[#This Row],[IType]],IsDList,Table_ExternalData_15[[#Headers],[9]])</f>
        <v>0</v>
      </c>
      <c r="N220" s="10">
        <f>SUMIFS(IsQList,IsIList,Table_ExternalData_15[[#This Row],[item_key]],IsITypeList,Table_ExternalData_15[[#This Row],[IType]],IsDList,Table_ExternalData_15[[#Headers],[10]])</f>
        <v>0</v>
      </c>
      <c r="O220" s="10">
        <f>SUMIFS(IsQList,IsIList,Table_ExternalData_15[[#This Row],[item_key]],IsITypeList,Table_ExternalData_15[[#This Row],[IType]],IsDList,Table_ExternalData_15[[#Headers],[11]])</f>
        <v>0</v>
      </c>
      <c r="P220" s="10">
        <f>SUMIFS(IsQList,IsIList,Table_ExternalData_15[[#This Row],[item_key]],IsITypeList,Table_ExternalData_15[[#This Row],[IType]],IsDList,Table_ExternalData_15[[#Headers],[12]])</f>
        <v>0</v>
      </c>
      <c r="Q220" s="10">
        <f>SUMIFS(IsQList,IsIList,Table_ExternalData_15[[#This Row],[item_key]],IsITypeList,Table_ExternalData_15[[#This Row],[IType]],IsDList,Table_ExternalData_15[[#Headers],[13]])</f>
        <v>0</v>
      </c>
      <c r="R220" s="10">
        <f>SUMIFS(IsQList,IsIList,Table_ExternalData_15[[#This Row],[item_key]],IsITypeList,Table_ExternalData_15[[#This Row],[IType]],IsDList,Table_ExternalData_15[[#Headers],[14]])</f>
        <v>0</v>
      </c>
      <c r="S220" s="10">
        <f>SUMIFS(IsQList,IsIList,Table_ExternalData_15[[#This Row],[item_key]],IsITypeList,Table_ExternalData_15[[#This Row],[IType]],IsDList,Table_ExternalData_15[[#Headers],[15]])</f>
        <v>0</v>
      </c>
      <c r="T220" s="10">
        <f>SUMIFS(IsQList,IsIList,Table_ExternalData_15[[#This Row],[item_key]],IsITypeList,Table_ExternalData_15[[#This Row],[IType]],IsDList,Table_ExternalData_15[[#Headers],[16]])</f>
        <v>0</v>
      </c>
      <c r="U220" s="10">
        <f>SUMIFS(IsQList,IsIList,Table_ExternalData_15[[#This Row],[item_key]],IsITypeList,Table_ExternalData_15[[#This Row],[IType]],IsDList,Table_ExternalData_15[[#Headers],[17]])</f>
        <v>0</v>
      </c>
      <c r="V220" s="10">
        <f>SUMIFS(IsQList,IsIList,Table_ExternalData_15[[#This Row],[item_key]],IsITypeList,Table_ExternalData_15[[#This Row],[IType]],IsDList,Table_ExternalData_15[[#Headers],[18]])</f>
        <v>0</v>
      </c>
      <c r="W220" s="10">
        <f>SUMIFS(IsQList,IsIList,Table_ExternalData_15[[#This Row],[item_key]],IsITypeList,Table_ExternalData_15[[#This Row],[IType]],IsDList,Table_ExternalData_15[[#Headers],[19]])</f>
        <v>0</v>
      </c>
      <c r="X220" s="10">
        <f>SUMIFS(IsQList,IsIList,Table_ExternalData_15[[#This Row],[item_key]],IsITypeList,Table_ExternalData_15[[#This Row],[IType]],IsDList,Table_ExternalData_15[[#Headers],[20]])</f>
        <v>0</v>
      </c>
      <c r="Y220" s="10">
        <f>SUMIFS(IsQList,IsIList,Table_ExternalData_15[[#This Row],[item_key]],IsITypeList,Table_ExternalData_15[[#This Row],[IType]],IsDList,Table_ExternalData_15[[#Headers],[21]])</f>
        <v>0</v>
      </c>
      <c r="Z220" s="10">
        <f>SUMIFS(IsQList,IsIList,Table_ExternalData_15[[#This Row],[item_key]],IsITypeList,Table_ExternalData_15[[#This Row],[IType]],IsDList,Table_ExternalData_15[[#Headers],[22]])</f>
        <v>0</v>
      </c>
      <c r="AA220" s="10">
        <f>SUMIFS(IsQList,IsIList,Table_ExternalData_15[[#This Row],[item_key]],IsITypeList,Table_ExternalData_15[[#This Row],[IType]],IsDList,Table_ExternalData_15[[#Headers],[23]])</f>
        <v>0</v>
      </c>
      <c r="AB220" s="10">
        <f>SUMIFS(IsQList,IsIList,Table_ExternalData_15[[#This Row],[item_key]],IsITypeList,Table_ExternalData_15[[#This Row],[IType]],IsDList,Table_ExternalData_15[[#Headers],[24]])</f>
        <v>200</v>
      </c>
      <c r="AC220" s="10">
        <f>SUMIFS(IsQList,IsIList,Table_ExternalData_15[[#This Row],[item_key]],IsITypeList,Table_ExternalData_15[[#This Row],[IType]],IsDList,Table_ExternalData_15[[#Headers],[25]])</f>
        <v>0</v>
      </c>
      <c r="AD220" s="10">
        <f>SUMIFS(IsQList,IsIList,Table_ExternalData_15[[#This Row],[item_key]],IsITypeList,Table_ExternalData_15[[#This Row],[IType]],IsDList,Table_ExternalData_15[[#Headers],[26]])</f>
        <v>0</v>
      </c>
      <c r="AE220" s="10">
        <f>SUMIFS(IsQList,IsIList,Table_ExternalData_15[[#This Row],[item_key]],IsITypeList,Table_ExternalData_15[[#This Row],[IType]],IsDList,Table_ExternalData_15[[#Headers],[27]])</f>
        <v>0</v>
      </c>
      <c r="AF220" s="10">
        <f>SUMIFS(IsQList,IsIList,Table_ExternalData_15[[#This Row],[item_key]],IsITypeList,Table_ExternalData_15[[#This Row],[IType]],IsDList,Table_ExternalData_15[[#Headers],[28]])</f>
        <v>0</v>
      </c>
      <c r="AG220" s="10">
        <f>SUMIFS(IsQList,IsIList,Table_ExternalData_15[[#This Row],[item_key]],IsITypeList,Table_ExternalData_15[[#This Row],[IType]],IsDList,Table_ExternalData_15[[#Headers],[29]])</f>
        <v>0</v>
      </c>
      <c r="AH220" s="10">
        <f>SUMIFS(IsQList,IsIList,Table_ExternalData_15[[#This Row],[item_key]],IsITypeList,Table_ExternalData_15[[#This Row],[IType]],IsDList,Table_ExternalData_15[[#Headers],[30]])</f>
        <v>0</v>
      </c>
      <c r="AI220" s="10">
        <f>SUMIFS(IsQList,IsIList,Table_ExternalData_15[[#This Row],[item_key]],IsITypeList,Table_ExternalData_15[[#This Row],[IType]],IsDList,Table_ExternalData_15[[#Headers],[31]])</f>
        <v>0</v>
      </c>
      <c r="AJ220" s="10">
        <f>SUM(Table_ExternalData_15[[#This Row],[1]:[31]])</f>
        <v>200</v>
      </c>
    </row>
    <row r="221" spans="1:36">
      <c r="A221" s="1" t="s">
        <v>722</v>
      </c>
      <c r="B221" s="1" t="s">
        <v>1372</v>
      </c>
      <c r="C221" s="1" t="s">
        <v>1373</v>
      </c>
      <c r="D221" s="11" t="s">
        <v>72</v>
      </c>
      <c r="E221" s="10">
        <f>SUMIFS(IsQList,IsIList,Table_ExternalData_15[[#This Row],[item_key]],IsITypeList,Table_ExternalData_15[[#This Row],[IType]],IsDList,Table_ExternalData_15[[#Headers],[1]])</f>
        <v>0</v>
      </c>
      <c r="F221" s="10">
        <f>SUMIFS(IsQList,IsIList,Table_ExternalData_15[[#This Row],[item_key]],IsITypeList,Table_ExternalData_15[[#This Row],[IType]],IsDList,Table_ExternalData_15[[#Headers],[2]])</f>
        <v>0</v>
      </c>
      <c r="G221" s="10">
        <f>SUMIFS(IsQList,IsIList,Table_ExternalData_15[[#This Row],[item_key]],IsITypeList,Table_ExternalData_15[[#This Row],[IType]],IsDList,Table_ExternalData_15[[#Headers],[3]])</f>
        <v>0</v>
      </c>
      <c r="H221" s="10">
        <f>SUMIFS(IsQList,IsIList,Table_ExternalData_15[[#This Row],[item_key]],IsITypeList,Table_ExternalData_15[[#This Row],[IType]],IsDList,Table_ExternalData_15[[#Headers],[4]])</f>
        <v>0</v>
      </c>
      <c r="I221" s="10">
        <f>SUMIFS(IsQList,IsIList,Table_ExternalData_15[[#This Row],[item_key]],IsITypeList,Table_ExternalData_15[[#This Row],[IType]],IsDList,Table_ExternalData_15[[#Headers],[5]])</f>
        <v>0</v>
      </c>
      <c r="J221" s="10">
        <f>SUMIFS(IsQList,IsIList,Table_ExternalData_15[[#This Row],[item_key]],IsITypeList,Table_ExternalData_15[[#This Row],[IType]],IsDList,Table_ExternalData_15[[#Headers],[6]])</f>
        <v>0</v>
      </c>
      <c r="K221" s="10">
        <f>SUMIFS(IsQList,IsIList,Table_ExternalData_15[[#This Row],[item_key]],IsITypeList,Table_ExternalData_15[[#This Row],[IType]],IsDList,Table_ExternalData_15[[#Headers],[7]])</f>
        <v>0</v>
      </c>
      <c r="L221" s="10">
        <f>SUMIFS(IsQList,IsIList,Table_ExternalData_15[[#This Row],[item_key]],IsITypeList,Table_ExternalData_15[[#This Row],[IType]],IsDList,Table_ExternalData_15[[#Headers],[8]])</f>
        <v>0</v>
      </c>
      <c r="M221" s="10">
        <f>SUMIFS(IsQList,IsIList,Table_ExternalData_15[[#This Row],[item_key]],IsITypeList,Table_ExternalData_15[[#This Row],[IType]],IsDList,Table_ExternalData_15[[#Headers],[9]])</f>
        <v>0</v>
      </c>
      <c r="N221" s="10">
        <f>SUMIFS(IsQList,IsIList,Table_ExternalData_15[[#This Row],[item_key]],IsITypeList,Table_ExternalData_15[[#This Row],[IType]],IsDList,Table_ExternalData_15[[#Headers],[10]])</f>
        <v>0</v>
      </c>
      <c r="O221" s="10">
        <f>SUMIFS(IsQList,IsIList,Table_ExternalData_15[[#This Row],[item_key]],IsITypeList,Table_ExternalData_15[[#This Row],[IType]],IsDList,Table_ExternalData_15[[#Headers],[11]])</f>
        <v>0</v>
      </c>
      <c r="P221" s="10">
        <f>SUMIFS(IsQList,IsIList,Table_ExternalData_15[[#This Row],[item_key]],IsITypeList,Table_ExternalData_15[[#This Row],[IType]],IsDList,Table_ExternalData_15[[#Headers],[12]])</f>
        <v>0</v>
      </c>
      <c r="Q221" s="10">
        <f>SUMIFS(IsQList,IsIList,Table_ExternalData_15[[#This Row],[item_key]],IsITypeList,Table_ExternalData_15[[#This Row],[IType]],IsDList,Table_ExternalData_15[[#Headers],[13]])</f>
        <v>0</v>
      </c>
      <c r="R221" s="10">
        <f>SUMIFS(IsQList,IsIList,Table_ExternalData_15[[#This Row],[item_key]],IsITypeList,Table_ExternalData_15[[#This Row],[IType]],IsDList,Table_ExternalData_15[[#Headers],[14]])</f>
        <v>0</v>
      </c>
      <c r="S221" s="10">
        <f>SUMIFS(IsQList,IsIList,Table_ExternalData_15[[#This Row],[item_key]],IsITypeList,Table_ExternalData_15[[#This Row],[IType]],IsDList,Table_ExternalData_15[[#Headers],[15]])</f>
        <v>0</v>
      </c>
      <c r="T221" s="10">
        <f>SUMIFS(IsQList,IsIList,Table_ExternalData_15[[#This Row],[item_key]],IsITypeList,Table_ExternalData_15[[#This Row],[IType]],IsDList,Table_ExternalData_15[[#Headers],[16]])</f>
        <v>0</v>
      </c>
      <c r="U221" s="10">
        <f>SUMIFS(IsQList,IsIList,Table_ExternalData_15[[#This Row],[item_key]],IsITypeList,Table_ExternalData_15[[#This Row],[IType]],IsDList,Table_ExternalData_15[[#Headers],[17]])</f>
        <v>0</v>
      </c>
      <c r="V221" s="10">
        <f>SUMIFS(IsQList,IsIList,Table_ExternalData_15[[#This Row],[item_key]],IsITypeList,Table_ExternalData_15[[#This Row],[IType]],IsDList,Table_ExternalData_15[[#Headers],[18]])</f>
        <v>0</v>
      </c>
      <c r="W221" s="10">
        <f>SUMIFS(IsQList,IsIList,Table_ExternalData_15[[#This Row],[item_key]],IsITypeList,Table_ExternalData_15[[#This Row],[IType]],IsDList,Table_ExternalData_15[[#Headers],[19]])</f>
        <v>0</v>
      </c>
      <c r="X221" s="10">
        <f>SUMIFS(IsQList,IsIList,Table_ExternalData_15[[#This Row],[item_key]],IsITypeList,Table_ExternalData_15[[#This Row],[IType]],IsDList,Table_ExternalData_15[[#Headers],[20]])</f>
        <v>0</v>
      </c>
      <c r="Y221" s="10">
        <f>SUMIFS(IsQList,IsIList,Table_ExternalData_15[[#This Row],[item_key]],IsITypeList,Table_ExternalData_15[[#This Row],[IType]],IsDList,Table_ExternalData_15[[#Headers],[21]])</f>
        <v>0</v>
      </c>
      <c r="Z221" s="10">
        <f>SUMIFS(IsQList,IsIList,Table_ExternalData_15[[#This Row],[item_key]],IsITypeList,Table_ExternalData_15[[#This Row],[IType]],IsDList,Table_ExternalData_15[[#Headers],[22]])</f>
        <v>0</v>
      </c>
      <c r="AA221" s="10">
        <f>SUMIFS(IsQList,IsIList,Table_ExternalData_15[[#This Row],[item_key]],IsITypeList,Table_ExternalData_15[[#This Row],[IType]],IsDList,Table_ExternalData_15[[#Headers],[23]])</f>
        <v>0</v>
      </c>
      <c r="AB221" s="10">
        <f>SUMIFS(IsQList,IsIList,Table_ExternalData_15[[#This Row],[item_key]],IsITypeList,Table_ExternalData_15[[#This Row],[IType]],IsDList,Table_ExternalData_15[[#Headers],[24]])</f>
        <v>0</v>
      </c>
      <c r="AC221" s="10">
        <f>SUMIFS(IsQList,IsIList,Table_ExternalData_15[[#This Row],[item_key]],IsITypeList,Table_ExternalData_15[[#This Row],[IType]],IsDList,Table_ExternalData_15[[#Headers],[25]])</f>
        <v>0</v>
      </c>
      <c r="AD221" s="10">
        <f>SUMIFS(IsQList,IsIList,Table_ExternalData_15[[#This Row],[item_key]],IsITypeList,Table_ExternalData_15[[#This Row],[IType]],IsDList,Table_ExternalData_15[[#Headers],[26]])</f>
        <v>0</v>
      </c>
      <c r="AE221" s="10">
        <f>SUMIFS(IsQList,IsIList,Table_ExternalData_15[[#This Row],[item_key]],IsITypeList,Table_ExternalData_15[[#This Row],[IType]],IsDList,Table_ExternalData_15[[#Headers],[27]])</f>
        <v>0</v>
      </c>
      <c r="AF221" s="10">
        <f>SUMIFS(IsQList,IsIList,Table_ExternalData_15[[#This Row],[item_key]],IsITypeList,Table_ExternalData_15[[#This Row],[IType]],IsDList,Table_ExternalData_15[[#Headers],[28]])</f>
        <v>0</v>
      </c>
      <c r="AG221" s="10">
        <f>SUMIFS(IsQList,IsIList,Table_ExternalData_15[[#This Row],[item_key]],IsITypeList,Table_ExternalData_15[[#This Row],[IType]],IsDList,Table_ExternalData_15[[#Headers],[29]])</f>
        <v>0</v>
      </c>
      <c r="AH221" s="10">
        <f>SUMIFS(IsQList,IsIList,Table_ExternalData_15[[#This Row],[item_key]],IsITypeList,Table_ExternalData_15[[#This Row],[IType]],IsDList,Table_ExternalData_15[[#Headers],[30]])</f>
        <v>0</v>
      </c>
      <c r="AI221" s="10">
        <f>SUMIFS(IsQList,IsIList,Table_ExternalData_15[[#This Row],[item_key]],IsITypeList,Table_ExternalData_15[[#This Row],[IType]],IsDList,Table_ExternalData_15[[#Headers],[31]])</f>
        <v>0</v>
      </c>
      <c r="AJ221" s="10">
        <f>SUM(Table_ExternalData_15[[#This Row],[1]:[31]])</f>
        <v>0</v>
      </c>
    </row>
    <row r="222" spans="1:36">
      <c r="A222" s="1" t="s">
        <v>729</v>
      </c>
      <c r="B222" s="1" t="s">
        <v>2661</v>
      </c>
      <c r="C222" s="1" t="s">
        <v>1596</v>
      </c>
      <c r="D222" s="11" t="s">
        <v>72</v>
      </c>
      <c r="E222" s="10">
        <f>SUMIFS(IsQList,IsIList,Table_ExternalData_15[[#This Row],[item_key]],IsITypeList,Table_ExternalData_15[[#This Row],[IType]],IsDList,Table_ExternalData_15[[#Headers],[1]])</f>
        <v>0</v>
      </c>
      <c r="F222" s="10">
        <f>SUMIFS(IsQList,IsIList,Table_ExternalData_15[[#This Row],[item_key]],IsITypeList,Table_ExternalData_15[[#This Row],[IType]],IsDList,Table_ExternalData_15[[#Headers],[2]])</f>
        <v>0</v>
      </c>
      <c r="G222" s="10">
        <f>SUMIFS(IsQList,IsIList,Table_ExternalData_15[[#This Row],[item_key]],IsITypeList,Table_ExternalData_15[[#This Row],[IType]],IsDList,Table_ExternalData_15[[#Headers],[3]])</f>
        <v>0</v>
      </c>
      <c r="H222" s="10">
        <f>SUMIFS(IsQList,IsIList,Table_ExternalData_15[[#This Row],[item_key]],IsITypeList,Table_ExternalData_15[[#This Row],[IType]],IsDList,Table_ExternalData_15[[#Headers],[4]])</f>
        <v>0</v>
      </c>
      <c r="I222" s="10">
        <f>SUMIFS(IsQList,IsIList,Table_ExternalData_15[[#This Row],[item_key]],IsITypeList,Table_ExternalData_15[[#This Row],[IType]],IsDList,Table_ExternalData_15[[#Headers],[5]])</f>
        <v>0</v>
      </c>
      <c r="J222" s="10">
        <f>SUMIFS(IsQList,IsIList,Table_ExternalData_15[[#This Row],[item_key]],IsITypeList,Table_ExternalData_15[[#This Row],[IType]],IsDList,Table_ExternalData_15[[#Headers],[6]])</f>
        <v>0</v>
      </c>
      <c r="K222" s="10">
        <f>SUMIFS(IsQList,IsIList,Table_ExternalData_15[[#This Row],[item_key]],IsITypeList,Table_ExternalData_15[[#This Row],[IType]],IsDList,Table_ExternalData_15[[#Headers],[7]])</f>
        <v>0</v>
      </c>
      <c r="L222" s="10">
        <f>SUMIFS(IsQList,IsIList,Table_ExternalData_15[[#This Row],[item_key]],IsITypeList,Table_ExternalData_15[[#This Row],[IType]],IsDList,Table_ExternalData_15[[#Headers],[8]])</f>
        <v>0</v>
      </c>
      <c r="M222" s="10">
        <f>SUMIFS(IsQList,IsIList,Table_ExternalData_15[[#This Row],[item_key]],IsITypeList,Table_ExternalData_15[[#This Row],[IType]],IsDList,Table_ExternalData_15[[#Headers],[9]])</f>
        <v>0</v>
      </c>
      <c r="N222" s="10">
        <f>SUMIFS(IsQList,IsIList,Table_ExternalData_15[[#This Row],[item_key]],IsITypeList,Table_ExternalData_15[[#This Row],[IType]],IsDList,Table_ExternalData_15[[#Headers],[10]])</f>
        <v>183</v>
      </c>
      <c r="O222" s="10">
        <f>SUMIFS(IsQList,IsIList,Table_ExternalData_15[[#This Row],[item_key]],IsITypeList,Table_ExternalData_15[[#This Row],[IType]],IsDList,Table_ExternalData_15[[#Headers],[11]])</f>
        <v>0</v>
      </c>
      <c r="P222" s="10">
        <f>SUMIFS(IsQList,IsIList,Table_ExternalData_15[[#This Row],[item_key]],IsITypeList,Table_ExternalData_15[[#This Row],[IType]],IsDList,Table_ExternalData_15[[#Headers],[12]])</f>
        <v>0</v>
      </c>
      <c r="Q222" s="10">
        <f>SUMIFS(IsQList,IsIList,Table_ExternalData_15[[#This Row],[item_key]],IsITypeList,Table_ExternalData_15[[#This Row],[IType]],IsDList,Table_ExternalData_15[[#Headers],[13]])</f>
        <v>0</v>
      </c>
      <c r="R222" s="10">
        <f>SUMIFS(IsQList,IsIList,Table_ExternalData_15[[#This Row],[item_key]],IsITypeList,Table_ExternalData_15[[#This Row],[IType]],IsDList,Table_ExternalData_15[[#Headers],[14]])</f>
        <v>0</v>
      </c>
      <c r="S222" s="10">
        <f>SUMIFS(IsQList,IsIList,Table_ExternalData_15[[#This Row],[item_key]],IsITypeList,Table_ExternalData_15[[#This Row],[IType]],IsDList,Table_ExternalData_15[[#Headers],[15]])</f>
        <v>0</v>
      </c>
      <c r="T222" s="10">
        <f>SUMIFS(IsQList,IsIList,Table_ExternalData_15[[#This Row],[item_key]],IsITypeList,Table_ExternalData_15[[#This Row],[IType]],IsDList,Table_ExternalData_15[[#Headers],[16]])</f>
        <v>137</v>
      </c>
      <c r="U222" s="10">
        <f>SUMIFS(IsQList,IsIList,Table_ExternalData_15[[#This Row],[item_key]],IsITypeList,Table_ExternalData_15[[#This Row],[IType]],IsDList,Table_ExternalData_15[[#Headers],[17]])</f>
        <v>0</v>
      </c>
      <c r="V222" s="10">
        <f>SUMIFS(IsQList,IsIList,Table_ExternalData_15[[#This Row],[item_key]],IsITypeList,Table_ExternalData_15[[#This Row],[IType]],IsDList,Table_ExternalData_15[[#Headers],[18]])</f>
        <v>0</v>
      </c>
      <c r="W222" s="10">
        <f>SUMIFS(IsQList,IsIList,Table_ExternalData_15[[#This Row],[item_key]],IsITypeList,Table_ExternalData_15[[#This Row],[IType]],IsDList,Table_ExternalData_15[[#Headers],[19]])</f>
        <v>0</v>
      </c>
      <c r="X222" s="10">
        <f>SUMIFS(IsQList,IsIList,Table_ExternalData_15[[#This Row],[item_key]],IsITypeList,Table_ExternalData_15[[#This Row],[IType]],IsDList,Table_ExternalData_15[[#Headers],[20]])</f>
        <v>0</v>
      </c>
      <c r="Y222" s="10">
        <f>SUMIFS(IsQList,IsIList,Table_ExternalData_15[[#This Row],[item_key]],IsITypeList,Table_ExternalData_15[[#This Row],[IType]],IsDList,Table_ExternalData_15[[#Headers],[21]])</f>
        <v>0</v>
      </c>
      <c r="Z222" s="10">
        <f>SUMIFS(IsQList,IsIList,Table_ExternalData_15[[#This Row],[item_key]],IsITypeList,Table_ExternalData_15[[#This Row],[IType]],IsDList,Table_ExternalData_15[[#Headers],[22]])</f>
        <v>0</v>
      </c>
      <c r="AA222" s="10">
        <f>SUMIFS(IsQList,IsIList,Table_ExternalData_15[[#This Row],[item_key]],IsITypeList,Table_ExternalData_15[[#This Row],[IType]],IsDList,Table_ExternalData_15[[#Headers],[23]])</f>
        <v>0</v>
      </c>
      <c r="AB222" s="10">
        <f>SUMIFS(IsQList,IsIList,Table_ExternalData_15[[#This Row],[item_key]],IsITypeList,Table_ExternalData_15[[#This Row],[IType]],IsDList,Table_ExternalData_15[[#Headers],[24]])</f>
        <v>2</v>
      </c>
      <c r="AC222" s="10">
        <f>SUMIFS(IsQList,IsIList,Table_ExternalData_15[[#This Row],[item_key]],IsITypeList,Table_ExternalData_15[[#This Row],[IType]],IsDList,Table_ExternalData_15[[#Headers],[25]])</f>
        <v>0</v>
      </c>
      <c r="AD222" s="10">
        <f>SUMIFS(IsQList,IsIList,Table_ExternalData_15[[#This Row],[item_key]],IsITypeList,Table_ExternalData_15[[#This Row],[IType]],IsDList,Table_ExternalData_15[[#Headers],[26]])</f>
        <v>0</v>
      </c>
      <c r="AE222" s="10">
        <f>SUMIFS(IsQList,IsIList,Table_ExternalData_15[[#This Row],[item_key]],IsITypeList,Table_ExternalData_15[[#This Row],[IType]],IsDList,Table_ExternalData_15[[#Headers],[27]])</f>
        <v>0</v>
      </c>
      <c r="AF222" s="10">
        <f>SUMIFS(IsQList,IsIList,Table_ExternalData_15[[#This Row],[item_key]],IsITypeList,Table_ExternalData_15[[#This Row],[IType]],IsDList,Table_ExternalData_15[[#Headers],[28]])</f>
        <v>0</v>
      </c>
      <c r="AG222" s="10">
        <f>SUMIFS(IsQList,IsIList,Table_ExternalData_15[[#This Row],[item_key]],IsITypeList,Table_ExternalData_15[[#This Row],[IType]],IsDList,Table_ExternalData_15[[#Headers],[29]])</f>
        <v>0</v>
      </c>
      <c r="AH222" s="10">
        <f>SUMIFS(IsQList,IsIList,Table_ExternalData_15[[#This Row],[item_key]],IsITypeList,Table_ExternalData_15[[#This Row],[IType]],IsDList,Table_ExternalData_15[[#Headers],[30]])</f>
        <v>45</v>
      </c>
      <c r="AI222" s="10">
        <f>SUMIFS(IsQList,IsIList,Table_ExternalData_15[[#This Row],[item_key]],IsITypeList,Table_ExternalData_15[[#This Row],[IType]],IsDList,Table_ExternalData_15[[#Headers],[31]])</f>
        <v>0</v>
      </c>
      <c r="AJ222" s="10">
        <f>SUM(Table_ExternalData_15[[#This Row],[1]:[31]])</f>
        <v>367</v>
      </c>
    </row>
    <row r="223" spans="1:36">
      <c r="A223" s="1" t="s">
        <v>730</v>
      </c>
      <c r="B223" s="1" t="s">
        <v>1375</v>
      </c>
      <c r="C223" s="1" t="s">
        <v>1376</v>
      </c>
      <c r="D223" s="11" t="s">
        <v>72</v>
      </c>
      <c r="E223" s="10">
        <f>SUMIFS(IsQList,IsIList,Table_ExternalData_15[[#This Row],[item_key]],IsITypeList,Table_ExternalData_15[[#This Row],[IType]],IsDList,Table_ExternalData_15[[#Headers],[1]])</f>
        <v>0</v>
      </c>
      <c r="F223" s="10">
        <f>SUMIFS(IsQList,IsIList,Table_ExternalData_15[[#This Row],[item_key]],IsITypeList,Table_ExternalData_15[[#This Row],[IType]],IsDList,Table_ExternalData_15[[#Headers],[2]])</f>
        <v>0</v>
      </c>
      <c r="G223" s="10">
        <f>SUMIFS(IsQList,IsIList,Table_ExternalData_15[[#This Row],[item_key]],IsITypeList,Table_ExternalData_15[[#This Row],[IType]],IsDList,Table_ExternalData_15[[#Headers],[3]])</f>
        <v>0</v>
      </c>
      <c r="H223" s="10">
        <f>SUMIFS(IsQList,IsIList,Table_ExternalData_15[[#This Row],[item_key]],IsITypeList,Table_ExternalData_15[[#This Row],[IType]],IsDList,Table_ExternalData_15[[#Headers],[4]])</f>
        <v>0</v>
      </c>
      <c r="I223" s="10">
        <f>SUMIFS(IsQList,IsIList,Table_ExternalData_15[[#This Row],[item_key]],IsITypeList,Table_ExternalData_15[[#This Row],[IType]],IsDList,Table_ExternalData_15[[#Headers],[5]])</f>
        <v>0</v>
      </c>
      <c r="J223" s="10">
        <f>SUMIFS(IsQList,IsIList,Table_ExternalData_15[[#This Row],[item_key]],IsITypeList,Table_ExternalData_15[[#This Row],[IType]],IsDList,Table_ExternalData_15[[#Headers],[6]])</f>
        <v>0</v>
      </c>
      <c r="K223" s="10">
        <f>SUMIFS(IsQList,IsIList,Table_ExternalData_15[[#This Row],[item_key]],IsITypeList,Table_ExternalData_15[[#This Row],[IType]],IsDList,Table_ExternalData_15[[#Headers],[7]])</f>
        <v>0</v>
      </c>
      <c r="L223" s="10">
        <f>SUMIFS(IsQList,IsIList,Table_ExternalData_15[[#This Row],[item_key]],IsITypeList,Table_ExternalData_15[[#This Row],[IType]],IsDList,Table_ExternalData_15[[#Headers],[8]])</f>
        <v>0</v>
      </c>
      <c r="M223" s="10">
        <f>SUMIFS(IsQList,IsIList,Table_ExternalData_15[[#This Row],[item_key]],IsITypeList,Table_ExternalData_15[[#This Row],[IType]],IsDList,Table_ExternalData_15[[#Headers],[9]])</f>
        <v>0</v>
      </c>
      <c r="N223" s="10">
        <f>SUMIFS(IsQList,IsIList,Table_ExternalData_15[[#This Row],[item_key]],IsITypeList,Table_ExternalData_15[[#This Row],[IType]],IsDList,Table_ExternalData_15[[#Headers],[10]])</f>
        <v>0</v>
      </c>
      <c r="O223" s="10">
        <f>SUMIFS(IsQList,IsIList,Table_ExternalData_15[[#This Row],[item_key]],IsITypeList,Table_ExternalData_15[[#This Row],[IType]],IsDList,Table_ExternalData_15[[#Headers],[11]])</f>
        <v>0</v>
      </c>
      <c r="P223" s="10">
        <f>SUMIFS(IsQList,IsIList,Table_ExternalData_15[[#This Row],[item_key]],IsITypeList,Table_ExternalData_15[[#This Row],[IType]],IsDList,Table_ExternalData_15[[#Headers],[12]])</f>
        <v>0</v>
      </c>
      <c r="Q223" s="10">
        <f>SUMIFS(IsQList,IsIList,Table_ExternalData_15[[#This Row],[item_key]],IsITypeList,Table_ExternalData_15[[#This Row],[IType]],IsDList,Table_ExternalData_15[[#Headers],[13]])</f>
        <v>0</v>
      </c>
      <c r="R223" s="10">
        <f>SUMIFS(IsQList,IsIList,Table_ExternalData_15[[#This Row],[item_key]],IsITypeList,Table_ExternalData_15[[#This Row],[IType]],IsDList,Table_ExternalData_15[[#Headers],[14]])</f>
        <v>0</v>
      </c>
      <c r="S223" s="10">
        <f>SUMIFS(IsQList,IsIList,Table_ExternalData_15[[#This Row],[item_key]],IsITypeList,Table_ExternalData_15[[#This Row],[IType]],IsDList,Table_ExternalData_15[[#Headers],[15]])</f>
        <v>0</v>
      </c>
      <c r="T223" s="10">
        <f>SUMIFS(IsQList,IsIList,Table_ExternalData_15[[#This Row],[item_key]],IsITypeList,Table_ExternalData_15[[#This Row],[IType]],IsDList,Table_ExternalData_15[[#Headers],[16]])</f>
        <v>0</v>
      </c>
      <c r="U223" s="10">
        <f>SUMIFS(IsQList,IsIList,Table_ExternalData_15[[#This Row],[item_key]],IsITypeList,Table_ExternalData_15[[#This Row],[IType]],IsDList,Table_ExternalData_15[[#Headers],[17]])</f>
        <v>0</v>
      </c>
      <c r="V223" s="10">
        <f>SUMIFS(IsQList,IsIList,Table_ExternalData_15[[#This Row],[item_key]],IsITypeList,Table_ExternalData_15[[#This Row],[IType]],IsDList,Table_ExternalData_15[[#Headers],[18]])</f>
        <v>0</v>
      </c>
      <c r="W223" s="10">
        <f>SUMIFS(IsQList,IsIList,Table_ExternalData_15[[#This Row],[item_key]],IsITypeList,Table_ExternalData_15[[#This Row],[IType]],IsDList,Table_ExternalData_15[[#Headers],[19]])</f>
        <v>0</v>
      </c>
      <c r="X223" s="10">
        <f>SUMIFS(IsQList,IsIList,Table_ExternalData_15[[#This Row],[item_key]],IsITypeList,Table_ExternalData_15[[#This Row],[IType]],IsDList,Table_ExternalData_15[[#Headers],[20]])</f>
        <v>0</v>
      </c>
      <c r="Y223" s="10">
        <f>SUMIFS(IsQList,IsIList,Table_ExternalData_15[[#This Row],[item_key]],IsITypeList,Table_ExternalData_15[[#This Row],[IType]],IsDList,Table_ExternalData_15[[#Headers],[21]])</f>
        <v>0</v>
      </c>
      <c r="Z223" s="10">
        <f>SUMIFS(IsQList,IsIList,Table_ExternalData_15[[#This Row],[item_key]],IsITypeList,Table_ExternalData_15[[#This Row],[IType]],IsDList,Table_ExternalData_15[[#Headers],[22]])</f>
        <v>0</v>
      </c>
      <c r="AA223" s="10">
        <f>SUMIFS(IsQList,IsIList,Table_ExternalData_15[[#This Row],[item_key]],IsITypeList,Table_ExternalData_15[[#This Row],[IType]],IsDList,Table_ExternalData_15[[#Headers],[23]])</f>
        <v>0</v>
      </c>
      <c r="AB223" s="10">
        <f>SUMIFS(IsQList,IsIList,Table_ExternalData_15[[#This Row],[item_key]],IsITypeList,Table_ExternalData_15[[#This Row],[IType]],IsDList,Table_ExternalData_15[[#Headers],[24]])</f>
        <v>0</v>
      </c>
      <c r="AC223" s="10">
        <f>SUMIFS(IsQList,IsIList,Table_ExternalData_15[[#This Row],[item_key]],IsITypeList,Table_ExternalData_15[[#This Row],[IType]],IsDList,Table_ExternalData_15[[#Headers],[25]])</f>
        <v>0</v>
      </c>
      <c r="AD223" s="10">
        <f>SUMIFS(IsQList,IsIList,Table_ExternalData_15[[#This Row],[item_key]],IsITypeList,Table_ExternalData_15[[#This Row],[IType]],IsDList,Table_ExternalData_15[[#Headers],[26]])</f>
        <v>0</v>
      </c>
      <c r="AE223" s="10">
        <f>SUMIFS(IsQList,IsIList,Table_ExternalData_15[[#This Row],[item_key]],IsITypeList,Table_ExternalData_15[[#This Row],[IType]],IsDList,Table_ExternalData_15[[#Headers],[27]])</f>
        <v>0</v>
      </c>
      <c r="AF223" s="10">
        <f>SUMIFS(IsQList,IsIList,Table_ExternalData_15[[#This Row],[item_key]],IsITypeList,Table_ExternalData_15[[#This Row],[IType]],IsDList,Table_ExternalData_15[[#Headers],[28]])</f>
        <v>0</v>
      </c>
      <c r="AG223" s="10">
        <f>SUMIFS(IsQList,IsIList,Table_ExternalData_15[[#This Row],[item_key]],IsITypeList,Table_ExternalData_15[[#This Row],[IType]],IsDList,Table_ExternalData_15[[#Headers],[29]])</f>
        <v>0</v>
      </c>
      <c r="AH223" s="10">
        <f>SUMIFS(IsQList,IsIList,Table_ExternalData_15[[#This Row],[item_key]],IsITypeList,Table_ExternalData_15[[#This Row],[IType]],IsDList,Table_ExternalData_15[[#Headers],[30]])</f>
        <v>40</v>
      </c>
      <c r="AI223" s="10">
        <f>SUMIFS(IsQList,IsIList,Table_ExternalData_15[[#This Row],[item_key]],IsITypeList,Table_ExternalData_15[[#This Row],[IType]],IsDList,Table_ExternalData_15[[#Headers],[31]])</f>
        <v>0</v>
      </c>
      <c r="AJ223" s="10">
        <f>SUM(Table_ExternalData_15[[#This Row],[1]:[31]])</f>
        <v>40</v>
      </c>
    </row>
    <row r="224" spans="1:36">
      <c r="A224" s="1" t="s">
        <v>731</v>
      </c>
      <c r="B224" s="1" t="s">
        <v>1377</v>
      </c>
      <c r="C224" s="1" t="s">
        <v>1378</v>
      </c>
      <c r="D224" s="11" t="s">
        <v>72</v>
      </c>
      <c r="E224" s="10">
        <f>SUMIFS(IsQList,IsIList,Table_ExternalData_15[[#This Row],[item_key]],IsITypeList,Table_ExternalData_15[[#This Row],[IType]],IsDList,Table_ExternalData_15[[#Headers],[1]])</f>
        <v>0</v>
      </c>
      <c r="F224" s="10">
        <f>SUMIFS(IsQList,IsIList,Table_ExternalData_15[[#This Row],[item_key]],IsITypeList,Table_ExternalData_15[[#This Row],[IType]],IsDList,Table_ExternalData_15[[#Headers],[2]])</f>
        <v>0</v>
      </c>
      <c r="G224" s="10">
        <f>SUMIFS(IsQList,IsIList,Table_ExternalData_15[[#This Row],[item_key]],IsITypeList,Table_ExternalData_15[[#This Row],[IType]],IsDList,Table_ExternalData_15[[#Headers],[3]])</f>
        <v>0</v>
      </c>
      <c r="H224" s="10">
        <f>SUMIFS(IsQList,IsIList,Table_ExternalData_15[[#This Row],[item_key]],IsITypeList,Table_ExternalData_15[[#This Row],[IType]],IsDList,Table_ExternalData_15[[#Headers],[4]])</f>
        <v>0</v>
      </c>
      <c r="I224" s="10">
        <f>SUMIFS(IsQList,IsIList,Table_ExternalData_15[[#This Row],[item_key]],IsITypeList,Table_ExternalData_15[[#This Row],[IType]],IsDList,Table_ExternalData_15[[#Headers],[5]])</f>
        <v>0</v>
      </c>
      <c r="J224" s="10">
        <f>SUMIFS(IsQList,IsIList,Table_ExternalData_15[[#This Row],[item_key]],IsITypeList,Table_ExternalData_15[[#This Row],[IType]],IsDList,Table_ExternalData_15[[#Headers],[6]])</f>
        <v>5</v>
      </c>
      <c r="K224" s="10">
        <f>SUMIFS(IsQList,IsIList,Table_ExternalData_15[[#This Row],[item_key]],IsITypeList,Table_ExternalData_15[[#This Row],[IType]],IsDList,Table_ExternalData_15[[#Headers],[7]])</f>
        <v>0</v>
      </c>
      <c r="L224" s="10">
        <f>SUMIFS(IsQList,IsIList,Table_ExternalData_15[[#This Row],[item_key]],IsITypeList,Table_ExternalData_15[[#This Row],[IType]],IsDList,Table_ExternalData_15[[#Headers],[8]])</f>
        <v>0</v>
      </c>
      <c r="M224" s="10">
        <f>SUMIFS(IsQList,IsIList,Table_ExternalData_15[[#This Row],[item_key]],IsITypeList,Table_ExternalData_15[[#This Row],[IType]],IsDList,Table_ExternalData_15[[#Headers],[9]])</f>
        <v>0</v>
      </c>
      <c r="N224" s="10">
        <f>SUMIFS(IsQList,IsIList,Table_ExternalData_15[[#This Row],[item_key]],IsITypeList,Table_ExternalData_15[[#This Row],[IType]],IsDList,Table_ExternalData_15[[#Headers],[10]])</f>
        <v>5</v>
      </c>
      <c r="O224" s="10">
        <f>SUMIFS(IsQList,IsIList,Table_ExternalData_15[[#This Row],[item_key]],IsITypeList,Table_ExternalData_15[[#This Row],[IType]],IsDList,Table_ExternalData_15[[#Headers],[11]])</f>
        <v>0</v>
      </c>
      <c r="P224" s="10">
        <f>SUMIFS(IsQList,IsIList,Table_ExternalData_15[[#This Row],[item_key]],IsITypeList,Table_ExternalData_15[[#This Row],[IType]],IsDList,Table_ExternalData_15[[#Headers],[12]])</f>
        <v>0</v>
      </c>
      <c r="Q224" s="10">
        <f>SUMIFS(IsQList,IsIList,Table_ExternalData_15[[#This Row],[item_key]],IsITypeList,Table_ExternalData_15[[#This Row],[IType]],IsDList,Table_ExternalData_15[[#Headers],[13]])</f>
        <v>0</v>
      </c>
      <c r="R224" s="10">
        <f>SUMIFS(IsQList,IsIList,Table_ExternalData_15[[#This Row],[item_key]],IsITypeList,Table_ExternalData_15[[#This Row],[IType]],IsDList,Table_ExternalData_15[[#Headers],[14]])</f>
        <v>0</v>
      </c>
      <c r="S224" s="10">
        <f>SUMIFS(IsQList,IsIList,Table_ExternalData_15[[#This Row],[item_key]],IsITypeList,Table_ExternalData_15[[#This Row],[IType]],IsDList,Table_ExternalData_15[[#Headers],[15]])</f>
        <v>0</v>
      </c>
      <c r="T224" s="10">
        <f>SUMIFS(IsQList,IsIList,Table_ExternalData_15[[#This Row],[item_key]],IsITypeList,Table_ExternalData_15[[#This Row],[IType]],IsDList,Table_ExternalData_15[[#Headers],[16]])</f>
        <v>0</v>
      </c>
      <c r="U224" s="10">
        <f>SUMIFS(IsQList,IsIList,Table_ExternalData_15[[#This Row],[item_key]],IsITypeList,Table_ExternalData_15[[#This Row],[IType]],IsDList,Table_ExternalData_15[[#Headers],[17]])</f>
        <v>0</v>
      </c>
      <c r="V224" s="10">
        <f>SUMIFS(IsQList,IsIList,Table_ExternalData_15[[#This Row],[item_key]],IsITypeList,Table_ExternalData_15[[#This Row],[IType]],IsDList,Table_ExternalData_15[[#Headers],[18]])</f>
        <v>0</v>
      </c>
      <c r="W224" s="10">
        <f>SUMIFS(IsQList,IsIList,Table_ExternalData_15[[#This Row],[item_key]],IsITypeList,Table_ExternalData_15[[#This Row],[IType]],IsDList,Table_ExternalData_15[[#Headers],[19]])</f>
        <v>0</v>
      </c>
      <c r="X224" s="10">
        <f>SUMIFS(IsQList,IsIList,Table_ExternalData_15[[#This Row],[item_key]],IsITypeList,Table_ExternalData_15[[#This Row],[IType]],IsDList,Table_ExternalData_15[[#Headers],[20]])</f>
        <v>0</v>
      </c>
      <c r="Y224" s="10">
        <f>SUMIFS(IsQList,IsIList,Table_ExternalData_15[[#This Row],[item_key]],IsITypeList,Table_ExternalData_15[[#This Row],[IType]],IsDList,Table_ExternalData_15[[#Headers],[21]])</f>
        <v>0</v>
      </c>
      <c r="Z224" s="10">
        <f>SUMIFS(IsQList,IsIList,Table_ExternalData_15[[#This Row],[item_key]],IsITypeList,Table_ExternalData_15[[#This Row],[IType]],IsDList,Table_ExternalData_15[[#Headers],[22]])</f>
        <v>0</v>
      </c>
      <c r="AA224" s="10">
        <f>SUMIFS(IsQList,IsIList,Table_ExternalData_15[[#This Row],[item_key]],IsITypeList,Table_ExternalData_15[[#This Row],[IType]],IsDList,Table_ExternalData_15[[#Headers],[23]])</f>
        <v>0</v>
      </c>
      <c r="AB224" s="10">
        <f>SUMIFS(IsQList,IsIList,Table_ExternalData_15[[#This Row],[item_key]],IsITypeList,Table_ExternalData_15[[#This Row],[IType]],IsDList,Table_ExternalData_15[[#Headers],[24]])</f>
        <v>0</v>
      </c>
      <c r="AC224" s="10">
        <f>SUMIFS(IsQList,IsIList,Table_ExternalData_15[[#This Row],[item_key]],IsITypeList,Table_ExternalData_15[[#This Row],[IType]],IsDList,Table_ExternalData_15[[#Headers],[25]])</f>
        <v>0</v>
      </c>
      <c r="AD224" s="10">
        <f>SUMIFS(IsQList,IsIList,Table_ExternalData_15[[#This Row],[item_key]],IsITypeList,Table_ExternalData_15[[#This Row],[IType]],IsDList,Table_ExternalData_15[[#Headers],[26]])</f>
        <v>0</v>
      </c>
      <c r="AE224" s="10">
        <f>SUMIFS(IsQList,IsIList,Table_ExternalData_15[[#This Row],[item_key]],IsITypeList,Table_ExternalData_15[[#This Row],[IType]],IsDList,Table_ExternalData_15[[#Headers],[27]])</f>
        <v>0</v>
      </c>
      <c r="AF224" s="10">
        <f>SUMIFS(IsQList,IsIList,Table_ExternalData_15[[#This Row],[item_key]],IsITypeList,Table_ExternalData_15[[#This Row],[IType]],IsDList,Table_ExternalData_15[[#Headers],[28]])</f>
        <v>0</v>
      </c>
      <c r="AG224" s="10">
        <f>SUMIFS(IsQList,IsIList,Table_ExternalData_15[[#This Row],[item_key]],IsITypeList,Table_ExternalData_15[[#This Row],[IType]],IsDList,Table_ExternalData_15[[#Headers],[29]])</f>
        <v>0</v>
      </c>
      <c r="AH224" s="10">
        <f>SUMIFS(IsQList,IsIList,Table_ExternalData_15[[#This Row],[item_key]],IsITypeList,Table_ExternalData_15[[#This Row],[IType]],IsDList,Table_ExternalData_15[[#Headers],[30]])</f>
        <v>50</v>
      </c>
      <c r="AI224" s="10">
        <f>SUMIFS(IsQList,IsIList,Table_ExternalData_15[[#This Row],[item_key]],IsITypeList,Table_ExternalData_15[[#This Row],[IType]],IsDList,Table_ExternalData_15[[#Headers],[31]])</f>
        <v>0</v>
      </c>
      <c r="AJ224" s="10">
        <f>SUM(Table_ExternalData_15[[#This Row],[1]:[31]])</f>
        <v>60</v>
      </c>
    </row>
    <row r="225" spans="1:36">
      <c r="A225" s="1" t="s">
        <v>732</v>
      </c>
      <c r="B225" s="1" t="s">
        <v>1380</v>
      </c>
      <c r="C225" s="1" t="s">
        <v>1381</v>
      </c>
      <c r="D225" s="11" t="s">
        <v>72</v>
      </c>
      <c r="E225" s="10">
        <f>SUMIFS(IsQList,IsIList,Table_ExternalData_15[[#This Row],[item_key]],IsITypeList,Table_ExternalData_15[[#This Row],[IType]],IsDList,Table_ExternalData_15[[#Headers],[1]])</f>
        <v>0</v>
      </c>
      <c r="F225" s="10">
        <f>SUMIFS(IsQList,IsIList,Table_ExternalData_15[[#This Row],[item_key]],IsITypeList,Table_ExternalData_15[[#This Row],[IType]],IsDList,Table_ExternalData_15[[#Headers],[2]])</f>
        <v>0</v>
      </c>
      <c r="G225" s="10">
        <f>SUMIFS(IsQList,IsIList,Table_ExternalData_15[[#This Row],[item_key]],IsITypeList,Table_ExternalData_15[[#This Row],[IType]],IsDList,Table_ExternalData_15[[#Headers],[3]])</f>
        <v>0</v>
      </c>
      <c r="H225" s="10">
        <f>SUMIFS(IsQList,IsIList,Table_ExternalData_15[[#This Row],[item_key]],IsITypeList,Table_ExternalData_15[[#This Row],[IType]],IsDList,Table_ExternalData_15[[#Headers],[4]])</f>
        <v>0</v>
      </c>
      <c r="I225" s="10">
        <f>SUMIFS(IsQList,IsIList,Table_ExternalData_15[[#This Row],[item_key]],IsITypeList,Table_ExternalData_15[[#This Row],[IType]],IsDList,Table_ExternalData_15[[#Headers],[5]])</f>
        <v>0</v>
      </c>
      <c r="J225" s="10">
        <f>SUMIFS(IsQList,IsIList,Table_ExternalData_15[[#This Row],[item_key]],IsITypeList,Table_ExternalData_15[[#This Row],[IType]],IsDList,Table_ExternalData_15[[#Headers],[6]])</f>
        <v>0</v>
      </c>
      <c r="K225" s="10">
        <f>SUMIFS(IsQList,IsIList,Table_ExternalData_15[[#This Row],[item_key]],IsITypeList,Table_ExternalData_15[[#This Row],[IType]],IsDList,Table_ExternalData_15[[#Headers],[7]])</f>
        <v>0</v>
      </c>
      <c r="L225" s="10">
        <f>SUMIFS(IsQList,IsIList,Table_ExternalData_15[[#This Row],[item_key]],IsITypeList,Table_ExternalData_15[[#This Row],[IType]],IsDList,Table_ExternalData_15[[#Headers],[8]])</f>
        <v>0</v>
      </c>
      <c r="M225" s="10">
        <f>SUMIFS(IsQList,IsIList,Table_ExternalData_15[[#This Row],[item_key]],IsITypeList,Table_ExternalData_15[[#This Row],[IType]],IsDList,Table_ExternalData_15[[#Headers],[9]])</f>
        <v>0</v>
      </c>
      <c r="N225" s="10">
        <f>SUMIFS(IsQList,IsIList,Table_ExternalData_15[[#This Row],[item_key]],IsITypeList,Table_ExternalData_15[[#This Row],[IType]],IsDList,Table_ExternalData_15[[#Headers],[10]])</f>
        <v>0</v>
      </c>
      <c r="O225" s="10">
        <f>SUMIFS(IsQList,IsIList,Table_ExternalData_15[[#This Row],[item_key]],IsITypeList,Table_ExternalData_15[[#This Row],[IType]],IsDList,Table_ExternalData_15[[#Headers],[11]])</f>
        <v>0</v>
      </c>
      <c r="P225" s="10">
        <f>SUMIFS(IsQList,IsIList,Table_ExternalData_15[[#This Row],[item_key]],IsITypeList,Table_ExternalData_15[[#This Row],[IType]],IsDList,Table_ExternalData_15[[#Headers],[12]])</f>
        <v>0</v>
      </c>
      <c r="Q225" s="10">
        <f>SUMIFS(IsQList,IsIList,Table_ExternalData_15[[#This Row],[item_key]],IsITypeList,Table_ExternalData_15[[#This Row],[IType]],IsDList,Table_ExternalData_15[[#Headers],[13]])</f>
        <v>0</v>
      </c>
      <c r="R225" s="10">
        <f>SUMIFS(IsQList,IsIList,Table_ExternalData_15[[#This Row],[item_key]],IsITypeList,Table_ExternalData_15[[#This Row],[IType]],IsDList,Table_ExternalData_15[[#Headers],[14]])</f>
        <v>0</v>
      </c>
      <c r="S225" s="10">
        <f>SUMIFS(IsQList,IsIList,Table_ExternalData_15[[#This Row],[item_key]],IsITypeList,Table_ExternalData_15[[#This Row],[IType]],IsDList,Table_ExternalData_15[[#Headers],[15]])</f>
        <v>0</v>
      </c>
      <c r="T225" s="10">
        <f>SUMIFS(IsQList,IsIList,Table_ExternalData_15[[#This Row],[item_key]],IsITypeList,Table_ExternalData_15[[#This Row],[IType]],IsDList,Table_ExternalData_15[[#Headers],[16]])</f>
        <v>0</v>
      </c>
      <c r="U225" s="10">
        <f>SUMIFS(IsQList,IsIList,Table_ExternalData_15[[#This Row],[item_key]],IsITypeList,Table_ExternalData_15[[#This Row],[IType]],IsDList,Table_ExternalData_15[[#Headers],[17]])</f>
        <v>0</v>
      </c>
      <c r="V225" s="10">
        <f>SUMIFS(IsQList,IsIList,Table_ExternalData_15[[#This Row],[item_key]],IsITypeList,Table_ExternalData_15[[#This Row],[IType]],IsDList,Table_ExternalData_15[[#Headers],[18]])</f>
        <v>0</v>
      </c>
      <c r="W225" s="10">
        <f>SUMIFS(IsQList,IsIList,Table_ExternalData_15[[#This Row],[item_key]],IsITypeList,Table_ExternalData_15[[#This Row],[IType]],IsDList,Table_ExternalData_15[[#Headers],[19]])</f>
        <v>0</v>
      </c>
      <c r="X225" s="10">
        <f>SUMIFS(IsQList,IsIList,Table_ExternalData_15[[#This Row],[item_key]],IsITypeList,Table_ExternalData_15[[#This Row],[IType]],IsDList,Table_ExternalData_15[[#Headers],[20]])</f>
        <v>0</v>
      </c>
      <c r="Y225" s="10">
        <f>SUMIFS(IsQList,IsIList,Table_ExternalData_15[[#This Row],[item_key]],IsITypeList,Table_ExternalData_15[[#This Row],[IType]],IsDList,Table_ExternalData_15[[#Headers],[21]])</f>
        <v>0</v>
      </c>
      <c r="Z225" s="10">
        <f>SUMIFS(IsQList,IsIList,Table_ExternalData_15[[#This Row],[item_key]],IsITypeList,Table_ExternalData_15[[#This Row],[IType]],IsDList,Table_ExternalData_15[[#Headers],[22]])</f>
        <v>0</v>
      </c>
      <c r="AA225" s="10">
        <f>SUMIFS(IsQList,IsIList,Table_ExternalData_15[[#This Row],[item_key]],IsITypeList,Table_ExternalData_15[[#This Row],[IType]],IsDList,Table_ExternalData_15[[#Headers],[23]])</f>
        <v>0</v>
      </c>
      <c r="AB225" s="10">
        <f>SUMIFS(IsQList,IsIList,Table_ExternalData_15[[#This Row],[item_key]],IsITypeList,Table_ExternalData_15[[#This Row],[IType]],IsDList,Table_ExternalData_15[[#Headers],[24]])</f>
        <v>0</v>
      </c>
      <c r="AC225" s="10">
        <f>SUMIFS(IsQList,IsIList,Table_ExternalData_15[[#This Row],[item_key]],IsITypeList,Table_ExternalData_15[[#This Row],[IType]],IsDList,Table_ExternalData_15[[#Headers],[25]])</f>
        <v>0</v>
      </c>
      <c r="AD225" s="10">
        <f>SUMIFS(IsQList,IsIList,Table_ExternalData_15[[#This Row],[item_key]],IsITypeList,Table_ExternalData_15[[#This Row],[IType]],IsDList,Table_ExternalData_15[[#Headers],[26]])</f>
        <v>0</v>
      </c>
      <c r="AE225" s="10">
        <f>SUMIFS(IsQList,IsIList,Table_ExternalData_15[[#This Row],[item_key]],IsITypeList,Table_ExternalData_15[[#This Row],[IType]],IsDList,Table_ExternalData_15[[#Headers],[27]])</f>
        <v>0</v>
      </c>
      <c r="AF225" s="10">
        <f>SUMIFS(IsQList,IsIList,Table_ExternalData_15[[#This Row],[item_key]],IsITypeList,Table_ExternalData_15[[#This Row],[IType]],IsDList,Table_ExternalData_15[[#Headers],[28]])</f>
        <v>0</v>
      </c>
      <c r="AG225" s="10">
        <f>SUMIFS(IsQList,IsIList,Table_ExternalData_15[[#This Row],[item_key]],IsITypeList,Table_ExternalData_15[[#This Row],[IType]],IsDList,Table_ExternalData_15[[#Headers],[29]])</f>
        <v>0</v>
      </c>
      <c r="AH225" s="10">
        <f>SUMIFS(IsQList,IsIList,Table_ExternalData_15[[#This Row],[item_key]],IsITypeList,Table_ExternalData_15[[#This Row],[IType]],IsDList,Table_ExternalData_15[[#Headers],[30]])</f>
        <v>3</v>
      </c>
      <c r="AI225" s="10">
        <f>SUMIFS(IsQList,IsIList,Table_ExternalData_15[[#This Row],[item_key]],IsITypeList,Table_ExternalData_15[[#This Row],[IType]],IsDList,Table_ExternalData_15[[#Headers],[31]])</f>
        <v>0</v>
      </c>
      <c r="AJ225" s="10">
        <f>SUM(Table_ExternalData_15[[#This Row],[1]:[31]])</f>
        <v>3</v>
      </c>
    </row>
    <row r="226" spans="1:36">
      <c r="A226" s="1" t="s">
        <v>740</v>
      </c>
      <c r="B226" s="1" t="s">
        <v>2662</v>
      </c>
      <c r="C226" s="1" t="s">
        <v>2483</v>
      </c>
      <c r="D226" s="11" t="s">
        <v>72</v>
      </c>
      <c r="E226" s="10">
        <f>SUMIFS(IsQList,IsIList,Table_ExternalData_15[[#This Row],[item_key]],IsITypeList,Table_ExternalData_15[[#This Row],[IType]],IsDList,Table_ExternalData_15[[#Headers],[1]])</f>
        <v>0</v>
      </c>
      <c r="F226" s="10">
        <f>SUMIFS(IsQList,IsIList,Table_ExternalData_15[[#This Row],[item_key]],IsITypeList,Table_ExternalData_15[[#This Row],[IType]],IsDList,Table_ExternalData_15[[#Headers],[2]])</f>
        <v>0</v>
      </c>
      <c r="G226" s="10">
        <f>SUMIFS(IsQList,IsIList,Table_ExternalData_15[[#This Row],[item_key]],IsITypeList,Table_ExternalData_15[[#This Row],[IType]],IsDList,Table_ExternalData_15[[#Headers],[3]])</f>
        <v>0</v>
      </c>
      <c r="H226" s="10">
        <f>SUMIFS(IsQList,IsIList,Table_ExternalData_15[[#This Row],[item_key]],IsITypeList,Table_ExternalData_15[[#This Row],[IType]],IsDList,Table_ExternalData_15[[#Headers],[4]])</f>
        <v>0</v>
      </c>
      <c r="I226" s="10">
        <f>SUMIFS(IsQList,IsIList,Table_ExternalData_15[[#This Row],[item_key]],IsITypeList,Table_ExternalData_15[[#This Row],[IType]],IsDList,Table_ExternalData_15[[#Headers],[5]])</f>
        <v>0</v>
      </c>
      <c r="J226" s="10">
        <f>SUMIFS(IsQList,IsIList,Table_ExternalData_15[[#This Row],[item_key]],IsITypeList,Table_ExternalData_15[[#This Row],[IType]],IsDList,Table_ExternalData_15[[#Headers],[6]])</f>
        <v>0</v>
      </c>
      <c r="K226" s="10">
        <f>SUMIFS(IsQList,IsIList,Table_ExternalData_15[[#This Row],[item_key]],IsITypeList,Table_ExternalData_15[[#This Row],[IType]],IsDList,Table_ExternalData_15[[#Headers],[7]])</f>
        <v>0</v>
      </c>
      <c r="L226" s="10">
        <f>SUMIFS(IsQList,IsIList,Table_ExternalData_15[[#This Row],[item_key]],IsITypeList,Table_ExternalData_15[[#This Row],[IType]],IsDList,Table_ExternalData_15[[#Headers],[8]])</f>
        <v>0</v>
      </c>
      <c r="M226" s="10">
        <f>SUMIFS(IsQList,IsIList,Table_ExternalData_15[[#This Row],[item_key]],IsITypeList,Table_ExternalData_15[[#This Row],[IType]],IsDList,Table_ExternalData_15[[#Headers],[9]])</f>
        <v>0</v>
      </c>
      <c r="N226" s="10">
        <f>SUMIFS(IsQList,IsIList,Table_ExternalData_15[[#This Row],[item_key]],IsITypeList,Table_ExternalData_15[[#This Row],[IType]],IsDList,Table_ExternalData_15[[#Headers],[10]])</f>
        <v>0</v>
      </c>
      <c r="O226" s="10">
        <f>SUMIFS(IsQList,IsIList,Table_ExternalData_15[[#This Row],[item_key]],IsITypeList,Table_ExternalData_15[[#This Row],[IType]],IsDList,Table_ExternalData_15[[#Headers],[11]])</f>
        <v>0</v>
      </c>
      <c r="P226" s="10">
        <f>SUMIFS(IsQList,IsIList,Table_ExternalData_15[[#This Row],[item_key]],IsITypeList,Table_ExternalData_15[[#This Row],[IType]],IsDList,Table_ExternalData_15[[#Headers],[12]])</f>
        <v>0</v>
      </c>
      <c r="Q226" s="10">
        <f>SUMIFS(IsQList,IsIList,Table_ExternalData_15[[#This Row],[item_key]],IsITypeList,Table_ExternalData_15[[#This Row],[IType]],IsDList,Table_ExternalData_15[[#Headers],[13]])</f>
        <v>0</v>
      </c>
      <c r="R226" s="10">
        <f>SUMIFS(IsQList,IsIList,Table_ExternalData_15[[#This Row],[item_key]],IsITypeList,Table_ExternalData_15[[#This Row],[IType]],IsDList,Table_ExternalData_15[[#Headers],[14]])</f>
        <v>0</v>
      </c>
      <c r="S226" s="10">
        <f>SUMIFS(IsQList,IsIList,Table_ExternalData_15[[#This Row],[item_key]],IsITypeList,Table_ExternalData_15[[#This Row],[IType]],IsDList,Table_ExternalData_15[[#Headers],[15]])</f>
        <v>0</v>
      </c>
      <c r="T226" s="10">
        <f>SUMIFS(IsQList,IsIList,Table_ExternalData_15[[#This Row],[item_key]],IsITypeList,Table_ExternalData_15[[#This Row],[IType]],IsDList,Table_ExternalData_15[[#Headers],[16]])</f>
        <v>10</v>
      </c>
      <c r="U226" s="10">
        <f>SUMIFS(IsQList,IsIList,Table_ExternalData_15[[#This Row],[item_key]],IsITypeList,Table_ExternalData_15[[#This Row],[IType]],IsDList,Table_ExternalData_15[[#Headers],[17]])</f>
        <v>0</v>
      </c>
      <c r="V226" s="10">
        <f>SUMIFS(IsQList,IsIList,Table_ExternalData_15[[#This Row],[item_key]],IsITypeList,Table_ExternalData_15[[#This Row],[IType]],IsDList,Table_ExternalData_15[[#Headers],[18]])</f>
        <v>0</v>
      </c>
      <c r="W226" s="10">
        <f>SUMIFS(IsQList,IsIList,Table_ExternalData_15[[#This Row],[item_key]],IsITypeList,Table_ExternalData_15[[#This Row],[IType]],IsDList,Table_ExternalData_15[[#Headers],[19]])</f>
        <v>0</v>
      </c>
      <c r="X226" s="10">
        <f>SUMIFS(IsQList,IsIList,Table_ExternalData_15[[#This Row],[item_key]],IsITypeList,Table_ExternalData_15[[#This Row],[IType]],IsDList,Table_ExternalData_15[[#Headers],[20]])</f>
        <v>0</v>
      </c>
      <c r="Y226" s="10">
        <f>SUMIFS(IsQList,IsIList,Table_ExternalData_15[[#This Row],[item_key]],IsITypeList,Table_ExternalData_15[[#This Row],[IType]],IsDList,Table_ExternalData_15[[#Headers],[21]])</f>
        <v>0</v>
      </c>
      <c r="Z226" s="10">
        <f>SUMIFS(IsQList,IsIList,Table_ExternalData_15[[#This Row],[item_key]],IsITypeList,Table_ExternalData_15[[#This Row],[IType]],IsDList,Table_ExternalData_15[[#Headers],[22]])</f>
        <v>0</v>
      </c>
      <c r="AA226" s="10">
        <f>SUMIFS(IsQList,IsIList,Table_ExternalData_15[[#This Row],[item_key]],IsITypeList,Table_ExternalData_15[[#This Row],[IType]],IsDList,Table_ExternalData_15[[#Headers],[23]])</f>
        <v>0</v>
      </c>
      <c r="AB226" s="10">
        <f>SUMIFS(IsQList,IsIList,Table_ExternalData_15[[#This Row],[item_key]],IsITypeList,Table_ExternalData_15[[#This Row],[IType]],IsDList,Table_ExternalData_15[[#Headers],[24]])</f>
        <v>0</v>
      </c>
      <c r="AC226" s="10">
        <f>SUMIFS(IsQList,IsIList,Table_ExternalData_15[[#This Row],[item_key]],IsITypeList,Table_ExternalData_15[[#This Row],[IType]],IsDList,Table_ExternalData_15[[#Headers],[25]])</f>
        <v>0</v>
      </c>
      <c r="AD226" s="10">
        <f>SUMIFS(IsQList,IsIList,Table_ExternalData_15[[#This Row],[item_key]],IsITypeList,Table_ExternalData_15[[#This Row],[IType]],IsDList,Table_ExternalData_15[[#Headers],[26]])</f>
        <v>0</v>
      </c>
      <c r="AE226" s="10">
        <f>SUMIFS(IsQList,IsIList,Table_ExternalData_15[[#This Row],[item_key]],IsITypeList,Table_ExternalData_15[[#This Row],[IType]],IsDList,Table_ExternalData_15[[#Headers],[27]])</f>
        <v>0</v>
      </c>
      <c r="AF226" s="10">
        <f>SUMIFS(IsQList,IsIList,Table_ExternalData_15[[#This Row],[item_key]],IsITypeList,Table_ExternalData_15[[#This Row],[IType]],IsDList,Table_ExternalData_15[[#Headers],[28]])</f>
        <v>0</v>
      </c>
      <c r="AG226" s="10">
        <f>SUMIFS(IsQList,IsIList,Table_ExternalData_15[[#This Row],[item_key]],IsITypeList,Table_ExternalData_15[[#This Row],[IType]],IsDList,Table_ExternalData_15[[#Headers],[29]])</f>
        <v>0</v>
      </c>
      <c r="AH226" s="10">
        <f>SUMIFS(IsQList,IsIList,Table_ExternalData_15[[#This Row],[item_key]],IsITypeList,Table_ExternalData_15[[#This Row],[IType]],IsDList,Table_ExternalData_15[[#Headers],[30]])</f>
        <v>0</v>
      </c>
      <c r="AI226" s="10">
        <f>SUMIFS(IsQList,IsIList,Table_ExternalData_15[[#This Row],[item_key]],IsITypeList,Table_ExternalData_15[[#This Row],[IType]],IsDList,Table_ExternalData_15[[#Headers],[31]])</f>
        <v>0</v>
      </c>
      <c r="AJ226" s="10">
        <f>SUM(Table_ExternalData_15[[#This Row],[1]:[31]])</f>
        <v>10</v>
      </c>
    </row>
    <row r="227" spans="1:36">
      <c r="A227" s="1" t="s">
        <v>1821</v>
      </c>
      <c r="B227" s="1" t="s">
        <v>2663</v>
      </c>
      <c r="C227" s="1" t="s">
        <v>2664</v>
      </c>
      <c r="D227" s="11" t="s">
        <v>72</v>
      </c>
      <c r="E227" s="10">
        <f>SUMIFS(IsQList,IsIList,Table_ExternalData_15[[#This Row],[item_key]],IsITypeList,Table_ExternalData_15[[#This Row],[IType]],IsDList,Table_ExternalData_15[[#Headers],[1]])</f>
        <v>0</v>
      </c>
      <c r="F227" s="10">
        <f>SUMIFS(IsQList,IsIList,Table_ExternalData_15[[#This Row],[item_key]],IsITypeList,Table_ExternalData_15[[#This Row],[IType]],IsDList,Table_ExternalData_15[[#Headers],[2]])</f>
        <v>0</v>
      </c>
      <c r="G227" s="10">
        <f>SUMIFS(IsQList,IsIList,Table_ExternalData_15[[#This Row],[item_key]],IsITypeList,Table_ExternalData_15[[#This Row],[IType]],IsDList,Table_ExternalData_15[[#Headers],[3]])</f>
        <v>0</v>
      </c>
      <c r="H227" s="10">
        <f>SUMIFS(IsQList,IsIList,Table_ExternalData_15[[#This Row],[item_key]],IsITypeList,Table_ExternalData_15[[#This Row],[IType]],IsDList,Table_ExternalData_15[[#Headers],[4]])</f>
        <v>0</v>
      </c>
      <c r="I227" s="10">
        <f>SUMIFS(IsQList,IsIList,Table_ExternalData_15[[#This Row],[item_key]],IsITypeList,Table_ExternalData_15[[#This Row],[IType]],IsDList,Table_ExternalData_15[[#Headers],[5]])</f>
        <v>0</v>
      </c>
      <c r="J227" s="10">
        <f>SUMIFS(IsQList,IsIList,Table_ExternalData_15[[#This Row],[item_key]],IsITypeList,Table_ExternalData_15[[#This Row],[IType]],IsDList,Table_ExternalData_15[[#Headers],[6]])</f>
        <v>0</v>
      </c>
      <c r="K227" s="10">
        <f>SUMIFS(IsQList,IsIList,Table_ExternalData_15[[#This Row],[item_key]],IsITypeList,Table_ExternalData_15[[#This Row],[IType]],IsDList,Table_ExternalData_15[[#Headers],[7]])</f>
        <v>0</v>
      </c>
      <c r="L227" s="10">
        <f>SUMIFS(IsQList,IsIList,Table_ExternalData_15[[#This Row],[item_key]],IsITypeList,Table_ExternalData_15[[#This Row],[IType]],IsDList,Table_ExternalData_15[[#Headers],[8]])</f>
        <v>0</v>
      </c>
      <c r="M227" s="10">
        <f>SUMIFS(IsQList,IsIList,Table_ExternalData_15[[#This Row],[item_key]],IsITypeList,Table_ExternalData_15[[#This Row],[IType]],IsDList,Table_ExternalData_15[[#Headers],[9]])</f>
        <v>0</v>
      </c>
      <c r="N227" s="10">
        <f>SUMIFS(IsQList,IsIList,Table_ExternalData_15[[#This Row],[item_key]],IsITypeList,Table_ExternalData_15[[#This Row],[IType]],IsDList,Table_ExternalData_15[[#Headers],[10]])</f>
        <v>2</v>
      </c>
      <c r="O227" s="10">
        <f>SUMIFS(IsQList,IsIList,Table_ExternalData_15[[#This Row],[item_key]],IsITypeList,Table_ExternalData_15[[#This Row],[IType]],IsDList,Table_ExternalData_15[[#Headers],[11]])</f>
        <v>0</v>
      </c>
      <c r="P227" s="10">
        <f>SUMIFS(IsQList,IsIList,Table_ExternalData_15[[#This Row],[item_key]],IsITypeList,Table_ExternalData_15[[#This Row],[IType]],IsDList,Table_ExternalData_15[[#Headers],[12]])</f>
        <v>0</v>
      </c>
      <c r="Q227" s="10">
        <f>SUMIFS(IsQList,IsIList,Table_ExternalData_15[[#This Row],[item_key]],IsITypeList,Table_ExternalData_15[[#This Row],[IType]],IsDList,Table_ExternalData_15[[#Headers],[13]])</f>
        <v>0</v>
      </c>
      <c r="R227" s="10">
        <f>SUMIFS(IsQList,IsIList,Table_ExternalData_15[[#This Row],[item_key]],IsITypeList,Table_ExternalData_15[[#This Row],[IType]],IsDList,Table_ExternalData_15[[#Headers],[14]])</f>
        <v>0</v>
      </c>
      <c r="S227" s="10">
        <f>SUMIFS(IsQList,IsIList,Table_ExternalData_15[[#This Row],[item_key]],IsITypeList,Table_ExternalData_15[[#This Row],[IType]],IsDList,Table_ExternalData_15[[#Headers],[15]])</f>
        <v>0</v>
      </c>
      <c r="T227" s="10">
        <f>SUMIFS(IsQList,IsIList,Table_ExternalData_15[[#This Row],[item_key]],IsITypeList,Table_ExternalData_15[[#This Row],[IType]],IsDList,Table_ExternalData_15[[#Headers],[16]])</f>
        <v>0</v>
      </c>
      <c r="U227" s="10">
        <f>SUMIFS(IsQList,IsIList,Table_ExternalData_15[[#This Row],[item_key]],IsITypeList,Table_ExternalData_15[[#This Row],[IType]],IsDList,Table_ExternalData_15[[#Headers],[17]])</f>
        <v>0</v>
      </c>
      <c r="V227" s="10">
        <f>SUMIFS(IsQList,IsIList,Table_ExternalData_15[[#This Row],[item_key]],IsITypeList,Table_ExternalData_15[[#This Row],[IType]],IsDList,Table_ExternalData_15[[#Headers],[18]])</f>
        <v>0</v>
      </c>
      <c r="W227" s="10">
        <f>SUMIFS(IsQList,IsIList,Table_ExternalData_15[[#This Row],[item_key]],IsITypeList,Table_ExternalData_15[[#This Row],[IType]],IsDList,Table_ExternalData_15[[#Headers],[19]])</f>
        <v>0</v>
      </c>
      <c r="X227" s="10">
        <f>SUMIFS(IsQList,IsIList,Table_ExternalData_15[[#This Row],[item_key]],IsITypeList,Table_ExternalData_15[[#This Row],[IType]],IsDList,Table_ExternalData_15[[#Headers],[20]])</f>
        <v>0</v>
      </c>
      <c r="Y227" s="10">
        <f>SUMIFS(IsQList,IsIList,Table_ExternalData_15[[#This Row],[item_key]],IsITypeList,Table_ExternalData_15[[#This Row],[IType]],IsDList,Table_ExternalData_15[[#Headers],[21]])</f>
        <v>0</v>
      </c>
      <c r="Z227" s="10">
        <f>SUMIFS(IsQList,IsIList,Table_ExternalData_15[[#This Row],[item_key]],IsITypeList,Table_ExternalData_15[[#This Row],[IType]],IsDList,Table_ExternalData_15[[#Headers],[22]])</f>
        <v>0</v>
      </c>
      <c r="AA227" s="10">
        <f>SUMIFS(IsQList,IsIList,Table_ExternalData_15[[#This Row],[item_key]],IsITypeList,Table_ExternalData_15[[#This Row],[IType]],IsDList,Table_ExternalData_15[[#Headers],[23]])</f>
        <v>0</v>
      </c>
      <c r="AB227" s="10">
        <f>SUMIFS(IsQList,IsIList,Table_ExternalData_15[[#This Row],[item_key]],IsITypeList,Table_ExternalData_15[[#This Row],[IType]],IsDList,Table_ExternalData_15[[#Headers],[24]])</f>
        <v>0</v>
      </c>
      <c r="AC227" s="10">
        <f>SUMIFS(IsQList,IsIList,Table_ExternalData_15[[#This Row],[item_key]],IsITypeList,Table_ExternalData_15[[#This Row],[IType]],IsDList,Table_ExternalData_15[[#Headers],[25]])</f>
        <v>0</v>
      </c>
      <c r="AD227" s="10">
        <f>SUMIFS(IsQList,IsIList,Table_ExternalData_15[[#This Row],[item_key]],IsITypeList,Table_ExternalData_15[[#This Row],[IType]],IsDList,Table_ExternalData_15[[#Headers],[26]])</f>
        <v>0</v>
      </c>
      <c r="AE227" s="10">
        <f>SUMIFS(IsQList,IsIList,Table_ExternalData_15[[#This Row],[item_key]],IsITypeList,Table_ExternalData_15[[#This Row],[IType]],IsDList,Table_ExternalData_15[[#Headers],[27]])</f>
        <v>0</v>
      </c>
      <c r="AF227" s="10">
        <f>SUMIFS(IsQList,IsIList,Table_ExternalData_15[[#This Row],[item_key]],IsITypeList,Table_ExternalData_15[[#This Row],[IType]],IsDList,Table_ExternalData_15[[#Headers],[28]])</f>
        <v>0</v>
      </c>
      <c r="AG227" s="10">
        <f>SUMIFS(IsQList,IsIList,Table_ExternalData_15[[#This Row],[item_key]],IsITypeList,Table_ExternalData_15[[#This Row],[IType]],IsDList,Table_ExternalData_15[[#Headers],[29]])</f>
        <v>0</v>
      </c>
      <c r="AH227" s="10">
        <f>SUMIFS(IsQList,IsIList,Table_ExternalData_15[[#This Row],[item_key]],IsITypeList,Table_ExternalData_15[[#This Row],[IType]],IsDList,Table_ExternalData_15[[#Headers],[30]])</f>
        <v>6</v>
      </c>
      <c r="AI227" s="10">
        <f>SUMIFS(IsQList,IsIList,Table_ExternalData_15[[#This Row],[item_key]],IsITypeList,Table_ExternalData_15[[#This Row],[IType]],IsDList,Table_ExternalData_15[[#Headers],[31]])</f>
        <v>0</v>
      </c>
      <c r="AJ227" s="10">
        <f>SUM(Table_ExternalData_15[[#This Row],[1]:[31]])</f>
        <v>8</v>
      </c>
    </row>
    <row r="228" spans="1:36">
      <c r="A228" s="1" t="s">
        <v>745</v>
      </c>
      <c r="B228" s="1" t="s">
        <v>1382</v>
      </c>
      <c r="C228" s="1" t="s">
        <v>1383</v>
      </c>
      <c r="D228" s="11" t="s">
        <v>72</v>
      </c>
      <c r="E228" s="10">
        <f>SUMIFS(IsQList,IsIList,Table_ExternalData_15[[#This Row],[item_key]],IsITypeList,Table_ExternalData_15[[#This Row],[IType]],IsDList,Table_ExternalData_15[[#Headers],[1]])</f>
        <v>0</v>
      </c>
      <c r="F228" s="10">
        <f>SUMIFS(IsQList,IsIList,Table_ExternalData_15[[#This Row],[item_key]],IsITypeList,Table_ExternalData_15[[#This Row],[IType]],IsDList,Table_ExternalData_15[[#Headers],[2]])</f>
        <v>0</v>
      </c>
      <c r="G228" s="10">
        <f>SUMIFS(IsQList,IsIList,Table_ExternalData_15[[#This Row],[item_key]],IsITypeList,Table_ExternalData_15[[#This Row],[IType]],IsDList,Table_ExternalData_15[[#Headers],[3]])</f>
        <v>0</v>
      </c>
      <c r="H228" s="10">
        <f>SUMIFS(IsQList,IsIList,Table_ExternalData_15[[#This Row],[item_key]],IsITypeList,Table_ExternalData_15[[#This Row],[IType]],IsDList,Table_ExternalData_15[[#Headers],[4]])</f>
        <v>0</v>
      </c>
      <c r="I228" s="10">
        <f>SUMIFS(IsQList,IsIList,Table_ExternalData_15[[#This Row],[item_key]],IsITypeList,Table_ExternalData_15[[#This Row],[IType]],IsDList,Table_ExternalData_15[[#Headers],[5]])</f>
        <v>0</v>
      </c>
      <c r="J228" s="10">
        <f>SUMIFS(IsQList,IsIList,Table_ExternalData_15[[#This Row],[item_key]],IsITypeList,Table_ExternalData_15[[#This Row],[IType]],IsDList,Table_ExternalData_15[[#Headers],[6]])</f>
        <v>0</v>
      </c>
      <c r="K228" s="10">
        <f>SUMIFS(IsQList,IsIList,Table_ExternalData_15[[#This Row],[item_key]],IsITypeList,Table_ExternalData_15[[#This Row],[IType]],IsDList,Table_ExternalData_15[[#Headers],[7]])</f>
        <v>0</v>
      </c>
      <c r="L228" s="10">
        <f>SUMIFS(IsQList,IsIList,Table_ExternalData_15[[#This Row],[item_key]],IsITypeList,Table_ExternalData_15[[#This Row],[IType]],IsDList,Table_ExternalData_15[[#Headers],[8]])</f>
        <v>0</v>
      </c>
      <c r="M228" s="10">
        <f>SUMIFS(IsQList,IsIList,Table_ExternalData_15[[#This Row],[item_key]],IsITypeList,Table_ExternalData_15[[#This Row],[IType]],IsDList,Table_ExternalData_15[[#Headers],[9]])</f>
        <v>0</v>
      </c>
      <c r="N228" s="10">
        <f>SUMIFS(IsQList,IsIList,Table_ExternalData_15[[#This Row],[item_key]],IsITypeList,Table_ExternalData_15[[#This Row],[IType]],IsDList,Table_ExternalData_15[[#Headers],[10]])</f>
        <v>150</v>
      </c>
      <c r="O228" s="10">
        <f>SUMIFS(IsQList,IsIList,Table_ExternalData_15[[#This Row],[item_key]],IsITypeList,Table_ExternalData_15[[#This Row],[IType]],IsDList,Table_ExternalData_15[[#Headers],[11]])</f>
        <v>0</v>
      </c>
      <c r="P228" s="10">
        <f>SUMIFS(IsQList,IsIList,Table_ExternalData_15[[#This Row],[item_key]],IsITypeList,Table_ExternalData_15[[#This Row],[IType]],IsDList,Table_ExternalData_15[[#Headers],[12]])</f>
        <v>0</v>
      </c>
      <c r="Q228" s="10">
        <f>SUMIFS(IsQList,IsIList,Table_ExternalData_15[[#This Row],[item_key]],IsITypeList,Table_ExternalData_15[[#This Row],[IType]],IsDList,Table_ExternalData_15[[#Headers],[13]])</f>
        <v>0</v>
      </c>
      <c r="R228" s="10">
        <f>SUMIFS(IsQList,IsIList,Table_ExternalData_15[[#This Row],[item_key]],IsITypeList,Table_ExternalData_15[[#This Row],[IType]],IsDList,Table_ExternalData_15[[#Headers],[14]])</f>
        <v>0</v>
      </c>
      <c r="S228" s="10">
        <f>SUMIFS(IsQList,IsIList,Table_ExternalData_15[[#This Row],[item_key]],IsITypeList,Table_ExternalData_15[[#This Row],[IType]],IsDList,Table_ExternalData_15[[#Headers],[15]])</f>
        <v>0</v>
      </c>
      <c r="T228" s="10">
        <f>SUMIFS(IsQList,IsIList,Table_ExternalData_15[[#This Row],[item_key]],IsITypeList,Table_ExternalData_15[[#This Row],[IType]],IsDList,Table_ExternalData_15[[#Headers],[16]])</f>
        <v>0</v>
      </c>
      <c r="U228" s="10">
        <f>SUMIFS(IsQList,IsIList,Table_ExternalData_15[[#This Row],[item_key]],IsITypeList,Table_ExternalData_15[[#This Row],[IType]],IsDList,Table_ExternalData_15[[#Headers],[17]])</f>
        <v>0</v>
      </c>
      <c r="V228" s="10">
        <f>SUMIFS(IsQList,IsIList,Table_ExternalData_15[[#This Row],[item_key]],IsITypeList,Table_ExternalData_15[[#This Row],[IType]],IsDList,Table_ExternalData_15[[#Headers],[18]])</f>
        <v>0</v>
      </c>
      <c r="W228" s="10">
        <f>SUMIFS(IsQList,IsIList,Table_ExternalData_15[[#This Row],[item_key]],IsITypeList,Table_ExternalData_15[[#This Row],[IType]],IsDList,Table_ExternalData_15[[#Headers],[19]])</f>
        <v>0</v>
      </c>
      <c r="X228" s="10">
        <f>SUMIFS(IsQList,IsIList,Table_ExternalData_15[[#This Row],[item_key]],IsITypeList,Table_ExternalData_15[[#This Row],[IType]],IsDList,Table_ExternalData_15[[#Headers],[20]])</f>
        <v>0</v>
      </c>
      <c r="Y228" s="10">
        <f>SUMIFS(IsQList,IsIList,Table_ExternalData_15[[#This Row],[item_key]],IsITypeList,Table_ExternalData_15[[#This Row],[IType]],IsDList,Table_ExternalData_15[[#Headers],[21]])</f>
        <v>0</v>
      </c>
      <c r="Z228" s="10">
        <f>SUMIFS(IsQList,IsIList,Table_ExternalData_15[[#This Row],[item_key]],IsITypeList,Table_ExternalData_15[[#This Row],[IType]],IsDList,Table_ExternalData_15[[#Headers],[22]])</f>
        <v>0</v>
      </c>
      <c r="AA228" s="10">
        <f>SUMIFS(IsQList,IsIList,Table_ExternalData_15[[#This Row],[item_key]],IsITypeList,Table_ExternalData_15[[#This Row],[IType]],IsDList,Table_ExternalData_15[[#Headers],[23]])</f>
        <v>0</v>
      </c>
      <c r="AB228" s="10">
        <f>SUMIFS(IsQList,IsIList,Table_ExternalData_15[[#This Row],[item_key]],IsITypeList,Table_ExternalData_15[[#This Row],[IType]],IsDList,Table_ExternalData_15[[#Headers],[24]])</f>
        <v>0</v>
      </c>
      <c r="AC228" s="10">
        <f>SUMIFS(IsQList,IsIList,Table_ExternalData_15[[#This Row],[item_key]],IsITypeList,Table_ExternalData_15[[#This Row],[IType]],IsDList,Table_ExternalData_15[[#Headers],[25]])</f>
        <v>0</v>
      </c>
      <c r="AD228" s="10">
        <f>SUMIFS(IsQList,IsIList,Table_ExternalData_15[[#This Row],[item_key]],IsITypeList,Table_ExternalData_15[[#This Row],[IType]],IsDList,Table_ExternalData_15[[#Headers],[26]])</f>
        <v>0</v>
      </c>
      <c r="AE228" s="10">
        <f>SUMIFS(IsQList,IsIList,Table_ExternalData_15[[#This Row],[item_key]],IsITypeList,Table_ExternalData_15[[#This Row],[IType]],IsDList,Table_ExternalData_15[[#Headers],[27]])</f>
        <v>0</v>
      </c>
      <c r="AF228" s="10">
        <f>SUMIFS(IsQList,IsIList,Table_ExternalData_15[[#This Row],[item_key]],IsITypeList,Table_ExternalData_15[[#This Row],[IType]],IsDList,Table_ExternalData_15[[#Headers],[28]])</f>
        <v>0</v>
      </c>
      <c r="AG228" s="10">
        <f>SUMIFS(IsQList,IsIList,Table_ExternalData_15[[#This Row],[item_key]],IsITypeList,Table_ExternalData_15[[#This Row],[IType]],IsDList,Table_ExternalData_15[[#Headers],[29]])</f>
        <v>0</v>
      </c>
      <c r="AH228" s="10">
        <f>SUMIFS(IsQList,IsIList,Table_ExternalData_15[[#This Row],[item_key]],IsITypeList,Table_ExternalData_15[[#This Row],[IType]],IsDList,Table_ExternalData_15[[#Headers],[30]])</f>
        <v>0</v>
      </c>
      <c r="AI228" s="10">
        <f>SUMIFS(IsQList,IsIList,Table_ExternalData_15[[#This Row],[item_key]],IsITypeList,Table_ExternalData_15[[#This Row],[IType]],IsDList,Table_ExternalData_15[[#Headers],[31]])</f>
        <v>0</v>
      </c>
      <c r="AJ228" s="10">
        <f>SUM(Table_ExternalData_15[[#This Row],[1]:[31]])</f>
        <v>150</v>
      </c>
    </row>
    <row r="229" spans="1:36">
      <c r="A229" s="1" t="s">
        <v>746</v>
      </c>
      <c r="B229" s="1" t="s">
        <v>1384</v>
      </c>
      <c r="C229" s="1" t="s">
        <v>1385</v>
      </c>
      <c r="D229" s="11" t="s">
        <v>72</v>
      </c>
      <c r="E229" s="10">
        <f>SUMIFS(IsQList,IsIList,Table_ExternalData_15[[#This Row],[item_key]],IsITypeList,Table_ExternalData_15[[#This Row],[IType]],IsDList,Table_ExternalData_15[[#Headers],[1]])</f>
        <v>0</v>
      </c>
      <c r="F229" s="10">
        <f>SUMIFS(IsQList,IsIList,Table_ExternalData_15[[#This Row],[item_key]],IsITypeList,Table_ExternalData_15[[#This Row],[IType]],IsDList,Table_ExternalData_15[[#Headers],[2]])</f>
        <v>0</v>
      </c>
      <c r="G229" s="10">
        <f>SUMIFS(IsQList,IsIList,Table_ExternalData_15[[#This Row],[item_key]],IsITypeList,Table_ExternalData_15[[#This Row],[IType]],IsDList,Table_ExternalData_15[[#Headers],[3]])</f>
        <v>0</v>
      </c>
      <c r="H229" s="10">
        <f>SUMIFS(IsQList,IsIList,Table_ExternalData_15[[#This Row],[item_key]],IsITypeList,Table_ExternalData_15[[#This Row],[IType]],IsDList,Table_ExternalData_15[[#Headers],[4]])</f>
        <v>0</v>
      </c>
      <c r="I229" s="10">
        <f>SUMIFS(IsQList,IsIList,Table_ExternalData_15[[#This Row],[item_key]],IsITypeList,Table_ExternalData_15[[#This Row],[IType]],IsDList,Table_ExternalData_15[[#Headers],[5]])</f>
        <v>0</v>
      </c>
      <c r="J229" s="10">
        <f>SUMIFS(IsQList,IsIList,Table_ExternalData_15[[#This Row],[item_key]],IsITypeList,Table_ExternalData_15[[#This Row],[IType]],IsDList,Table_ExternalData_15[[#Headers],[6]])</f>
        <v>0</v>
      </c>
      <c r="K229" s="10">
        <f>SUMIFS(IsQList,IsIList,Table_ExternalData_15[[#This Row],[item_key]],IsITypeList,Table_ExternalData_15[[#This Row],[IType]],IsDList,Table_ExternalData_15[[#Headers],[7]])</f>
        <v>0</v>
      </c>
      <c r="L229" s="10">
        <f>SUMIFS(IsQList,IsIList,Table_ExternalData_15[[#This Row],[item_key]],IsITypeList,Table_ExternalData_15[[#This Row],[IType]],IsDList,Table_ExternalData_15[[#Headers],[8]])</f>
        <v>0</v>
      </c>
      <c r="M229" s="10">
        <f>SUMIFS(IsQList,IsIList,Table_ExternalData_15[[#This Row],[item_key]],IsITypeList,Table_ExternalData_15[[#This Row],[IType]],IsDList,Table_ExternalData_15[[#Headers],[9]])</f>
        <v>0</v>
      </c>
      <c r="N229" s="10">
        <f>SUMIFS(IsQList,IsIList,Table_ExternalData_15[[#This Row],[item_key]],IsITypeList,Table_ExternalData_15[[#This Row],[IType]],IsDList,Table_ExternalData_15[[#Headers],[10]])</f>
        <v>0</v>
      </c>
      <c r="O229" s="10">
        <f>SUMIFS(IsQList,IsIList,Table_ExternalData_15[[#This Row],[item_key]],IsITypeList,Table_ExternalData_15[[#This Row],[IType]],IsDList,Table_ExternalData_15[[#Headers],[11]])</f>
        <v>0</v>
      </c>
      <c r="P229" s="10">
        <f>SUMIFS(IsQList,IsIList,Table_ExternalData_15[[#This Row],[item_key]],IsITypeList,Table_ExternalData_15[[#This Row],[IType]],IsDList,Table_ExternalData_15[[#Headers],[12]])</f>
        <v>0</v>
      </c>
      <c r="Q229" s="10">
        <f>SUMIFS(IsQList,IsIList,Table_ExternalData_15[[#This Row],[item_key]],IsITypeList,Table_ExternalData_15[[#This Row],[IType]],IsDList,Table_ExternalData_15[[#Headers],[13]])</f>
        <v>0</v>
      </c>
      <c r="R229" s="10">
        <f>SUMIFS(IsQList,IsIList,Table_ExternalData_15[[#This Row],[item_key]],IsITypeList,Table_ExternalData_15[[#This Row],[IType]],IsDList,Table_ExternalData_15[[#Headers],[14]])</f>
        <v>0</v>
      </c>
      <c r="S229" s="10">
        <f>SUMIFS(IsQList,IsIList,Table_ExternalData_15[[#This Row],[item_key]],IsITypeList,Table_ExternalData_15[[#This Row],[IType]],IsDList,Table_ExternalData_15[[#Headers],[15]])</f>
        <v>0</v>
      </c>
      <c r="T229" s="10">
        <f>SUMIFS(IsQList,IsIList,Table_ExternalData_15[[#This Row],[item_key]],IsITypeList,Table_ExternalData_15[[#This Row],[IType]],IsDList,Table_ExternalData_15[[#Headers],[16]])</f>
        <v>0</v>
      </c>
      <c r="U229" s="10">
        <f>SUMIFS(IsQList,IsIList,Table_ExternalData_15[[#This Row],[item_key]],IsITypeList,Table_ExternalData_15[[#This Row],[IType]],IsDList,Table_ExternalData_15[[#Headers],[17]])</f>
        <v>0</v>
      </c>
      <c r="V229" s="10">
        <f>SUMIFS(IsQList,IsIList,Table_ExternalData_15[[#This Row],[item_key]],IsITypeList,Table_ExternalData_15[[#This Row],[IType]],IsDList,Table_ExternalData_15[[#Headers],[18]])</f>
        <v>0</v>
      </c>
      <c r="W229" s="10">
        <f>SUMIFS(IsQList,IsIList,Table_ExternalData_15[[#This Row],[item_key]],IsITypeList,Table_ExternalData_15[[#This Row],[IType]],IsDList,Table_ExternalData_15[[#Headers],[19]])</f>
        <v>0</v>
      </c>
      <c r="X229" s="10">
        <f>SUMIFS(IsQList,IsIList,Table_ExternalData_15[[#This Row],[item_key]],IsITypeList,Table_ExternalData_15[[#This Row],[IType]],IsDList,Table_ExternalData_15[[#Headers],[20]])</f>
        <v>0</v>
      </c>
      <c r="Y229" s="10">
        <f>SUMIFS(IsQList,IsIList,Table_ExternalData_15[[#This Row],[item_key]],IsITypeList,Table_ExternalData_15[[#This Row],[IType]],IsDList,Table_ExternalData_15[[#Headers],[21]])</f>
        <v>0</v>
      </c>
      <c r="Z229" s="10">
        <f>SUMIFS(IsQList,IsIList,Table_ExternalData_15[[#This Row],[item_key]],IsITypeList,Table_ExternalData_15[[#This Row],[IType]],IsDList,Table_ExternalData_15[[#Headers],[22]])</f>
        <v>0</v>
      </c>
      <c r="AA229" s="10">
        <f>SUMIFS(IsQList,IsIList,Table_ExternalData_15[[#This Row],[item_key]],IsITypeList,Table_ExternalData_15[[#This Row],[IType]],IsDList,Table_ExternalData_15[[#Headers],[23]])</f>
        <v>0</v>
      </c>
      <c r="AB229" s="10">
        <f>SUMIFS(IsQList,IsIList,Table_ExternalData_15[[#This Row],[item_key]],IsITypeList,Table_ExternalData_15[[#This Row],[IType]],IsDList,Table_ExternalData_15[[#Headers],[24]])</f>
        <v>0</v>
      </c>
      <c r="AC229" s="10">
        <f>SUMIFS(IsQList,IsIList,Table_ExternalData_15[[#This Row],[item_key]],IsITypeList,Table_ExternalData_15[[#This Row],[IType]],IsDList,Table_ExternalData_15[[#Headers],[25]])</f>
        <v>0</v>
      </c>
      <c r="AD229" s="10">
        <f>SUMIFS(IsQList,IsIList,Table_ExternalData_15[[#This Row],[item_key]],IsITypeList,Table_ExternalData_15[[#This Row],[IType]],IsDList,Table_ExternalData_15[[#Headers],[26]])</f>
        <v>0</v>
      </c>
      <c r="AE229" s="10">
        <f>SUMIFS(IsQList,IsIList,Table_ExternalData_15[[#This Row],[item_key]],IsITypeList,Table_ExternalData_15[[#This Row],[IType]],IsDList,Table_ExternalData_15[[#Headers],[27]])</f>
        <v>0</v>
      </c>
      <c r="AF229" s="10">
        <f>SUMIFS(IsQList,IsIList,Table_ExternalData_15[[#This Row],[item_key]],IsITypeList,Table_ExternalData_15[[#This Row],[IType]],IsDList,Table_ExternalData_15[[#Headers],[28]])</f>
        <v>0</v>
      </c>
      <c r="AG229" s="10">
        <f>SUMIFS(IsQList,IsIList,Table_ExternalData_15[[#This Row],[item_key]],IsITypeList,Table_ExternalData_15[[#This Row],[IType]],IsDList,Table_ExternalData_15[[#Headers],[29]])</f>
        <v>0</v>
      </c>
      <c r="AH229" s="10">
        <f>SUMIFS(IsQList,IsIList,Table_ExternalData_15[[#This Row],[item_key]],IsITypeList,Table_ExternalData_15[[#This Row],[IType]],IsDList,Table_ExternalData_15[[#Headers],[30]])</f>
        <v>0</v>
      </c>
      <c r="AI229" s="10">
        <f>SUMIFS(IsQList,IsIList,Table_ExternalData_15[[#This Row],[item_key]],IsITypeList,Table_ExternalData_15[[#This Row],[IType]],IsDList,Table_ExternalData_15[[#Headers],[31]])</f>
        <v>0</v>
      </c>
      <c r="AJ229" s="10">
        <f>SUM(Table_ExternalData_15[[#This Row],[1]:[31]])</f>
        <v>0</v>
      </c>
    </row>
    <row r="230" spans="1:36">
      <c r="A230" s="1" t="s">
        <v>750</v>
      </c>
      <c r="B230" s="1" t="s">
        <v>2665</v>
      </c>
      <c r="C230" s="1" t="s">
        <v>2511</v>
      </c>
      <c r="D230" s="11" t="s">
        <v>72</v>
      </c>
      <c r="E230" s="10">
        <f>SUMIFS(IsQList,IsIList,Table_ExternalData_15[[#This Row],[item_key]],IsITypeList,Table_ExternalData_15[[#This Row],[IType]],IsDList,Table_ExternalData_15[[#Headers],[1]])</f>
        <v>0</v>
      </c>
      <c r="F230" s="10">
        <f>SUMIFS(IsQList,IsIList,Table_ExternalData_15[[#This Row],[item_key]],IsITypeList,Table_ExternalData_15[[#This Row],[IType]],IsDList,Table_ExternalData_15[[#Headers],[2]])</f>
        <v>0</v>
      </c>
      <c r="G230" s="10">
        <f>SUMIFS(IsQList,IsIList,Table_ExternalData_15[[#This Row],[item_key]],IsITypeList,Table_ExternalData_15[[#This Row],[IType]],IsDList,Table_ExternalData_15[[#Headers],[3]])</f>
        <v>0</v>
      </c>
      <c r="H230" s="10">
        <f>SUMIFS(IsQList,IsIList,Table_ExternalData_15[[#This Row],[item_key]],IsITypeList,Table_ExternalData_15[[#This Row],[IType]],IsDList,Table_ExternalData_15[[#Headers],[4]])</f>
        <v>0</v>
      </c>
      <c r="I230" s="10">
        <f>SUMIFS(IsQList,IsIList,Table_ExternalData_15[[#This Row],[item_key]],IsITypeList,Table_ExternalData_15[[#This Row],[IType]],IsDList,Table_ExternalData_15[[#Headers],[5]])</f>
        <v>0</v>
      </c>
      <c r="J230" s="10">
        <f>SUMIFS(IsQList,IsIList,Table_ExternalData_15[[#This Row],[item_key]],IsITypeList,Table_ExternalData_15[[#This Row],[IType]],IsDList,Table_ExternalData_15[[#Headers],[6]])</f>
        <v>0</v>
      </c>
      <c r="K230" s="10">
        <f>SUMIFS(IsQList,IsIList,Table_ExternalData_15[[#This Row],[item_key]],IsITypeList,Table_ExternalData_15[[#This Row],[IType]],IsDList,Table_ExternalData_15[[#Headers],[7]])</f>
        <v>0</v>
      </c>
      <c r="L230" s="10">
        <f>SUMIFS(IsQList,IsIList,Table_ExternalData_15[[#This Row],[item_key]],IsITypeList,Table_ExternalData_15[[#This Row],[IType]],IsDList,Table_ExternalData_15[[#Headers],[8]])</f>
        <v>0</v>
      </c>
      <c r="M230" s="10">
        <f>SUMIFS(IsQList,IsIList,Table_ExternalData_15[[#This Row],[item_key]],IsITypeList,Table_ExternalData_15[[#This Row],[IType]],IsDList,Table_ExternalData_15[[#Headers],[9]])</f>
        <v>0</v>
      </c>
      <c r="N230" s="10">
        <f>SUMIFS(IsQList,IsIList,Table_ExternalData_15[[#This Row],[item_key]],IsITypeList,Table_ExternalData_15[[#This Row],[IType]],IsDList,Table_ExternalData_15[[#Headers],[10]])</f>
        <v>22</v>
      </c>
      <c r="O230" s="10">
        <f>SUMIFS(IsQList,IsIList,Table_ExternalData_15[[#This Row],[item_key]],IsITypeList,Table_ExternalData_15[[#This Row],[IType]],IsDList,Table_ExternalData_15[[#Headers],[11]])</f>
        <v>0</v>
      </c>
      <c r="P230" s="10">
        <f>SUMIFS(IsQList,IsIList,Table_ExternalData_15[[#This Row],[item_key]],IsITypeList,Table_ExternalData_15[[#This Row],[IType]],IsDList,Table_ExternalData_15[[#Headers],[12]])</f>
        <v>0</v>
      </c>
      <c r="Q230" s="10">
        <f>SUMIFS(IsQList,IsIList,Table_ExternalData_15[[#This Row],[item_key]],IsITypeList,Table_ExternalData_15[[#This Row],[IType]],IsDList,Table_ExternalData_15[[#Headers],[13]])</f>
        <v>0</v>
      </c>
      <c r="R230" s="10">
        <f>SUMIFS(IsQList,IsIList,Table_ExternalData_15[[#This Row],[item_key]],IsITypeList,Table_ExternalData_15[[#This Row],[IType]],IsDList,Table_ExternalData_15[[#Headers],[14]])</f>
        <v>0</v>
      </c>
      <c r="S230" s="10">
        <f>SUMIFS(IsQList,IsIList,Table_ExternalData_15[[#This Row],[item_key]],IsITypeList,Table_ExternalData_15[[#This Row],[IType]],IsDList,Table_ExternalData_15[[#Headers],[15]])</f>
        <v>0</v>
      </c>
      <c r="T230" s="10">
        <f>SUMIFS(IsQList,IsIList,Table_ExternalData_15[[#This Row],[item_key]],IsITypeList,Table_ExternalData_15[[#This Row],[IType]],IsDList,Table_ExternalData_15[[#Headers],[16]])</f>
        <v>25</v>
      </c>
      <c r="U230" s="10">
        <f>SUMIFS(IsQList,IsIList,Table_ExternalData_15[[#This Row],[item_key]],IsITypeList,Table_ExternalData_15[[#This Row],[IType]],IsDList,Table_ExternalData_15[[#Headers],[17]])</f>
        <v>0</v>
      </c>
      <c r="V230" s="10">
        <f>SUMIFS(IsQList,IsIList,Table_ExternalData_15[[#This Row],[item_key]],IsITypeList,Table_ExternalData_15[[#This Row],[IType]],IsDList,Table_ExternalData_15[[#Headers],[18]])</f>
        <v>0</v>
      </c>
      <c r="W230" s="10">
        <f>SUMIFS(IsQList,IsIList,Table_ExternalData_15[[#This Row],[item_key]],IsITypeList,Table_ExternalData_15[[#This Row],[IType]],IsDList,Table_ExternalData_15[[#Headers],[19]])</f>
        <v>0</v>
      </c>
      <c r="X230" s="10">
        <f>SUMIFS(IsQList,IsIList,Table_ExternalData_15[[#This Row],[item_key]],IsITypeList,Table_ExternalData_15[[#This Row],[IType]],IsDList,Table_ExternalData_15[[#Headers],[20]])</f>
        <v>0</v>
      </c>
      <c r="Y230" s="10">
        <f>SUMIFS(IsQList,IsIList,Table_ExternalData_15[[#This Row],[item_key]],IsITypeList,Table_ExternalData_15[[#This Row],[IType]],IsDList,Table_ExternalData_15[[#Headers],[21]])</f>
        <v>0</v>
      </c>
      <c r="Z230" s="10">
        <f>SUMIFS(IsQList,IsIList,Table_ExternalData_15[[#This Row],[item_key]],IsITypeList,Table_ExternalData_15[[#This Row],[IType]],IsDList,Table_ExternalData_15[[#Headers],[22]])</f>
        <v>0</v>
      </c>
      <c r="AA230" s="10">
        <f>SUMIFS(IsQList,IsIList,Table_ExternalData_15[[#This Row],[item_key]],IsITypeList,Table_ExternalData_15[[#This Row],[IType]],IsDList,Table_ExternalData_15[[#Headers],[23]])</f>
        <v>0</v>
      </c>
      <c r="AB230" s="10">
        <f>SUMIFS(IsQList,IsIList,Table_ExternalData_15[[#This Row],[item_key]],IsITypeList,Table_ExternalData_15[[#This Row],[IType]],IsDList,Table_ExternalData_15[[#Headers],[24]])</f>
        <v>0</v>
      </c>
      <c r="AC230" s="10">
        <f>SUMIFS(IsQList,IsIList,Table_ExternalData_15[[#This Row],[item_key]],IsITypeList,Table_ExternalData_15[[#This Row],[IType]],IsDList,Table_ExternalData_15[[#Headers],[25]])</f>
        <v>0</v>
      </c>
      <c r="AD230" s="10">
        <f>SUMIFS(IsQList,IsIList,Table_ExternalData_15[[#This Row],[item_key]],IsITypeList,Table_ExternalData_15[[#This Row],[IType]],IsDList,Table_ExternalData_15[[#Headers],[26]])</f>
        <v>0</v>
      </c>
      <c r="AE230" s="10">
        <f>SUMIFS(IsQList,IsIList,Table_ExternalData_15[[#This Row],[item_key]],IsITypeList,Table_ExternalData_15[[#This Row],[IType]],IsDList,Table_ExternalData_15[[#Headers],[27]])</f>
        <v>0</v>
      </c>
      <c r="AF230" s="10">
        <f>SUMIFS(IsQList,IsIList,Table_ExternalData_15[[#This Row],[item_key]],IsITypeList,Table_ExternalData_15[[#This Row],[IType]],IsDList,Table_ExternalData_15[[#Headers],[28]])</f>
        <v>0</v>
      </c>
      <c r="AG230" s="10">
        <f>SUMIFS(IsQList,IsIList,Table_ExternalData_15[[#This Row],[item_key]],IsITypeList,Table_ExternalData_15[[#This Row],[IType]],IsDList,Table_ExternalData_15[[#Headers],[29]])</f>
        <v>0</v>
      </c>
      <c r="AH230" s="10">
        <f>SUMIFS(IsQList,IsIList,Table_ExternalData_15[[#This Row],[item_key]],IsITypeList,Table_ExternalData_15[[#This Row],[IType]],IsDList,Table_ExternalData_15[[#Headers],[30]])</f>
        <v>35</v>
      </c>
      <c r="AI230" s="10">
        <f>SUMIFS(IsQList,IsIList,Table_ExternalData_15[[#This Row],[item_key]],IsITypeList,Table_ExternalData_15[[#This Row],[IType]],IsDList,Table_ExternalData_15[[#Headers],[31]])</f>
        <v>0</v>
      </c>
      <c r="AJ230" s="10">
        <f>SUM(Table_ExternalData_15[[#This Row],[1]:[31]])</f>
        <v>82</v>
      </c>
    </row>
    <row r="231" spans="1:36">
      <c r="A231" s="1" t="s">
        <v>752</v>
      </c>
      <c r="B231" s="1" t="s">
        <v>1386</v>
      </c>
      <c r="C231" s="1" t="s">
        <v>1387</v>
      </c>
      <c r="D231" s="11" t="s">
        <v>72</v>
      </c>
      <c r="E231" s="10">
        <f>SUMIFS(IsQList,IsIList,Table_ExternalData_15[[#This Row],[item_key]],IsITypeList,Table_ExternalData_15[[#This Row],[IType]],IsDList,Table_ExternalData_15[[#Headers],[1]])</f>
        <v>0</v>
      </c>
      <c r="F231" s="10">
        <f>SUMIFS(IsQList,IsIList,Table_ExternalData_15[[#This Row],[item_key]],IsITypeList,Table_ExternalData_15[[#This Row],[IType]],IsDList,Table_ExternalData_15[[#Headers],[2]])</f>
        <v>0</v>
      </c>
      <c r="G231" s="10">
        <f>SUMIFS(IsQList,IsIList,Table_ExternalData_15[[#This Row],[item_key]],IsITypeList,Table_ExternalData_15[[#This Row],[IType]],IsDList,Table_ExternalData_15[[#Headers],[3]])</f>
        <v>0</v>
      </c>
      <c r="H231" s="10">
        <f>SUMIFS(IsQList,IsIList,Table_ExternalData_15[[#This Row],[item_key]],IsITypeList,Table_ExternalData_15[[#This Row],[IType]],IsDList,Table_ExternalData_15[[#Headers],[4]])</f>
        <v>0</v>
      </c>
      <c r="I231" s="10">
        <f>SUMIFS(IsQList,IsIList,Table_ExternalData_15[[#This Row],[item_key]],IsITypeList,Table_ExternalData_15[[#This Row],[IType]],IsDList,Table_ExternalData_15[[#Headers],[5]])</f>
        <v>0</v>
      </c>
      <c r="J231" s="10">
        <f>SUMIFS(IsQList,IsIList,Table_ExternalData_15[[#This Row],[item_key]],IsITypeList,Table_ExternalData_15[[#This Row],[IType]],IsDList,Table_ExternalData_15[[#Headers],[6]])</f>
        <v>10</v>
      </c>
      <c r="K231" s="10">
        <f>SUMIFS(IsQList,IsIList,Table_ExternalData_15[[#This Row],[item_key]],IsITypeList,Table_ExternalData_15[[#This Row],[IType]],IsDList,Table_ExternalData_15[[#Headers],[7]])</f>
        <v>0</v>
      </c>
      <c r="L231" s="10">
        <f>SUMIFS(IsQList,IsIList,Table_ExternalData_15[[#This Row],[item_key]],IsITypeList,Table_ExternalData_15[[#This Row],[IType]],IsDList,Table_ExternalData_15[[#Headers],[8]])</f>
        <v>0</v>
      </c>
      <c r="M231" s="10">
        <f>SUMIFS(IsQList,IsIList,Table_ExternalData_15[[#This Row],[item_key]],IsITypeList,Table_ExternalData_15[[#This Row],[IType]],IsDList,Table_ExternalData_15[[#Headers],[9]])</f>
        <v>0</v>
      </c>
      <c r="N231" s="10">
        <f>SUMIFS(IsQList,IsIList,Table_ExternalData_15[[#This Row],[item_key]],IsITypeList,Table_ExternalData_15[[#This Row],[IType]],IsDList,Table_ExternalData_15[[#Headers],[10]])</f>
        <v>0</v>
      </c>
      <c r="O231" s="10">
        <f>SUMIFS(IsQList,IsIList,Table_ExternalData_15[[#This Row],[item_key]],IsITypeList,Table_ExternalData_15[[#This Row],[IType]],IsDList,Table_ExternalData_15[[#Headers],[11]])</f>
        <v>0</v>
      </c>
      <c r="P231" s="10">
        <f>SUMIFS(IsQList,IsIList,Table_ExternalData_15[[#This Row],[item_key]],IsITypeList,Table_ExternalData_15[[#This Row],[IType]],IsDList,Table_ExternalData_15[[#Headers],[12]])</f>
        <v>0</v>
      </c>
      <c r="Q231" s="10">
        <f>SUMIFS(IsQList,IsIList,Table_ExternalData_15[[#This Row],[item_key]],IsITypeList,Table_ExternalData_15[[#This Row],[IType]],IsDList,Table_ExternalData_15[[#Headers],[13]])</f>
        <v>0</v>
      </c>
      <c r="R231" s="10">
        <f>SUMIFS(IsQList,IsIList,Table_ExternalData_15[[#This Row],[item_key]],IsITypeList,Table_ExternalData_15[[#This Row],[IType]],IsDList,Table_ExternalData_15[[#Headers],[14]])</f>
        <v>0</v>
      </c>
      <c r="S231" s="10">
        <f>SUMIFS(IsQList,IsIList,Table_ExternalData_15[[#This Row],[item_key]],IsITypeList,Table_ExternalData_15[[#This Row],[IType]],IsDList,Table_ExternalData_15[[#Headers],[15]])</f>
        <v>0</v>
      </c>
      <c r="T231" s="10">
        <f>SUMIFS(IsQList,IsIList,Table_ExternalData_15[[#This Row],[item_key]],IsITypeList,Table_ExternalData_15[[#This Row],[IType]],IsDList,Table_ExternalData_15[[#Headers],[16]])</f>
        <v>73</v>
      </c>
      <c r="U231" s="10">
        <f>SUMIFS(IsQList,IsIList,Table_ExternalData_15[[#This Row],[item_key]],IsITypeList,Table_ExternalData_15[[#This Row],[IType]],IsDList,Table_ExternalData_15[[#Headers],[17]])</f>
        <v>0</v>
      </c>
      <c r="V231" s="10">
        <f>SUMIFS(IsQList,IsIList,Table_ExternalData_15[[#This Row],[item_key]],IsITypeList,Table_ExternalData_15[[#This Row],[IType]],IsDList,Table_ExternalData_15[[#Headers],[18]])</f>
        <v>0</v>
      </c>
      <c r="W231" s="10">
        <f>SUMIFS(IsQList,IsIList,Table_ExternalData_15[[#This Row],[item_key]],IsITypeList,Table_ExternalData_15[[#This Row],[IType]],IsDList,Table_ExternalData_15[[#Headers],[19]])</f>
        <v>0</v>
      </c>
      <c r="X231" s="10">
        <f>SUMIFS(IsQList,IsIList,Table_ExternalData_15[[#This Row],[item_key]],IsITypeList,Table_ExternalData_15[[#This Row],[IType]],IsDList,Table_ExternalData_15[[#Headers],[20]])</f>
        <v>0</v>
      </c>
      <c r="Y231" s="10">
        <f>SUMIFS(IsQList,IsIList,Table_ExternalData_15[[#This Row],[item_key]],IsITypeList,Table_ExternalData_15[[#This Row],[IType]],IsDList,Table_ExternalData_15[[#Headers],[21]])</f>
        <v>0</v>
      </c>
      <c r="Z231" s="10">
        <f>SUMIFS(IsQList,IsIList,Table_ExternalData_15[[#This Row],[item_key]],IsITypeList,Table_ExternalData_15[[#This Row],[IType]],IsDList,Table_ExternalData_15[[#Headers],[22]])</f>
        <v>0</v>
      </c>
      <c r="AA231" s="10">
        <f>SUMIFS(IsQList,IsIList,Table_ExternalData_15[[#This Row],[item_key]],IsITypeList,Table_ExternalData_15[[#This Row],[IType]],IsDList,Table_ExternalData_15[[#Headers],[23]])</f>
        <v>0</v>
      </c>
      <c r="AB231" s="10">
        <f>SUMIFS(IsQList,IsIList,Table_ExternalData_15[[#This Row],[item_key]],IsITypeList,Table_ExternalData_15[[#This Row],[IType]],IsDList,Table_ExternalData_15[[#Headers],[24]])</f>
        <v>0</v>
      </c>
      <c r="AC231" s="10">
        <f>SUMIFS(IsQList,IsIList,Table_ExternalData_15[[#This Row],[item_key]],IsITypeList,Table_ExternalData_15[[#This Row],[IType]],IsDList,Table_ExternalData_15[[#Headers],[25]])</f>
        <v>0</v>
      </c>
      <c r="AD231" s="10">
        <f>SUMIFS(IsQList,IsIList,Table_ExternalData_15[[#This Row],[item_key]],IsITypeList,Table_ExternalData_15[[#This Row],[IType]],IsDList,Table_ExternalData_15[[#Headers],[26]])</f>
        <v>0</v>
      </c>
      <c r="AE231" s="10">
        <f>SUMIFS(IsQList,IsIList,Table_ExternalData_15[[#This Row],[item_key]],IsITypeList,Table_ExternalData_15[[#This Row],[IType]],IsDList,Table_ExternalData_15[[#Headers],[27]])</f>
        <v>0</v>
      </c>
      <c r="AF231" s="10">
        <f>SUMIFS(IsQList,IsIList,Table_ExternalData_15[[#This Row],[item_key]],IsITypeList,Table_ExternalData_15[[#This Row],[IType]],IsDList,Table_ExternalData_15[[#Headers],[28]])</f>
        <v>0</v>
      </c>
      <c r="AG231" s="10">
        <f>SUMIFS(IsQList,IsIList,Table_ExternalData_15[[#This Row],[item_key]],IsITypeList,Table_ExternalData_15[[#This Row],[IType]],IsDList,Table_ExternalData_15[[#Headers],[29]])</f>
        <v>0</v>
      </c>
      <c r="AH231" s="10">
        <f>SUMIFS(IsQList,IsIList,Table_ExternalData_15[[#This Row],[item_key]],IsITypeList,Table_ExternalData_15[[#This Row],[IType]],IsDList,Table_ExternalData_15[[#Headers],[30]])</f>
        <v>0</v>
      </c>
      <c r="AI231" s="10">
        <f>SUMIFS(IsQList,IsIList,Table_ExternalData_15[[#This Row],[item_key]],IsITypeList,Table_ExternalData_15[[#This Row],[IType]],IsDList,Table_ExternalData_15[[#Headers],[31]])</f>
        <v>0</v>
      </c>
      <c r="AJ231" s="10">
        <f>SUM(Table_ExternalData_15[[#This Row],[1]:[31]])</f>
        <v>83</v>
      </c>
    </row>
    <row r="232" spans="1:36">
      <c r="A232" s="1" t="s">
        <v>755</v>
      </c>
      <c r="B232" s="1" t="s">
        <v>1388</v>
      </c>
      <c r="C232" s="1" t="s">
        <v>1389</v>
      </c>
      <c r="D232" s="11" t="s">
        <v>72</v>
      </c>
      <c r="E232" s="10">
        <f>SUMIFS(IsQList,IsIList,Table_ExternalData_15[[#This Row],[item_key]],IsITypeList,Table_ExternalData_15[[#This Row],[IType]],IsDList,Table_ExternalData_15[[#Headers],[1]])</f>
        <v>0</v>
      </c>
      <c r="F232" s="10">
        <f>SUMIFS(IsQList,IsIList,Table_ExternalData_15[[#This Row],[item_key]],IsITypeList,Table_ExternalData_15[[#This Row],[IType]],IsDList,Table_ExternalData_15[[#Headers],[2]])</f>
        <v>0</v>
      </c>
      <c r="G232" s="10">
        <f>SUMIFS(IsQList,IsIList,Table_ExternalData_15[[#This Row],[item_key]],IsITypeList,Table_ExternalData_15[[#This Row],[IType]],IsDList,Table_ExternalData_15[[#Headers],[3]])</f>
        <v>0</v>
      </c>
      <c r="H232" s="10">
        <f>SUMIFS(IsQList,IsIList,Table_ExternalData_15[[#This Row],[item_key]],IsITypeList,Table_ExternalData_15[[#This Row],[IType]],IsDList,Table_ExternalData_15[[#Headers],[4]])</f>
        <v>0</v>
      </c>
      <c r="I232" s="10">
        <f>SUMIFS(IsQList,IsIList,Table_ExternalData_15[[#This Row],[item_key]],IsITypeList,Table_ExternalData_15[[#This Row],[IType]],IsDList,Table_ExternalData_15[[#Headers],[5]])</f>
        <v>0</v>
      </c>
      <c r="J232" s="10">
        <f>SUMIFS(IsQList,IsIList,Table_ExternalData_15[[#This Row],[item_key]],IsITypeList,Table_ExternalData_15[[#This Row],[IType]],IsDList,Table_ExternalData_15[[#Headers],[6]])</f>
        <v>0</v>
      </c>
      <c r="K232" s="10">
        <f>SUMIFS(IsQList,IsIList,Table_ExternalData_15[[#This Row],[item_key]],IsITypeList,Table_ExternalData_15[[#This Row],[IType]],IsDList,Table_ExternalData_15[[#Headers],[7]])</f>
        <v>0</v>
      </c>
      <c r="L232" s="10">
        <f>SUMIFS(IsQList,IsIList,Table_ExternalData_15[[#This Row],[item_key]],IsITypeList,Table_ExternalData_15[[#This Row],[IType]],IsDList,Table_ExternalData_15[[#Headers],[8]])</f>
        <v>0</v>
      </c>
      <c r="M232" s="10">
        <f>SUMIFS(IsQList,IsIList,Table_ExternalData_15[[#This Row],[item_key]],IsITypeList,Table_ExternalData_15[[#This Row],[IType]],IsDList,Table_ExternalData_15[[#Headers],[9]])</f>
        <v>0</v>
      </c>
      <c r="N232" s="10">
        <f>SUMIFS(IsQList,IsIList,Table_ExternalData_15[[#This Row],[item_key]],IsITypeList,Table_ExternalData_15[[#This Row],[IType]],IsDList,Table_ExternalData_15[[#Headers],[10]])</f>
        <v>0</v>
      </c>
      <c r="O232" s="10">
        <f>SUMIFS(IsQList,IsIList,Table_ExternalData_15[[#This Row],[item_key]],IsITypeList,Table_ExternalData_15[[#This Row],[IType]],IsDList,Table_ExternalData_15[[#Headers],[11]])</f>
        <v>0</v>
      </c>
      <c r="P232" s="10">
        <f>SUMIFS(IsQList,IsIList,Table_ExternalData_15[[#This Row],[item_key]],IsITypeList,Table_ExternalData_15[[#This Row],[IType]],IsDList,Table_ExternalData_15[[#Headers],[12]])</f>
        <v>0</v>
      </c>
      <c r="Q232" s="10">
        <f>SUMIFS(IsQList,IsIList,Table_ExternalData_15[[#This Row],[item_key]],IsITypeList,Table_ExternalData_15[[#This Row],[IType]],IsDList,Table_ExternalData_15[[#Headers],[13]])</f>
        <v>0</v>
      </c>
      <c r="R232" s="10">
        <f>SUMIFS(IsQList,IsIList,Table_ExternalData_15[[#This Row],[item_key]],IsITypeList,Table_ExternalData_15[[#This Row],[IType]],IsDList,Table_ExternalData_15[[#Headers],[14]])</f>
        <v>0</v>
      </c>
      <c r="S232" s="10">
        <f>SUMIFS(IsQList,IsIList,Table_ExternalData_15[[#This Row],[item_key]],IsITypeList,Table_ExternalData_15[[#This Row],[IType]],IsDList,Table_ExternalData_15[[#Headers],[15]])</f>
        <v>0</v>
      </c>
      <c r="T232" s="10">
        <f>SUMIFS(IsQList,IsIList,Table_ExternalData_15[[#This Row],[item_key]],IsITypeList,Table_ExternalData_15[[#This Row],[IType]],IsDList,Table_ExternalData_15[[#Headers],[16]])</f>
        <v>0</v>
      </c>
      <c r="U232" s="10">
        <f>SUMIFS(IsQList,IsIList,Table_ExternalData_15[[#This Row],[item_key]],IsITypeList,Table_ExternalData_15[[#This Row],[IType]],IsDList,Table_ExternalData_15[[#Headers],[17]])</f>
        <v>0</v>
      </c>
      <c r="V232" s="10">
        <f>SUMIFS(IsQList,IsIList,Table_ExternalData_15[[#This Row],[item_key]],IsITypeList,Table_ExternalData_15[[#This Row],[IType]],IsDList,Table_ExternalData_15[[#Headers],[18]])</f>
        <v>0</v>
      </c>
      <c r="W232" s="10">
        <f>SUMIFS(IsQList,IsIList,Table_ExternalData_15[[#This Row],[item_key]],IsITypeList,Table_ExternalData_15[[#This Row],[IType]],IsDList,Table_ExternalData_15[[#Headers],[19]])</f>
        <v>0</v>
      </c>
      <c r="X232" s="10">
        <f>SUMIFS(IsQList,IsIList,Table_ExternalData_15[[#This Row],[item_key]],IsITypeList,Table_ExternalData_15[[#This Row],[IType]],IsDList,Table_ExternalData_15[[#Headers],[20]])</f>
        <v>0</v>
      </c>
      <c r="Y232" s="10">
        <f>SUMIFS(IsQList,IsIList,Table_ExternalData_15[[#This Row],[item_key]],IsITypeList,Table_ExternalData_15[[#This Row],[IType]],IsDList,Table_ExternalData_15[[#Headers],[21]])</f>
        <v>0</v>
      </c>
      <c r="Z232" s="10">
        <f>SUMIFS(IsQList,IsIList,Table_ExternalData_15[[#This Row],[item_key]],IsITypeList,Table_ExternalData_15[[#This Row],[IType]],IsDList,Table_ExternalData_15[[#Headers],[22]])</f>
        <v>0</v>
      </c>
      <c r="AA232" s="10">
        <f>SUMIFS(IsQList,IsIList,Table_ExternalData_15[[#This Row],[item_key]],IsITypeList,Table_ExternalData_15[[#This Row],[IType]],IsDList,Table_ExternalData_15[[#Headers],[23]])</f>
        <v>0</v>
      </c>
      <c r="AB232" s="10">
        <f>SUMIFS(IsQList,IsIList,Table_ExternalData_15[[#This Row],[item_key]],IsITypeList,Table_ExternalData_15[[#This Row],[IType]],IsDList,Table_ExternalData_15[[#Headers],[24]])</f>
        <v>0</v>
      </c>
      <c r="AC232" s="10">
        <f>SUMIFS(IsQList,IsIList,Table_ExternalData_15[[#This Row],[item_key]],IsITypeList,Table_ExternalData_15[[#This Row],[IType]],IsDList,Table_ExternalData_15[[#Headers],[25]])</f>
        <v>0</v>
      </c>
      <c r="AD232" s="10">
        <f>SUMIFS(IsQList,IsIList,Table_ExternalData_15[[#This Row],[item_key]],IsITypeList,Table_ExternalData_15[[#This Row],[IType]],IsDList,Table_ExternalData_15[[#Headers],[26]])</f>
        <v>0</v>
      </c>
      <c r="AE232" s="10">
        <f>SUMIFS(IsQList,IsIList,Table_ExternalData_15[[#This Row],[item_key]],IsITypeList,Table_ExternalData_15[[#This Row],[IType]],IsDList,Table_ExternalData_15[[#Headers],[27]])</f>
        <v>0</v>
      </c>
      <c r="AF232" s="10">
        <f>SUMIFS(IsQList,IsIList,Table_ExternalData_15[[#This Row],[item_key]],IsITypeList,Table_ExternalData_15[[#This Row],[IType]],IsDList,Table_ExternalData_15[[#Headers],[28]])</f>
        <v>0</v>
      </c>
      <c r="AG232" s="10">
        <f>SUMIFS(IsQList,IsIList,Table_ExternalData_15[[#This Row],[item_key]],IsITypeList,Table_ExternalData_15[[#This Row],[IType]],IsDList,Table_ExternalData_15[[#Headers],[29]])</f>
        <v>0</v>
      </c>
      <c r="AH232" s="10">
        <f>SUMIFS(IsQList,IsIList,Table_ExternalData_15[[#This Row],[item_key]],IsITypeList,Table_ExternalData_15[[#This Row],[IType]],IsDList,Table_ExternalData_15[[#Headers],[30]])</f>
        <v>0</v>
      </c>
      <c r="AI232" s="10">
        <f>SUMIFS(IsQList,IsIList,Table_ExternalData_15[[#This Row],[item_key]],IsITypeList,Table_ExternalData_15[[#This Row],[IType]],IsDList,Table_ExternalData_15[[#Headers],[31]])</f>
        <v>0</v>
      </c>
      <c r="AJ232" s="10">
        <f>SUM(Table_ExternalData_15[[#This Row],[1]:[31]])</f>
        <v>0</v>
      </c>
    </row>
    <row r="233" spans="1:36">
      <c r="A233" s="1" t="s">
        <v>758</v>
      </c>
      <c r="B233" s="1" t="s">
        <v>2666</v>
      </c>
      <c r="C233" s="1" t="s">
        <v>1422</v>
      </c>
      <c r="D233" s="11" t="s">
        <v>72</v>
      </c>
      <c r="E233" s="10">
        <f>SUMIFS(IsQList,IsIList,Table_ExternalData_15[[#This Row],[item_key]],IsITypeList,Table_ExternalData_15[[#This Row],[IType]],IsDList,Table_ExternalData_15[[#Headers],[1]])</f>
        <v>0</v>
      </c>
      <c r="F233" s="10">
        <f>SUMIFS(IsQList,IsIList,Table_ExternalData_15[[#This Row],[item_key]],IsITypeList,Table_ExternalData_15[[#This Row],[IType]],IsDList,Table_ExternalData_15[[#Headers],[2]])</f>
        <v>0</v>
      </c>
      <c r="G233" s="10">
        <f>SUMIFS(IsQList,IsIList,Table_ExternalData_15[[#This Row],[item_key]],IsITypeList,Table_ExternalData_15[[#This Row],[IType]],IsDList,Table_ExternalData_15[[#Headers],[3]])</f>
        <v>0</v>
      </c>
      <c r="H233" s="10">
        <f>SUMIFS(IsQList,IsIList,Table_ExternalData_15[[#This Row],[item_key]],IsITypeList,Table_ExternalData_15[[#This Row],[IType]],IsDList,Table_ExternalData_15[[#Headers],[4]])</f>
        <v>0</v>
      </c>
      <c r="I233" s="10">
        <f>SUMIFS(IsQList,IsIList,Table_ExternalData_15[[#This Row],[item_key]],IsITypeList,Table_ExternalData_15[[#This Row],[IType]],IsDList,Table_ExternalData_15[[#Headers],[5]])</f>
        <v>0</v>
      </c>
      <c r="J233" s="10">
        <f>SUMIFS(IsQList,IsIList,Table_ExternalData_15[[#This Row],[item_key]],IsITypeList,Table_ExternalData_15[[#This Row],[IType]],IsDList,Table_ExternalData_15[[#Headers],[6]])</f>
        <v>0</v>
      </c>
      <c r="K233" s="10">
        <f>SUMIFS(IsQList,IsIList,Table_ExternalData_15[[#This Row],[item_key]],IsITypeList,Table_ExternalData_15[[#This Row],[IType]],IsDList,Table_ExternalData_15[[#Headers],[7]])</f>
        <v>0</v>
      </c>
      <c r="L233" s="10">
        <f>SUMIFS(IsQList,IsIList,Table_ExternalData_15[[#This Row],[item_key]],IsITypeList,Table_ExternalData_15[[#This Row],[IType]],IsDList,Table_ExternalData_15[[#Headers],[8]])</f>
        <v>0</v>
      </c>
      <c r="M233" s="10">
        <f>SUMIFS(IsQList,IsIList,Table_ExternalData_15[[#This Row],[item_key]],IsITypeList,Table_ExternalData_15[[#This Row],[IType]],IsDList,Table_ExternalData_15[[#Headers],[9]])</f>
        <v>0</v>
      </c>
      <c r="N233" s="10">
        <f>SUMIFS(IsQList,IsIList,Table_ExternalData_15[[#This Row],[item_key]],IsITypeList,Table_ExternalData_15[[#This Row],[IType]],IsDList,Table_ExternalData_15[[#Headers],[10]])</f>
        <v>13</v>
      </c>
      <c r="O233" s="10">
        <f>SUMIFS(IsQList,IsIList,Table_ExternalData_15[[#This Row],[item_key]],IsITypeList,Table_ExternalData_15[[#This Row],[IType]],IsDList,Table_ExternalData_15[[#Headers],[11]])</f>
        <v>0</v>
      </c>
      <c r="P233" s="10">
        <f>SUMIFS(IsQList,IsIList,Table_ExternalData_15[[#This Row],[item_key]],IsITypeList,Table_ExternalData_15[[#This Row],[IType]],IsDList,Table_ExternalData_15[[#Headers],[12]])</f>
        <v>0</v>
      </c>
      <c r="Q233" s="10">
        <f>SUMIFS(IsQList,IsIList,Table_ExternalData_15[[#This Row],[item_key]],IsITypeList,Table_ExternalData_15[[#This Row],[IType]],IsDList,Table_ExternalData_15[[#Headers],[13]])</f>
        <v>0</v>
      </c>
      <c r="R233" s="10">
        <f>SUMIFS(IsQList,IsIList,Table_ExternalData_15[[#This Row],[item_key]],IsITypeList,Table_ExternalData_15[[#This Row],[IType]],IsDList,Table_ExternalData_15[[#Headers],[14]])</f>
        <v>0</v>
      </c>
      <c r="S233" s="10">
        <f>SUMIFS(IsQList,IsIList,Table_ExternalData_15[[#This Row],[item_key]],IsITypeList,Table_ExternalData_15[[#This Row],[IType]],IsDList,Table_ExternalData_15[[#Headers],[15]])</f>
        <v>0</v>
      </c>
      <c r="T233" s="10">
        <f>SUMIFS(IsQList,IsIList,Table_ExternalData_15[[#This Row],[item_key]],IsITypeList,Table_ExternalData_15[[#This Row],[IType]],IsDList,Table_ExternalData_15[[#Headers],[16]])</f>
        <v>10</v>
      </c>
      <c r="U233" s="10">
        <f>SUMIFS(IsQList,IsIList,Table_ExternalData_15[[#This Row],[item_key]],IsITypeList,Table_ExternalData_15[[#This Row],[IType]],IsDList,Table_ExternalData_15[[#Headers],[17]])</f>
        <v>0</v>
      </c>
      <c r="V233" s="10">
        <f>SUMIFS(IsQList,IsIList,Table_ExternalData_15[[#This Row],[item_key]],IsITypeList,Table_ExternalData_15[[#This Row],[IType]],IsDList,Table_ExternalData_15[[#Headers],[18]])</f>
        <v>0</v>
      </c>
      <c r="W233" s="10">
        <f>SUMIFS(IsQList,IsIList,Table_ExternalData_15[[#This Row],[item_key]],IsITypeList,Table_ExternalData_15[[#This Row],[IType]],IsDList,Table_ExternalData_15[[#Headers],[19]])</f>
        <v>0</v>
      </c>
      <c r="X233" s="10">
        <f>SUMIFS(IsQList,IsIList,Table_ExternalData_15[[#This Row],[item_key]],IsITypeList,Table_ExternalData_15[[#This Row],[IType]],IsDList,Table_ExternalData_15[[#Headers],[20]])</f>
        <v>0</v>
      </c>
      <c r="Y233" s="10">
        <f>SUMIFS(IsQList,IsIList,Table_ExternalData_15[[#This Row],[item_key]],IsITypeList,Table_ExternalData_15[[#This Row],[IType]],IsDList,Table_ExternalData_15[[#Headers],[21]])</f>
        <v>0</v>
      </c>
      <c r="Z233" s="10">
        <f>SUMIFS(IsQList,IsIList,Table_ExternalData_15[[#This Row],[item_key]],IsITypeList,Table_ExternalData_15[[#This Row],[IType]],IsDList,Table_ExternalData_15[[#Headers],[22]])</f>
        <v>0</v>
      </c>
      <c r="AA233" s="10">
        <f>SUMIFS(IsQList,IsIList,Table_ExternalData_15[[#This Row],[item_key]],IsITypeList,Table_ExternalData_15[[#This Row],[IType]],IsDList,Table_ExternalData_15[[#Headers],[23]])</f>
        <v>0</v>
      </c>
      <c r="AB233" s="10">
        <f>SUMIFS(IsQList,IsIList,Table_ExternalData_15[[#This Row],[item_key]],IsITypeList,Table_ExternalData_15[[#This Row],[IType]],IsDList,Table_ExternalData_15[[#Headers],[24]])</f>
        <v>0</v>
      </c>
      <c r="AC233" s="10">
        <f>SUMIFS(IsQList,IsIList,Table_ExternalData_15[[#This Row],[item_key]],IsITypeList,Table_ExternalData_15[[#This Row],[IType]],IsDList,Table_ExternalData_15[[#Headers],[25]])</f>
        <v>0</v>
      </c>
      <c r="AD233" s="10">
        <f>SUMIFS(IsQList,IsIList,Table_ExternalData_15[[#This Row],[item_key]],IsITypeList,Table_ExternalData_15[[#This Row],[IType]],IsDList,Table_ExternalData_15[[#Headers],[26]])</f>
        <v>0</v>
      </c>
      <c r="AE233" s="10">
        <f>SUMIFS(IsQList,IsIList,Table_ExternalData_15[[#This Row],[item_key]],IsITypeList,Table_ExternalData_15[[#This Row],[IType]],IsDList,Table_ExternalData_15[[#Headers],[27]])</f>
        <v>0</v>
      </c>
      <c r="AF233" s="10">
        <f>SUMIFS(IsQList,IsIList,Table_ExternalData_15[[#This Row],[item_key]],IsITypeList,Table_ExternalData_15[[#This Row],[IType]],IsDList,Table_ExternalData_15[[#Headers],[28]])</f>
        <v>0</v>
      </c>
      <c r="AG233" s="10">
        <f>SUMIFS(IsQList,IsIList,Table_ExternalData_15[[#This Row],[item_key]],IsITypeList,Table_ExternalData_15[[#This Row],[IType]],IsDList,Table_ExternalData_15[[#Headers],[29]])</f>
        <v>0</v>
      </c>
      <c r="AH233" s="10">
        <f>SUMIFS(IsQList,IsIList,Table_ExternalData_15[[#This Row],[item_key]],IsITypeList,Table_ExternalData_15[[#This Row],[IType]],IsDList,Table_ExternalData_15[[#Headers],[30]])</f>
        <v>5</v>
      </c>
      <c r="AI233" s="10">
        <f>SUMIFS(IsQList,IsIList,Table_ExternalData_15[[#This Row],[item_key]],IsITypeList,Table_ExternalData_15[[#This Row],[IType]],IsDList,Table_ExternalData_15[[#Headers],[31]])</f>
        <v>0</v>
      </c>
      <c r="AJ233" s="10">
        <f>SUM(Table_ExternalData_15[[#This Row],[1]:[31]])</f>
        <v>28</v>
      </c>
    </row>
    <row r="234" spans="1:36">
      <c r="A234" s="1" t="s">
        <v>759</v>
      </c>
      <c r="B234" s="1" t="s">
        <v>1390</v>
      </c>
      <c r="C234" s="1" t="s">
        <v>1279</v>
      </c>
      <c r="D234" s="11" t="s">
        <v>72</v>
      </c>
      <c r="E234" s="10">
        <f>SUMIFS(IsQList,IsIList,Table_ExternalData_15[[#This Row],[item_key]],IsITypeList,Table_ExternalData_15[[#This Row],[IType]],IsDList,Table_ExternalData_15[[#Headers],[1]])</f>
        <v>0</v>
      </c>
      <c r="F234" s="10">
        <f>SUMIFS(IsQList,IsIList,Table_ExternalData_15[[#This Row],[item_key]],IsITypeList,Table_ExternalData_15[[#This Row],[IType]],IsDList,Table_ExternalData_15[[#Headers],[2]])</f>
        <v>0</v>
      </c>
      <c r="G234" s="10">
        <f>SUMIFS(IsQList,IsIList,Table_ExternalData_15[[#This Row],[item_key]],IsITypeList,Table_ExternalData_15[[#This Row],[IType]],IsDList,Table_ExternalData_15[[#Headers],[3]])</f>
        <v>0</v>
      </c>
      <c r="H234" s="10">
        <f>SUMIFS(IsQList,IsIList,Table_ExternalData_15[[#This Row],[item_key]],IsITypeList,Table_ExternalData_15[[#This Row],[IType]],IsDList,Table_ExternalData_15[[#Headers],[4]])</f>
        <v>0</v>
      </c>
      <c r="I234" s="10">
        <f>SUMIFS(IsQList,IsIList,Table_ExternalData_15[[#This Row],[item_key]],IsITypeList,Table_ExternalData_15[[#This Row],[IType]],IsDList,Table_ExternalData_15[[#Headers],[5]])</f>
        <v>0</v>
      </c>
      <c r="J234" s="10">
        <f>SUMIFS(IsQList,IsIList,Table_ExternalData_15[[#This Row],[item_key]],IsITypeList,Table_ExternalData_15[[#This Row],[IType]],IsDList,Table_ExternalData_15[[#Headers],[6]])</f>
        <v>0</v>
      </c>
      <c r="K234" s="10">
        <f>SUMIFS(IsQList,IsIList,Table_ExternalData_15[[#This Row],[item_key]],IsITypeList,Table_ExternalData_15[[#This Row],[IType]],IsDList,Table_ExternalData_15[[#Headers],[7]])</f>
        <v>0</v>
      </c>
      <c r="L234" s="10">
        <f>SUMIFS(IsQList,IsIList,Table_ExternalData_15[[#This Row],[item_key]],IsITypeList,Table_ExternalData_15[[#This Row],[IType]],IsDList,Table_ExternalData_15[[#Headers],[8]])</f>
        <v>0</v>
      </c>
      <c r="M234" s="10">
        <f>SUMIFS(IsQList,IsIList,Table_ExternalData_15[[#This Row],[item_key]],IsITypeList,Table_ExternalData_15[[#This Row],[IType]],IsDList,Table_ExternalData_15[[#Headers],[9]])</f>
        <v>0</v>
      </c>
      <c r="N234" s="10">
        <f>SUMIFS(IsQList,IsIList,Table_ExternalData_15[[#This Row],[item_key]],IsITypeList,Table_ExternalData_15[[#This Row],[IType]],IsDList,Table_ExternalData_15[[#Headers],[10]])</f>
        <v>0</v>
      </c>
      <c r="O234" s="10">
        <f>SUMIFS(IsQList,IsIList,Table_ExternalData_15[[#This Row],[item_key]],IsITypeList,Table_ExternalData_15[[#This Row],[IType]],IsDList,Table_ExternalData_15[[#Headers],[11]])</f>
        <v>0</v>
      </c>
      <c r="P234" s="10">
        <f>SUMIFS(IsQList,IsIList,Table_ExternalData_15[[#This Row],[item_key]],IsITypeList,Table_ExternalData_15[[#This Row],[IType]],IsDList,Table_ExternalData_15[[#Headers],[12]])</f>
        <v>0</v>
      </c>
      <c r="Q234" s="10">
        <f>SUMIFS(IsQList,IsIList,Table_ExternalData_15[[#This Row],[item_key]],IsITypeList,Table_ExternalData_15[[#This Row],[IType]],IsDList,Table_ExternalData_15[[#Headers],[13]])</f>
        <v>0</v>
      </c>
      <c r="R234" s="10">
        <f>SUMIFS(IsQList,IsIList,Table_ExternalData_15[[#This Row],[item_key]],IsITypeList,Table_ExternalData_15[[#This Row],[IType]],IsDList,Table_ExternalData_15[[#Headers],[14]])</f>
        <v>0</v>
      </c>
      <c r="S234" s="10">
        <f>SUMIFS(IsQList,IsIList,Table_ExternalData_15[[#This Row],[item_key]],IsITypeList,Table_ExternalData_15[[#This Row],[IType]],IsDList,Table_ExternalData_15[[#Headers],[15]])</f>
        <v>0</v>
      </c>
      <c r="T234" s="10">
        <f>SUMIFS(IsQList,IsIList,Table_ExternalData_15[[#This Row],[item_key]],IsITypeList,Table_ExternalData_15[[#This Row],[IType]],IsDList,Table_ExternalData_15[[#Headers],[16]])</f>
        <v>0</v>
      </c>
      <c r="U234" s="10">
        <f>SUMIFS(IsQList,IsIList,Table_ExternalData_15[[#This Row],[item_key]],IsITypeList,Table_ExternalData_15[[#This Row],[IType]],IsDList,Table_ExternalData_15[[#Headers],[17]])</f>
        <v>0</v>
      </c>
      <c r="V234" s="10">
        <f>SUMIFS(IsQList,IsIList,Table_ExternalData_15[[#This Row],[item_key]],IsITypeList,Table_ExternalData_15[[#This Row],[IType]],IsDList,Table_ExternalData_15[[#Headers],[18]])</f>
        <v>0</v>
      </c>
      <c r="W234" s="10">
        <f>SUMIFS(IsQList,IsIList,Table_ExternalData_15[[#This Row],[item_key]],IsITypeList,Table_ExternalData_15[[#This Row],[IType]],IsDList,Table_ExternalData_15[[#Headers],[19]])</f>
        <v>0</v>
      </c>
      <c r="X234" s="10">
        <f>SUMIFS(IsQList,IsIList,Table_ExternalData_15[[#This Row],[item_key]],IsITypeList,Table_ExternalData_15[[#This Row],[IType]],IsDList,Table_ExternalData_15[[#Headers],[20]])</f>
        <v>0</v>
      </c>
      <c r="Y234" s="10">
        <f>SUMIFS(IsQList,IsIList,Table_ExternalData_15[[#This Row],[item_key]],IsITypeList,Table_ExternalData_15[[#This Row],[IType]],IsDList,Table_ExternalData_15[[#Headers],[21]])</f>
        <v>0</v>
      </c>
      <c r="Z234" s="10">
        <f>SUMIFS(IsQList,IsIList,Table_ExternalData_15[[#This Row],[item_key]],IsITypeList,Table_ExternalData_15[[#This Row],[IType]],IsDList,Table_ExternalData_15[[#Headers],[22]])</f>
        <v>0</v>
      </c>
      <c r="AA234" s="10">
        <f>SUMIFS(IsQList,IsIList,Table_ExternalData_15[[#This Row],[item_key]],IsITypeList,Table_ExternalData_15[[#This Row],[IType]],IsDList,Table_ExternalData_15[[#Headers],[23]])</f>
        <v>0</v>
      </c>
      <c r="AB234" s="10">
        <f>SUMIFS(IsQList,IsIList,Table_ExternalData_15[[#This Row],[item_key]],IsITypeList,Table_ExternalData_15[[#This Row],[IType]],IsDList,Table_ExternalData_15[[#Headers],[24]])</f>
        <v>0</v>
      </c>
      <c r="AC234" s="10">
        <f>SUMIFS(IsQList,IsIList,Table_ExternalData_15[[#This Row],[item_key]],IsITypeList,Table_ExternalData_15[[#This Row],[IType]],IsDList,Table_ExternalData_15[[#Headers],[25]])</f>
        <v>0</v>
      </c>
      <c r="AD234" s="10">
        <f>SUMIFS(IsQList,IsIList,Table_ExternalData_15[[#This Row],[item_key]],IsITypeList,Table_ExternalData_15[[#This Row],[IType]],IsDList,Table_ExternalData_15[[#Headers],[26]])</f>
        <v>0</v>
      </c>
      <c r="AE234" s="10">
        <f>SUMIFS(IsQList,IsIList,Table_ExternalData_15[[#This Row],[item_key]],IsITypeList,Table_ExternalData_15[[#This Row],[IType]],IsDList,Table_ExternalData_15[[#Headers],[27]])</f>
        <v>0</v>
      </c>
      <c r="AF234" s="10">
        <f>SUMIFS(IsQList,IsIList,Table_ExternalData_15[[#This Row],[item_key]],IsITypeList,Table_ExternalData_15[[#This Row],[IType]],IsDList,Table_ExternalData_15[[#Headers],[28]])</f>
        <v>0</v>
      </c>
      <c r="AG234" s="10">
        <f>SUMIFS(IsQList,IsIList,Table_ExternalData_15[[#This Row],[item_key]],IsITypeList,Table_ExternalData_15[[#This Row],[IType]],IsDList,Table_ExternalData_15[[#Headers],[29]])</f>
        <v>0</v>
      </c>
      <c r="AH234" s="10">
        <f>SUMIFS(IsQList,IsIList,Table_ExternalData_15[[#This Row],[item_key]],IsITypeList,Table_ExternalData_15[[#This Row],[IType]],IsDList,Table_ExternalData_15[[#Headers],[30]])</f>
        <v>9</v>
      </c>
      <c r="AI234" s="10">
        <f>SUMIFS(IsQList,IsIList,Table_ExternalData_15[[#This Row],[item_key]],IsITypeList,Table_ExternalData_15[[#This Row],[IType]],IsDList,Table_ExternalData_15[[#Headers],[31]])</f>
        <v>0</v>
      </c>
      <c r="AJ234" s="10">
        <f>SUM(Table_ExternalData_15[[#This Row],[1]:[31]])</f>
        <v>9</v>
      </c>
    </row>
    <row r="235" spans="1:36">
      <c r="A235" s="1" t="s">
        <v>760</v>
      </c>
      <c r="B235" s="1" t="s">
        <v>1391</v>
      </c>
      <c r="C235" s="1" t="s">
        <v>1392</v>
      </c>
      <c r="D235" s="11" t="s">
        <v>72</v>
      </c>
      <c r="E235" s="10">
        <f>SUMIFS(IsQList,IsIList,Table_ExternalData_15[[#This Row],[item_key]],IsITypeList,Table_ExternalData_15[[#This Row],[IType]],IsDList,Table_ExternalData_15[[#Headers],[1]])</f>
        <v>0</v>
      </c>
      <c r="F235" s="10">
        <f>SUMIFS(IsQList,IsIList,Table_ExternalData_15[[#This Row],[item_key]],IsITypeList,Table_ExternalData_15[[#This Row],[IType]],IsDList,Table_ExternalData_15[[#Headers],[2]])</f>
        <v>0</v>
      </c>
      <c r="G235" s="10">
        <f>SUMIFS(IsQList,IsIList,Table_ExternalData_15[[#This Row],[item_key]],IsITypeList,Table_ExternalData_15[[#This Row],[IType]],IsDList,Table_ExternalData_15[[#Headers],[3]])</f>
        <v>0</v>
      </c>
      <c r="H235" s="10">
        <f>SUMIFS(IsQList,IsIList,Table_ExternalData_15[[#This Row],[item_key]],IsITypeList,Table_ExternalData_15[[#This Row],[IType]],IsDList,Table_ExternalData_15[[#Headers],[4]])</f>
        <v>0</v>
      </c>
      <c r="I235" s="10">
        <f>SUMIFS(IsQList,IsIList,Table_ExternalData_15[[#This Row],[item_key]],IsITypeList,Table_ExternalData_15[[#This Row],[IType]],IsDList,Table_ExternalData_15[[#Headers],[5]])</f>
        <v>0</v>
      </c>
      <c r="J235" s="10">
        <f>SUMIFS(IsQList,IsIList,Table_ExternalData_15[[#This Row],[item_key]],IsITypeList,Table_ExternalData_15[[#This Row],[IType]],IsDList,Table_ExternalData_15[[#Headers],[6]])</f>
        <v>0</v>
      </c>
      <c r="K235" s="10">
        <f>SUMIFS(IsQList,IsIList,Table_ExternalData_15[[#This Row],[item_key]],IsITypeList,Table_ExternalData_15[[#This Row],[IType]],IsDList,Table_ExternalData_15[[#Headers],[7]])</f>
        <v>0</v>
      </c>
      <c r="L235" s="10">
        <f>SUMIFS(IsQList,IsIList,Table_ExternalData_15[[#This Row],[item_key]],IsITypeList,Table_ExternalData_15[[#This Row],[IType]],IsDList,Table_ExternalData_15[[#Headers],[8]])</f>
        <v>0</v>
      </c>
      <c r="M235" s="10">
        <f>SUMIFS(IsQList,IsIList,Table_ExternalData_15[[#This Row],[item_key]],IsITypeList,Table_ExternalData_15[[#This Row],[IType]],IsDList,Table_ExternalData_15[[#Headers],[9]])</f>
        <v>0</v>
      </c>
      <c r="N235" s="10">
        <f>SUMIFS(IsQList,IsIList,Table_ExternalData_15[[#This Row],[item_key]],IsITypeList,Table_ExternalData_15[[#This Row],[IType]],IsDList,Table_ExternalData_15[[#Headers],[10]])</f>
        <v>95</v>
      </c>
      <c r="O235" s="10">
        <f>SUMIFS(IsQList,IsIList,Table_ExternalData_15[[#This Row],[item_key]],IsITypeList,Table_ExternalData_15[[#This Row],[IType]],IsDList,Table_ExternalData_15[[#Headers],[11]])</f>
        <v>0</v>
      </c>
      <c r="P235" s="10">
        <f>SUMIFS(IsQList,IsIList,Table_ExternalData_15[[#This Row],[item_key]],IsITypeList,Table_ExternalData_15[[#This Row],[IType]],IsDList,Table_ExternalData_15[[#Headers],[12]])</f>
        <v>0</v>
      </c>
      <c r="Q235" s="10">
        <f>SUMIFS(IsQList,IsIList,Table_ExternalData_15[[#This Row],[item_key]],IsITypeList,Table_ExternalData_15[[#This Row],[IType]],IsDList,Table_ExternalData_15[[#Headers],[13]])</f>
        <v>0</v>
      </c>
      <c r="R235" s="10">
        <f>SUMIFS(IsQList,IsIList,Table_ExternalData_15[[#This Row],[item_key]],IsITypeList,Table_ExternalData_15[[#This Row],[IType]],IsDList,Table_ExternalData_15[[#Headers],[14]])</f>
        <v>0</v>
      </c>
      <c r="S235" s="10">
        <f>SUMIFS(IsQList,IsIList,Table_ExternalData_15[[#This Row],[item_key]],IsITypeList,Table_ExternalData_15[[#This Row],[IType]],IsDList,Table_ExternalData_15[[#Headers],[15]])</f>
        <v>0</v>
      </c>
      <c r="T235" s="10">
        <f>SUMIFS(IsQList,IsIList,Table_ExternalData_15[[#This Row],[item_key]],IsITypeList,Table_ExternalData_15[[#This Row],[IType]],IsDList,Table_ExternalData_15[[#Headers],[16]])</f>
        <v>5</v>
      </c>
      <c r="U235" s="10">
        <f>SUMIFS(IsQList,IsIList,Table_ExternalData_15[[#This Row],[item_key]],IsITypeList,Table_ExternalData_15[[#This Row],[IType]],IsDList,Table_ExternalData_15[[#Headers],[17]])</f>
        <v>0</v>
      </c>
      <c r="V235" s="10">
        <f>SUMIFS(IsQList,IsIList,Table_ExternalData_15[[#This Row],[item_key]],IsITypeList,Table_ExternalData_15[[#This Row],[IType]],IsDList,Table_ExternalData_15[[#Headers],[18]])</f>
        <v>0</v>
      </c>
      <c r="W235" s="10">
        <f>SUMIFS(IsQList,IsIList,Table_ExternalData_15[[#This Row],[item_key]],IsITypeList,Table_ExternalData_15[[#This Row],[IType]],IsDList,Table_ExternalData_15[[#Headers],[19]])</f>
        <v>0</v>
      </c>
      <c r="X235" s="10">
        <f>SUMIFS(IsQList,IsIList,Table_ExternalData_15[[#This Row],[item_key]],IsITypeList,Table_ExternalData_15[[#This Row],[IType]],IsDList,Table_ExternalData_15[[#Headers],[20]])</f>
        <v>0</v>
      </c>
      <c r="Y235" s="10">
        <f>SUMIFS(IsQList,IsIList,Table_ExternalData_15[[#This Row],[item_key]],IsITypeList,Table_ExternalData_15[[#This Row],[IType]],IsDList,Table_ExternalData_15[[#Headers],[21]])</f>
        <v>0</v>
      </c>
      <c r="Z235" s="10">
        <f>SUMIFS(IsQList,IsIList,Table_ExternalData_15[[#This Row],[item_key]],IsITypeList,Table_ExternalData_15[[#This Row],[IType]],IsDList,Table_ExternalData_15[[#Headers],[22]])</f>
        <v>0</v>
      </c>
      <c r="AA235" s="10">
        <f>SUMIFS(IsQList,IsIList,Table_ExternalData_15[[#This Row],[item_key]],IsITypeList,Table_ExternalData_15[[#This Row],[IType]],IsDList,Table_ExternalData_15[[#Headers],[23]])</f>
        <v>0</v>
      </c>
      <c r="AB235" s="10">
        <f>SUMIFS(IsQList,IsIList,Table_ExternalData_15[[#This Row],[item_key]],IsITypeList,Table_ExternalData_15[[#This Row],[IType]],IsDList,Table_ExternalData_15[[#Headers],[24]])</f>
        <v>0</v>
      </c>
      <c r="AC235" s="10">
        <f>SUMIFS(IsQList,IsIList,Table_ExternalData_15[[#This Row],[item_key]],IsITypeList,Table_ExternalData_15[[#This Row],[IType]],IsDList,Table_ExternalData_15[[#Headers],[25]])</f>
        <v>0</v>
      </c>
      <c r="AD235" s="10">
        <f>SUMIFS(IsQList,IsIList,Table_ExternalData_15[[#This Row],[item_key]],IsITypeList,Table_ExternalData_15[[#This Row],[IType]],IsDList,Table_ExternalData_15[[#Headers],[26]])</f>
        <v>0</v>
      </c>
      <c r="AE235" s="10">
        <f>SUMIFS(IsQList,IsIList,Table_ExternalData_15[[#This Row],[item_key]],IsITypeList,Table_ExternalData_15[[#This Row],[IType]],IsDList,Table_ExternalData_15[[#Headers],[27]])</f>
        <v>0</v>
      </c>
      <c r="AF235" s="10">
        <f>SUMIFS(IsQList,IsIList,Table_ExternalData_15[[#This Row],[item_key]],IsITypeList,Table_ExternalData_15[[#This Row],[IType]],IsDList,Table_ExternalData_15[[#Headers],[28]])</f>
        <v>0</v>
      </c>
      <c r="AG235" s="10">
        <f>SUMIFS(IsQList,IsIList,Table_ExternalData_15[[#This Row],[item_key]],IsITypeList,Table_ExternalData_15[[#This Row],[IType]],IsDList,Table_ExternalData_15[[#Headers],[29]])</f>
        <v>0</v>
      </c>
      <c r="AH235" s="10">
        <f>SUMIFS(IsQList,IsIList,Table_ExternalData_15[[#This Row],[item_key]],IsITypeList,Table_ExternalData_15[[#This Row],[IType]],IsDList,Table_ExternalData_15[[#Headers],[30]])</f>
        <v>0</v>
      </c>
      <c r="AI235" s="10">
        <f>SUMIFS(IsQList,IsIList,Table_ExternalData_15[[#This Row],[item_key]],IsITypeList,Table_ExternalData_15[[#This Row],[IType]],IsDList,Table_ExternalData_15[[#Headers],[31]])</f>
        <v>0</v>
      </c>
      <c r="AJ235" s="10">
        <f>SUM(Table_ExternalData_15[[#This Row],[1]:[31]])</f>
        <v>100</v>
      </c>
    </row>
    <row r="236" spans="1:36">
      <c r="A236" s="1" t="s">
        <v>1824</v>
      </c>
      <c r="B236" s="1" t="s">
        <v>2667</v>
      </c>
      <c r="C236" s="1" t="s">
        <v>2668</v>
      </c>
      <c r="D236" s="11" t="s">
        <v>72</v>
      </c>
      <c r="E236" s="10">
        <f>SUMIFS(IsQList,IsIList,Table_ExternalData_15[[#This Row],[item_key]],IsITypeList,Table_ExternalData_15[[#This Row],[IType]],IsDList,Table_ExternalData_15[[#Headers],[1]])</f>
        <v>0</v>
      </c>
      <c r="F236" s="10">
        <f>SUMIFS(IsQList,IsIList,Table_ExternalData_15[[#This Row],[item_key]],IsITypeList,Table_ExternalData_15[[#This Row],[IType]],IsDList,Table_ExternalData_15[[#Headers],[2]])</f>
        <v>0</v>
      </c>
      <c r="G236" s="10">
        <f>SUMIFS(IsQList,IsIList,Table_ExternalData_15[[#This Row],[item_key]],IsITypeList,Table_ExternalData_15[[#This Row],[IType]],IsDList,Table_ExternalData_15[[#Headers],[3]])</f>
        <v>0</v>
      </c>
      <c r="H236" s="10">
        <f>SUMIFS(IsQList,IsIList,Table_ExternalData_15[[#This Row],[item_key]],IsITypeList,Table_ExternalData_15[[#This Row],[IType]],IsDList,Table_ExternalData_15[[#Headers],[4]])</f>
        <v>0</v>
      </c>
      <c r="I236" s="10">
        <f>SUMIFS(IsQList,IsIList,Table_ExternalData_15[[#This Row],[item_key]],IsITypeList,Table_ExternalData_15[[#This Row],[IType]],IsDList,Table_ExternalData_15[[#Headers],[5]])</f>
        <v>0</v>
      </c>
      <c r="J236" s="10">
        <f>SUMIFS(IsQList,IsIList,Table_ExternalData_15[[#This Row],[item_key]],IsITypeList,Table_ExternalData_15[[#This Row],[IType]],IsDList,Table_ExternalData_15[[#Headers],[6]])</f>
        <v>0</v>
      </c>
      <c r="K236" s="10">
        <f>SUMIFS(IsQList,IsIList,Table_ExternalData_15[[#This Row],[item_key]],IsITypeList,Table_ExternalData_15[[#This Row],[IType]],IsDList,Table_ExternalData_15[[#Headers],[7]])</f>
        <v>0</v>
      </c>
      <c r="L236" s="10">
        <f>SUMIFS(IsQList,IsIList,Table_ExternalData_15[[#This Row],[item_key]],IsITypeList,Table_ExternalData_15[[#This Row],[IType]],IsDList,Table_ExternalData_15[[#Headers],[8]])</f>
        <v>0</v>
      </c>
      <c r="M236" s="10">
        <f>SUMIFS(IsQList,IsIList,Table_ExternalData_15[[#This Row],[item_key]],IsITypeList,Table_ExternalData_15[[#This Row],[IType]],IsDList,Table_ExternalData_15[[#Headers],[9]])</f>
        <v>0</v>
      </c>
      <c r="N236" s="10">
        <f>SUMIFS(IsQList,IsIList,Table_ExternalData_15[[#This Row],[item_key]],IsITypeList,Table_ExternalData_15[[#This Row],[IType]],IsDList,Table_ExternalData_15[[#Headers],[10]])</f>
        <v>0</v>
      </c>
      <c r="O236" s="10">
        <f>SUMIFS(IsQList,IsIList,Table_ExternalData_15[[#This Row],[item_key]],IsITypeList,Table_ExternalData_15[[#This Row],[IType]],IsDList,Table_ExternalData_15[[#Headers],[11]])</f>
        <v>0</v>
      </c>
      <c r="P236" s="10">
        <f>SUMIFS(IsQList,IsIList,Table_ExternalData_15[[#This Row],[item_key]],IsITypeList,Table_ExternalData_15[[#This Row],[IType]],IsDList,Table_ExternalData_15[[#Headers],[12]])</f>
        <v>0</v>
      </c>
      <c r="Q236" s="10">
        <f>SUMIFS(IsQList,IsIList,Table_ExternalData_15[[#This Row],[item_key]],IsITypeList,Table_ExternalData_15[[#This Row],[IType]],IsDList,Table_ExternalData_15[[#Headers],[13]])</f>
        <v>0</v>
      </c>
      <c r="R236" s="10">
        <f>SUMIFS(IsQList,IsIList,Table_ExternalData_15[[#This Row],[item_key]],IsITypeList,Table_ExternalData_15[[#This Row],[IType]],IsDList,Table_ExternalData_15[[#Headers],[14]])</f>
        <v>0</v>
      </c>
      <c r="S236" s="10">
        <f>SUMIFS(IsQList,IsIList,Table_ExternalData_15[[#This Row],[item_key]],IsITypeList,Table_ExternalData_15[[#This Row],[IType]],IsDList,Table_ExternalData_15[[#Headers],[15]])</f>
        <v>0</v>
      </c>
      <c r="T236" s="10">
        <f>SUMIFS(IsQList,IsIList,Table_ExternalData_15[[#This Row],[item_key]],IsITypeList,Table_ExternalData_15[[#This Row],[IType]],IsDList,Table_ExternalData_15[[#Headers],[16]])</f>
        <v>0</v>
      </c>
      <c r="U236" s="10">
        <f>SUMIFS(IsQList,IsIList,Table_ExternalData_15[[#This Row],[item_key]],IsITypeList,Table_ExternalData_15[[#This Row],[IType]],IsDList,Table_ExternalData_15[[#Headers],[17]])</f>
        <v>0</v>
      </c>
      <c r="V236" s="10">
        <f>SUMIFS(IsQList,IsIList,Table_ExternalData_15[[#This Row],[item_key]],IsITypeList,Table_ExternalData_15[[#This Row],[IType]],IsDList,Table_ExternalData_15[[#Headers],[18]])</f>
        <v>0</v>
      </c>
      <c r="W236" s="10">
        <f>SUMIFS(IsQList,IsIList,Table_ExternalData_15[[#This Row],[item_key]],IsITypeList,Table_ExternalData_15[[#This Row],[IType]],IsDList,Table_ExternalData_15[[#Headers],[19]])</f>
        <v>0</v>
      </c>
      <c r="X236" s="10">
        <f>SUMIFS(IsQList,IsIList,Table_ExternalData_15[[#This Row],[item_key]],IsITypeList,Table_ExternalData_15[[#This Row],[IType]],IsDList,Table_ExternalData_15[[#Headers],[20]])</f>
        <v>0</v>
      </c>
      <c r="Y236" s="10">
        <f>SUMIFS(IsQList,IsIList,Table_ExternalData_15[[#This Row],[item_key]],IsITypeList,Table_ExternalData_15[[#This Row],[IType]],IsDList,Table_ExternalData_15[[#Headers],[21]])</f>
        <v>0</v>
      </c>
      <c r="Z236" s="10">
        <f>SUMIFS(IsQList,IsIList,Table_ExternalData_15[[#This Row],[item_key]],IsITypeList,Table_ExternalData_15[[#This Row],[IType]],IsDList,Table_ExternalData_15[[#Headers],[22]])</f>
        <v>0</v>
      </c>
      <c r="AA236" s="10">
        <f>SUMIFS(IsQList,IsIList,Table_ExternalData_15[[#This Row],[item_key]],IsITypeList,Table_ExternalData_15[[#This Row],[IType]],IsDList,Table_ExternalData_15[[#Headers],[23]])</f>
        <v>0</v>
      </c>
      <c r="AB236" s="10">
        <f>SUMIFS(IsQList,IsIList,Table_ExternalData_15[[#This Row],[item_key]],IsITypeList,Table_ExternalData_15[[#This Row],[IType]],IsDList,Table_ExternalData_15[[#Headers],[24]])</f>
        <v>0</v>
      </c>
      <c r="AC236" s="10">
        <f>SUMIFS(IsQList,IsIList,Table_ExternalData_15[[#This Row],[item_key]],IsITypeList,Table_ExternalData_15[[#This Row],[IType]],IsDList,Table_ExternalData_15[[#Headers],[25]])</f>
        <v>0</v>
      </c>
      <c r="AD236" s="10">
        <f>SUMIFS(IsQList,IsIList,Table_ExternalData_15[[#This Row],[item_key]],IsITypeList,Table_ExternalData_15[[#This Row],[IType]],IsDList,Table_ExternalData_15[[#Headers],[26]])</f>
        <v>0</v>
      </c>
      <c r="AE236" s="10">
        <f>SUMIFS(IsQList,IsIList,Table_ExternalData_15[[#This Row],[item_key]],IsITypeList,Table_ExternalData_15[[#This Row],[IType]],IsDList,Table_ExternalData_15[[#Headers],[27]])</f>
        <v>0</v>
      </c>
      <c r="AF236" s="10">
        <f>SUMIFS(IsQList,IsIList,Table_ExternalData_15[[#This Row],[item_key]],IsITypeList,Table_ExternalData_15[[#This Row],[IType]],IsDList,Table_ExternalData_15[[#Headers],[28]])</f>
        <v>0</v>
      </c>
      <c r="AG236" s="10">
        <f>SUMIFS(IsQList,IsIList,Table_ExternalData_15[[#This Row],[item_key]],IsITypeList,Table_ExternalData_15[[#This Row],[IType]],IsDList,Table_ExternalData_15[[#Headers],[29]])</f>
        <v>0</v>
      </c>
      <c r="AH236" s="10">
        <f>SUMIFS(IsQList,IsIList,Table_ExternalData_15[[#This Row],[item_key]],IsITypeList,Table_ExternalData_15[[#This Row],[IType]],IsDList,Table_ExternalData_15[[#Headers],[30]])</f>
        <v>0</v>
      </c>
      <c r="AI236" s="10">
        <f>SUMIFS(IsQList,IsIList,Table_ExternalData_15[[#This Row],[item_key]],IsITypeList,Table_ExternalData_15[[#This Row],[IType]],IsDList,Table_ExternalData_15[[#Headers],[31]])</f>
        <v>0</v>
      </c>
      <c r="AJ236" s="10">
        <f>SUM(Table_ExternalData_15[[#This Row],[1]:[31]])</f>
        <v>0</v>
      </c>
    </row>
    <row r="237" spans="1:36">
      <c r="A237" s="1" t="s">
        <v>1827</v>
      </c>
      <c r="B237" s="1" t="s">
        <v>2669</v>
      </c>
      <c r="C237" s="1" t="s">
        <v>2670</v>
      </c>
      <c r="D237" s="11" t="s">
        <v>72</v>
      </c>
      <c r="E237" s="10">
        <f>SUMIFS(IsQList,IsIList,Table_ExternalData_15[[#This Row],[item_key]],IsITypeList,Table_ExternalData_15[[#This Row],[IType]],IsDList,Table_ExternalData_15[[#Headers],[1]])</f>
        <v>0</v>
      </c>
      <c r="F237" s="10">
        <f>SUMIFS(IsQList,IsIList,Table_ExternalData_15[[#This Row],[item_key]],IsITypeList,Table_ExternalData_15[[#This Row],[IType]],IsDList,Table_ExternalData_15[[#Headers],[2]])</f>
        <v>0</v>
      </c>
      <c r="G237" s="10">
        <f>SUMIFS(IsQList,IsIList,Table_ExternalData_15[[#This Row],[item_key]],IsITypeList,Table_ExternalData_15[[#This Row],[IType]],IsDList,Table_ExternalData_15[[#Headers],[3]])</f>
        <v>0</v>
      </c>
      <c r="H237" s="10">
        <f>SUMIFS(IsQList,IsIList,Table_ExternalData_15[[#This Row],[item_key]],IsITypeList,Table_ExternalData_15[[#This Row],[IType]],IsDList,Table_ExternalData_15[[#Headers],[4]])</f>
        <v>0</v>
      </c>
      <c r="I237" s="10">
        <f>SUMIFS(IsQList,IsIList,Table_ExternalData_15[[#This Row],[item_key]],IsITypeList,Table_ExternalData_15[[#This Row],[IType]],IsDList,Table_ExternalData_15[[#Headers],[5]])</f>
        <v>0</v>
      </c>
      <c r="J237" s="10">
        <f>SUMIFS(IsQList,IsIList,Table_ExternalData_15[[#This Row],[item_key]],IsITypeList,Table_ExternalData_15[[#This Row],[IType]],IsDList,Table_ExternalData_15[[#Headers],[6]])</f>
        <v>0</v>
      </c>
      <c r="K237" s="10">
        <f>SUMIFS(IsQList,IsIList,Table_ExternalData_15[[#This Row],[item_key]],IsITypeList,Table_ExternalData_15[[#This Row],[IType]],IsDList,Table_ExternalData_15[[#Headers],[7]])</f>
        <v>0</v>
      </c>
      <c r="L237" s="10">
        <f>SUMIFS(IsQList,IsIList,Table_ExternalData_15[[#This Row],[item_key]],IsITypeList,Table_ExternalData_15[[#This Row],[IType]],IsDList,Table_ExternalData_15[[#Headers],[8]])</f>
        <v>0</v>
      </c>
      <c r="M237" s="10">
        <f>SUMIFS(IsQList,IsIList,Table_ExternalData_15[[#This Row],[item_key]],IsITypeList,Table_ExternalData_15[[#This Row],[IType]],IsDList,Table_ExternalData_15[[#Headers],[9]])</f>
        <v>0</v>
      </c>
      <c r="N237" s="10">
        <f>SUMIFS(IsQList,IsIList,Table_ExternalData_15[[#This Row],[item_key]],IsITypeList,Table_ExternalData_15[[#This Row],[IType]],IsDList,Table_ExternalData_15[[#Headers],[10]])</f>
        <v>0</v>
      </c>
      <c r="O237" s="10">
        <f>SUMIFS(IsQList,IsIList,Table_ExternalData_15[[#This Row],[item_key]],IsITypeList,Table_ExternalData_15[[#This Row],[IType]],IsDList,Table_ExternalData_15[[#Headers],[11]])</f>
        <v>0</v>
      </c>
      <c r="P237" s="10">
        <f>SUMIFS(IsQList,IsIList,Table_ExternalData_15[[#This Row],[item_key]],IsITypeList,Table_ExternalData_15[[#This Row],[IType]],IsDList,Table_ExternalData_15[[#Headers],[12]])</f>
        <v>0</v>
      </c>
      <c r="Q237" s="10">
        <f>SUMIFS(IsQList,IsIList,Table_ExternalData_15[[#This Row],[item_key]],IsITypeList,Table_ExternalData_15[[#This Row],[IType]],IsDList,Table_ExternalData_15[[#Headers],[13]])</f>
        <v>0</v>
      </c>
      <c r="R237" s="10">
        <f>SUMIFS(IsQList,IsIList,Table_ExternalData_15[[#This Row],[item_key]],IsITypeList,Table_ExternalData_15[[#This Row],[IType]],IsDList,Table_ExternalData_15[[#Headers],[14]])</f>
        <v>0</v>
      </c>
      <c r="S237" s="10">
        <f>SUMIFS(IsQList,IsIList,Table_ExternalData_15[[#This Row],[item_key]],IsITypeList,Table_ExternalData_15[[#This Row],[IType]],IsDList,Table_ExternalData_15[[#Headers],[15]])</f>
        <v>0</v>
      </c>
      <c r="T237" s="10">
        <f>SUMIFS(IsQList,IsIList,Table_ExternalData_15[[#This Row],[item_key]],IsITypeList,Table_ExternalData_15[[#This Row],[IType]],IsDList,Table_ExternalData_15[[#Headers],[16]])</f>
        <v>0</v>
      </c>
      <c r="U237" s="10">
        <f>SUMIFS(IsQList,IsIList,Table_ExternalData_15[[#This Row],[item_key]],IsITypeList,Table_ExternalData_15[[#This Row],[IType]],IsDList,Table_ExternalData_15[[#Headers],[17]])</f>
        <v>0</v>
      </c>
      <c r="V237" s="10">
        <f>SUMIFS(IsQList,IsIList,Table_ExternalData_15[[#This Row],[item_key]],IsITypeList,Table_ExternalData_15[[#This Row],[IType]],IsDList,Table_ExternalData_15[[#Headers],[18]])</f>
        <v>0</v>
      </c>
      <c r="W237" s="10">
        <f>SUMIFS(IsQList,IsIList,Table_ExternalData_15[[#This Row],[item_key]],IsITypeList,Table_ExternalData_15[[#This Row],[IType]],IsDList,Table_ExternalData_15[[#Headers],[19]])</f>
        <v>0</v>
      </c>
      <c r="X237" s="10">
        <f>SUMIFS(IsQList,IsIList,Table_ExternalData_15[[#This Row],[item_key]],IsITypeList,Table_ExternalData_15[[#This Row],[IType]],IsDList,Table_ExternalData_15[[#Headers],[20]])</f>
        <v>0</v>
      </c>
      <c r="Y237" s="10">
        <f>SUMIFS(IsQList,IsIList,Table_ExternalData_15[[#This Row],[item_key]],IsITypeList,Table_ExternalData_15[[#This Row],[IType]],IsDList,Table_ExternalData_15[[#Headers],[21]])</f>
        <v>0</v>
      </c>
      <c r="Z237" s="10">
        <f>SUMIFS(IsQList,IsIList,Table_ExternalData_15[[#This Row],[item_key]],IsITypeList,Table_ExternalData_15[[#This Row],[IType]],IsDList,Table_ExternalData_15[[#Headers],[22]])</f>
        <v>0</v>
      </c>
      <c r="AA237" s="10">
        <f>SUMIFS(IsQList,IsIList,Table_ExternalData_15[[#This Row],[item_key]],IsITypeList,Table_ExternalData_15[[#This Row],[IType]],IsDList,Table_ExternalData_15[[#Headers],[23]])</f>
        <v>0</v>
      </c>
      <c r="AB237" s="10">
        <f>SUMIFS(IsQList,IsIList,Table_ExternalData_15[[#This Row],[item_key]],IsITypeList,Table_ExternalData_15[[#This Row],[IType]],IsDList,Table_ExternalData_15[[#Headers],[24]])</f>
        <v>0</v>
      </c>
      <c r="AC237" s="10">
        <f>SUMIFS(IsQList,IsIList,Table_ExternalData_15[[#This Row],[item_key]],IsITypeList,Table_ExternalData_15[[#This Row],[IType]],IsDList,Table_ExternalData_15[[#Headers],[25]])</f>
        <v>0</v>
      </c>
      <c r="AD237" s="10">
        <f>SUMIFS(IsQList,IsIList,Table_ExternalData_15[[#This Row],[item_key]],IsITypeList,Table_ExternalData_15[[#This Row],[IType]],IsDList,Table_ExternalData_15[[#Headers],[26]])</f>
        <v>0</v>
      </c>
      <c r="AE237" s="10">
        <f>SUMIFS(IsQList,IsIList,Table_ExternalData_15[[#This Row],[item_key]],IsITypeList,Table_ExternalData_15[[#This Row],[IType]],IsDList,Table_ExternalData_15[[#Headers],[27]])</f>
        <v>0</v>
      </c>
      <c r="AF237" s="10">
        <f>SUMIFS(IsQList,IsIList,Table_ExternalData_15[[#This Row],[item_key]],IsITypeList,Table_ExternalData_15[[#This Row],[IType]],IsDList,Table_ExternalData_15[[#Headers],[28]])</f>
        <v>0</v>
      </c>
      <c r="AG237" s="10">
        <f>SUMIFS(IsQList,IsIList,Table_ExternalData_15[[#This Row],[item_key]],IsITypeList,Table_ExternalData_15[[#This Row],[IType]],IsDList,Table_ExternalData_15[[#Headers],[29]])</f>
        <v>0</v>
      </c>
      <c r="AH237" s="10">
        <f>SUMIFS(IsQList,IsIList,Table_ExternalData_15[[#This Row],[item_key]],IsITypeList,Table_ExternalData_15[[#This Row],[IType]],IsDList,Table_ExternalData_15[[#Headers],[30]])</f>
        <v>0</v>
      </c>
      <c r="AI237" s="10">
        <f>SUMIFS(IsQList,IsIList,Table_ExternalData_15[[#This Row],[item_key]],IsITypeList,Table_ExternalData_15[[#This Row],[IType]],IsDList,Table_ExternalData_15[[#Headers],[31]])</f>
        <v>0</v>
      </c>
      <c r="AJ237" s="10">
        <f>SUM(Table_ExternalData_15[[#This Row],[1]:[31]])</f>
        <v>0</v>
      </c>
    </row>
    <row r="238" spans="1:36">
      <c r="A238" s="1" t="s">
        <v>764</v>
      </c>
      <c r="B238" s="1" t="s">
        <v>1396</v>
      </c>
      <c r="C238" s="1" t="s">
        <v>1397</v>
      </c>
      <c r="D238" s="11" t="s">
        <v>72</v>
      </c>
      <c r="E238" s="10">
        <f>SUMIFS(IsQList,IsIList,Table_ExternalData_15[[#This Row],[item_key]],IsITypeList,Table_ExternalData_15[[#This Row],[IType]],IsDList,Table_ExternalData_15[[#Headers],[1]])</f>
        <v>0</v>
      </c>
      <c r="F238" s="10">
        <f>SUMIFS(IsQList,IsIList,Table_ExternalData_15[[#This Row],[item_key]],IsITypeList,Table_ExternalData_15[[#This Row],[IType]],IsDList,Table_ExternalData_15[[#Headers],[2]])</f>
        <v>0</v>
      </c>
      <c r="G238" s="10">
        <f>SUMIFS(IsQList,IsIList,Table_ExternalData_15[[#This Row],[item_key]],IsITypeList,Table_ExternalData_15[[#This Row],[IType]],IsDList,Table_ExternalData_15[[#Headers],[3]])</f>
        <v>0</v>
      </c>
      <c r="H238" s="10">
        <f>SUMIFS(IsQList,IsIList,Table_ExternalData_15[[#This Row],[item_key]],IsITypeList,Table_ExternalData_15[[#This Row],[IType]],IsDList,Table_ExternalData_15[[#Headers],[4]])</f>
        <v>0</v>
      </c>
      <c r="I238" s="10">
        <f>SUMIFS(IsQList,IsIList,Table_ExternalData_15[[#This Row],[item_key]],IsITypeList,Table_ExternalData_15[[#This Row],[IType]],IsDList,Table_ExternalData_15[[#Headers],[5]])</f>
        <v>0</v>
      </c>
      <c r="J238" s="10">
        <f>SUMIFS(IsQList,IsIList,Table_ExternalData_15[[#This Row],[item_key]],IsITypeList,Table_ExternalData_15[[#This Row],[IType]],IsDList,Table_ExternalData_15[[#Headers],[6]])</f>
        <v>0</v>
      </c>
      <c r="K238" s="10">
        <f>SUMIFS(IsQList,IsIList,Table_ExternalData_15[[#This Row],[item_key]],IsITypeList,Table_ExternalData_15[[#This Row],[IType]],IsDList,Table_ExternalData_15[[#Headers],[7]])</f>
        <v>0</v>
      </c>
      <c r="L238" s="10">
        <f>SUMIFS(IsQList,IsIList,Table_ExternalData_15[[#This Row],[item_key]],IsITypeList,Table_ExternalData_15[[#This Row],[IType]],IsDList,Table_ExternalData_15[[#Headers],[8]])</f>
        <v>0</v>
      </c>
      <c r="M238" s="10">
        <f>SUMIFS(IsQList,IsIList,Table_ExternalData_15[[#This Row],[item_key]],IsITypeList,Table_ExternalData_15[[#This Row],[IType]],IsDList,Table_ExternalData_15[[#Headers],[9]])</f>
        <v>0</v>
      </c>
      <c r="N238" s="10">
        <f>SUMIFS(IsQList,IsIList,Table_ExternalData_15[[#This Row],[item_key]],IsITypeList,Table_ExternalData_15[[#This Row],[IType]],IsDList,Table_ExternalData_15[[#Headers],[10]])</f>
        <v>0</v>
      </c>
      <c r="O238" s="10">
        <f>SUMIFS(IsQList,IsIList,Table_ExternalData_15[[#This Row],[item_key]],IsITypeList,Table_ExternalData_15[[#This Row],[IType]],IsDList,Table_ExternalData_15[[#Headers],[11]])</f>
        <v>0</v>
      </c>
      <c r="P238" s="10">
        <f>SUMIFS(IsQList,IsIList,Table_ExternalData_15[[#This Row],[item_key]],IsITypeList,Table_ExternalData_15[[#This Row],[IType]],IsDList,Table_ExternalData_15[[#Headers],[12]])</f>
        <v>0</v>
      </c>
      <c r="Q238" s="10">
        <f>SUMIFS(IsQList,IsIList,Table_ExternalData_15[[#This Row],[item_key]],IsITypeList,Table_ExternalData_15[[#This Row],[IType]],IsDList,Table_ExternalData_15[[#Headers],[13]])</f>
        <v>0</v>
      </c>
      <c r="R238" s="10">
        <f>SUMIFS(IsQList,IsIList,Table_ExternalData_15[[#This Row],[item_key]],IsITypeList,Table_ExternalData_15[[#This Row],[IType]],IsDList,Table_ExternalData_15[[#Headers],[14]])</f>
        <v>0</v>
      </c>
      <c r="S238" s="10">
        <f>SUMIFS(IsQList,IsIList,Table_ExternalData_15[[#This Row],[item_key]],IsITypeList,Table_ExternalData_15[[#This Row],[IType]],IsDList,Table_ExternalData_15[[#Headers],[15]])</f>
        <v>0</v>
      </c>
      <c r="T238" s="10">
        <f>SUMIFS(IsQList,IsIList,Table_ExternalData_15[[#This Row],[item_key]],IsITypeList,Table_ExternalData_15[[#This Row],[IType]],IsDList,Table_ExternalData_15[[#Headers],[16]])</f>
        <v>15</v>
      </c>
      <c r="U238" s="10">
        <f>SUMIFS(IsQList,IsIList,Table_ExternalData_15[[#This Row],[item_key]],IsITypeList,Table_ExternalData_15[[#This Row],[IType]],IsDList,Table_ExternalData_15[[#Headers],[17]])</f>
        <v>0</v>
      </c>
      <c r="V238" s="10">
        <f>SUMIFS(IsQList,IsIList,Table_ExternalData_15[[#This Row],[item_key]],IsITypeList,Table_ExternalData_15[[#This Row],[IType]],IsDList,Table_ExternalData_15[[#Headers],[18]])</f>
        <v>0</v>
      </c>
      <c r="W238" s="10">
        <f>SUMIFS(IsQList,IsIList,Table_ExternalData_15[[#This Row],[item_key]],IsITypeList,Table_ExternalData_15[[#This Row],[IType]],IsDList,Table_ExternalData_15[[#Headers],[19]])</f>
        <v>0</v>
      </c>
      <c r="X238" s="10">
        <f>SUMIFS(IsQList,IsIList,Table_ExternalData_15[[#This Row],[item_key]],IsITypeList,Table_ExternalData_15[[#This Row],[IType]],IsDList,Table_ExternalData_15[[#Headers],[20]])</f>
        <v>0</v>
      </c>
      <c r="Y238" s="10">
        <f>SUMIFS(IsQList,IsIList,Table_ExternalData_15[[#This Row],[item_key]],IsITypeList,Table_ExternalData_15[[#This Row],[IType]],IsDList,Table_ExternalData_15[[#Headers],[21]])</f>
        <v>0</v>
      </c>
      <c r="Z238" s="10">
        <f>SUMIFS(IsQList,IsIList,Table_ExternalData_15[[#This Row],[item_key]],IsITypeList,Table_ExternalData_15[[#This Row],[IType]],IsDList,Table_ExternalData_15[[#Headers],[22]])</f>
        <v>0</v>
      </c>
      <c r="AA238" s="10">
        <f>SUMIFS(IsQList,IsIList,Table_ExternalData_15[[#This Row],[item_key]],IsITypeList,Table_ExternalData_15[[#This Row],[IType]],IsDList,Table_ExternalData_15[[#Headers],[23]])</f>
        <v>0</v>
      </c>
      <c r="AB238" s="10">
        <f>SUMIFS(IsQList,IsIList,Table_ExternalData_15[[#This Row],[item_key]],IsITypeList,Table_ExternalData_15[[#This Row],[IType]],IsDList,Table_ExternalData_15[[#Headers],[24]])</f>
        <v>0</v>
      </c>
      <c r="AC238" s="10">
        <f>SUMIFS(IsQList,IsIList,Table_ExternalData_15[[#This Row],[item_key]],IsITypeList,Table_ExternalData_15[[#This Row],[IType]],IsDList,Table_ExternalData_15[[#Headers],[25]])</f>
        <v>0</v>
      </c>
      <c r="AD238" s="10">
        <f>SUMIFS(IsQList,IsIList,Table_ExternalData_15[[#This Row],[item_key]],IsITypeList,Table_ExternalData_15[[#This Row],[IType]],IsDList,Table_ExternalData_15[[#Headers],[26]])</f>
        <v>0</v>
      </c>
      <c r="AE238" s="10">
        <f>SUMIFS(IsQList,IsIList,Table_ExternalData_15[[#This Row],[item_key]],IsITypeList,Table_ExternalData_15[[#This Row],[IType]],IsDList,Table_ExternalData_15[[#Headers],[27]])</f>
        <v>0</v>
      </c>
      <c r="AF238" s="10">
        <f>SUMIFS(IsQList,IsIList,Table_ExternalData_15[[#This Row],[item_key]],IsITypeList,Table_ExternalData_15[[#This Row],[IType]],IsDList,Table_ExternalData_15[[#Headers],[28]])</f>
        <v>0</v>
      </c>
      <c r="AG238" s="10">
        <f>SUMIFS(IsQList,IsIList,Table_ExternalData_15[[#This Row],[item_key]],IsITypeList,Table_ExternalData_15[[#This Row],[IType]],IsDList,Table_ExternalData_15[[#Headers],[29]])</f>
        <v>0</v>
      </c>
      <c r="AH238" s="10">
        <f>SUMIFS(IsQList,IsIList,Table_ExternalData_15[[#This Row],[item_key]],IsITypeList,Table_ExternalData_15[[#This Row],[IType]],IsDList,Table_ExternalData_15[[#Headers],[30]])</f>
        <v>0</v>
      </c>
      <c r="AI238" s="10">
        <f>SUMIFS(IsQList,IsIList,Table_ExternalData_15[[#This Row],[item_key]],IsITypeList,Table_ExternalData_15[[#This Row],[IType]],IsDList,Table_ExternalData_15[[#Headers],[31]])</f>
        <v>0</v>
      </c>
      <c r="AJ238" s="10">
        <f>SUM(Table_ExternalData_15[[#This Row],[1]:[31]])</f>
        <v>15</v>
      </c>
    </row>
    <row r="239" spans="1:36">
      <c r="A239" s="1" t="s">
        <v>1831</v>
      </c>
      <c r="B239" s="1" t="s">
        <v>2671</v>
      </c>
      <c r="C239" s="1" t="s">
        <v>2672</v>
      </c>
      <c r="D239" s="11" t="s">
        <v>72</v>
      </c>
      <c r="E239" s="10">
        <f>SUMIFS(IsQList,IsIList,Table_ExternalData_15[[#This Row],[item_key]],IsITypeList,Table_ExternalData_15[[#This Row],[IType]],IsDList,Table_ExternalData_15[[#Headers],[1]])</f>
        <v>0</v>
      </c>
      <c r="F239" s="10">
        <f>SUMIFS(IsQList,IsIList,Table_ExternalData_15[[#This Row],[item_key]],IsITypeList,Table_ExternalData_15[[#This Row],[IType]],IsDList,Table_ExternalData_15[[#Headers],[2]])</f>
        <v>0</v>
      </c>
      <c r="G239" s="10">
        <f>SUMIFS(IsQList,IsIList,Table_ExternalData_15[[#This Row],[item_key]],IsITypeList,Table_ExternalData_15[[#This Row],[IType]],IsDList,Table_ExternalData_15[[#Headers],[3]])</f>
        <v>0</v>
      </c>
      <c r="H239" s="10">
        <f>SUMIFS(IsQList,IsIList,Table_ExternalData_15[[#This Row],[item_key]],IsITypeList,Table_ExternalData_15[[#This Row],[IType]],IsDList,Table_ExternalData_15[[#Headers],[4]])</f>
        <v>0</v>
      </c>
      <c r="I239" s="10">
        <f>SUMIFS(IsQList,IsIList,Table_ExternalData_15[[#This Row],[item_key]],IsITypeList,Table_ExternalData_15[[#This Row],[IType]],IsDList,Table_ExternalData_15[[#Headers],[5]])</f>
        <v>0</v>
      </c>
      <c r="J239" s="10">
        <f>SUMIFS(IsQList,IsIList,Table_ExternalData_15[[#This Row],[item_key]],IsITypeList,Table_ExternalData_15[[#This Row],[IType]],IsDList,Table_ExternalData_15[[#Headers],[6]])</f>
        <v>4</v>
      </c>
      <c r="K239" s="10">
        <f>SUMIFS(IsQList,IsIList,Table_ExternalData_15[[#This Row],[item_key]],IsITypeList,Table_ExternalData_15[[#This Row],[IType]],IsDList,Table_ExternalData_15[[#Headers],[7]])</f>
        <v>0</v>
      </c>
      <c r="L239" s="10">
        <f>SUMIFS(IsQList,IsIList,Table_ExternalData_15[[#This Row],[item_key]],IsITypeList,Table_ExternalData_15[[#This Row],[IType]],IsDList,Table_ExternalData_15[[#Headers],[8]])</f>
        <v>0</v>
      </c>
      <c r="M239" s="10">
        <f>SUMIFS(IsQList,IsIList,Table_ExternalData_15[[#This Row],[item_key]],IsITypeList,Table_ExternalData_15[[#This Row],[IType]],IsDList,Table_ExternalData_15[[#Headers],[9]])</f>
        <v>0</v>
      </c>
      <c r="N239" s="10">
        <f>SUMIFS(IsQList,IsIList,Table_ExternalData_15[[#This Row],[item_key]],IsITypeList,Table_ExternalData_15[[#This Row],[IType]],IsDList,Table_ExternalData_15[[#Headers],[10]])</f>
        <v>0</v>
      </c>
      <c r="O239" s="10">
        <f>SUMIFS(IsQList,IsIList,Table_ExternalData_15[[#This Row],[item_key]],IsITypeList,Table_ExternalData_15[[#This Row],[IType]],IsDList,Table_ExternalData_15[[#Headers],[11]])</f>
        <v>0</v>
      </c>
      <c r="P239" s="10">
        <f>SUMIFS(IsQList,IsIList,Table_ExternalData_15[[#This Row],[item_key]],IsITypeList,Table_ExternalData_15[[#This Row],[IType]],IsDList,Table_ExternalData_15[[#Headers],[12]])</f>
        <v>0</v>
      </c>
      <c r="Q239" s="10">
        <f>SUMIFS(IsQList,IsIList,Table_ExternalData_15[[#This Row],[item_key]],IsITypeList,Table_ExternalData_15[[#This Row],[IType]],IsDList,Table_ExternalData_15[[#Headers],[13]])</f>
        <v>0</v>
      </c>
      <c r="R239" s="10">
        <f>SUMIFS(IsQList,IsIList,Table_ExternalData_15[[#This Row],[item_key]],IsITypeList,Table_ExternalData_15[[#This Row],[IType]],IsDList,Table_ExternalData_15[[#Headers],[14]])</f>
        <v>0</v>
      </c>
      <c r="S239" s="10">
        <f>SUMIFS(IsQList,IsIList,Table_ExternalData_15[[#This Row],[item_key]],IsITypeList,Table_ExternalData_15[[#This Row],[IType]],IsDList,Table_ExternalData_15[[#Headers],[15]])</f>
        <v>0</v>
      </c>
      <c r="T239" s="10">
        <f>SUMIFS(IsQList,IsIList,Table_ExternalData_15[[#This Row],[item_key]],IsITypeList,Table_ExternalData_15[[#This Row],[IType]],IsDList,Table_ExternalData_15[[#Headers],[16]])</f>
        <v>10</v>
      </c>
      <c r="U239" s="10">
        <f>SUMIFS(IsQList,IsIList,Table_ExternalData_15[[#This Row],[item_key]],IsITypeList,Table_ExternalData_15[[#This Row],[IType]],IsDList,Table_ExternalData_15[[#Headers],[17]])</f>
        <v>0</v>
      </c>
      <c r="V239" s="10">
        <f>SUMIFS(IsQList,IsIList,Table_ExternalData_15[[#This Row],[item_key]],IsITypeList,Table_ExternalData_15[[#This Row],[IType]],IsDList,Table_ExternalData_15[[#Headers],[18]])</f>
        <v>0</v>
      </c>
      <c r="W239" s="10">
        <f>SUMIFS(IsQList,IsIList,Table_ExternalData_15[[#This Row],[item_key]],IsITypeList,Table_ExternalData_15[[#This Row],[IType]],IsDList,Table_ExternalData_15[[#Headers],[19]])</f>
        <v>0</v>
      </c>
      <c r="X239" s="10">
        <f>SUMIFS(IsQList,IsIList,Table_ExternalData_15[[#This Row],[item_key]],IsITypeList,Table_ExternalData_15[[#This Row],[IType]],IsDList,Table_ExternalData_15[[#Headers],[20]])</f>
        <v>0</v>
      </c>
      <c r="Y239" s="10">
        <f>SUMIFS(IsQList,IsIList,Table_ExternalData_15[[#This Row],[item_key]],IsITypeList,Table_ExternalData_15[[#This Row],[IType]],IsDList,Table_ExternalData_15[[#Headers],[21]])</f>
        <v>0</v>
      </c>
      <c r="Z239" s="10">
        <f>SUMIFS(IsQList,IsIList,Table_ExternalData_15[[#This Row],[item_key]],IsITypeList,Table_ExternalData_15[[#This Row],[IType]],IsDList,Table_ExternalData_15[[#Headers],[22]])</f>
        <v>0</v>
      </c>
      <c r="AA239" s="10">
        <f>SUMIFS(IsQList,IsIList,Table_ExternalData_15[[#This Row],[item_key]],IsITypeList,Table_ExternalData_15[[#This Row],[IType]],IsDList,Table_ExternalData_15[[#Headers],[23]])</f>
        <v>0</v>
      </c>
      <c r="AB239" s="10">
        <f>SUMIFS(IsQList,IsIList,Table_ExternalData_15[[#This Row],[item_key]],IsITypeList,Table_ExternalData_15[[#This Row],[IType]],IsDList,Table_ExternalData_15[[#Headers],[24]])</f>
        <v>0</v>
      </c>
      <c r="AC239" s="10">
        <f>SUMIFS(IsQList,IsIList,Table_ExternalData_15[[#This Row],[item_key]],IsITypeList,Table_ExternalData_15[[#This Row],[IType]],IsDList,Table_ExternalData_15[[#Headers],[25]])</f>
        <v>0</v>
      </c>
      <c r="AD239" s="10">
        <f>SUMIFS(IsQList,IsIList,Table_ExternalData_15[[#This Row],[item_key]],IsITypeList,Table_ExternalData_15[[#This Row],[IType]],IsDList,Table_ExternalData_15[[#Headers],[26]])</f>
        <v>0</v>
      </c>
      <c r="AE239" s="10">
        <f>SUMIFS(IsQList,IsIList,Table_ExternalData_15[[#This Row],[item_key]],IsITypeList,Table_ExternalData_15[[#This Row],[IType]],IsDList,Table_ExternalData_15[[#Headers],[27]])</f>
        <v>0</v>
      </c>
      <c r="AF239" s="10">
        <f>SUMIFS(IsQList,IsIList,Table_ExternalData_15[[#This Row],[item_key]],IsITypeList,Table_ExternalData_15[[#This Row],[IType]],IsDList,Table_ExternalData_15[[#Headers],[28]])</f>
        <v>0</v>
      </c>
      <c r="AG239" s="10">
        <f>SUMIFS(IsQList,IsIList,Table_ExternalData_15[[#This Row],[item_key]],IsITypeList,Table_ExternalData_15[[#This Row],[IType]],IsDList,Table_ExternalData_15[[#Headers],[29]])</f>
        <v>0</v>
      </c>
      <c r="AH239" s="10">
        <f>SUMIFS(IsQList,IsIList,Table_ExternalData_15[[#This Row],[item_key]],IsITypeList,Table_ExternalData_15[[#This Row],[IType]],IsDList,Table_ExternalData_15[[#Headers],[30]])</f>
        <v>0</v>
      </c>
      <c r="AI239" s="10">
        <f>SUMIFS(IsQList,IsIList,Table_ExternalData_15[[#This Row],[item_key]],IsITypeList,Table_ExternalData_15[[#This Row],[IType]],IsDList,Table_ExternalData_15[[#Headers],[31]])</f>
        <v>0</v>
      </c>
      <c r="AJ239" s="10">
        <f>SUM(Table_ExternalData_15[[#This Row],[1]:[31]])</f>
        <v>14</v>
      </c>
    </row>
    <row r="240" spans="1:36">
      <c r="A240" s="1" t="s">
        <v>771</v>
      </c>
      <c r="B240" s="1" t="s">
        <v>1398</v>
      </c>
      <c r="C240" s="1" t="s">
        <v>1399</v>
      </c>
      <c r="D240" s="11" t="s">
        <v>72</v>
      </c>
      <c r="E240" s="10">
        <f>SUMIFS(IsQList,IsIList,Table_ExternalData_15[[#This Row],[item_key]],IsITypeList,Table_ExternalData_15[[#This Row],[IType]],IsDList,Table_ExternalData_15[[#Headers],[1]])</f>
        <v>0</v>
      </c>
      <c r="F240" s="10">
        <f>SUMIFS(IsQList,IsIList,Table_ExternalData_15[[#This Row],[item_key]],IsITypeList,Table_ExternalData_15[[#This Row],[IType]],IsDList,Table_ExternalData_15[[#Headers],[2]])</f>
        <v>0</v>
      </c>
      <c r="G240" s="10">
        <f>SUMIFS(IsQList,IsIList,Table_ExternalData_15[[#This Row],[item_key]],IsITypeList,Table_ExternalData_15[[#This Row],[IType]],IsDList,Table_ExternalData_15[[#Headers],[3]])</f>
        <v>0</v>
      </c>
      <c r="H240" s="10">
        <f>SUMIFS(IsQList,IsIList,Table_ExternalData_15[[#This Row],[item_key]],IsITypeList,Table_ExternalData_15[[#This Row],[IType]],IsDList,Table_ExternalData_15[[#Headers],[4]])</f>
        <v>0</v>
      </c>
      <c r="I240" s="10">
        <f>SUMIFS(IsQList,IsIList,Table_ExternalData_15[[#This Row],[item_key]],IsITypeList,Table_ExternalData_15[[#This Row],[IType]],IsDList,Table_ExternalData_15[[#Headers],[5]])</f>
        <v>0</v>
      </c>
      <c r="J240" s="10">
        <f>SUMIFS(IsQList,IsIList,Table_ExternalData_15[[#This Row],[item_key]],IsITypeList,Table_ExternalData_15[[#This Row],[IType]],IsDList,Table_ExternalData_15[[#Headers],[6]])</f>
        <v>0</v>
      </c>
      <c r="K240" s="10">
        <f>SUMIFS(IsQList,IsIList,Table_ExternalData_15[[#This Row],[item_key]],IsITypeList,Table_ExternalData_15[[#This Row],[IType]],IsDList,Table_ExternalData_15[[#Headers],[7]])</f>
        <v>0</v>
      </c>
      <c r="L240" s="10">
        <f>SUMIFS(IsQList,IsIList,Table_ExternalData_15[[#This Row],[item_key]],IsITypeList,Table_ExternalData_15[[#This Row],[IType]],IsDList,Table_ExternalData_15[[#Headers],[8]])</f>
        <v>0</v>
      </c>
      <c r="M240" s="10">
        <f>SUMIFS(IsQList,IsIList,Table_ExternalData_15[[#This Row],[item_key]],IsITypeList,Table_ExternalData_15[[#This Row],[IType]],IsDList,Table_ExternalData_15[[#Headers],[9]])</f>
        <v>0</v>
      </c>
      <c r="N240" s="10">
        <f>SUMIFS(IsQList,IsIList,Table_ExternalData_15[[#This Row],[item_key]],IsITypeList,Table_ExternalData_15[[#This Row],[IType]],IsDList,Table_ExternalData_15[[#Headers],[10]])</f>
        <v>0</v>
      </c>
      <c r="O240" s="10">
        <f>SUMIFS(IsQList,IsIList,Table_ExternalData_15[[#This Row],[item_key]],IsITypeList,Table_ExternalData_15[[#This Row],[IType]],IsDList,Table_ExternalData_15[[#Headers],[11]])</f>
        <v>0</v>
      </c>
      <c r="P240" s="10">
        <f>SUMIFS(IsQList,IsIList,Table_ExternalData_15[[#This Row],[item_key]],IsITypeList,Table_ExternalData_15[[#This Row],[IType]],IsDList,Table_ExternalData_15[[#Headers],[12]])</f>
        <v>0</v>
      </c>
      <c r="Q240" s="10">
        <f>SUMIFS(IsQList,IsIList,Table_ExternalData_15[[#This Row],[item_key]],IsITypeList,Table_ExternalData_15[[#This Row],[IType]],IsDList,Table_ExternalData_15[[#Headers],[13]])</f>
        <v>0</v>
      </c>
      <c r="R240" s="10">
        <f>SUMIFS(IsQList,IsIList,Table_ExternalData_15[[#This Row],[item_key]],IsITypeList,Table_ExternalData_15[[#This Row],[IType]],IsDList,Table_ExternalData_15[[#Headers],[14]])</f>
        <v>0</v>
      </c>
      <c r="S240" s="10">
        <f>SUMIFS(IsQList,IsIList,Table_ExternalData_15[[#This Row],[item_key]],IsITypeList,Table_ExternalData_15[[#This Row],[IType]],IsDList,Table_ExternalData_15[[#Headers],[15]])</f>
        <v>0</v>
      </c>
      <c r="T240" s="10">
        <f>SUMIFS(IsQList,IsIList,Table_ExternalData_15[[#This Row],[item_key]],IsITypeList,Table_ExternalData_15[[#This Row],[IType]],IsDList,Table_ExternalData_15[[#Headers],[16]])</f>
        <v>0</v>
      </c>
      <c r="U240" s="10">
        <f>SUMIFS(IsQList,IsIList,Table_ExternalData_15[[#This Row],[item_key]],IsITypeList,Table_ExternalData_15[[#This Row],[IType]],IsDList,Table_ExternalData_15[[#Headers],[17]])</f>
        <v>0</v>
      </c>
      <c r="V240" s="10">
        <f>SUMIFS(IsQList,IsIList,Table_ExternalData_15[[#This Row],[item_key]],IsITypeList,Table_ExternalData_15[[#This Row],[IType]],IsDList,Table_ExternalData_15[[#Headers],[18]])</f>
        <v>0</v>
      </c>
      <c r="W240" s="10">
        <f>SUMIFS(IsQList,IsIList,Table_ExternalData_15[[#This Row],[item_key]],IsITypeList,Table_ExternalData_15[[#This Row],[IType]],IsDList,Table_ExternalData_15[[#Headers],[19]])</f>
        <v>0</v>
      </c>
      <c r="X240" s="10">
        <f>SUMIFS(IsQList,IsIList,Table_ExternalData_15[[#This Row],[item_key]],IsITypeList,Table_ExternalData_15[[#This Row],[IType]],IsDList,Table_ExternalData_15[[#Headers],[20]])</f>
        <v>0</v>
      </c>
      <c r="Y240" s="10">
        <f>SUMIFS(IsQList,IsIList,Table_ExternalData_15[[#This Row],[item_key]],IsITypeList,Table_ExternalData_15[[#This Row],[IType]],IsDList,Table_ExternalData_15[[#Headers],[21]])</f>
        <v>0</v>
      </c>
      <c r="Z240" s="10">
        <f>SUMIFS(IsQList,IsIList,Table_ExternalData_15[[#This Row],[item_key]],IsITypeList,Table_ExternalData_15[[#This Row],[IType]],IsDList,Table_ExternalData_15[[#Headers],[22]])</f>
        <v>0</v>
      </c>
      <c r="AA240" s="10">
        <f>SUMIFS(IsQList,IsIList,Table_ExternalData_15[[#This Row],[item_key]],IsITypeList,Table_ExternalData_15[[#This Row],[IType]],IsDList,Table_ExternalData_15[[#Headers],[23]])</f>
        <v>0</v>
      </c>
      <c r="AB240" s="10">
        <f>SUMIFS(IsQList,IsIList,Table_ExternalData_15[[#This Row],[item_key]],IsITypeList,Table_ExternalData_15[[#This Row],[IType]],IsDList,Table_ExternalData_15[[#Headers],[24]])</f>
        <v>0</v>
      </c>
      <c r="AC240" s="10">
        <f>SUMIFS(IsQList,IsIList,Table_ExternalData_15[[#This Row],[item_key]],IsITypeList,Table_ExternalData_15[[#This Row],[IType]],IsDList,Table_ExternalData_15[[#Headers],[25]])</f>
        <v>0</v>
      </c>
      <c r="AD240" s="10">
        <f>SUMIFS(IsQList,IsIList,Table_ExternalData_15[[#This Row],[item_key]],IsITypeList,Table_ExternalData_15[[#This Row],[IType]],IsDList,Table_ExternalData_15[[#Headers],[26]])</f>
        <v>0</v>
      </c>
      <c r="AE240" s="10">
        <f>SUMIFS(IsQList,IsIList,Table_ExternalData_15[[#This Row],[item_key]],IsITypeList,Table_ExternalData_15[[#This Row],[IType]],IsDList,Table_ExternalData_15[[#Headers],[27]])</f>
        <v>0</v>
      </c>
      <c r="AF240" s="10">
        <f>SUMIFS(IsQList,IsIList,Table_ExternalData_15[[#This Row],[item_key]],IsITypeList,Table_ExternalData_15[[#This Row],[IType]],IsDList,Table_ExternalData_15[[#Headers],[28]])</f>
        <v>0</v>
      </c>
      <c r="AG240" s="10">
        <f>SUMIFS(IsQList,IsIList,Table_ExternalData_15[[#This Row],[item_key]],IsITypeList,Table_ExternalData_15[[#This Row],[IType]],IsDList,Table_ExternalData_15[[#Headers],[29]])</f>
        <v>0</v>
      </c>
      <c r="AH240" s="10">
        <f>SUMIFS(IsQList,IsIList,Table_ExternalData_15[[#This Row],[item_key]],IsITypeList,Table_ExternalData_15[[#This Row],[IType]],IsDList,Table_ExternalData_15[[#Headers],[30]])</f>
        <v>0</v>
      </c>
      <c r="AI240" s="10">
        <f>SUMIFS(IsQList,IsIList,Table_ExternalData_15[[#This Row],[item_key]],IsITypeList,Table_ExternalData_15[[#This Row],[IType]],IsDList,Table_ExternalData_15[[#Headers],[31]])</f>
        <v>0</v>
      </c>
      <c r="AJ240" s="10">
        <f>SUM(Table_ExternalData_15[[#This Row],[1]:[31]])</f>
        <v>0</v>
      </c>
    </row>
    <row r="241" spans="1:36">
      <c r="A241" s="1" t="s">
        <v>777</v>
      </c>
      <c r="B241" s="1" t="s">
        <v>2673</v>
      </c>
      <c r="C241" s="1" t="s">
        <v>2674</v>
      </c>
      <c r="D241" s="11" t="s">
        <v>72</v>
      </c>
      <c r="E241" s="10">
        <f>SUMIFS(IsQList,IsIList,Table_ExternalData_15[[#This Row],[item_key]],IsITypeList,Table_ExternalData_15[[#This Row],[IType]],IsDList,Table_ExternalData_15[[#Headers],[1]])</f>
        <v>0</v>
      </c>
      <c r="F241" s="10">
        <f>SUMIFS(IsQList,IsIList,Table_ExternalData_15[[#This Row],[item_key]],IsITypeList,Table_ExternalData_15[[#This Row],[IType]],IsDList,Table_ExternalData_15[[#Headers],[2]])</f>
        <v>0</v>
      </c>
      <c r="G241" s="10">
        <f>SUMIFS(IsQList,IsIList,Table_ExternalData_15[[#This Row],[item_key]],IsITypeList,Table_ExternalData_15[[#This Row],[IType]],IsDList,Table_ExternalData_15[[#Headers],[3]])</f>
        <v>0</v>
      </c>
      <c r="H241" s="10">
        <f>SUMIFS(IsQList,IsIList,Table_ExternalData_15[[#This Row],[item_key]],IsITypeList,Table_ExternalData_15[[#This Row],[IType]],IsDList,Table_ExternalData_15[[#Headers],[4]])</f>
        <v>0</v>
      </c>
      <c r="I241" s="10">
        <f>SUMIFS(IsQList,IsIList,Table_ExternalData_15[[#This Row],[item_key]],IsITypeList,Table_ExternalData_15[[#This Row],[IType]],IsDList,Table_ExternalData_15[[#Headers],[5]])</f>
        <v>0</v>
      </c>
      <c r="J241" s="10">
        <f>SUMIFS(IsQList,IsIList,Table_ExternalData_15[[#This Row],[item_key]],IsITypeList,Table_ExternalData_15[[#This Row],[IType]],IsDList,Table_ExternalData_15[[#Headers],[6]])</f>
        <v>0</v>
      </c>
      <c r="K241" s="10">
        <f>SUMIFS(IsQList,IsIList,Table_ExternalData_15[[#This Row],[item_key]],IsITypeList,Table_ExternalData_15[[#This Row],[IType]],IsDList,Table_ExternalData_15[[#Headers],[7]])</f>
        <v>0</v>
      </c>
      <c r="L241" s="10">
        <f>SUMIFS(IsQList,IsIList,Table_ExternalData_15[[#This Row],[item_key]],IsITypeList,Table_ExternalData_15[[#This Row],[IType]],IsDList,Table_ExternalData_15[[#Headers],[8]])</f>
        <v>0</v>
      </c>
      <c r="M241" s="10">
        <f>SUMIFS(IsQList,IsIList,Table_ExternalData_15[[#This Row],[item_key]],IsITypeList,Table_ExternalData_15[[#This Row],[IType]],IsDList,Table_ExternalData_15[[#Headers],[9]])</f>
        <v>0</v>
      </c>
      <c r="N241" s="10">
        <f>SUMIFS(IsQList,IsIList,Table_ExternalData_15[[#This Row],[item_key]],IsITypeList,Table_ExternalData_15[[#This Row],[IType]],IsDList,Table_ExternalData_15[[#Headers],[10]])</f>
        <v>0</v>
      </c>
      <c r="O241" s="10">
        <f>SUMIFS(IsQList,IsIList,Table_ExternalData_15[[#This Row],[item_key]],IsITypeList,Table_ExternalData_15[[#This Row],[IType]],IsDList,Table_ExternalData_15[[#Headers],[11]])</f>
        <v>0</v>
      </c>
      <c r="P241" s="10">
        <f>SUMIFS(IsQList,IsIList,Table_ExternalData_15[[#This Row],[item_key]],IsITypeList,Table_ExternalData_15[[#This Row],[IType]],IsDList,Table_ExternalData_15[[#Headers],[12]])</f>
        <v>0</v>
      </c>
      <c r="Q241" s="10">
        <f>SUMIFS(IsQList,IsIList,Table_ExternalData_15[[#This Row],[item_key]],IsITypeList,Table_ExternalData_15[[#This Row],[IType]],IsDList,Table_ExternalData_15[[#Headers],[13]])</f>
        <v>0</v>
      </c>
      <c r="R241" s="10">
        <f>SUMIFS(IsQList,IsIList,Table_ExternalData_15[[#This Row],[item_key]],IsITypeList,Table_ExternalData_15[[#This Row],[IType]],IsDList,Table_ExternalData_15[[#Headers],[14]])</f>
        <v>0</v>
      </c>
      <c r="S241" s="10">
        <f>SUMIFS(IsQList,IsIList,Table_ExternalData_15[[#This Row],[item_key]],IsITypeList,Table_ExternalData_15[[#This Row],[IType]],IsDList,Table_ExternalData_15[[#Headers],[15]])</f>
        <v>0</v>
      </c>
      <c r="T241" s="10">
        <f>SUMIFS(IsQList,IsIList,Table_ExternalData_15[[#This Row],[item_key]],IsITypeList,Table_ExternalData_15[[#This Row],[IType]],IsDList,Table_ExternalData_15[[#Headers],[16]])</f>
        <v>0</v>
      </c>
      <c r="U241" s="10">
        <f>SUMIFS(IsQList,IsIList,Table_ExternalData_15[[#This Row],[item_key]],IsITypeList,Table_ExternalData_15[[#This Row],[IType]],IsDList,Table_ExternalData_15[[#Headers],[17]])</f>
        <v>0</v>
      </c>
      <c r="V241" s="10">
        <f>SUMIFS(IsQList,IsIList,Table_ExternalData_15[[#This Row],[item_key]],IsITypeList,Table_ExternalData_15[[#This Row],[IType]],IsDList,Table_ExternalData_15[[#Headers],[18]])</f>
        <v>0</v>
      </c>
      <c r="W241" s="10">
        <f>SUMIFS(IsQList,IsIList,Table_ExternalData_15[[#This Row],[item_key]],IsITypeList,Table_ExternalData_15[[#This Row],[IType]],IsDList,Table_ExternalData_15[[#Headers],[19]])</f>
        <v>0</v>
      </c>
      <c r="X241" s="10">
        <f>SUMIFS(IsQList,IsIList,Table_ExternalData_15[[#This Row],[item_key]],IsITypeList,Table_ExternalData_15[[#This Row],[IType]],IsDList,Table_ExternalData_15[[#Headers],[20]])</f>
        <v>0</v>
      </c>
      <c r="Y241" s="10">
        <f>SUMIFS(IsQList,IsIList,Table_ExternalData_15[[#This Row],[item_key]],IsITypeList,Table_ExternalData_15[[#This Row],[IType]],IsDList,Table_ExternalData_15[[#Headers],[21]])</f>
        <v>0</v>
      </c>
      <c r="Z241" s="10">
        <f>SUMIFS(IsQList,IsIList,Table_ExternalData_15[[#This Row],[item_key]],IsITypeList,Table_ExternalData_15[[#This Row],[IType]],IsDList,Table_ExternalData_15[[#Headers],[22]])</f>
        <v>0</v>
      </c>
      <c r="AA241" s="10">
        <f>SUMIFS(IsQList,IsIList,Table_ExternalData_15[[#This Row],[item_key]],IsITypeList,Table_ExternalData_15[[#This Row],[IType]],IsDList,Table_ExternalData_15[[#Headers],[23]])</f>
        <v>0</v>
      </c>
      <c r="AB241" s="10">
        <f>SUMIFS(IsQList,IsIList,Table_ExternalData_15[[#This Row],[item_key]],IsITypeList,Table_ExternalData_15[[#This Row],[IType]],IsDList,Table_ExternalData_15[[#Headers],[24]])</f>
        <v>0</v>
      </c>
      <c r="AC241" s="10">
        <f>SUMIFS(IsQList,IsIList,Table_ExternalData_15[[#This Row],[item_key]],IsITypeList,Table_ExternalData_15[[#This Row],[IType]],IsDList,Table_ExternalData_15[[#Headers],[25]])</f>
        <v>0</v>
      </c>
      <c r="AD241" s="10">
        <f>SUMIFS(IsQList,IsIList,Table_ExternalData_15[[#This Row],[item_key]],IsITypeList,Table_ExternalData_15[[#This Row],[IType]],IsDList,Table_ExternalData_15[[#Headers],[26]])</f>
        <v>0</v>
      </c>
      <c r="AE241" s="10">
        <f>SUMIFS(IsQList,IsIList,Table_ExternalData_15[[#This Row],[item_key]],IsITypeList,Table_ExternalData_15[[#This Row],[IType]],IsDList,Table_ExternalData_15[[#Headers],[27]])</f>
        <v>0</v>
      </c>
      <c r="AF241" s="10">
        <f>SUMIFS(IsQList,IsIList,Table_ExternalData_15[[#This Row],[item_key]],IsITypeList,Table_ExternalData_15[[#This Row],[IType]],IsDList,Table_ExternalData_15[[#Headers],[28]])</f>
        <v>0</v>
      </c>
      <c r="AG241" s="10">
        <f>SUMIFS(IsQList,IsIList,Table_ExternalData_15[[#This Row],[item_key]],IsITypeList,Table_ExternalData_15[[#This Row],[IType]],IsDList,Table_ExternalData_15[[#Headers],[29]])</f>
        <v>0</v>
      </c>
      <c r="AH241" s="10">
        <f>SUMIFS(IsQList,IsIList,Table_ExternalData_15[[#This Row],[item_key]],IsITypeList,Table_ExternalData_15[[#This Row],[IType]],IsDList,Table_ExternalData_15[[#Headers],[30]])</f>
        <v>0</v>
      </c>
      <c r="AI241" s="10">
        <f>SUMIFS(IsQList,IsIList,Table_ExternalData_15[[#This Row],[item_key]],IsITypeList,Table_ExternalData_15[[#This Row],[IType]],IsDList,Table_ExternalData_15[[#Headers],[31]])</f>
        <v>0</v>
      </c>
      <c r="AJ241" s="10">
        <f>SUM(Table_ExternalData_15[[#This Row],[1]:[31]])</f>
        <v>0</v>
      </c>
    </row>
    <row r="242" spans="1:36">
      <c r="A242" s="1" t="s">
        <v>1840</v>
      </c>
      <c r="B242" s="1" t="s">
        <v>2402</v>
      </c>
      <c r="C242" s="1" t="s">
        <v>2403</v>
      </c>
      <c r="D242" s="11" t="s">
        <v>72</v>
      </c>
      <c r="E242" s="10">
        <f>SUMIFS(IsQList,IsIList,Table_ExternalData_15[[#This Row],[item_key]],IsITypeList,Table_ExternalData_15[[#This Row],[IType]],IsDList,Table_ExternalData_15[[#Headers],[1]])</f>
        <v>0</v>
      </c>
      <c r="F242" s="10">
        <f>SUMIFS(IsQList,IsIList,Table_ExternalData_15[[#This Row],[item_key]],IsITypeList,Table_ExternalData_15[[#This Row],[IType]],IsDList,Table_ExternalData_15[[#Headers],[2]])</f>
        <v>0</v>
      </c>
      <c r="G242" s="10">
        <f>SUMIFS(IsQList,IsIList,Table_ExternalData_15[[#This Row],[item_key]],IsITypeList,Table_ExternalData_15[[#This Row],[IType]],IsDList,Table_ExternalData_15[[#Headers],[3]])</f>
        <v>0</v>
      </c>
      <c r="H242" s="10">
        <f>SUMIFS(IsQList,IsIList,Table_ExternalData_15[[#This Row],[item_key]],IsITypeList,Table_ExternalData_15[[#This Row],[IType]],IsDList,Table_ExternalData_15[[#Headers],[4]])</f>
        <v>0</v>
      </c>
      <c r="I242" s="10">
        <f>SUMIFS(IsQList,IsIList,Table_ExternalData_15[[#This Row],[item_key]],IsITypeList,Table_ExternalData_15[[#This Row],[IType]],IsDList,Table_ExternalData_15[[#Headers],[5]])</f>
        <v>0</v>
      </c>
      <c r="J242" s="10">
        <f>SUMIFS(IsQList,IsIList,Table_ExternalData_15[[#This Row],[item_key]],IsITypeList,Table_ExternalData_15[[#This Row],[IType]],IsDList,Table_ExternalData_15[[#Headers],[6]])</f>
        <v>0</v>
      </c>
      <c r="K242" s="10">
        <f>SUMIFS(IsQList,IsIList,Table_ExternalData_15[[#This Row],[item_key]],IsITypeList,Table_ExternalData_15[[#This Row],[IType]],IsDList,Table_ExternalData_15[[#Headers],[7]])</f>
        <v>0</v>
      </c>
      <c r="L242" s="10">
        <f>SUMIFS(IsQList,IsIList,Table_ExternalData_15[[#This Row],[item_key]],IsITypeList,Table_ExternalData_15[[#This Row],[IType]],IsDList,Table_ExternalData_15[[#Headers],[8]])</f>
        <v>0</v>
      </c>
      <c r="M242" s="10">
        <f>SUMIFS(IsQList,IsIList,Table_ExternalData_15[[#This Row],[item_key]],IsITypeList,Table_ExternalData_15[[#This Row],[IType]],IsDList,Table_ExternalData_15[[#Headers],[9]])</f>
        <v>0</v>
      </c>
      <c r="N242" s="10">
        <f>SUMIFS(IsQList,IsIList,Table_ExternalData_15[[#This Row],[item_key]],IsITypeList,Table_ExternalData_15[[#This Row],[IType]],IsDList,Table_ExternalData_15[[#Headers],[10]])</f>
        <v>0</v>
      </c>
      <c r="O242" s="10">
        <f>SUMIFS(IsQList,IsIList,Table_ExternalData_15[[#This Row],[item_key]],IsITypeList,Table_ExternalData_15[[#This Row],[IType]],IsDList,Table_ExternalData_15[[#Headers],[11]])</f>
        <v>0</v>
      </c>
      <c r="P242" s="10">
        <f>SUMIFS(IsQList,IsIList,Table_ExternalData_15[[#This Row],[item_key]],IsITypeList,Table_ExternalData_15[[#This Row],[IType]],IsDList,Table_ExternalData_15[[#Headers],[12]])</f>
        <v>0</v>
      </c>
      <c r="Q242" s="10">
        <f>SUMIFS(IsQList,IsIList,Table_ExternalData_15[[#This Row],[item_key]],IsITypeList,Table_ExternalData_15[[#This Row],[IType]],IsDList,Table_ExternalData_15[[#Headers],[13]])</f>
        <v>0</v>
      </c>
      <c r="R242" s="10">
        <f>SUMIFS(IsQList,IsIList,Table_ExternalData_15[[#This Row],[item_key]],IsITypeList,Table_ExternalData_15[[#This Row],[IType]],IsDList,Table_ExternalData_15[[#Headers],[14]])</f>
        <v>0</v>
      </c>
      <c r="S242" s="10">
        <f>SUMIFS(IsQList,IsIList,Table_ExternalData_15[[#This Row],[item_key]],IsITypeList,Table_ExternalData_15[[#This Row],[IType]],IsDList,Table_ExternalData_15[[#Headers],[15]])</f>
        <v>0</v>
      </c>
      <c r="T242" s="10">
        <f>SUMIFS(IsQList,IsIList,Table_ExternalData_15[[#This Row],[item_key]],IsITypeList,Table_ExternalData_15[[#This Row],[IType]],IsDList,Table_ExternalData_15[[#Headers],[16]])</f>
        <v>0</v>
      </c>
      <c r="U242" s="10">
        <f>SUMIFS(IsQList,IsIList,Table_ExternalData_15[[#This Row],[item_key]],IsITypeList,Table_ExternalData_15[[#This Row],[IType]],IsDList,Table_ExternalData_15[[#Headers],[17]])</f>
        <v>0</v>
      </c>
      <c r="V242" s="10">
        <f>SUMIFS(IsQList,IsIList,Table_ExternalData_15[[#This Row],[item_key]],IsITypeList,Table_ExternalData_15[[#This Row],[IType]],IsDList,Table_ExternalData_15[[#Headers],[18]])</f>
        <v>0</v>
      </c>
      <c r="W242" s="10">
        <f>SUMIFS(IsQList,IsIList,Table_ExternalData_15[[#This Row],[item_key]],IsITypeList,Table_ExternalData_15[[#This Row],[IType]],IsDList,Table_ExternalData_15[[#Headers],[19]])</f>
        <v>0</v>
      </c>
      <c r="X242" s="10">
        <f>SUMIFS(IsQList,IsIList,Table_ExternalData_15[[#This Row],[item_key]],IsITypeList,Table_ExternalData_15[[#This Row],[IType]],IsDList,Table_ExternalData_15[[#Headers],[20]])</f>
        <v>0</v>
      </c>
      <c r="Y242" s="10">
        <f>SUMIFS(IsQList,IsIList,Table_ExternalData_15[[#This Row],[item_key]],IsITypeList,Table_ExternalData_15[[#This Row],[IType]],IsDList,Table_ExternalData_15[[#Headers],[21]])</f>
        <v>0</v>
      </c>
      <c r="Z242" s="10">
        <f>SUMIFS(IsQList,IsIList,Table_ExternalData_15[[#This Row],[item_key]],IsITypeList,Table_ExternalData_15[[#This Row],[IType]],IsDList,Table_ExternalData_15[[#Headers],[22]])</f>
        <v>0</v>
      </c>
      <c r="AA242" s="10">
        <f>SUMIFS(IsQList,IsIList,Table_ExternalData_15[[#This Row],[item_key]],IsITypeList,Table_ExternalData_15[[#This Row],[IType]],IsDList,Table_ExternalData_15[[#Headers],[23]])</f>
        <v>0</v>
      </c>
      <c r="AB242" s="10">
        <f>SUMIFS(IsQList,IsIList,Table_ExternalData_15[[#This Row],[item_key]],IsITypeList,Table_ExternalData_15[[#This Row],[IType]],IsDList,Table_ExternalData_15[[#Headers],[24]])</f>
        <v>0</v>
      </c>
      <c r="AC242" s="10">
        <f>SUMIFS(IsQList,IsIList,Table_ExternalData_15[[#This Row],[item_key]],IsITypeList,Table_ExternalData_15[[#This Row],[IType]],IsDList,Table_ExternalData_15[[#Headers],[25]])</f>
        <v>0</v>
      </c>
      <c r="AD242" s="10">
        <f>SUMIFS(IsQList,IsIList,Table_ExternalData_15[[#This Row],[item_key]],IsITypeList,Table_ExternalData_15[[#This Row],[IType]],IsDList,Table_ExternalData_15[[#Headers],[26]])</f>
        <v>0</v>
      </c>
      <c r="AE242" s="10">
        <f>SUMIFS(IsQList,IsIList,Table_ExternalData_15[[#This Row],[item_key]],IsITypeList,Table_ExternalData_15[[#This Row],[IType]],IsDList,Table_ExternalData_15[[#Headers],[27]])</f>
        <v>0</v>
      </c>
      <c r="AF242" s="10">
        <f>SUMIFS(IsQList,IsIList,Table_ExternalData_15[[#This Row],[item_key]],IsITypeList,Table_ExternalData_15[[#This Row],[IType]],IsDList,Table_ExternalData_15[[#Headers],[28]])</f>
        <v>0</v>
      </c>
      <c r="AG242" s="10">
        <f>SUMIFS(IsQList,IsIList,Table_ExternalData_15[[#This Row],[item_key]],IsITypeList,Table_ExternalData_15[[#This Row],[IType]],IsDList,Table_ExternalData_15[[#Headers],[29]])</f>
        <v>0</v>
      </c>
      <c r="AH242" s="10">
        <f>SUMIFS(IsQList,IsIList,Table_ExternalData_15[[#This Row],[item_key]],IsITypeList,Table_ExternalData_15[[#This Row],[IType]],IsDList,Table_ExternalData_15[[#Headers],[30]])</f>
        <v>6</v>
      </c>
      <c r="AI242" s="10">
        <f>SUMIFS(IsQList,IsIList,Table_ExternalData_15[[#This Row],[item_key]],IsITypeList,Table_ExternalData_15[[#This Row],[IType]],IsDList,Table_ExternalData_15[[#Headers],[31]])</f>
        <v>0</v>
      </c>
      <c r="AJ242" s="10">
        <f>SUM(Table_ExternalData_15[[#This Row],[1]:[31]])</f>
        <v>6</v>
      </c>
    </row>
    <row r="243" spans="1:36">
      <c r="A243" s="1" t="s">
        <v>1198</v>
      </c>
      <c r="B243" s="1" t="s">
        <v>2675</v>
      </c>
      <c r="C243" s="1" t="s">
        <v>2676</v>
      </c>
      <c r="D243" s="11" t="s">
        <v>72</v>
      </c>
      <c r="E243" s="10">
        <f>SUMIFS(IsQList,IsIList,Table_ExternalData_15[[#This Row],[item_key]],IsITypeList,Table_ExternalData_15[[#This Row],[IType]],IsDList,Table_ExternalData_15[[#Headers],[1]])</f>
        <v>0</v>
      </c>
      <c r="F243" s="10">
        <f>SUMIFS(IsQList,IsIList,Table_ExternalData_15[[#This Row],[item_key]],IsITypeList,Table_ExternalData_15[[#This Row],[IType]],IsDList,Table_ExternalData_15[[#Headers],[2]])</f>
        <v>0</v>
      </c>
      <c r="G243" s="10">
        <f>SUMIFS(IsQList,IsIList,Table_ExternalData_15[[#This Row],[item_key]],IsITypeList,Table_ExternalData_15[[#This Row],[IType]],IsDList,Table_ExternalData_15[[#Headers],[3]])</f>
        <v>0</v>
      </c>
      <c r="H243" s="10">
        <f>SUMIFS(IsQList,IsIList,Table_ExternalData_15[[#This Row],[item_key]],IsITypeList,Table_ExternalData_15[[#This Row],[IType]],IsDList,Table_ExternalData_15[[#Headers],[4]])</f>
        <v>0</v>
      </c>
      <c r="I243" s="10">
        <f>SUMIFS(IsQList,IsIList,Table_ExternalData_15[[#This Row],[item_key]],IsITypeList,Table_ExternalData_15[[#This Row],[IType]],IsDList,Table_ExternalData_15[[#Headers],[5]])</f>
        <v>0</v>
      </c>
      <c r="J243" s="10">
        <f>SUMIFS(IsQList,IsIList,Table_ExternalData_15[[#This Row],[item_key]],IsITypeList,Table_ExternalData_15[[#This Row],[IType]],IsDList,Table_ExternalData_15[[#Headers],[6]])</f>
        <v>0</v>
      </c>
      <c r="K243" s="10">
        <f>SUMIFS(IsQList,IsIList,Table_ExternalData_15[[#This Row],[item_key]],IsITypeList,Table_ExternalData_15[[#This Row],[IType]],IsDList,Table_ExternalData_15[[#Headers],[7]])</f>
        <v>0</v>
      </c>
      <c r="L243" s="10">
        <f>SUMIFS(IsQList,IsIList,Table_ExternalData_15[[#This Row],[item_key]],IsITypeList,Table_ExternalData_15[[#This Row],[IType]],IsDList,Table_ExternalData_15[[#Headers],[8]])</f>
        <v>0</v>
      </c>
      <c r="M243" s="10">
        <f>SUMIFS(IsQList,IsIList,Table_ExternalData_15[[#This Row],[item_key]],IsITypeList,Table_ExternalData_15[[#This Row],[IType]],IsDList,Table_ExternalData_15[[#Headers],[9]])</f>
        <v>0</v>
      </c>
      <c r="N243" s="10">
        <f>SUMIFS(IsQList,IsIList,Table_ExternalData_15[[#This Row],[item_key]],IsITypeList,Table_ExternalData_15[[#This Row],[IType]],IsDList,Table_ExternalData_15[[#Headers],[10]])</f>
        <v>0</v>
      </c>
      <c r="O243" s="10">
        <f>SUMIFS(IsQList,IsIList,Table_ExternalData_15[[#This Row],[item_key]],IsITypeList,Table_ExternalData_15[[#This Row],[IType]],IsDList,Table_ExternalData_15[[#Headers],[11]])</f>
        <v>0</v>
      </c>
      <c r="P243" s="10">
        <f>SUMIFS(IsQList,IsIList,Table_ExternalData_15[[#This Row],[item_key]],IsITypeList,Table_ExternalData_15[[#This Row],[IType]],IsDList,Table_ExternalData_15[[#Headers],[12]])</f>
        <v>0</v>
      </c>
      <c r="Q243" s="10">
        <f>SUMIFS(IsQList,IsIList,Table_ExternalData_15[[#This Row],[item_key]],IsITypeList,Table_ExternalData_15[[#This Row],[IType]],IsDList,Table_ExternalData_15[[#Headers],[13]])</f>
        <v>0</v>
      </c>
      <c r="R243" s="10">
        <f>SUMIFS(IsQList,IsIList,Table_ExternalData_15[[#This Row],[item_key]],IsITypeList,Table_ExternalData_15[[#This Row],[IType]],IsDList,Table_ExternalData_15[[#Headers],[14]])</f>
        <v>0</v>
      </c>
      <c r="S243" s="10">
        <f>SUMIFS(IsQList,IsIList,Table_ExternalData_15[[#This Row],[item_key]],IsITypeList,Table_ExternalData_15[[#This Row],[IType]],IsDList,Table_ExternalData_15[[#Headers],[15]])</f>
        <v>0</v>
      </c>
      <c r="T243" s="10">
        <f>SUMIFS(IsQList,IsIList,Table_ExternalData_15[[#This Row],[item_key]],IsITypeList,Table_ExternalData_15[[#This Row],[IType]],IsDList,Table_ExternalData_15[[#Headers],[16]])</f>
        <v>200</v>
      </c>
      <c r="U243" s="10">
        <f>SUMIFS(IsQList,IsIList,Table_ExternalData_15[[#This Row],[item_key]],IsITypeList,Table_ExternalData_15[[#This Row],[IType]],IsDList,Table_ExternalData_15[[#Headers],[17]])</f>
        <v>0</v>
      </c>
      <c r="V243" s="10">
        <f>SUMIFS(IsQList,IsIList,Table_ExternalData_15[[#This Row],[item_key]],IsITypeList,Table_ExternalData_15[[#This Row],[IType]],IsDList,Table_ExternalData_15[[#Headers],[18]])</f>
        <v>0</v>
      </c>
      <c r="W243" s="10">
        <f>SUMIFS(IsQList,IsIList,Table_ExternalData_15[[#This Row],[item_key]],IsITypeList,Table_ExternalData_15[[#This Row],[IType]],IsDList,Table_ExternalData_15[[#Headers],[19]])</f>
        <v>0</v>
      </c>
      <c r="X243" s="10">
        <f>SUMIFS(IsQList,IsIList,Table_ExternalData_15[[#This Row],[item_key]],IsITypeList,Table_ExternalData_15[[#This Row],[IType]],IsDList,Table_ExternalData_15[[#Headers],[20]])</f>
        <v>0</v>
      </c>
      <c r="Y243" s="10">
        <f>SUMIFS(IsQList,IsIList,Table_ExternalData_15[[#This Row],[item_key]],IsITypeList,Table_ExternalData_15[[#This Row],[IType]],IsDList,Table_ExternalData_15[[#Headers],[21]])</f>
        <v>0</v>
      </c>
      <c r="Z243" s="10">
        <f>SUMIFS(IsQList,IsIList,Table_ExternalData_15[[#This Row],[item_key]],IsITypeList,Table_ExternalData_15[[#This Row],[IType]],IsDList,Table_ExternalData_15[[#Headers],[22]])</f>
        <v>0</v>
      </c>
      <c r="AA243" s="10">
        <f>SUMIFS(IsQList,IsIList,Table_ExternalData_15[[#This Row],[item_key]],IsITypeList,Table_ExternalData_15[[#This Row],[IType]],IsDList,Table_ExternalData_15[[#Headers],[23]])</f>
        <v>0</v>
      </c>
      <c r="AB243" s="10">
        <f>SUMIFS(IsQList,IsIList,Table_ExternalData_15[[#This Row],[item_key]],IsITypeList,Table_ExternalData_15[[#This Row],[IType]],IsDList,Table_ExternalData_15[[#Headers],[24]])</f>
        <v>0</v>
      </c>
      <c r="AC243" s="10">
        <f>SUMIFS(IsQList,IsIList,Table_ExternalData_15[[#This Row],[item_key]],IsITypeList,Table_ExternalData_15[[#This Row],[IType]],IsDList,Table_ExternalData_15[[#Headers],[25]])</f>
        <v>0</v>
      </c>
      <c r="AD243" s="10">
        <f>SUMIFS(IsQList,IsIList,Table_ExternalData_15[[#This Row],[item_key]],IsITypeList,Table_ExternalData_15[[#This Row],[IType]],IsDList,Table_ExternalData_15[[#Headers],[26]])</f>
        <v>0</v>
      </c>
      <c r="AE243" s="10">
        <f>SUMIFS(IsQList,IsIList,Table_ExternalData_15[[#This Row],[item_key]],IsITypeList,Table_ExternalData_15[[#This Row],[IType]],IsDList,Table_ExternalData_15[[#Headers],[27]])</f>
        <v>0</v>
      </c>
      <c r="AF243" s="10">
        <f>SUMIFS(IsQList,IsIList,Table_ExternalData_15[[#This Row],[item_key]],IsITypeList,Table_ExternalData_15[[#This Row],[IType]],IsDList,Table_ExternalData_15[[#Headers],[28]])</f>
        <v>0</v>
      </c>
      <c r="AG243" s="10">
        <f>SUMIFS(IsQList,IsIList,Table_ExternalData_15[[#This Row],[item_key]],IsITypeList,Table_ExternalData_15[[#This Row],[IType]],IsDList,Table_ExternalData_15[[#Headers],[29]])</f>
        <v>0</v>
      </c>
      <c r="AH243" s="10">
        <f>SUMIFS(IsQList,IsIList,Table_ExternalData_15[[#This Row],[item_key]],IsITypeList,Table_ExternalData_15[[#This Row],[IType]],IsDList,Table_ExternalData_15[[#Headers],[30]])</f>
        <v>0</v>
      </c>
      <c r="AI243" s="10">
        <f>SUMIFS(IsQList,IsIList,Table_ExternalData_15[[#This Row],[item_key]],IsITypeList,Table_ExternalData_15[[#This Row],[IType]],IsDList,Table_ExternalData_15[[#Headers],[31]])</f>
        <v>0</v>
      </c>
      <c r="AJ243" s="10">
        <f>SUM(Table_ExternalData_15[[#This Row],[1]:[31]])</f>
        <v>200</v>
      </c>
    </row>
    <row r="244" spans="1:36">
      <c r="A244" s="1" t="s">
        <v>1841</v>
      </c>
      <c r="B244" s="1" t="s">
        <v>2405</v>
      </c>
      <c r="C244" s="1" t="s">
        <v>2406</v>
      </c>
      <c r="D244" s="11" t="s">
        <v>72</v>
      </c>
      <c r="E244" s="10">
        <f>SUMIFS(IsQList,IsIList,Table_ExternalData_15[[#This Row],[item_key]],IsITypeList,Table_ExternalData_15[[#This Row],[IType]],IsDList,Table_ExternalData_15[[#Headers],[1]])</f>
        <v>0</v>
      </c>
      <c r="F244" s="10">
        <f>SUMIFS(IsQList,IsIList,Table_ExternalData_15[[#This Row],[item_key]],IsITypeList,Table_ExternalData_15[[#This Row],[IType]],IsDList,Table_ExternalData_15[[#Headers],[2]])</f>
        <v>0</v>
      </c>
      <c r="G244" s="10">
        <f>SUMIFS(IsQList,IsIList,Table_ExternalData_15[[#This Row],[item_key]],IsITypeList,Table_ExternalData_15[[#This Row],[IType]],IsDList,Table_ExternalData_15[[#Headers],[3]])</f>
        <v>6024</v>
      </c>
      <c r="H244" s="10">
        <f>SUMIFS(IsQList,IsIList,Table_ExternalData_15[[#This Row],[item_key]],IsITypeList,Table_ExternalData_15[[#This Row],[IType]],IsDList,Table_ExternalData_15[[#Headers],[4]])</f>
        <v>0</v>
      </c>
      <c r="I244" s="10">
        <f>SUMIFS(IsQList,IsIList,Table_ExternalData_15[[#This Row],[item_key]],IsITypeList,Table_ExternalData_15[[#This Row],[IType]],IsDList,Table_ExternalData_15[[#Headers],[5]])</f>
        <v>0</v>
      </c>
      <c r="J244" s="10">
        <f>SUMIFS(IsQList,IsIList,Table_ExternalData_15[[#This Row],[item_key]],IsITypeList,Table_ExternalData_15[[#This Row],[IType]],IsDList,Table_ExternalData_15[[#Headers],[6]])</f>
        <v>0</v>
      </c>
      <c r="K244" s="10">
        <f>SUMIFS(IsQList,IsIList,Table_ExternalData_15[[#This Row],[item_key]],IsITypeList,Table_ExternalData_15[[#This Row],[IType]],IsDList,Table_ExternalData_15[[#Headers],[7]])</f>
        <v>0</v>
      </c>
      <c r="L244" s="10">
        <f>SUMIFS(IsQList,IsIList,Table_ExternalData_15[[#This Row],[item_key]],IsITypeList,Table_ExternalData_15[[#This Row],[IType]],IsDList,Table_ExternalData_15[[#Headers],[8]])</f>
        <v>0</v>
      </c>
      <c r="M244" s="10">
        <f>SUMIFS(IsQList,IsIList,Table_ExternalData_15[[#This Row],[item_key]],IsITypeList,Table_ExternalData_15[[#This Row],[IType]],IsDList,Table_ExternalData_15[[#Headers],[9]])</f>
        <v>0</v>
      </c>
      <c r="N244" s="10">
        <f>SUMIFS(IsQList,IsIList,Table_ExternalData_15[[#This Row],[item_key]],IsITypeList,Table_ExternalData_15[[#This Row],[IType]],IsDList,Table_ExternalData_15[[#Headers],[10]])</f>
        <v>0</v>
      </c>
      <c r="O244" s="10">
        <f>SUMIFS(IsQList,IsIList,Table_ExternalData_15[[#This Row],[item_key]],IsITypeList,Table_ExternalData_15[[#This Row],[IType]],IsDList,Table_ExternalData_15[[#Headers],[11]])</f>
        <v>0</v>
      </c>
      <c r="P244" s="10">
        <f>SUMIFS(IsQList,IsIList,Table_ExternalData_15[[#This Row],[item_key]],IsITypeList,Table_ExternalData_15[[#This Row],[IType]],IsDList,Table_ExternalData_15[[#Headers],[12]])</f>
        <v>0</v>
      </c>
      <c r="Q244" s="10">
        <f>SUMIFS(IsQList,IsIList,Table_ExternalData_15[[#This Row],[item_key]],IsITypeList,Table_ExternalData_15[[#This Row],[IType]],IsDList,Table_ExternalData_15[[#Headers],[13]])</f>
        <v>3636</v>
      </c>
      <c r="R244" s="10">
        <f>SUMIFS(IsQList,IsIList,Table_ExternalData_15[[#This Row],[item_key]],IsITypeList,Table_ExternalData_15[[#This Row],[IType]],IsDList,Table_ExternalData_15[[#Headers],[14]])</f>
        <v>0</v>
      </c>
      <c r="S244" s="10">
        <f>SUMIFS(IsQList,IsIList,Table_ExternalData_15[[#This Row],[item_key]],IsITypeList,Table_ExternalData_15[[#This Row],[IType]],IsDList,Table_ExternalData_15[[#Headers],[15]])</f>
        <v>0</v>
      </c>
      <c r="T244" s="10">
        <f>SUMIFS(IsQList,IsIList,Table_ExternalData_15[[#This Row],[item_key]],IsITypeList,Table_ExternalData_15[[#This Row],[IType]],IsDList,Table_ExternalData_15[[#Headers],[16]])</f>
        <v>0</v>
      </c>
      <c r="U244" s="10">
        <f>SUMIFS(IsQList,IsIList,Table_ExternalData_15[[#This Row],[item_key]],IsITypeList,Table_ExternalData_15[[#This Row],[IType]],IsDList,Table_ExternalData_15[[#Headers],[17]])</f>
        <v>0</v>
      </c>
      <c r="V244" s="10">
        <f>SUMIFS(IsQList,IsIList,Table_ExternalData_15[[#This Row],[item_key]],IsITypeList,Table_ExternalData_15[[#This Row],[IType]],IsDList,Table_ExternalData_15[[#Headers],[18]])</f>
        <v>0</v>
      </c>
      <c r="W244" s="10">
        <f>SUMIFS(IsQList,IsIList,Table_ExternalData_15[[#This Row],[item_key]],IsITypeList,Table_ExternalData_15[[#This Row],[IType]],IsDList,Table_ExternalData_15[[#Headers],[19]])</f>
        <v>0</v>
      </c>
      <c r="X244" s="10">
        <f>SUMIFS(IsQList,IsIList,Table_ExternalData_15[[#This Row],[item_key]],IsITypeList,Table_ExternalData_15[[#This Row],[IType]],IsDList,Table_ExternalData_15[[#Headers],[20]])</f>
        <v>0</v>
      </c>
      <c r="Y244" s="10">
        <f>SUMIFS(IsQList,IsIList,Table_ExternalData_15[[#This Row],[item_key]],IsITypeList,Table_ExternalData_15[[#This Row],[IType]],IsDList,Table_ExternalData_15[[#Headers],[21]])</f>
        <v>0</v>
      </c>
      <c r="Z244" s="10">
        <f>SUMIFS(IsQList,IsIList,Table_ExternalData_15[[#This Row],[item_key]],IsITypeList,Table_ExternalData_15[[#This Row],[IType]],IsDList,Table_ExternalData_15[[#Headers],[22]])</f>
        <v>0</v>
      </c>
      <c r="AA244" s="10">
        <f>SUMIFS(IsQList,IsIList,Table_ExternalData_15[[#This Row],[item_key]],IsITypeList,Table_ExternalData_15[[#This Row],[IType]],IsDList,Table_ExternalData_15[[#Headers],[23]])</f>
        <v>5964</v>
      </c>
      <c r="AB244" s="10">
        <f>SUMIFS(IsQList,IsIList,Table_ExternalData_15[[#This Row],[item_key]],IsITypeList,Table_ExternalData_15[[#This Row],[IType]],IsDList,Table_ExternalData_15[[#Headers],[24]])</f>
        <v>0</v>
      </c>
      <c r="AC244" s="10">
        <f>SUMIFS(IsQList,IsIList,Table_ExternalData_15[[#This Row],[item_key]],IsITypeList,Table_ExternalData_15[[#This Row],[IType]],IsDList,Table_ExternalData_15[[#Headers],[25]])</f>
        <v>0</v>
      </c>
      <c r="AD244" s="10">
        <f>SUMIFS(IsQList,IsIList,Table_ExternalData_15[[#This Row],[item_key]],IsITypeList,Table_ExternalData_15[[#This Row],[IType]],IsDList,Table_ExternalData_15[[#Headers],[26]])</f>
        <v>0</v>
      </c>
      <c r="AE244" s="10">
        <f>SUMIFS(IsQList,IsIList,Table_ExternalData_15[[#This Row],[item_key]],IsITypeList,Table_ExternalData_15[[#This Row],[IType]],IsDList,Table_ExternalData_15[[#Headers],[27]])</f>
        <v>0</v>
      </c>
      <c r="AF244" s="10">
        <f>SUMIFS(IsQList,IsIList,Table_ExternalData_15[[#This Row],[item_key]],IsITypeList,Table_ExternalData_15[[#This Row],[IType]],IsDList,Table_ExternalData_15[[#Headers],[28]])</f>
        <v>0</v>
      </c>
      <c r="AG244" s="10">
        <f>SUMIFS(IsQList,IsIList,Table_ExternalData_15[[#This Row],[item_key]],IsITypeList,Table_ExternalData_15[[#This Row],[IType]],IsDList,Table_ExternalData_15[[#Headers],[29]])</f>
        <v>0</v>
      </c>
      <c r="AH244" s="10">
        <f>SUMIFS(IsQList,IsIList,Table_ExternalData_15[[#This Row],[item_key]],IsITypeList,Table_ExternalData_15[[#This Row],[IType]],IsDList,Table_ExternalData_15[[#Headers],[30]])</f>
        <v>14400</v>
      </c>
      <c r="AI244" s="10">
        <f>SUMIFS(IsQList,IsIList,Table_ExternalData_15[[#This Row],[item_key]],IsITypeList,Table_ExternalData_15[[#This Row],[IType]],IsDList,Table_ExternalData_15[[#Headers],[31]])</f>
        <v>0</v>
      </c>
      <c r="AJ244" s="10">
        <f>SUM(Table_ExternalData_15[[#This Row],[1]:[31]])</f>
        <v>30024</v>
      </c>
    </row>
    <row r="245" spans="1:36">
      <c r="A245" s="1" t="s">
        <v>1846</v>
      </c>
      <c r="B245" s="1" t="s">
        <v>2677</v>
      </c>
      <c r="C245" s="1" t="s">
        <v>2678</v>
      </c>
      <c r="D245" s="11" t="s">
        <v>72</v>
      </c>
      <c r="E245" s="10">
        <f>SUMIFS(IsQList,IsIList,Table_ExternalData_15[[#This Row],[item_key]],IsITypeList,Table_ExternalData_15[[#This Row],[IType]],IsDList,Table_ExternalData_15[[#Headers],[1]])</f>
        <v>0</v>
      </c>
      <c r="F245" s="10">
        <f>SUMIFS(IsQList,IsIList,Table_ExternalData_15[[#This Row],[item_key]],IsITypeList,Table_ExternalData_15[[#This Row],[IType]],IsDList,Table_ExternalData_15[[#Headers],[2]])</f>
        <v>0</v>
      </c>
      <c r="G245" s="10">
        <f>SUMIFS(IsQList,IsIList,Table_ExternalData_15[[#This Row],[item_key]],IsITypeList,Table_ExternalData_15[[#This Row],[IType]],IsDList,Table_ExternalData_15[[#Headers],[3]])</f>
        <v>0</v>
      </c>
      <c r="H245" s="10">
        <f>SUMIFS(IsQList,IsIList,Table_ExternalData_15[[#This Row],[item_key]],IsITypeList,Table_ExternalData_15[[#This Row],[IType]],IsDList,Table_ExternalData_15[[#Headers],[4]])</f>
        <v>0</v>
      </c>
      <c r="I245" s="10">
        <f>SUMIFS(IsQList,IsIList,Table_ExternalData_15[[#This Row],[item_key]],IsITypeList,Table_ExternalData_15[[#This Row],[IType]],IsDList,Table_ExternalData_15[[#Headers],[5]])</f>
        <v>0</v>
      </c>
      <c r="J245" s="10">
        <f>SUMIFS(IsQList,IsIList,Table_ExternalData_15[[#This Row],[item_key]],IsITypeList,Table_ExternalData_15[[#This Row],[IType]],IsDList,Table_ExternalData_15[[#Headers],[6]])</f>
        <v>0</v>
      </c>
      <c r="K245" s="10">
        <f>SUMIFS(IsQList,IsIList,Table_ExternalData_15[[#This Row],[item_key]],IsITypeList,Table_ExternalData_15[[#This Row],[IType]],IsDList,Table_ExternalData_15[[#Headers],[7]])</f>
        <v>0</v>
      </c>
      <c r="L245" s="10">
        <f>SUMIFS(IsQList,IsIList,Table_ExternalData_15[[#This Row],[item_key]],IsITypeList,Table_ExternalData_15[[#This Row],[IType]],IsDList,Table_ExternalData_15[[#Headers],[8]])</f>
        <v>0</v>
      </c>
      <c r="M245" s="10">
        <f>SUMIFS(IsQList,IsIList,Table_ExternalData_15[[#This Row],[item_key]],IsITypeList,Table_ExternalData_15[[#This Row],[IType]],IsDList,Table_ExternalData_15[[#Headers],[9]])</f>
        <v>0</v>
      </c>
      <c r="N245" s="10">
        <f>SUMIFS(IsQList,IsIList,Table_ExternalData_15[[#This Row],[item_key]],IsITypeList,Table_ExternalData_15[[#This Row],[IType]],IsDList,Table_ExternalData_15[[#Headers],[10]])</f>
        <v>490</v>
      </c>
      <c r="O245" s="10">
        <f>SUMIFS(IsQList,IsIList,Table_ExternalData_15[[#This Row],[item_key]],IsITypeList,Table_ExternalData_15[[#This Row],[IType]],IsDList,Table_ExternalData_15[[#Headers],[11]])</f>
        <v>0</v>
      </c>
      <c r="P245" s="10">
        <f>SUMIFS(IsQList,IsIList,Table_ExternalData_15[[#This Row],[item_key]],IsITypeList,Table_ExternalData_15[[#This Row],[IType]],IsDList,Table_ExternalData_15[[#Headers],[12]])</f>
        <v>0</v>
      </c>
      <c r="Q245" s="10">
        <f>SUMIFS(IsQList,IsIList,Table_ExternalData_15[[#This Row],[item_key]],IsITypeList,Table_ExternalData_15[[#This Row],[IType]],IsDList,Table_ExternalData_15[[#Headers],[13]])</f>
        <v>0</v>
      </c>
      <c r="R245" s="10">
        <f>SUMIFS(IsQList,IsIList,Table_ExternalData_15[[#This Row],[item_key]],IsITypeList,Table_ExternalData_15[[#This Row],[IType]],IsDList,Table_ExternalData_15[[#Headers],[14]])</f>
        <v>0</v>
      </c>
      <c r="S245" s="10">
        <f>SUMIFS(IsQList,IsIList,Table_ExternalData_15[[#This Row],[item_key]],IsITypeList,Table_ExternalData_15[[#This Row],[IType]],IsDList,Table_ExternalData_15[[#Headers],[15]])</f>
        <v>0</v>
      </c>
      <c r="T245" s="10">
        <f>SUMIFS(IsQList,IsIList,Table_ExternalData_15[[#This Row],[item_key]],IsITypeList,Table_ExternalData_15[[#This Row],[IType]],IsDList,Table_ExternalData_15[[#Headers],[16]])</f>
        <v>0</v>
      </c>
      <c r="U245" s="10">
        <f>SUMIFS(IsQList,IsIList,Table_ExternalData_15[[#This Row],[item_key]],IsITypeList,Table_ExternalData_15[[#This Row],[IType]],IsDList,Table_ExternalData_15[[#Headers],[17]])</f>
        <v>0</v>
      </c>
      <c r="V245" s="10">
        <f>SUMIFS(IsQList,IsIList,Table_ExternalData_15[[#This Row],[item_key]],IsITypeList,Table_ExternalData_15[[#This Row],[IType]],IsDList,Table_ExternalData_15[[#Headers],[18]])</f>
        <v>0</v>
      </c>
      <c r="W245" s="10">
        <f>SUMIFS(IsQList,IsIList,Table_ExternalData_15[[#This Row],[item_key]],IsITypeList,Table_ExternalData_15[[#This Row],[IType]],IsDList,Table_ExternalData_15[[#Headers],[19]])</f>
        <v>0</v>
      </c>
      <c r="X245" s="10">
        <f>SUMIFS(IsQList,IsIList,Table_ExternalData_15[[#This Row],[item_key]],IsITypeList,Table_ExternalData_15[[#This Row],[IType]],IsDList,Table_ExternalData_15[[#Headers],[20]])</f>
        <v>0</v>
      </c>
      <c r="Y245" s="10">
        <f>SUMIFS(IsQList,IsIList,Table_ExternalData_15[[#This Row],[item_key]],IsITypeList,Table_ExternalData_15[[#This Row],[IType]],IsDList,Table_ExternalData_15[[#Headers],[21]])</f>
        <v>0</v>
      </c>
      <c r="Z245" s="10">
        <f>SUMIFS(IsQList,IsIList,Table_ExternalData_15[[#This Row],[item_key]],IsITypeList,Table_ExternalData_15[[#This Row],[IType]],IsDList,Table_ExternalData_15[[#Headers],[22]])</f>
        <v>0</v>
      </c>
      <c r="AA245" s="10">
        <f>SUMIFS(IsQList,IsIList,Table_ExternalData_15[[#This Row],[item_key]],IsITypeList,Table_ExternalData_15[[#This Row],[IType]],IsDList,Table_ExternalData_15[[#Headers],[23]])</f>
        <v>0</v>
      </c>
      <c r="AB245" s="10">
        <f>SUMIFS(IsQList,IsIList,Table_ExternalData_15[[#This Row],[item_key]],IsITypeList,Table_ExternalData_15[[#This Row],[IType]],IsDList,Table_ExternalData_15[[#Headers],[24]])</f>
        <v>0</v>
      </c>
      <c r="AC245" s="10">
        <f>SUMIFS(IsQList,IsIList,Table_ExternalData_15[[#This Row],[item_key]],IsITypeList,Table_ExternalData_15[[#This Row],[IType]],IsDList,Table_ExternalData_15[[#Headers],[25]])</f>
        <v>0</v>
      </c>
      <c r="AD245" s="10">
        <f>SUMIFS(IsQList,IsIList,Table_ExternalData_15[[#This Row],[item_key]],IsITypeList,Table_ExternalData_15[[#This Row],[IType]],IsDList,Table_ExternalData_15[[#Headers],[26]])</f>
        <v>0</v>
      </c>
      <c r="AE245" s="10">
        <f>SUMIFS(IsQList,IsIList,Table_ExternalData_15[[#This Row],[item_key]],IsITypeList,Table_ExternalData_15[[#This Row],[IType]],IsDList,Table_ExternalData_15[[#Headers],[27]])</f>
        <v>0</v>
      </c>
      <c r="AF245" s="10">
        <f>SUMIFS(IsQList,IsIList,Table_ExternalData_15[[#This Row],[item_key]],IsITypeList,Table_ExternalData_15[[#This Row],[IType]],IsDList,Table_ExternalData_15[[#Headers],[28]])</f>
        <v>0</v>
      </c>
      <c r="AG245" s="10">
        <f>SUMIFS(IsQList,IsIList,Table_ExternalData_15[[#This Row],[item_key]],IsITypeList,Table_ExternalData_15[[#This Row],[IType]],IsDList,Table_ExternalData_15[[#Headers],[29]])</f>
        <v>0</v>
      </c>
      <c r="AH245" s="10">
        <f>SUMIFS(IsQList,IsIList,Table_ExternalData_15[[#This Row],[item_key]],IsITypeList,Table_ExternalData_15[[#This Row],[IType]],IsDList,Table_ExternalData_15[[#Headers],[30]])</f>
        <v>0</v>
      </c>
      <c r="AI245" s="10">
        <f>SUMIFS(IsQList,IsIList,Table_ExternalData_15[[#This Row],[item_key]],IsITypeList,Table_ExternalData_15[[#This Row],[IType]],IsDList,Table_ExternalData_15[[#Headers],[31]])</f>
        <v>0</v>
      </c>
      <c r="AJ245" s="10">
        <f>SUM(Table_ExternalData_15[[#This Row],[1]:[31]])</f>
        <v>490</v>
      </c>
    </row>
    <row r="246" spans="1:36">
      <c r="A246" s="1" t="s">
        <v>1848</v>
      </c>
      <c r="B246" s="1" t="s">
        <v>2679</v>
      </c>
      <c r="C246" s="1" t="s">
        <v>2680</v>
      </c>
      <c r="D246" s="11" t="s">
        <v>72</v>
      </c>
      <c r="E246" s="10">
        <f>SUMIFS(IsQList,IsIList,Table_ExternalData_15[[#This Row],[item_key]],IsITypeList,Table_ExternalData_15[[#This Row],[IType]],IsDList,Table_ExternalData_15[[#Headers],[1]])</f>
        <v>0</v>
      </c>
      <c r="F246" s="10">
        <f>SUMIFS(IsQList,IsIList,Table_ExternalData_15[[#This Row],[item_key]],IsITypeList,Table_ExternalData_15[[#This Row],[IType]],IsDList,Table_ExternalData_15[[#Headers],[2]])</f>
        <v>0</v>
      </c>
      <c r="G246" s="10">
        <f>SUMIFS(IsQList,IsIList,Table_ExternalData_15[[#This Row],[item_key]],IsITypeList,Table_ExternalData_15[[#This Row],[IType]],IsDList,Table_ExternalData_15[[#Headers],[3]])</f>
        <v>0</v>
      </c>
      <c r="H246" s="10">
        <f>SUMIFS(IsQList,IsIList,Table_ExternalData_15[[#This Row],[item_key]],IsITypeList,Table_ExternalData_15[[#This Row],[IType]],IsDList,Table_ExternalData_15[[#Headers],[4]])</f>
        <v>0</v>
      </c>
      <c r="I246" s="10">
        <f>SUMIFS(IsQList,IsIList,Table_ExternalData_15[[#This Row],[item_key]],IsITypeList,Table_ExternalData_15[[#This Row],[IType]],IsDList,Table_ExternalData_15[[#Headers],[5]])</f>
        <v>0</v>
      </c>
      <c r="J246" s="10">
        <f>SUMIFS(IsQList,IsIList,Table_ExternalData_15[[#This Row],[item_key]],IsITypeList,Table_ExternalData_15[[#This Row],[IType]],IsDList,Table_ExternalData_15[[#Headers],[6]])</f>
        <v>0</v>
      </c>
      <c r="K246" s="10">
        <f>SUMIFS(IsQList,IsIList,Table_ExternalData_15[[#This Row],[item_key]],IsITypeList,Table_ExternalData_15[[#This Row],[IType]],IsDList,Table_ExternalData_15[[#Headers],[7]])</f>
        <v>0</v>
      </c>
      <c r="L246" s="10">
        <f>SUMIFS(IsQList,IsIList,Table_ExternalData_15[[#This Row],[item_key]],IsITypeList,Table_ExternalData_15[[#This Row],[IType]],IsDList,Table_ExternalData_15[[#Headers],[8]])</f>
        <v>0</v>
      </c>
      <c r="M246" s="10">
        <f>SUMIFS(IsQList,IsIList,Table_ExternalData_15[[#This Row],[item_key]],IsITypeList,Table_ExternalData_15[[#This Row],[IType]],IsDList,Table_ExternalData_15[[#Headers],[9]])</f>
        <v>0</v>
      </c>
      <c r="N246" s="10">
        <f>SUMIFS(IsQList,IsIList,Table_ExternalData_15[[#This Row],[item_key]],IsITypeList,Table_ExternalData_15[[#This Row],[IType]],IsDList,Table_ExternalData_15[[#Headers],[10]])</f>
        <v>0</v>
      </c>
      <c r="O246" s="10">
        <f>SUMIFS(IsQList,IsIList,Table_ExternalData_15[[#This Row],[item_key]],IsITypeList,Table_ExternalData_15[[#This Row],[IType]],IsDList,Table_ExternalData_15[[#Headers],[11]])</f>
        <v>0</v>
      </c>
      <c r="P246" s="10">
        <f>SUMIFS(IsQList,IsIList,Table_ExternalData_15[[#This Row],[item_key]],IsITypeList,Table_ExternalData_15[[#This Row],[IType]],IsDList,Table_ExternalData_15[[#Headers],[12]])</f>
        <v>0</v>
      </c>
      <c r="Q246" s="10">
        <f>SUMIFS(IsQList,IsIList,Table_ExternalData_15[[#This Row],[item_key]],IsITypeList,Table_ExternalData_15[[#This Row],[IType]],IsDList,Table_ExternalData_15[[#Headers],[13]])</f>
        <v>0</v>
      </c>
      <c r="R246" s="10">
        <f>SUMIFS(IsQList,IsIList,Table_ExternalData_15[[#This Row],[item_key]],IsITypeList,Table_ExternalData_15[[#This Row],[IType]],IsDList,Table_ExternalData_15[[#Headers],[14]])</f>
        <v>0</v>
      </c>
      <c r="S246" s="10">
        <f>SUMIFS(IsQList,IsIList,Table_ExternalData_15[[#This Row],[item_key]],IsITypeList,Table_ExternalData_15[[#This Row],[IType]],IsDList,Table_ExternalData_15[[#Headers],[15]])</f>
        <v>0</v>
      </c>
      <c r="T246" s="10">
        <f>SUMIFS(IsQList,IsIList,Table_ExternalData_15[[#This Row],[item_key]],IsITypeList,Table_ExternalData_15[[#This Row],[IType]],IsDList,Table_ExternalData_15[[#Headers],[16]])</f>
        <v>0</v>
      </c>
      <c r="U246" s="10">
        <f>SUMIFS(IsQList,IsIList,Table_ExternalData_15[[#This Row],[item_key]],IsITypeList,Table_ExternalData_15[[#This Row],[IType]],IsDList,Table_ExternalData_15[[#Headers],[17]])</f>
        <v>0</v>
      </c>
      <c r="V246" s="10">
        <f>SUMIFS(IsQList,IsIList,Table_ExternalData_15[[#This Row],[item_key]],IsITypeList,Table_ExternalData_15[[#This Row],[IType]],IsDList,Table_ExternalData_15[[#Headers],[18]])</f>
        <v>0</v>
      </c>
      <c r="W246" s="10">
        <f>SUMIFS(IsQList,IsIList,Table_ExternalData_15[[#This Row],[item_key]],IsITypeList,Table_ExternalData_15[[#This Row],[IType]],IsDList,Table_ExternalData_15[[#Headers],[19]])</f>
        <v>0</v>
      </c>
      <c r="X246" s="10">
        <f>SUMIFS(IsQList,IsIList,Table_ExternalData_15[[#This Row],[item_key]],IsITypeList,Table_ExternalData_15[[#This Row],[IType]],IsDList,Table_ExternalData_15[[#Headers],[20]])</f>
        <v>0</v>
      </c>
      <c r="Y246" s="10">
        <f>SUMIFS(IsQList,IsIList,Table_ExternalData_15[[#This Row],[item_key]],IsITypeList,Table_ExternalData_15[[#This Row],[IType]],IsDList,Table_ExternalData_15[[#Headers],[21]])</f>
        <v>0</v>
      </c>
      <c r="Z246" s="10">
        <f>SUMIFS(IsQList,IsIList,Table_ExternalData_15[[#This Row],[item_key]],IsITypeList,Table_ExternalData_15[[#This Row],[IType]],IsDList,Table_ExternalData_15[[#Headers],[22]])</f>
        <v>0</v>
      </c>
      <c r="AA246" s="10">
        <f>SUMIFS(IsQList,IsIList,Table_ExternalData_15[[#This Row],[item_key]],IsITypeList,Table_ExternalData_15[[#This Row],[IType]],IsDList,Table_ExternalData_15[[#Headers],[23]])</f>
        <v>0</v>
      </c>
      <c r="AB246" s="10">
        <f>SUMIFS(IsQList,IsIList,Table_ExternalData_15[[#This Row],[item_key]],IsITypeList,Table_ExternalData_15[[#This Row],[IType]],IsDList,Table_ExternalData_15[[#Headers],[24]])</f>
        <v>0</v>
      </c>
      <c r="AC246" s="10">
        <f>SUMIFS(IsQList,IsIList,Table_ExternalData_15[[#This Row],[item_key]],IsITypeList,Table_ExternalData_15[[#This Row],[IType]],IsDList,Table_ExternalData_15[[#Headers],[25]])</f>
        <v>0</v>
      </c>
      <c r="AD246" s="10">
        <f>SUMIFS(IsQList,IsIList,Table_ExternalData_15[[#This Row],[item_key]],IsITypeList,Table_ExternalData_15[[#This Row],[IType]],IsDList,Table_ExternalData_15[[#Headers],[26]])</f>
        <v>0</v>
      </c>
      <c r="AE246" s="10">
        <f>SUMIFS(IsQList,IsIList,Table_ExternalData_15[[#This Row],[item_key]],IsITypeList,Table_ExternalData_15[[#This Row],[IType]],IsDList,Table_ExternalData_15[[#Headers],[27]])</f>
        <v>0</v>
      </c>
      <c r="AF246" s="10">
        <f>SUMIFS(IsQList,IsIList,Table_ExternalData_15[[#This Row],[item_key]],IsITypeList,Table_ExternalData_15[[#This Row],[IType]],IsDList,Table_ExternalData_15[[#Headers],[28]])</f>
        <v>0</v>
      </c>
      <c r="AG246" s="10">
        <f>SUMIFS(IsQList,IsIList,Table_ExternalData_15[[#This Row],[item_key]],IsITypeList,Table_ExternalData_15[[#This Row],[IType]],IsDList,Table_ExternalData_15[[#Headers],[29]])</f>
        <v>0</v>
      </c>
      <c r="AH246" s="10">
        <f>SUMIFS(IsQList,IsIList,Table_ExternalData_15[[#This Row],[item_key]],IsITypeList,Table_ExternalData_15[[#This Row],[IType]],IsDList,Table_ExternalData_15[[#Headers],[30]])</f>
        <v>0</v>
      </c>
      <c r="AI246" s="10">
        <f>SUMIFS(IsQList,IsIList,Table_ExternalData_15[[#This Row],[item_key]],IsITypeList,Table_ExternalData_15[[#This Row],[IType]],IsDList,Table_ExternalData_15[[#Headers],[31]])</f>
        <v>0</v>
      </c>
      <c r="AJ246" s="10">
        <f>SUM(Table_ExternalData_15[[#This Row],[1]:[31]])</f>
        <v>0</v>
      </c>
    </row>
    <row r="247" spans="1:36">
      <c r="A247" s="1" t="s">
        <v>1852</v>
      </c>
      <c r="B247" s="1" t="s">
        <v>2681</v>
      </c>
      <c r="C247" s="1" t="s">
        <v>2682</v>
      </c>
      <c r="D247" s="11" t="s">
        <v>72</v>
      </c>
      <c r="E247" s="10">
        <f>SUMIFS(IsQList,IsIList,Table_ExternalData_15[[#This Row],[item_key]],IsITypeList,Table_ExternalData_15[[#This Row],[IType]],IsDList,Table_ExternalData_15[[#Headers],[1]])</f>
        <v>0</v>
      </c>
      <c r="F247" s="10">
        <f>SUMIFS(IsQList,IsIList,Table_ExternalData_15[[#This Row],[item_key]],IsITypeList,Table_ExternalData_15[[#This Row],[IType]],IsDList,Table_ExternalData_15[[#Headers],[2]])</f>
        <v>0</v>
      </c>
      <c r="G247" s="10">
        <f>SUMIFS(IsQList,IsIList,Table_ExternalData_15[[#This Row],[item_key]],IsITypeList,Table_ExternalData_15[[#This Row],[IType]],IsDList,Table_ExternalData_15[[#Headers],[3]])</f>
        <v>0</v>
      </c>
      <c r="H247" s="10">
        <f>SUMIFS(IsQList,IsIList,Table_ExternalData_15[[#This Row],[item_key]],IsITypeList,Table_ExternalData_15[[#This Row],[IType]],IsDList,Table_ExternalData_15[[#Headers],[4]])</f>
        <v>0</v>
      </c>
      <c r="I247" s="10">
        <f>SUMIFS(IsQList,IsIList,Table_ExternalData_15[[#This Row],[item_key]],IsITypeList,Table_ExternalData_15[[#This Row],[IType]],IsDList,Table_ExternalData_15[[#Headers],[5]])</f>
        <v>0</v>
      </c>
      <c r="J247" s="10">
        <f>SUMIFS(IsQList,IsIList,Table_ExternalData_15[[#This Row],[item_key]],IsITypeList,Table_ExternalData_15[[#This Row],[IType]],IsDList,Table_ExternalData_15[[#Headers],[6]])</f>
        <v>10</v>
      </c>
      <c r="K247" s="10">
        <f>SUMIFS(IsQList,IsIList,Table_ExternalData_15[[#This Row],[item_key]],IsITypeList,Table_ExternalData_15[[#This Row],[IType]],IsDList,Table_ExternalData_15[[#Headers],[7]])</f>
        <v>0</v>
      </c>
      <c r="L247" s="10">
        <f>SUMIFS(IsQList,IsIList,Table_ExternalData_15[[#This Row],[item_key]],IsITypeList,Table_ExternalData_15[[#This Row],[IType]],IsDList,Table_ExternalData_15[[#Headers],[8]])</f>
        <v>0</v>
      </c>
      <c r="M247" s="10">
        <f>SUMIFS(IsQList,IsIList,Table_ExternalData_15[[#This Row],[item_key]],IsITypeList,Table_ExternalData_15[[#This Row],[IType]],IsDList,Table_ExternalData_15[[#Headers],[9]])</f>
        <v>0</v>
      </c>
      <c r="N247" s="10">
        <f>SUMIFS(IsQList,IsIList,Table_ExternalData_15[[#This Row],[item_key]],IsITypeList,Table_ExternalData_15[[#This Row],[IType]],IsDList,Table_ExternalData_15[[#Headers],[10]])</f>
        <v>0</v>
      </c>
      <c r="O247" s="10">
        <f>SUMIFS(IsQList,IsIList,Table_ExternalData_15[[#This Row],[item_key]],IsITypeList,Table_ExternalData_15[[#This Row],[IType]],IsDList,Table_ExternalData_15[[#Headers],[11]])</f>
        <v>0</v>
      </c>
      <c r="P247" s="10">
        <f>SUMIFS(IsQList,IsIList,Table_ExternalData_15[[#This Row],[item_key]],IsITypeList,Table_ExternalData_15[[#This Row],[IType]],IsDList,Table_ExternalData_15[[#Headers],[12]])</f>
        <v>0</v>
      </c>
      <c r="Q247" s="10">
        <f>SUMIFS(IsQList,IsIList,Table_ExternalData_15[[#This Row],[item_key]],IsITypeList,Table_ExternalData_15[[#This Row],[IType]],IsDList,Table_ExternalData_15[[#Headers],[13]])</f>
        <v>0</v>
      </c>
      <c r="R247" s="10">
        <f>SUMIFS(IsQList,IsIList,Table_ExternalData_15[[#This Row],[item_key]],IsITypeList,Table_ExternalData_15[[#This Row],[IType]],IsDList,Table_ExternalData_15[[#Headers],[14]])</f>
        <v>0</v>
      </c>
      <c r="S247" s="10">
        <f>SUMIFS(IsQList,IsIList,Table_ExternalData_15[[#This Row],[item_key]],IsITypeList,Table_ExternalData_15[[#This Row],[IType]],IsDList,Table_ExternalData_15[[#Headers],[15]])</f>
        <v>0</v>
      </c>
      <c r="T247" s="10">
        <f>SUMIFS(IsQList,IsIList,Table_ExternalData_15[[#This Row],[item_key]],IsITypeList,Table_ExternalData_15[[#This Row],[IType]],IsDList,Table_ExternalData_15[[#Headers],[16]])</f>
        <v>0</v>
      </c>
      <c r="U247" s="10">
        <f>SUMIFS(IsQList,IsIList,Table_ExternalData_15[[#This Row],[item_key]],IsITypeList,Table_ExternalData_15[[#This Row],[IType]],IsDList,Table_ExternalData_15[[#Headers],[17]])</f>
        <v>0</v>
      </c>
      <c r="V247" s="10">
        <f>SUMIFS(IsQList,IsIList,Table_ExternalData_15[[#This Row],[item_key]],IsITypeList,Table_ExternalData_15[[#This Row],[IType]],IsDList,Table_ExternalData_15[[#Headers],[18]])</f>
        <v>0</v>
      </c>
      <c r="W247" s="10">
        <f>SUMIFS(IsQList,IsIList,Table_ExternalData_15[[#This Row],[item_key]],IsITypeList,Table_ExternalData_15[[#This Row],[IType]],IsDList,Table_ExternalData_15[[#Headers],[19]])</f>
        <v>0</v>
      </c>
      <c r="X247" s="10">
        <f>SUMIFS(IsQList,IsIList,Table_ExternalData_15[[#This Row],[item_key]],IsITypeList,Table_ExternalData_15[[#This Row],[IType]],IsDList,Table_ExternalData_15[[#Headers],[20]])</f>
        <v>0</v>
      </c>
      <c r="Y247" s="10">
        <f>SUMIFS(IsQList,IsIList,Table_ExternalData_15[[#This Row],[item_key]],IsITypeList,Table_ExternalData_15[[#This Row],[IType]],IsDList,Table_ExternalData_15[[#Headers],[21]])</f>
        <v>0</v>
      </c>
      <c r="Z247" s="10">
        <f>SUMIFS(IsQList,IsIList,Table_ExternalData_15[[#This Row],[item_key]],IsITypeList,Table_ExternalData_15[[#This Row],[IType]],IsDList,Table_ExternalData_15[[#Headers],[22]])</f>
        <v>0</v>
      </c>
      <c r="AA247" s="10">
        <f>SUMIFS(IsQList,IsIList,Table_ExternalData_15[[#This Row],[item_key]],IsITypeList,Table_ExternalData_15[[#This Row],[IType]],IsDList,Table_ExternalData_15[[#Headers],[23]])</f>
        <v>0</v>
      </c>
      <c r="AB247" s="10">
        <f>SUMIFS(IsQList,IsIList,Table_ExternalData_15[[#This Row],[item_key]],IsITypeList,Table_ExternalData_15[[#This Row],[IType]],IsDList,Table_ExternalData_15[[#Headers],[24]])</f>
        <v>0</v>
      </c>
      <c r="AC247" s="10">
        <f>SUMIFS(IsQList,IsIList,Table_ExternalData_15[[#This Row],[item_key]],IsITypeList,Table_ExternalData_15[[#This Row],[IType]],IsDList,Table_ExternalData_15[[#Headers],[25]])</f>
        <v>0</v>
      </c>
      <c r="AD247" s="10">
        <f>SUMIFS(IsQList,IsIList,Table_ExternalData_15[[#This Row],[item_key]],IsITypeList,Table_ExternalData_15[[#This Row],[IType]],IsDList,Table_ExternalData_15[[#Headers],[26]])</f>
        <v>0</v>
      </c>
      <c r="AE247" s="10">
        <f>SUMIFS(IsQList,IsIList,Table_ExternalData_15[[#This Row],[item_key]],IsITypeList,Table_ExternalData_15[[#This Row],[IType]],IsDList,Table_ExternalData_15[[#Headers],[27]])</f>
        <v>0</v>
      </c>
      <c r="AF247" s="10">
        <f>SUMIFS(IsQList,IsIList,Table_ExternalData_15[[#This Row],[item_key]],IsITypeList,Table_ExternalData_15[[#This Row],[IType]],IsDList,Table_ExternalData_15[[#Headers],[28]])</f>
        <v>0</v>
      </c>
      <c r="AG247" s="10">
        <f>SUMIFS(IsQList,IsIList,Table_ExternalData_15[[#This Row],[item_key]],IsITypeList,Table_ExternalData_15[[#This Row],[IType]],IsDList,Table_ExternalData_15[[#Headers],[29]])</f>
        <v>0</v>
      </c>
      <c r="AH247" s="10">
        <f>SUMIFS(IsQList,IsIList,Table_ExternalData_15[[#This Row],[item_key]],IsITypeList,Table_ExternalData_15[[#This Row],[IType]],IsDList,Table_ExternalData_15[[#Headers],[30]])</f>
        <v>10</v>
      </c>
      <c r="AI247" s="10">
        <f>SUMIFS(IsQList,IsIList,Table_ExternalData_15[[#This Row],[item_key]],IsITypeList,Table_ExternalData_15[[#This Row],[IType]],IsDList,Table_ExternalData_15[[#Headers],[31]])</f>
        <v>0</v>
      </c>
      <c r="AJ247" s="10">
        <f>SUM(Table_ExternalData_15[[#This Row],[1]:[31]])</f>
        <v>20</v>
      </c>
    </row>
    <row r="248" spans="1:36">
      <c r="A248" s="1" t="s">
        <v>779</v>
      </c>
      <c r="B248" s="1" t="s">
        <v>2683</v>
      </c>
      <c r="C248" s="1" t="s">
        <v>2684</v>
      </c>
      <c r="D248" s="11" t="s">
        <v>72</v>
      </c>
      <c r="E248" s="10">
        <f>SUMIFS(IsQList,IsIList,Table_ExternalData_15[[#This Row],[item_key]],IsITypeList,Table_ExternalData_15[[#This Row],[IType]],IsDList,Table_ExternalData_15[[#Headers],[1]])</f>
        <v>0</v>
      </c>
      <c r="F248" s="10">
        <f>SUMIFS(IsQList,IsIList,Table_ExternalData_15[[#This Row],[item_key]],IsITypeList,Table_ExternalData_15[[#This Row],[IType]],IsDList,Table_ExternalData_15[[#Headers],[2]])</f>
        <v>0</v>
      </c>
      <c r="G248" s="10">
        <f>SUMIFS(IsQList,IsIList,Table_ExternalData_15[[#This Row],[item_key]],IsITypeList,Table_ExternalData_15[[#This Row],[IType]],IsDList,Table_ExternalData_15[[#Headers],[3]])</f>
        <v>0</v>
      </c>
      <c r="H248" s="10">
        <f>SUMIFS(IsQList,IsIList,Table_ExternalData_15[[#This Row],[item_key]],IsITypeList,Table_ExternalData_15[[#This Row],[IType]],IsDList,Table_ExternalData_15[[#Headers],[4]])</f>
        <v>0</v>
      </c>
      <c r="I248" s="10">
        <f>SUMIFS(IsQList,IsIList,Table_ExternalData_15[[#This Row],[item_key]],IsITypeList,Table_ExternalData_15[[#This Row],[IType]],IsDList,Table_ExternalData_15[[#Headers],[5]])</f>
        <v>0</v>
      </c>
      <c r="J248" s="10">
        <f>SUMIFS(IsQList,IsIList,Table_ExternalData_15[[#This Row],[item_key]],IsITypeList,Table_ExternalData_15[[#This Row],[IType]],IsDList,Table_ExternalData_15[[#Headers],[6]])</f>
        <v>0</v>
      </c>
      <c r="K248" s="10">
        <f>SUMIFS(IsQList,IsIList,Table_ExternalData_15[[#This Row],[item_key]],IsITypeList,Table_ExternalData_15[[#This Row],[IType]],IsDList,Table_ExternalData_15[[#Headers],[7]])</f>
        <v>0</v>
      </c>
      <c r="L248" s="10">
        <f>SUMIFS(IsQList,IsIList,Table_ExternalData_15[[#This Row],[item_key]],IsITypeList,Table_ExternalData_15[[#This Row],[IType]],IsDList,Table_ExternalData_15[[#Headers],[8]])</f>
        <v>0</v>
      </c>
      <c r="M248" s="10">
        <f>SUMIFS(IsQList,IsIList,Table_ExternalData_15[[#This Row],[item_key]],IsITypeList,Table_ExternalData_15[[#This Row],[IType]],IsDList,Table_ExternalData_15[[#Headers],[9]])</f>
        <v>0</v>
      </c>
      <c r="N248" s="10">
        <f>SUMIFS(IsQList,IsIList,Table_ExternalData_15[[#This Row],[item_key]],IsITypeList,Table_ExternalData_15[[#This Row],[IType]],IsDList,Table_ExternalData_15[[#Headers],[10]])</f>
        <v>0</v>
      </c>
      <c r="O248" s="10">
        <f>SUMIFS(IsQList,IsIList,Table_ExternalData_15[[#This Row],[item_key]],IsITypeList,Table_ExternalData_15[[#This Row],[IType]],IsDList,Table_ExternalData_15[[#Headers],[11]])</f>
        <v>0</v>
      </c>
      <c r="P248" s="10">
        <f>SUMIFS(IsQList,IsIList,Table_ExternalData_15[[#This Row],[item_key]],IsITypeList,Table_ExternalData_15[[#This Row],[IType]],IsDList,Table_ExternalData_15[[#Headers],[12]])</f>
        <v>0</v>
      </c>
      <c r="Q248" s="10">
        <f>SUMIFS(IsQList,IsIList,Table_ExternalData_15[[#This Row],[item_key]],IsITypeList,Table_ExternalData_15[[#This Row],[IType]],IsDList,Table_ExternalData_15[[#Headers],[13]])</f>
        <v>0</v>
      </c>
      <c r="R248" s="10">
        <f>SUMIFS(IsQList,IsIList,Table_ExternalData_15[[#This Row],[item_key]],IsITypeList,Table_ExternalData_15[[#This Row],[IType]],IsDList,Table_ExternalData_15[[#Headers],[14]])</f>
        <v>0</v>
      </c>
      <c r="S248" s="10">
        <f>SUMIFS(IsQList,IsIList,Table_ExternalData_15[[#This Row],[item_key]],IsITypeList,Table_ExternalData_15[[#This Row],[IType]],IsDList,Table_ExternalData_15[[#Headers],[15]])</f>
        <v>0</v>
      </c>
      <c r="T248" s="10">
        <f>SUMIFS(IsQList,IsIList,Table_ExternalData_15[[#This Row],[item_key]],IsITypeList,Table_ExternalData_15[[#This Row],[IType]],IsDList,Table_ExternalData_15[[#Headers],[16]])</f>
        <v>0</v>
      </c>
      <c r="U248" s="10">
        <f>SUMIFS(IsQList,IsIList,Table_ExternalData_15[[#This Row],[item_key]],IsITypeList,Table_ExternalData_15[[#This Row],[IType]],IsDList,Table_ExternalData_15[[#Headers],[17]])</f>
        <v>0</v>
      </c>
      <c r="V248" s="10">
        <f>SUMIFS(IsQList,IsIList,Table_ExternalData_15[[#This Row],[item_key]],IsITypeList,Table_ExternalData_15[[#This Row],[IType]],IsDList,Table_ExternalData_15[[#Headers],[18]])</f>
        <v>0</v>
      </c>
      <c r="W248" s="10">
        <f>SUMIFS(IsQList,IsIList,Table_ExternalData_15[[#This Row],[item_key]],IsITypeList,Table_ExternalData_15[[#This Row],[IType]],IsDList,Table_ExternalData_15[[#Headers],[19]])</f>
        <v>0</v>
      </c>
      <c r="X248" s="10">
        <f>SUMIFS(IsQList,IsIList,Table_ExternalData_15[[#This Row],[item_key]],IsITypeList,Table_ExternalData_15[[#This Row],[IType]],IsDList,Table_ExternalData_15[[#Headers],[20]])</f>
        <v>0</v>
      </c>
      <c r="Y248" s="10">
        <f>SUMIFS(IsQList,IsIList,Table_ExternalData_15[[#This Row],[item_key]],IsITypeList,Table_ExternalData_15[[#This Row],[IType]],IsDList,Table_ExternalData_15[[#Headers],[21]])</f>
        <v>0</v>
      </c>
      <c r="Z248" s="10">
        <f>SUMIFS(IsQList,IsIList,Table_ExternalData_15[[#This Row],[item_key]],IsITypeList,Table_ExternalData_15[[#This Row],[IType]],IsDList,Table_ExternalData_15[[#Headers],[22]])</f>
        <v>0</v>
      </c>
      <c r="AA248" s="10">
        <f>SUMIFS(IsQList,IsIList,Table_ExternalData_15[[#This Row],[item_key]],IsITypeList,Table_ExternalData_15[[#This Row],[IType]],IsDList,Table_ExternalData_15[[#Headers],[23]])</f>
        <v>0</v>
      </c>
      <c r="AB248" s="10">
        <f>SUMIFS(IsQList,IsIList,Table_ExternalData_15[[#This Row],[item_key]],IsITypeList,Table_ExternalData_15[[#This Row],[IType]],IsDList,Table_ExternalData_15[[#Headers],[24]])</f>
        <v>5</v>
      </c>
      <c r="AC248" s="10">
        <f>SUMIFS(IsQList,IsIList,Table_ExternalData_15[[#This Row],[item_key]],IsITypeList,Table_ExternalData_15[[#This Row],[IType]],IsDList,Table_ExternalData_15[[#Headers],[25]])</f>
        <v>0</v>
      </c>
      <c r="AD248" s="10">
        <f>SUMIFS(IsQList,IsIList,Table_ExternalData_15[[#This Row],[item_key]],IsITypeList,Table_ExternalData_15[[#This Row],[IType]],IsDList,Table_ExternalData_15[[#Headers],[26]])</f>
        <v>0</v>
      </c>
      <c r="AE248" s="10">
        <f>SUMIFS(IsQList,IsIList,Table_ExternalData_15[[#This Row],[item_key]],IsITypeList,Table_ExternalData_15[[#This Row],[IType]],IsDList,Table_ExternalData_15[[#Headers],[27]])</f>
        <v>0</v>
      </c>
      <c r="AF248" s="10">
        <f>SUMIFS(IsQList,IsIList,Table_ExternalData_15[[#This Row],[item_key]],IsITypeList,Table_ExternalData_15[[#This Row],[IType]],IsDList,Table_ExternalData_15[[#Headers],[28]])</f>
        <v>0</v>
      </c>
      <c r="AG248" s="10">
        <f>SUMIFS(IsQList,IsIList,Table_ExternalData_15[[#This Row],[item_key]],IsITypeList,Table_ExternalData_15[[#This Row],[IType]],IsDList,Table_ExternalData_15[[#Headers],[29]])</f>
        <v>0</v>
      </c>
      <c r="AH248" s="10">
        <f>SUMIFS(IsQList,IsIList,Table_ExternalData_15[[#This Row],[item_key]],IsITypeList,Table_ExternalData_15[[#This Row],[IType]],IsDList,Table_ExternalData_15[[#Headers],[30]])</f>
        <v>0</v>
      </c>
      <c r="AI248" s="10">
        <f>SUMIFS(IsQList,IsIList,Table_ExternalData_15[[#This Row],[item_key]],IsITypeList,Table_ExternalData_15[[#This Row],[IType]],IsDList,Table_ExternalData_15[[#Headers],[31]])</f>
        <v>0</v>
      </c>
      <c r="AJ248" s="10">
        <f>SUM(Table_ExternalData_15[[#This Row],[1]:[31]])</f>
        <v>5</v>
      </c>
    </row>
    <row r="249" spans="1:36">
      <c r="A249" s="1" t="s">
        <v>1866</v>
      </c>
      <c r="B249" s="1" t="s">
        <v>2685</v>
      </c>
      <c r="C249" s="1" t="s">
        <v>2686</v>
      </c>
      <c r="D249" s="11" t="s">
        <v>72</v>
      </c>
      <c r="E249" s="10">
        <f>SUMIFS(IsQList,IsIList,Table_ExternalData_15[[#This Row],[item_key]],IsITypeList,Table_ExternalData_15[[#This Row],[IType]],IsDList,Table_ExternalData_15[[#Headers],[1]])</f>
        <v>0</v>
      </c>
      <c r="F249" s="10">
        <f>SUMIFS(IsQList,IsIList,Table_ExternalData_15[[#This Row],[item_key]],IsITypeList,Table_ExternalData_15[[#This Row],[IType]],IsDList,Table_ExternalData_15[[#Headers],[2]])</f>
        <v>0</v>
      </c>
      <c r="G249" s="10">
        <f>SUMIFS(IsQList,IsIList,Table_ExternalData_15[[#This Row],[item_key]],IsITypeList,Table_ExternalData_15[[#This Row],[IType]],IsDList,Table_ExternalData_15[[#Headers],[3]])</f>
        <v>0</v>
      </c>
      <c r="H249" s="10">
        <f>SUMIFS(IsQList,IsIList,Table_ExternalData_15[[#This Row],[item_key]],IsITypeList,Table_ExternalData_15[[#This Row],[IType]],IsDList,Table_ExternalData_15[[#Headers],[4]])</f>
        <v>0</v>
      </c>
      <c r="I249" s="10">
        <f>SUMIFS(IsQList,IsIList,Table_ExternalData_15[[#This Row],[item_key]],IsITypeList,Table_ExternalData_15[[#This Row],[IType]],IsDList,Table_ExternalData_15[[#Headers],[5]])</f>
        <v>0</v>
      </c>
      <c r="J249" s="10">
        <f>SUMIFS(IsQList,IsIList,Table_ExternalData_15[[#This Row],[item_key]],IsITypeList,Table_ExternalData_15[[#This Row],[IType]],IsDList,Table_ExternalData_15[[#Headers],[6]])</f>
        <v>0</v>
      </c>
      <c r="K249" s="10">
        <f>SUMIFS(IsQList,IsIList,Table_ExternalData_15[[#This Row],[item_key]],IsITypeList,Table_ExternalData_15[[#This Row],[IType]],IsDList,Table_ExternalData_15[[#Headers],[7]])</f>
        <v>0</v>
      </c>
      <c r="L249" s="10">
        <f>SUMIFS(IsQList,IsIList,Table_ExternalData_15[[#This Row],[item_key]],IsITypeList,Table_ExternalData_15[[#This Row],[IType]],IsDList,Table_ExternalData_15[[#Headers],[8]])</f>
        <v>0</v>
      </c>
      <c r="M249" s="10">
        <f>SUMIFS(IsQList,IsIList,Table_ExternalData_15[[#This Row],[item_key]],IsITypeList,Table_ExternalData_15[[#This Row],[IType]],IsDList,Table_ExternalData_15[[#Headers],[9]])</f>
        <v>0</v>
      </c>
      <c r="N249" s="10">
        <f>SUMIFS(IsQList,IsIList,Table_ExternalData_15[[#This Row],[item_key]],IsITypeList,Table_ExternalData_15[[#This Row],[IType]],IsDList,Table_ExternalData_15[[#Headers],[10]])</f>
        <v>0</v>
      </c>
      <c r="O249" s="10">
        <f>SUMIFS(IsQList,IsIList,Table_ExternalData_15[[#This Row],[item_key]],IsITypeList,Table_ExternalData_15[[#This Row],[IType]],IsDList,Table_ExternalData_15[[#Headers],[11]])</f>
        <v>0</v>
      </c>
      <c r="P249" s="10">
        <f>SUMIFS(IsQList,IsIList,Table_ExternalData_15[[#This Row],[item_key]],IsITypeList,Table_ExternalData_15[[#This Row],[IType]],IsDList,Table_ExternalData_15[[#Headers],[12]])</f>
        <v>0</v>
      </c>
      <c r="Q249" s="10">
        <f>SUMIFS(IsQList,IsIList,Table_ExternalData_15[[#This Row],[item_key]],IsITypeList,Table_ExternalData_15[[#This Row],[IType]],IsDList,Table_ExternalData_15[[#Headers],[13]])</f>
        <v>0</v>
      </c>
      <c r="R249" s="10">
        <f>SUMIFS(IsQList,IsIList,Table_ExternalData_15[[#This Row],[item_key]],IsITypeList,Table_ExternalData_15[[#This Row],[IType]],IsDList,Table_ExternalData_15[[#Headers],[14]])</f>
        <v>0</v>
      </c>
      <c r="S249" s="10">
        <f>SUMIFS(IsQList,IsIList,Table_ExternalData_15[[#This Row],[item_key]],IsITypeList,Table_ExternalData_15[[#This Row],[IType]],IsDList,Table_ExternalData_15[[#Headers],[15]])</f>
        <v>0</v>
      </c>
      <c r="T249" s="10">
        <f>SUMIFS(IsQList,IsIList,Table_ExternalData_15[[#This Row],[item_key]],IsITypeList,Table_ExternalData_15[[#This Row],[IType]],IsDList,Table_ExternalData_15[[#Headers],[16]])</f>
        <v>20</v>
      </c>
      <c r="U249" s="10">
        <f>SUMIFS(IsQList,IsIList,Table_ExternalData_15[[#This Row],[item_key]],IsITypeList,Table_ExternalData_15[[#This Row],[IType]],IsDList,Table_ExternalData_15[[#Headers],[17]])</f>
        <v>0</v>
      </c>
      <c r="V249" s="10">
        <f>SUMIFS(IsQList,IsIList,Table_ExternalData_15[[#This Row],[item_key]],IsITypeList,Table_ExternalData_15[[#This Row],[IType]],IsDList,Table_ExternalData_15[[#Headers],[18]])</f>
        <v>0</v>
      </c>
      <c r="W249" s="10">
        <f>SUMIFS(IsQList,IsIList,Table_ExternalData_15[[#This Row],[item_key]],IsITypeList,Table_ExternalData_15[[#This Row],[IType]],IsDList,Table_ExternalData_15[[#Headers],[19]])</f>
        <v>0</v>
      </c>
      <c r="X249" s="10">
        <f>SUMIFS(IsQList,IsIList,Table_ExternalData_15[[#This Row],[item_key]],IsITypeList,Table_ExternalData_15[[#This Row],[IType]],IsDList,Table_ExternalData_15[[#Headers],[20]])</f>
        <v>0</v>
      </c>
      <c r="Y249" s="10">
        <f>SUMIFS(IsQList,IsIList,Table_ExternalData_15[[#This Row],[item_key]],IsITypeList,Table_ExternalData_15[[#This Row],[IType]],IsDList,Table_ExternalData_15[[#Headers],[21]])</f>
        <v>0</v>
      </c>
      <c r="Z249" s="10">
        <f>SUMIFS(IsQList,IsIList,Table_ExternalData_15[[#This Row],[item_key]],IsITypeList,Table_ExternalData_15[[#This Row],[IType]],IsDList,Table_ExternalData_15[[#Headers],[22]])</f>
        <v>0</v>
      </c>
      <c r="AA249" s="10">
        <f>SUMIFS(IsQList,IsIList,Table_ExternalData_15[[#This Row],[item_key]],IsITypeList,Table_ExternalData_15[[#This Row],[IType]],IsDList,Table_ExternalData_15[[#Headers],[23]])</f>
        <v>0</v>
      </c>
      <c r="AB249" s="10">
        <f>SUMIFS(IsQList,IsIList,Table_ExternalData_15[[#This Row],[item_key]],IsITypeList,Table_ExternalData_15[[#This Row],[IType]],IsDList,Table_ExternalData_15[[#Headers],[24]])</f>
        <v>0</v>
      </c>
      <c r="AC249" s="10">
        <f>SUMIFS(IsQList,IsIList,Table_ExternalData_15[[#This Row],[item_key]],IsITypeList,Table_ExternalData_15[[#This Row],[IType]],IsDList,Table_ExternalData_15[[#Headers],[25]])</f>
        <v>0</v>
      </c>
      <c r="AD249" s="10">
        <f>SUMIFS(IsQList,IsIList,Table_ExternalData_15[[#This Row],[item_key]],IsITypeList,Table_ExternalData_15[[#This Row],[IType]],IsDList,Table_ExternalData_15[[#Headers],[26]])</f>
        <v>0</v>
      </c>
      <c r="AE249" s="10">
        <f>SUMIFS(IsQList,IsIList,Table_ExternalData_15[[#This Row],[item_key]],IsITypeList,Table_ExternalData_15[[#This Row],[IType]],IsDList,Table_ExternalData_15[[#Headers],[27]])</f>
        <v>0</v>
      </c>
      <c r="AF249" s="10">
        <f>SUMIFS(IsQList,IsIList,Table_ExternalData_15[[#This Row],[item_key]],IsITypeList,Table_ExternalData_15[[#This Row],[IType]],IsDList,Table_ExternalData_15[[#Headers],[28]])</f>
        <v>0</v>
      </c>
      <c r="AG249" s="10">
        <f>SUMIFS(IsQList,IsIList,Table_ExternalData_15[[#This Row],[item_key]],IsITypeList,Table_ExternalData_15[[#This Row],[IType]],IsDList,Table_ExternalData_15[[#Headers],[29]])</f>
        <v>0</v>
      </c>
      <c r="AH249" s="10">
        <f>SUMIFS(IsQList,IsIList,Table_ExternalData_15[[#This Row],[item_key]],IsITypeList,Table_ExternalData_15[[#This Row],[IType]],IsDList,Table_ExternalData_15[[#Headers],[30]])</f>
        <v>0</v>
      </c>
      <c r="AI249" s="10">
        <f>SUMIFS(IsQList,IsIList,Table_ExternalData_15[[#This Row],[item_key]],IsITypeList,Table_ExternalData_15[[#This Row],[IType]],IsDList,Table_ExternalData_15[[#Headers],[31]])</f>
        <v>0</v>
      </c>
      <c r="AJ249" s="10">
        <f>SUM(Table_ExternalData_15[[#This Row],[1]:[31]])</f>
        <v>20</v>
      </c>
    </row>
    <row r="250" spans="1:36">
      <c r="A250" s="1" t="s">
        <v>1875</v>
      </c>
      <c r="B250" s="1" t="s">
        <v>2687</v>
      </c>
      <c r="C250" s="1" t="s">
        <v>2688</v>
      </c>
      <c r="D250" s="11" t="s">
        <v>72</v>
      </c>
      <c r="E250" s="10">
        <f>SUMIFS(IsQList,IsIList,Table_ExternalData_15[[#This Row],[item_key]],IsITypeList,Table_ExternalData_15[[#This Row],[IType]],IsDList,Table_ExternalData_15[[#Headers],[1]])</f>
        <v>0</v>
      </c>
      <c r="F250" s="10">
        <f>SUMIFS(IsQList,IsIList,Table_ExternalData_15[[#This Row],[item_key]],IsITypeList,Table_ExternalData_15[[#This Row],[IType]],IsDList,Table_ExternalData_15[[#Headers],[2]])</f>
        <v>0</v>
      </c>
      <c r="G250" s="10">
        <f>SUMIFS(IsQList,IsIList,Table_ExternalData_15[[#This Row],[item_key]],IsITypeList,Table_ExternalData_15[[#This Row],[IType]],IsDList,Table_ExternalData_15[[#Headers],[3]])</f>
        <v>0</v>
      </c>
      <c r="H250" s="10">
        <f>SUMIFS(IsQList,IsIList,Table_ExternalData_15[[#This Row],[item_key]],IsITypeList,Table_ExternalData_15[[#This Row],[IType]],IsDList,Table_ExternalData_15[[#Headers],[4]])</f>
        <v>0</v>
      </c>
      <c r="I250" s="10">
        <f>SUMIFS(IsQList,IsIList,Table_ExternalData_15[[#This Row],[item_key]],IsITypeList,Table_ExternalData_15[[#This Row],[IType]],IsDList,Table_ExternalData_15[[#Headers],[5]])</f>
        <v>0</v>
      </c>
      <c r="J250" s="10">
        <f>SUMIFS(IsQList,IsIList,Table_ExternalData_15[[#This Row],[item_key]],IsITypeList,Table_ExternalData_15[[#This Row],[IType]],IsDList,Table_ExternalData_15[[#Headers],[6]])</f>
        <v>0</v>
      </c>
      <c r="K250" s="10">
        <f>SUMIFS(IsQList,IsIList,Table_ExternalData_15[[#This Row],[item_key]],IsITypeList,Table_ExternalData_15[[#This Row],[IType]],IsDList,Table_ExternalData_15[[#Headers],[7]])</f>
        <v>0</v>
      </c>
      <c r="L250" s="10">
        <f>SUMIFS(IsQList,IsIList,Table_ExternalData_15[[#This Row],[item_key]],IsITypeList,Table_ExternalData_15[[#This Row],[IType]],IsDList,Table_ExternalData_15[[#Headers],[8]])</f>
        <v>0</v>
      </c>
      <c r="M250" s="10">
        <f>SUMIFS(IsQList,IsIList,Table_ExternalData_15[[#This Row],[item_key]],IsITypeList,Table_ExternalData_15[[#This Row],[IType]],IsDList,Table_ExternalData_15[[#Headers],[9]])</f>
        <v>0</v>
      </c>
      <c r="N250" s="10">
        <f>SUMIFS(IsQList,IsIList,Table_ExternalData_15[[#This Row],[item_key]],IsITypeList,Table_ExternalData_15[[#This Row],[IType]],IsDList,Table_ExternalData_15[[#Headers],[10]])</f>
        <v>0</v>
      </c>
      <c r="O250" s="10">
        <f>SUMIFS(IsQList,IsIList,Table_ExternalData_15[[#This Row],[item_key]],IsITypeList,Table_ExternalData_15[[#This Row],[IType]],IsDList,Table_ExternalData_15[[#Headers],[11]])</f>
        <v>0</v>
      </c>
      <c r="P250" s="10">
        <f>SUMIFS(IsQList,IsIList,Table_ExternalData_15[[#This Row],[item_key]],IsITypeList,Table_ExternalData_15[[#This Row],[IType]],IsDList,Table_ExternalData_15[[#Headers],[12]])</f>
        <v>0</v>
      </c>
      <c r="Q250" s="10">
        <f>SUMIFS(IsQList,IsIList,Table_ExternalData_15[[#This Row],[item_key]],IsITypeList,Table_ExternalData_15[[#This Row],[IType]],IsDList,Table_ExternalData_15[[#Headers],[13]])</f>
        <v>0</v>
      </c>
      <c r="R250" s="10">
        <f>SUMIFS(IsQList,IsIList,Table_ExternalData_15[[#This Row],[item_key]],IsITypeList,Table_ExternalData_15[[#This Row],[IType]],IsDList,Table_ExternalData_15[[#Headers],[14]])</f>
        <v>0</v>
      </c>
      <c r="S250" s="10">
        <f>SUMIFS(IsQList,IsIList,Table_ExternalData_15[[#This Row],[item_key]],IsITypeList,Table_ExternalData_15[[#This Row],[IType]],IsDList,Table_ExternalData_15[[#Headers],[15]])</f>
        <v>0</v>
      </c>
      <c r="T250" s="10">
        <f>SUMIFS(IsQList,IsIList,Table_ExternalData_15[[#This Row],[item_key]],IsITypeList,Table_ExternalData_15[[#This Row],[IType]],IsDList,Table_ExternalData_15[[#Headers],[16]])</f>
        <v>0</v>
      </c>
      <c r="U250" s="10">
        <f>SUMIFS(IsQList,IsIList,Table_ExternalData_15[[#This Row],[item_key]],IsITypeList,Table_ExternalData_15[[#This Row],[IType]],IsDList,Table_ExternalData_15[[#Headers],[17]])</f>
        <v>0</v>
      </c>
      <c r="V250" s="10">
        <f>SUMIFS(IsQList,IsIList,Table_ExternalData_15[[#This Row],[item_key]],IsITypeList,Table_ExternalData_15[[#This Row],[IType]],IsDList,Table_ExternalData_15[[#Headers],[18]])</f>
        <v>0</v>
      </c>
      <c r="W250" s="10">
        <f>SUMIFS(IsQList,IsIList,Table_ExternalData_15[[#This Row],[item_key]],IsITypeList,Table_ExternalData_15[[#This Row],[IType]],IsDList,Table_ExternalData_15[[#Headers],[19]])</f>
        <v>0</v>
      </c>
      <c r="X250" s="10">
        <f>SUMIFS(IsQList,IsIList,Table_ExternalData_15[[#This Row],[item_key]],IsITypeList,Table_ExternalData_15[[#This Row],[IType]],IsDList,Table_ExternalData_15[[#Headers],[20]])</f>
        <v>0</v>
      </c>
      <c r="Y250" s="10">
        <f>SUMIFS(IsQList,IsIList,Table_ExternalData_15[[#This Row],[item_key]],IsITypeList,Table_ExternalData_15[[#This Row],[IType]],IsDList,Table_ExternalData_15[[#Headers],[21]])</f>
        <v>0</v>
      </c>
      <c r="Z250" s="10">
        <f>SUMIFS(IsQList,IsIList,Table_ExternalData_15[[#This Row],[item_key]],IsITypeList,Table_ExternalData_15[[#This Row],[IType]],IsDList,Table_ExternalData_15[[#Headers],[22]])</f>
        <v>0</v>
      </c>
      <c r="AA250" s="10">
        <f>SUMIFS(IsQList,IsIList,Table_ExternalData_15[[#This Row],[item_key]],IsITypeList,Table_ExternalData_15[[#This Row],[IType]],IsDList,Table_ExternalData_15[[#Headers],[23]])</f>
        <v>0</v>
      </c>
      <c r="AB250" s="10">
        <f>SUMIFS(IsQList,IsIList,Table_ExternalData_15[[#This Row],[item_key]],IsITypeList,Table_ExternalData_15[[#This Row],[IType]],IsDList,Table_ExternalData_15[[#Headers],[24]])</f>
        <v>0</v>
      </c>
      <c r="AC250" s="10">
        <f>SUMIFS(IsQList,IsIList,Table_ExternalData_15[[#This Row],[item_key]],IsITypeList,Table_ExternalData_15[[#This Row],[IType]],IsDList,Table_ExternalData_15[[#Headers],[25]])</f>
        <v>0</v>
      </c>
      <c r="AD250" s="10">
        <f>SUMIFS(IsQList,IsIList,Table_ExternalData_15[[#This Row],[item_key]],IsITypeList,Table_ExternalData_15[[#This Row],[IType]],IsDList,Table_ExternalData_15[[#Headers],[26]])</f>
        <v>0</v>
      </c>
      <c r="AE250" s="10">
        <f>SUMIFS(IsQList,IsIList,Table_ExternalData_15[[#This Row],[item_key]],IsITypeList,Table_ExternalData_15[[#This Row],[IType]],IsDList,Table_ExternalData_15[[#Headers],[27]])</f>
        <v>0</v>
      </c>
      <c r="AF250" s="10">
        <f>SUMIFS(IsQList,IsIList,Table_ExternalData_15[[#This Row],[item_key]],IsITypeList,Table_ExternalData_15[[#This Row],[IType]],IsDList,Table_ExternalData_15[[#Headers],[28]])</f>
        <v>0</v>
      </c>
      <c r="AG250" s="10">
        <f>SUMIFS(IsQList,IsIList,Table_ExternalData_15[[#This Row],[item_key]],IsITypeList,Table_ExternalData_15[[#This Row],[IType]],IsDList,Table_ExternalData_15[[#Headers],[29]])</f>
        <v>0</v>
      </c>
      <c r="AH250" s="10">
        <f>SUMIFS(IsQList,IsIList,Table_ExternalData_15[[#This Row],[item_key]],IsITypeList,Table_ExternalData_15[[#This Row],[IType]],IsDList,Table_ExternalData_15[[#Headers],[30]])</f>
        <v>0</v>
      </c>
      <c r="AI250" s="10">
        <f>SUMIFS(IsQList,IsIList,Table_ExternalData_15[[#This Row],[item_key]],IsITypeList,Table_ExternalData_15[[#This Row],[IType]],IsDList,Table_ExternalData_15[[#Headers],[31]])</f>
        <v>0</v>
      </c>
      <c r="AJ250" s="10">
        <f>SUM(Table_ExternalData_15[[#This Row],[1]:[31]])</f>
        <v>0</v>
      </c>
    </row>
    <row r="251" spans="1:36">
      <c r="A251" s="1" t="s">
        <v>781</v>
      </c>
      <c r="B251" s="1" t="s">
        <v>2689</v>
      </c>
      <c r="C251" s="1" t="s">
        <v>2690</v>
      </c>
      <c r="D251" s="11" t="s">
        <v>72</v>
      </c>
      <c r="E251" s="10">
        <f>SUMIFS(IsQList,IsIList,Table_ExternalData_15[[#This Row],[item_key]],IsITypeList,Table_ExternalData_15[[#This Row],[IType]],IsDList,Table_ExternalData_15[[#Headers],[1]])</f>
        <v>0</v>
      </c>
      <c r="F251" s="10">
        <f>SUMIFS(IsQList,IsIList,Table_ExternalData_15[[#This Row],[item_key]],IsITypeList,Table_ExternalData_15[[#This Row],[IType]],IsDList,Table_ExternalData_15[[#Headers],[2]])</f>
        <v>0</v>
      </c>
      <c r="G251" s="10">
        <f>SUMIFS(IsQList,IsIList,Table_ExternalData_15[[#This Row],[item_key]],IsITypeList,Table_ExternalData_15[[#This Row],[IType]],IsDList,Table_ExternalData_15[[#Headers],[3]])</f>
        <v>0</v>
      </c>
      <c r="H251" s="10">
        <f>SUMIFS(IsQList,IsIList,Table_ExternalData_15[[#This Row],[item_key]],IsITypeList,Table_ExternalData_15[[#This Row],[IType]],IsDList,Table_ExternalData_15[[#Headers],[4]])</f>
        <v>0</v>
      </c>
      <c r="I251" s="10">
        <f>SUMIFS(IsQList,IsIList,Table_ExternalData_15[[#This Row],[item_key]],IsITypeList,Table_ExternalData_15[[#This Row],[IType]],IsDList,Table_ExternalData_15[[#Headers],[5]])</f>
        <v>0</v>
      </c>
      <c r="J251" s="10">
        <f>SUMIFS(IsQList,IsIList,Table_ExternalData_15[[#This Row],[item_key]],IsITypeList,Table_ExternalData_15[[#This Row],[IType]],IsDList,Table_ExternalData_15[[#Headers],[6]])</f>
        <v>1000</v>
      </c>
      <c r="K251" s="10">
        <f>SUMIFS(IsQList,IsIList,Table_ExternalData_15[[#This Row],[item_key]],IsITypeList,Table_ExternalData_15[[#This Row],[IType]],IsDList,Table_ExternalData_15[[#Headers],[7]])</f>
        <v>0</v>
      </c>
      <c r="L251" s="10">
        <f>SUMIFS(IsQList,IsIList,Table_ExternalData_15[[#This Row],[item_key]],IsITypeList,Table_ExternalData_15[[#This Row],[IType]],IsDList,Table_ExternalData_15[[#Headers],[8]])</f>
        <v>0</v>
      </c>
      <c r="M251" s="10">
        <f>SUMIFS(IsQList,IsIList,Table_ExternalData_15[[#This Row],[item_key]],IsITypeList,Table_ExternalData_15[[#This Row],[IType]],IsDList,Table_ExternalData_15[[#Headers],[9]])</f>
        <v>0</v>
      </c>
      <c r="N251" s="10">
        <f>SUMIFS(IsQList,IsIList,Table_ExternalData_15[[#This Row],[item_key]],IsITypeList,Table_ExternalData_15[[#This Row],[IType]],IsDList,Table_ExternalData_15[[#Headers],[10]])</f>
        <v>0</v>
      </c>
      <c r="O251" s="10">
        <f>SUMIFS(IsQList,IsIList,Table_ExternalData_15[[#This Row],[item_key]],IsITypeList,Table_ExternalData_15[[#This Row],[IType]],IsDList,Table_ExternalData_15[[#Headers],[11]])</f>
        <v>0</v>
      </c>
      <c r="P251" s="10">
        <f>SUMIFS(IsQList,IsIList,Table_ExternalData_15[[#This Row],[item_key]],IsITypeList,Table_ExternalData_15[[#This Row],[IType]],IsDList,Table_ExternalData_15[[#Headers],[12]])</f>
        <v>0</v>
      </c>
      <c r="Q251" s="10">
        <f>SUMIFS(IsQList,IsIList,Table_ExternalData_15[[#This Row],[item_key]],IsITypeList,Table_ExternalData_15[[#This Row],[IType]],IsDList,Table_ExternalData_15[[#Headers],[13]])</f>
        <v>0</v>
      </c>
      <c r="R251" s="10">
        <f>SUMIFS(IsQList,IsIList,Table_ExternalData_15[[#This Row],[item_key]],IsITypeList,Table_ExternalData_15[[#This Row],[IType]],IsDList,Table_ExternalData_15[[#Headers],[14]])</f>
        <v>0</v>
      </c>
      <c r="S251" s="10">
        <f>SUMIFS(IsQList,IsIList,Table_ExternalData_15[[#This Row],[item_key]],IsITypeList,Table_ExternalData_15[[#This Row],[IType]],IsDList,Table_ExternalData_15[[#Headers],[15]])</f>
        <v>0</v>
      </c>
      <c r="T251" s="10">
        <f>SUMIFS(IsQList,IsIList,Table_ExternalData_15[[#This Row],[item_key]],IsITypeList,Table_ExternalData_15[[#This Row],[IType]],IsDList,Table_ExternalData_15[[#Headers],[16]])</f>
        <v>0</v>
      </c>
      <c r="U251" s="10">
        <f>SUMIFS(IsQList,IsIList,Table_ExternalData_15[[#This Row],[item_key]],IsITypeList,Table_ExternalData_15[[#This Row],[IType]],IsDList,Table_ExternalData_15[[#Headers],[17]])</f>
        <v>0</v>
      </c>
      <c r="V251" s="10">
        <f>SUMIFS(IsQList,IsIList,Table_ExternalData_15[[#This Row],[item_key]],IsITypeList,Table_ExternalData_15[[#This Row],[IType]],IsDList,Table_ExternalData_15[[#Headers],[18]])</f>
        <v>0</v>
      </c>
      <c r="W251" s="10">
        <f>SUMIFS(IsQList,IsIList,Table_ExternalData_15[[#This Row],[item_key]],IsITypeList,Table_ExternalData_15[[#This Row],[IType]],IsDList,Table_ExternalData_15[[#Headers],[19]])</f>
        <v>0</v>
      </c>
      <c r="X251" s="10">
        <f>SUMIFS(IsQList,IsIList,Table_ExternalData_15[[#This Row],[item_key]],IsITypeList,Table_ExternalData_15[[#This Row],[IType]],IsDList,Table_ExternalData_15[[#Headers],[20]])</f>
        <v>0</v>
      </c>
      <c r="Y251" s="10">
        <f>SUMIFS(IsQList,IsIList,Table_ExternalData_15[[#This Row],[item_key]],IsITypeList,Table_ExternalData_15[[#This Row],[IType]],IsDList,Table_ExternalData_15[[#Headers],[21]])</f>
        <v>0</v>
      </c>
      <c r="Z251" s="10">
        <f>SUMIFS(IsQList,IsIList,Table_ExternalData_15[[#This Row],[item_key]],IsITypeList,Table_ExternalData_15[[#This Row],[IType]],IsDList,Table_ExternalData_15[[#Headers],[22]])</f>
        <v>0</v>
      </c>
      <c r="AA251" s="10">
        <f>SUMIFS(IsQList,IsIList,Table_ExternalData_15[[#This Row],[item_key]],IsITypeList,Table_ExternalData_15[[#This Row],[IType]],IsDList,Table_ExternalData_15[[#Headers],[23]])</f>
        <v>0</v>
      </c>
      <c r="AB251" s="10">
        <f>SUMIFS(IsQList,IsIList,Table_ExternalData_15[[#This Row],[item_key]],IsITypeList,Table_ExternalData_15[[#This Row],[IType]],IsDList,Table_ExternalData_15[[#Headers],[24]])</f>
        <v>1000</v>
      </c>
      <c r="AC251" s="10">
        <f>SUMIFS(IsQList,IsIList,Table_ExternalData_15[[#This Row],[item_key]],IsITypeList,Table_ExternalData_15[[#This Row],[IType]],IsDList,Table_ExternalData_15[[#Headers],[25]])</f>
        <v>0</v>
      </c>
      <c r="AD251" s="10">
        <f>SUMIFS(IsQList,IsIList,Table_ExternalData_15[[#This Row],[item_key]],IsITypeList,Table_ExternalData_15[[#This Row],[IType]],IsDList,Table_ExternalData_15[[#Headers],[26]])</f>
        <v>0</v>
      </c>
      <c r="AE251" s="10">
        <f>SUMIFS(IsQList,IsIList,Table_ExternalData_15[[#This Row],[item_key]],IsITypeList,Table_ExternalData_15[[#This Row],[IType]],IsDList,Table_ExternalData_15[[#Headers],[27]])</f>
        <v>0</v>
      </c>
      <c r="AF251" s="10">
        <f>SUMIFS(IsQList,IsIList,Table_ExternalData_15[[#This Row],[item_key]],IsITypeList,Table_ExternalData_15[[#This Row],[IType]],IsDList,Table_ExternalData_15[[#Headers],[28]])</f>
        <v>0</v>
      </c>
      <c r="AG251" s="10">
        <f>SUMIFS(IsQList,IsIList,Table_ExternalData_15[[#This Row],[item_key]],IsITypeList,Table_ExternalData_15[[#This Row],[IType]],IsDList,Table_ExternalData_15[[#Headers],[29]])</f>
        <v>0</v>
      </c>
      <c r="AH251" s="10">
        <f>SUMIFS(IsQList,IsIList,Table_ExternalData_15[[#This Row],[item_key]],IsITypeList,Table_ExternalData_15[[#This Row],[IType]],IsDList,Table_ExternalData_15[[#Headers],[30]])</f>
        <v>1000</v>
      </c>
      <c r="AI251" s="10">
        <f>SUMIFS(IsQList,IsIList,Table_ExternalData_15[[#This Row],[item_key]],IsITypeList,Table_ExternalData_15[[#This Row],[IType]],IsDList,Table_ExternalData_15[[#Headers],[31]])</f>
        <v>0</v>
      </c>
      <c r="AJ251" s="10">
        <f>SUM(Table_ExternalData_15[[#This Row],[1]:[31]])</f>
        <v>3000</v>
      </c>
    </row>
    <row r="252" spans="1:36">
      <c r="A252" s="1" t="s">
        <v>1878</v>
      </c>
      <c r="B252" s="1" t="s">
        <v>2691</v>
      </c>
      <c r="C252" s="1" t="s">
        <v>2692</v>
      </c>
      <c r="D252" s="11" t="s">
        <v>72</v>
      </c>
      <c r="E252" s="10">
        <f>SUMIFS(IsQList,IsIList,Table_ExternalData_15[[#This Row],[item_key]],IsITypeList,Table_ExternalData_15[[#This Row],[IType]],IsDList,Table_ExternalData_15[[#Headers],[1]])</f>
        <v>0</v>
      </c>
      <c r="F252" s="10">
        <f>SUMIFS(IsQList,IsIList,Table_ExternalData_15[[#This Row],[item_key]],IsITypeList,Table_ExternalData_15[[#This Row],[IType]],IsDList,Table_ExternalData_15[[#Headers],[2]])</f>
        <v>0</v>
      </c>
      <c r="G252" s="10">
        <f>SUMIFS(IsQList,IsIList,Table_ExternalData_15[[#This Row],[item_key]],IsITypeList,Table_ExternalData_15[[#This Row],[IType]],IsDList,Table_ExternalData_15[[#Headers],[3]])</f>
        <v>0</v>
      </c>
      <c r="H252" s="10">
        <f>SUMIFS(IsQList,IsIList,Table_ExternalData_15[[#This Row],[item_key]],IsITypeList,Table_ExternalData_15[[#This Row],[IType]],IsDList,Table_ExternalData_15[[#Headers],[4]])</f>
        <v>0</v>
      </c>
      <c r="I252" s="10">
        <f>SUMIFS(IsQList,IsIList,Table_ExternalData_15[[#This Row],[item_key]],IsITypeList,Table_ExternalData_15[[#This Row],[IType]],IsDList,Table_ExternalData_15[[#Headers],[5]])</f>
        <v>0</v>
      </c>
      <c r="J252" s="10">
        <f>SUMIFS(IsQList,IsIList,Table_ExternalData_15[[#This Row],[item_key]],IsITypeList,Table_ExternalData_15[[#This Row],[IType]],IsDList,Table_ExternalData_15[[#Headers],[6]])</f>
        <v>0</v>
      </c>
      <c r="K252" s="10">
        <f>SUMIFS(IsQList,IsIList,Table_ExternalData_15[[#This Row],[item_key]],IsITypeList,Table_ExternalData_15[[#This Row],[IType]],IsDList,Table_ExternalData_15[[#Headers],[7]])</f>
        <v>0</v>
      </c>
      <c r="L252" s="10">
        <f>SUMIFS(IsQList,IsIList,Table_ExternalData_15[[#This Row],[item_key]],IsITypeList,Table_ExternalData_15[[#This Row],[IType]],IsDList,Table_ExternalData_15[[#Headers],[8]])</f>
        <v>0</v>
      </c>
      <c r="M252" s="10">
        <f>SUMIFS(IsQList,IsIList,Table_ExternalData_15[[#This Row],[item_key]],IsITypeList,Table_ExternalData_15[[#This Row],[IType]],IsDList,Table_ExternalData_15[[#Headers],[9]])</f>
        <v>0</v>
      </c>
      <c r="N252" s="10">
        <f>SUMIFS(IsQList,IsIList,Table_ExternalData_15[[#This Row],[item_key]],IsITypeList,Table_ExternalData_15[[#This Row],[IType]],IsDList,Table_ExternalData_15[[#Headers],[10]])</f>
        <v>0</v>
      </c>
      <c r="O252" s="10">
        <f>SUMIFS(IsQList,IsIList,Table_ExternalData_15[[#This Row],[item_key]],IsITypeList,Table_ExternalData_15[[#This Row],[IType]],IsDList,Table_ExternalData_15[[#Headers],[11]])</f>
        <v>0</v>
      </c>
      <c r="P252" s="10">
        <f>SUMIFS(IsQList,IsIList,Table_ExternalData_15[[#This Row],[item_key]],IsITypeList,Table_ExternalData_15[[#This Row],[IType]],IsDList,Table_ExternalData_15[[#Headers],[12]])</f>
        <v>0</v>
      </c>
      <c r="Q252" s="10">
        <f>SUMIFS(IsQList,IsIList,Table_ExternalData_15[[#This Row],[item_key]],IsITypeList,Table_ExternalData_15[[#This Row],[IType]],IsDList,Table_ExternalData_15[[#Headers],[13]])</f>
        <v>0</v>
      </c>
      <c r="R252" s="10">
        <f>SUMIFS(IsQList,IsIList,Table_ExternalData_15[[#This Row],[item_key]],IsITypeList,Table_ExternalData_15[[#This Row],[IType]],IsDList,Table_ExternalData_15[[#Headers],[14]])</f>
        <v>0</v>
      </c>
      <c r="S252" s="10">
        <f>SUMIFS(IsQList,IsIList,Table_ExternalData_15[[#This Row],[item_key]],IsITypeList,Table_ExternalData_15[[#This Row],[IType]],IsDList,Table_ExternalData_15[[#Headers],[15]])</f>
        <v>0</v>
      </c>
      <c r="T252" s="10">
        <f>SUMIFS(IsQList,IsIList,Table_ExternalData_15[[#This Row],[item_key]],IsITypeList,Table_ExternalData_15[[#This Row],[IType]],IsDList,Table_ExternalData_15[[#Headers],[16]])</f>
        <v>0</v>
      </c>
      <c r="U252" s="10">
        <f>SUMIFS(IsQList,IsIList,Table_ExternalData_15[[#This Row],[item_key]],IsITypeList,Table_ExternalData_15[[#This Row],[IType]],IsDList,Table_ExternalData_15[[#Headers],[17]])</f>
        <v>0</v>
      </c>
      <c r="V252" s="10">
        <f>SUMIFS(IsQList,IsIList,Table_ExternalData_15[[#This Row],[item_key]],IsITypeList,Table_ExternalData_15[[#This Row],[IType]],IsDList,Table_ExternalData_15[[#Headers],[18]])</f>
        <v>0</v>
      </c>
      <c r="W252" s="10">
        <f>SUMIFS(IsQList,IsIList,Table_ExternalData_15[[#This Row],[item_key]],IsITypeList,Table_ExternalData_15[[#This Row],[IType]],IsDList,Table_ExternalData_15[[#Headers],[19]])</f>
        <v>0</v>
      </c>
      <c r="X252" s="10">
        <f>SUMIFS(IsQList,IsIList,Table_ExternalData_15[[#This Row],[item_key]],IsITypeList,Table_ExternalData_15[[#This Row],[IType]],IsDList,Table_ExternalData_15[[#Headers],[20]])</f>
        <v>0</v>
      </c>
      <c r="Y252" s="10">
        <f>SUMIFS(IsQList,IsIList,Table_ExternalData_15[[#This Row],[item_key]],IsITypeList,Table_ExternalData_15[[#This Row],[IType]],IsDList,Table_ExternalData_15[[#Headers],[21]])</f>
        <v>0</v>
      </c>
      <c r="Z252" s="10">
        <f>SUMIFS(IsQList,IsIList,Table_ExternalData_15[[#This Row],[item_key]],IsITypeList,Table_ExternalData_15[[#This Row],[IType]],IsDList,Table_ExternalData_15[[#Headers],[22]])</f>
        <v>0</v>
      </c>
      <c r="AA252" s="10">
        <f>SUMIFS(IsQList,IsIList,Table_ExternalData_15[[#This Row],[item_key]],IsITypeList,Table_ExternalData_15[[#This Row],[IType]],IsDList,Table_ExternalData_15[[#Headers],[23]])</f>
        <v>0</v>
      </c>
      <c r="AB252" s="10">
        <f>SUMIFS(IsQList,IsIList,Table_ExternalData_15[[#This Row],[item_key]],IsITypeList,Table_ExternalData_15[[#This Row],[IType]],IsDList,Table_ExternalData_15[[#Headers],[24]])</f>
        <v>0</v>
      </c>
      <c r="AC252" s="10">
        <f>SUMIFS(IsQList,IsIList,Table_ExternalData_15[[#This Row],[item_key]],IsITypeList,Table_ExternalData_15[[#This Row],[IType]],IsDList,Table_ExternalData_15[[#Headers],[25]])</f>
        <v>0</v>
      </c>
      <c r="AD252" s="10">
        <f>SUMIFS(IsQList,IsIList,Table_ExternalData_15[[#This Row],[item_key]],IsITypeList,Table_ExternalData_15[[#This Row],[IType]],IsDList,Table_ExternalData_15[[#Headers],[26]])</f>
        <v>0</v>
      </c>
      <c r="AE252" s="10">
        <f>SUMIFS(IsQList,IsIList,Table_ExternalData_15[[#This Row],[item_key]],IsITypeList,Table_ExternalData_15[[#This Row],[IType]],IsDList,Table_ExternalData_15[[#Headers],[27]])</f>
        <v>0</v>
      </c>
      <c r="AF252" s="10">
        <f>SUMIFS(IsQList,IsIList,Table_ExternalData_15[[#This Row],[item_key]],IsITypeList,Table_ExternalData_15[[#This Row],[IType]],IsDList,Table_ExternalData_15[[#Headers],[28]])</f>
        <v>0</v>
      </c>
      <c r="AG252" s="10">
        <f>SUMIFS(IsQList,IsIList,Table_ExternalData_15[[#This Row],[item_key]],IsITypeList,Table_ExternalData_15[[#This Row],[IType]],IsDList,Table_ExternalData_15[[#Headers],[29]])</f>
        <v>0</v>
      </c>
      <c r="AH252" s="10">
        <f>SUMIFS(IsQList,IsIList,Table_ExternalData_15[[#This Row],[item_key]],IsITypeList,Table_ExternalData_15[[#This Row],[IType]],IsDList,Table_ExternalData_15[[#Headers],[30]])</f>
        <v>0</v>
      </c>
      <c r="AI252" s="10">
        <f>SUMIFS(IsQList,IsIList,Table_ExternalData_15[[#This Row],[item_key]],IsITypeList,Table_ExternalData_15[[#This Row],[IType]],IsDList,Table_ExternalData_15[[#Headers],[31]])</f>
        <v>0</v>
      </c>
      <c r="AJ252" s="10">
        <f>SUM(Table_ExternalData_15[[#This Row],[1]:[31]])</f>
        <v>0</v>
      </c>
    </row>
    <row r="253" spans="1:36">
      <c r="A253" s="1" t="s">
        <v>1879</v>
      </c>
      <c r="B253" s="1" t="s">
        <v>2693</v>
      </c>
      <c r="C253" s="1" t="s">
        <v>2694</v>
      </c>
      <c r="D253" s="11" t="s">
        <v>72</v>
      </c>
      <c r="E253" s="10">
        <f>SUMIFS(IsQList,IsIList,Table_ExternalData_15[[#This Row],[item_key]],IsITypeList,Table_ExternalData_15[[#This Row],[IType]],IsDList,Table_ExternalData_15[[#Headers],[1]])</f>
        <v>0</v>
      </c>
      <c r="F253" s="10">
        <f>SUMIFS(IsQList,IsIList,Table_ExternalData_15[[#This Row],[item_key]],IsITypeList,Table_ExternalData_15[[#This Row],[IType]],IsDList,Table_ExternalData_15[[#Headers],[2]])</f>
        <v>0</v>
      </c>
      <c r="G253" s="10">
        <f>SUMIFS(IsQList,IsIList,Table_ExternalData_15[[#This Row],[item_key]],IsITypeList,Table_ExternalData_15[[#This Row],[IType]],IsDList,Table_ExternalData_15[[#Headers],[3]])</f>
        <v>0</v>
      </c>
      <c r="H253" s="10">
        <f>SUMIFS(IsQList,IsIList,Table_ExternalData_15[[#This Row],[item_key]],IsITypeList,Table_ExternalData_15[[#This Row],[IType]],IsDList,Table_ExternalData_15[[#Headers],[4]])</f>
        <v>0</v>
      </c>
      <c r="I253" s="10">
        <f>SUMIFS(IsQList,IsIList,Table_ExternalData_15[[#This Row],[item_key]],IsITypeList,Table_ExternalData_15[[#This Row],[IType]],IsDList,Table_ExternalData_15[[#Headers],[5]])</f>
        <v>0</v>
      </c>
      <c r="J253" s="10">
        <f>SUMIFS(IsQList,IsIList,Table_ExternalData_15[[#This Row],[item_key]],IsITypeList,Table_ExternalData_15[[#This Row],[IType]],IsDList,Table_ExternalData_15[[#Headers],[6]])</f>
        <v>0</v>
      </c>
      <c r="K253" s="10">
        <f>SUMIFS(IsQList,IsIList,Table_ExternalData_15[[#This Row],[item_key]],IsITypeList,Table_ExternalData_15[[#This Row],[IType]],IsDList,Table_ExternalData_15[[#Headers],[7]])</f>
        <v>0</v>
      </c>
      <c r="L253" s="10">
        <f>SUMIFS(IsQList,IsIList,Table_ExternalData_15[[#This Row],[item_key]],IsITypeList,Table_ExternalData_15[[#This Row],[IType]],IsDList,Table_ExternalData_15[[#Headers],[8]])</f>
        <v>0</v>
      </c>
      <c r="M253" s="10">
        <f>SUMIFS(IsQList,IsIList,Table_ExternalData_15[[#This Row],[item_key]],IsITypeList,Table_ExternalData_15[[#This Row],[IType]],IsDList,Table_ExternalData_15[[#Headers],[9]])</f>
        <v>0</v>
      </c>
      <c r="N253" s="10">
        <f>SUMIFS(IsQList,IsIList,Table_ExternalData_15[[#This Row],[item_key]],IsITypeList,Table_ExternalData_15[[#This Row],[IType]],IsDList,Table_ExternalData_15[[#Headers],[10]])</f>
        <v>0</v>
      </c>
      <c r="O253" s="10">
        <f>SUMIFS(IsQList,IsIList,Table_ExternalData_15[[#This Row],[item_key]],IsITypeList,Table_ExternalData_15[[#This Row],[IType]],IsDList,Table_ExternalData_15[[#Headers],[11]])</f>
        <v>0</v>
      </c>
      <c r="P253" s="10">
        <f>SUMIFS(IsQList,IsIList,Table_ExternalData_15[[#This Row],[item_key]],IsITypeList,Table_ExternalData_15[[#This Row],[IType]],IsDList,Table_ExternalData_15[[#Headers],[12]])</f>
        <v>0</v>
      </c>
      <c r="Q253" s="10">
        <f>SUMIFS(IsQList,IsIList,Table_ExternalData_15[[#This Row],[item_key]],IsITypeList,Table_ExternalData_15[[#This Row],[IType]],IsDList,Table_ExternalData_15[[#Headers],[13]])</f>
        <v>0</v>
      </c>
      <c r="R253" s="10">
        <f>SUMIFS(IsQList,IsIList,Table_ExternalData_15[[#This Row],[item_key]],IsITypeList,Table_ExternalData_15[[#This Row],[IType]],IsDList,Table_ExternalData_15[[#Headers],[14]])</f>
        <v>0</v>
      </c>
      <c r="S253" s="10">
        <f>SUMIFS(IsQList,IsIList,Table_ExternalData_15[[#This Row],[item_key]],IsITypeList,Table_ExternalData_15[[#This Row],[IType]],IsDList,Table_ExternalData_15[[#Headers],[15]])</f>
        <v>0</v>
      </c>
      <c r="T253" s="10">
        <f>SUMIFS(IsQList,IsIList,Table_ExternalData_15[[#This Row],[item_key]],IsITypeList,Table_ExternalData_15[[#This Row],[IType]],IsDList,Table_ExternalData_15[[#Headers],[16]])</f>
        <v>2</v>
      </c>
      <c r="U253" s="10">
        <f>SUMIFS(IsQList,IsIList,Table_ExternalData_15[[#This Row],[item_key]],IsITypeList,Table_ExternalData_15[[#This Row],[IType]],IsDList,Table_ExternalData_15[[#Headers],[17]])</f>
        <v>0</v>
      </c>
      <c r="V253" s="10">
        <f>SUMIFS(IsQList,IsIList,Table_ExternalData_15[[#This Row],[item_key]],IsITypeList,Table_ExternalData_15[[#This Row],[IType]],IsDList,Table_ExternalData_15[[#Headers],[18]])</f>
        <v>0</v>
      </c>
      <c r="W253" s="10">
        <f>SUMIFS(IsQList,IsIList,Table_ExternalData_15[[#This Row],[item_key]],IsITypeList,Table_ExternalData_15[[#This Row],[IType]],IsDList,Table_ExternalData_15[[#Headers],[19]])</f>
        <v>0</v>
      </c>
      <c r="X253" s="10">
        <f>SUMIFS(IsQList,IsIList,Table_ExternalData_15[[#This Row],[item_key]],IsITypeList,Table_ExternalData_15[[#This Row],[IType]],IsDList,Table_ExternalData_15[[#Headers],[20]])</f>
        <v>0</v>
      </c>
      <c r="Y253" s="10">
        <f>SUMIFS(IsQList,IsIList,Table_ExternalData_15[[#This Row],[item_key]],IsITypeList,Table_ExternalData_15[[#This Row],[IType]],IsDList,Table_ExternalData_15[[#Headers],[21]])</f>
        <v>0</v>
      </c>
      <c r="Z253" s="10">
        <f>SUMIFS(IsQList,IsIList,Table_ExternalData_15[[#This Row],[item_key]],IsITypeList,Table_ExternalData_15[[#This Row],[IType]],IsDList,Table_ExternalData_15[[#Headers],[22]])</f>
        <v>0</v>
      </c>
      <c r="AA253" s="10">
        <f>SUMIFS(IsQList,IsIList,Table_ExternalData_15[[#This Row],[item_key]],IsITypeList,Table_ExternalData_15[[#This Row],[IType]],IsDList,Table_ExternalData_15[[#Headers],[23]])</f>
        <v>0</v>
      </c>
      <c r="AB253" s="10">
        <f>SUMIFS(IsQList,IsIList,Table_ExternalData_15[[#This Row],[item_key]],IsITypeList,Table_ExternalData_15[[#This Row],[IType]],IsDList,Table_ExternalData_15[[#Headers],[24]])</f>
        <v>2</v>
      </c>
      <c r="AC253" s="10">
        <f>SUMIFS(IsQList,IsIList,Table_ExternalData_15[[#This Row],[item_key]],IsITypeList,Table_ExternalData_15[[#This Row],[IType]],IsDList,Table_ExternalData_15[[#Headers],[25]])</f>
        <v>0</v>
      </c>
      <c r="AD253" s="10">
        <f>SUMIFS(IsQList,IsIList,Table_ExternalData_15[[#This Row],[item_key]],IsITypeList,Table_ExternalData_15[[#This Row],[IType]],IsDList,Table_ExternalData_15[[#Headers],[26]])</f>
        <v>0</v>
      </c>
      <c r="AE253" s="10">
        <f>SUMIFS(IsQList,IsIList,Table_ExternalData_15[[#This Row],[item_key]],IsITypeList,Table_ExternalData_15[[#This Row],[IType]],IsDList,Table_ExternalData_15[[#Headers],[27]])</f>
        <v>0</v>
      </c>
      <c r="AF253" s="10">
        <f>SUMIFS(IsQList,IsIList,Table_ExternalData_15[[#This Row],[item_key]],IsITypeList,Table_ExternalData_15[[#This Row],[IType]],IsDList,Table_ExternalData_15[[#Headers],[28]])</f>
        <v>0</v>
      </c>
      <c r="AG253" s="10">
        <f>SUMIFS(IsQList,IsIList,Table_ExternalData_15[[#This Row],[item_key]],IsITypeList,Table_ExternalData_15[[#This Row],[IType]],IsDList,Table_ExternalData_15[[#Headers],[29]])</f>
        <v>0</v>
      </c>
      <c r="AH253" s="10">
        <f>SUMIFS(IsQList,IsIList,Table_ExternalData_15[[#This Row],[item_key]],IsITypeList,Table_ExternalData_15[[#This Row],[IType]],IsDList,Table_ExternalData_15[[#Headers],[30]])</f>
        <v>0</v>
      </c>
      <c r="AI253" s="10">
        <f>SUMIFS(IsQList,IsIList,Table_ExternalData_15[[#This Row],[item_key]],IsITypeList,Table_ExternalData_15[[#This Row],[IType]],IsDList,Table_ExternalData_15[[#Headers],[31]])</f>
        <v>0</v>
      </c>
      <c r="AJ253" s="10">
        <f>SUM(Table_ExternalData_15[[#This Row],[1]:[31]])</f>
        <v>4</v>
      </c>
    </row>
    <row r="254" spans="1:36">
      <c r="A254" s="1" t="s">
        <v>1881</v>
      </c>
      <c r="B254" s="1" t="s">
        <v>2695</v>
      </c>
      <c r="C254" s="1" t="s">
        <v>2696</v>
      </c>
      <c r="D254" s="11" t="s">
        <v>72</v>
      </c>
      <c r="E254" s="10">
        <f>SUMIFS(IsQList,IsIList,Table_ExternalData_15[[#This Row],[item_key]],IsITypeList,Table_ExternalData_15[[#This Row],[IType]],IsDList,Table_ExternalData_15[[#Headers],[1]])</f>
        <v>0</v>
      </c>
      <c r="F254" s="10">
        <f>SUMIFS(IsQList,IsIList,Table_ExternalData_15[[#This Row],[item_key]],IsITypeList,Table_ExternalData_15[[#This Row],[IType]],IsDList,Table_ExternalData_15[[#Headers],[2]])</f>
        <v>0</v>
      </c>
      <c r="G254" s="10">
        <f>SUMIFS(IsQList,IsIList,Table_ExternalData_15[[#This Row],[item_key]],IsITypeList,Table_ExternalData_15[[#This Row],[IType]],IsDList,Table_ExternalData_15[[#Headers],[3]])</f>
        <v>0</v>
      </c>
      <c r="H254" s="10">
        <f>SUMIFS(IsQList,IsIList,Table_ExternalData_15[[#This Row],[item_key]],IsITypeList,Table_ExternalData_15[[#This Row],[IType]],IsDList,Table_ExternalData_15[[#Headers],[4]])</f>
        <v>0</v>
      </c>
      <c r="I254" s="10">
        <f>SUMIFS(IsQList,IsIList,Table_ExternalData_15[[#This Row],[item_key]],IsITypeList,Table_ExternalData_15[[#This Row],[IType]],IsDList,Table_ExternalData_15[[#Headers],[5]])</f>
        <v>0</v>
      </c>
      <c r="J254" s="10">
        <f>SUMIFS(IsQList,IsIList,Table_ExternalData_15[[#This Row],[item_key]],IsITypeList,Table_ExternalData_15[[#This Row],[IType]],IsDList,Table_ExternalData_15[[#Headers],[6]])</f>
        <v>0</v>
      </c>
      <c r="K254" s="10">
        <f>SUMIFS(IsQList,IsIList,Table_ExternalData_15[[#This Row],[item_key]],IsITypeList,Table_ExternalData_15[[#This Row],[IType]],IsDList,Table_ExternalData_15[[#Headers],[7]])</f>
        <v>0</v>
      </c>
      <c r="L254" s="10">
        <f>SUMIFS(IsQList,IsIList,Table_ExternalData_15[[#This Row],[item_key]],IsITypeList,Table_ExternalData_15[[#This Row],[IType]],IsDList,Table_ExternalData_15[[#Headers],[8]])</f>
        <v>0</v>
      </c>
      <c r="M254" s="10">
        <f>SUMIFS(IsQList,IsIList,Table_ExternalData_15[[#This Row],[item_key]],IsITypeList,Table_ExternalData_15[[#This Row],[IType]],IsDList,Table_ExternalData_15[[#Headers],[9]])</f>
        <v>0</v>
      </c>
      <c r="N254" s="10">
        <f>SUMIFS(IsQList,IsIList,Table_ExternalData_15[[#This Row],[item_key]],IsITypeList,Table_ExternalData_15[[#This Row],[IType]],IsDList,Table_ExternalData_15[[#Headers],[10]])</f>
        <v>0</v>
      </c>
      <c r="O254" s="10">
        <f>SUMIFS(IsQList,IsIList,Table_ExternalData_15[[#This Row],[item_key]],IsITypeList,Table_ExternalData_15[[#This Row],[IType]],IsDList,Table_ExternalData_15[[#Headers],[11]])</f>
        <v>0</v>
      </c>
      <c r="P254" s="10">
        <f>SUMIFS(IsQList,IsIList,Table_ExternalData_15[[#This Row],[item_key]],IsITypeList,Table_ExternalData_15[[#This Row],[IType]],IsDList,Table_ExternalData_15[[#Headers],[12]])</f>
        <v>0</v>
      </c>
      <c r="Q254" s="10">
        <f>SUMIFS(IsQList,IsIList,Table_ExternalData_15[[#This Row],[item_key]],IsITypeList,Table_ExternalData_15[[#This Row],[IType]],IsDList,Table_ExternalData_15[[#Headers],[13]])</f>
        <v>0</v>
      </c>
      <c r="R254" s="10">
        <f>SUMIFS(IsQList,IsIList,Table_ExternalData_15[[#This Row],[item_key]],IsITypeList,Table_ExternalData_15[[#This Row],[IType]],IsDList,Table_ExternalData_15[[#Headers],[14]])</f>
        <v>0</v>
      </c>
      <c r="S254" s="10">
        <f>SUMIFS(IsQList,IsIList,Table_ExternalData_15[[#This Row],[item_key]],IsITypeList,Table_ExternalData_15[[#This Row],[IType]],IsDList,Table_ExternalData_15[[#Headers],[15]])</f>
        <v>0</v>
      </c>
      <c r="T254" s="10">
        <f>SUMIFS(IsQList,IsIList,Table_ExternalData_15[[#This Row],[item_key]],IsITypeList,Table_ExternalData_15[[#This Row],[IType]],IsDList,Table_ExternalData_15[[#Headers],[16]])</f>
        <v>0</v>
      </c>
      <c r="U254" s="10">
        <f>SUMIFS(IsQList,IsIList,Table_ExternalData_15[[#This Row],[item_key]],IsITypeList,Table_ExternalData_15[[#This Row],[IType]],IsDList,Table_ExternalData_15[[#Headers],[17]])</f>
        <v>0</v>
      </c>
      <c r="V254" s="10">
        <f>SUMIFS(IsQList,IsIList,Table_ExternalData_15[[#This Row],[item_key]],IsITypeList,Table_ExternalData_15[[#This Row],[IType]],IsDList,Table_ExternalData_15[[#Headers],[18]])</f>
        <v>0</v>
      </c>
      <c r="W254" s="10">
        <f>SUMIFS(IsQList,IsIList,Table_ExternalData_15[[#This Row],[item_key]],IsITypeList,Table_ExternalData_15[[#This Row],[IType]],IsDList,Table_ExternalData_15[[#Headers],[19]])</f>
        <v>0</v>
      </c>
      <c r="X254" s="10">
        <f>SUMIFS(IsQList,IsIList,Table_ExternalData_15[[#This Row],[item_key]],IsITypeList,Table_ExternalData_15[[#This Row],[IType]],IsDList,Table_ExternalData_15[[#Headers],[20]])</f>
        <v>0</v>
      </c>
      <c r="Y254" s="10">
        <f>SUMIFS(IsQList,IsIList,Table_ExternalData_15[[#This Row],[item_key]],IsITypeList,Table_ExternalData_15[[#This Row],[IType]],IsDList,Table_ExternalData_15[[#Headers],[21]])</f>
        <v>0</v>
      </c>
      <c r="Z254" s="10">
        <f>SUMIFS(IsQList,IsIList,Table_ExternalData_15[[#This Row],[item_key]],IsITypeList,Table_ExternalData_15[[#This Row],[IType]],IsDList,Table_ExternalData_15[[#Headers],[22]])</f>
        <v>0</v>
      </c>
      <c r="AA254" s="10">
        <f>SUMIFS(IsQList,IsIList,Table_ExternalData_15[[#This Row],[item_key]],IsITypeList,Table_ExternalData_15[[#This Row],[IType]],IsDList,Table_ExternalData_15[[#Headers],[23]])</f>
        <v>0</v>
      </c>
      <c r="AB254" s="10">
        <f>SUMIFS(IsQList,IsIList,Table_ExternalData_15[[#This Row],[item_key]],IsITypeList,Table_ExternalData_15[[#This Row],[IType]],IsDList,Table_ExternalData_15[[#Headers],[24]])</f>
        <v>0</v>
      </c>
      <c r="AC254" s="10">
        <f>SUMIFS(IsQList,IsIList,Table_ExternalData_15[[#This Row],[item_key]],IsITypeList,Table_ExternalData_15[[#This Row],[IType]],IsDList,Table_ExternalData_15[[#Headers],[25]])</f>
        <v>0</v>
      </c>
      <c r="AD254" s="10">
        <f>SUMIFS(IsQList,IsIList,Table_ExternalData_15[[#This Row],[item_key]],IsITypeList,Table_ExternalData_15[[#This Row],[IType]],IsDList,Table_ExternalData_15[[#Headers],[26]])</f>
        <v>0</v>
      </c>
      <c r="AE254" s="10">
        <f>SUMIFS(IsQList,IsIList,Table_ExternalData_15[[#This Row],[item_key]],IsITypeList,Table_ExternalData_15[[#This Row],[IType]],IsDList,Table_ExternalData_15[[#Headers],[27]])</f>
        <v>0</v>
      </c>
      <c r="AF254" s="10">
        <f>SUMIFS(IsQList,IsIList,Table_ExternalData_15[[#This Row],[item_key]],IsITypeList,Table_ExternalData_15[[#This Row],[IType]],IsDList,Table_ExternalData_15[[#Headers],[28]])</f>
        <v>0</v>
      </c>
      <c r="AG254" s="10">
        <f>SUMIFS(IsQList,IsIList,Table_ExternalData_15[[#This Row],[item_key]],IsITypeList,Table_ExternalData_15[[#This Row],[IType]],IsDList,Table_ExternalData_15[[#Headers],[29]])</f>
        <v>0</v>
      </c>
      <c r="AH254" s="10">
        <f>SUMIFS(IsQList,IsIList,Table_ExternalData_15[[#This Row],[item_key]],IsITypeList,Table_ExternalData_15[[#This Row],[IType]],IsDList,Table_ExternalData_15[[#Headers],[30]])</f>
        <v>0</v>
      </c>
      <c r="AI254" s="10">
        <f>SUMIFS(IsQList,IsIList,Table_ExternalData_15[[#This Row],[item_key]],IsITypeList,Table_ExternalData_15[[#This Row],[IType]],IsDList,Table_ExternalData_15[[#Headers],[31]])</f>
        <v>0</v>
      </c>
      <c r="AJ254" s="10">
        <f>SUM(Table_ExternalData_15[[#This Row],[1]:[31]])</f>
        <v>0</v>
      </c>
    </row>
    <row r="255" spans="1:36">
      <c r="A255" s="1" t="s">
        <v>783</v>
      </c>
      <c r="B255" s="1" t="s">
        <v>2697</v>
      </c>
      <c r="C255" s="1" t="s">
        <v>2698</v>
      </c>
      <c r="D255" s="11" t="s">
        <v>72</v>
      </c>
      <c r="E255" s="10">
        <f>SUMIFS(IsQList,IsIList,Table_ExternalData_15[[#This Row],[item_key]],IsITypeList,Table_ExternalData_15[[#This Row],[IType]],IsDList,Table_ExternalData_15[[#Headers],[1]])</f>
        <v>0</v>
      </c>
      <c r="F255" s="10">
        <f>SUMIFS(IsQList,IsIList,Table_ExternalData_15[[#This Row],[item_key]],IsITypeList,Table_ExternalData_15[[#This Row],[IType]],IsDList,Table_ExternalData_15[[#Headers],[2]])</f>
        <v>0</v>
      </c>
      <c r="G255" s="10">
        <f>SUMIFS(IsQList,IsIList,Table_ExternalData_15[[#This Row],[item_key]],IsITypeList,Table_ExternalData_15[[#This Row],[IType]],IsDList,Table_ExternalData_15[[#Headers],[3]])</f>
        <v>0</v>
      </c>
      <c r="H255" s="10">
        <f>SUMIFS(IsQList,IsIList,Table_ExternalData_15[[#This Row],[item_key]],IsITypeList,Table_ExternalData_15[[#This Row],[IType]],IsDList,Table_ExternalData_15[[#Headers],[4]])</f>
        <v>0</v>
      </c>
      <c r="I255" s="10">
        <f>SUMIFS(IsQList,IsIList,Table_ExternalData_15[[#This Row],[item_key]],IsITypeList,Table_ExternalData_15[[#This Row],[IType]],IsDList,Table_ExternalData_15[[#Headers],[5]])</f>
        <v>0</v>
      </c>
      <c r="J255" s="10">
        <f>SUMIFS(IsQList,IsIList,Table_ExternalData_15[[#This Row],[item_key]],IsITypeList,Table_ExternalData_15[[#This Row],[IType]],IsDList,Table_ExternalData_15[[#Headers],[6]])</f>
        <v>0</v>
      </c>
      <c r="K255" s="10">
        <f>SUMIFS(IsQList,IsIList,Table_ExternalData_15[[#This Row],[item_key]],IsITypeList,Table_ExternalData_15[[#This Row],[IType]],IsDList,Table_ExternalData_15[[#Headers],[7]])</f>
        <v>0</v>
      </c>
      <c r="L255" s="10">
        <f>SUMIFS(IsQList,IsIList,Table_ExternalData_15[[#This Row],[item_key]],IsITypeList,Table_ExternalData_15[[#This Row],[IType]],IsDList,Table_ExternalData_15[[#Headers],[8]])</f>
        <v>0</v>
      </c>
      <c r="M255" s="10">
        <f>SUMIFS(IsQList,IsIList,Table_ExternalData_15[[#This Row],[item_key]],IsITypeList,Table_ExternalData_15[[#This Row],[IType]],IsDList,Table_ExternalData_15[[#Headers],[9]])</f>
        <v>0</v>
      </c>
      <c r="N255" s="10">
        <f>SUMIFS(IsQList,IsIList,Table_ExternalData_15[[#This Row],[item_key]],IsITypeList,Table_ExternalData_15[[#This Row],[IType]],IsDList,Table_ExternalData_15[[#Headers],[10]])</f>
        <v>0</v>
      </c>
      <c r="O255" s="10">
        <f>SUMIFS(IsQList,IsIList,Table_ExternalData_15[[#This Row],[item_key]],IsITypeList,Table_ExternalData_15[[#This Row],[IType]],IsDList,Table_ExternalData_15[[#Headers],[11]])</f>
        <v>0</v>
      </c>
      <c r="P255" s="10">
        <f>SUMIFS(IsQList,IsIList,Table_ExternalData_15[[#This Row],[item_key]],IsITypeList,Table_ExternalData_15[[#This Row],[IType]],IsDList,Table_ExternalData_15[[#Headers],[12]])</f>
        <v>0</v>
      </c>
      <c r="Q255" s="10">
        <f>SUMIFS(IsQList,IsIList,Table_ExternalData_15[[#This Row],[item_key]],IsITypeList,Table_ExternalData_15[[#This Row],[IType]],IsDList,Table_ExternalData_15[[#Headers],[13]])</f>
        <v>0</v>
      </c>
      <c r="R255" s="10">
        <f>SUMIFS(IsQList,IsIList,Table_ExternalData_15[[#This Row],[item_key]],IsITypeList,Table_ExternalData_15[[#This Row],[IType]],IsDList,Table_ExternalData_15[[#Headers],[14]])</f>
        <v>0</v>
      </c>
      <c r="S255" s="10">
        <f>SUMIFS(IsQList,IsIList,Table_ExternalData_15[[#This Row],[item_key]],IsITypeList,Table_ExternalData_15[[#This Row],[IType]],IsDList,Table_ExternalData_15[[#Headers],[15]])</f>
        <v>0</v>
      </c>
      <c r="T255" s="10">
        <f>SUMIFS(IsQList,IsIList,Table_ExternalData_15[[#This Row],[item_key]],IsITypeList,Table_ExternalData_15[[#This Row],[IType]],IsDList,Table_ExternalData_15[[#Headers],[16]])</f>
        <v>20</v>
      </c>
      <c r="U255" s="10">
        <f>SUMIFS(IsQList,IsIList,Table_ExternalData_15[[#This Row],[item_key]],IsITypeList,Table_ExternalData_15[[#This Row],[IType]],IsDList,Table_ExternalData_15[[#Headers],[17]])</f>
        <v>0</v>
      </c>
      <c r="V255" s="10">
        <f>SUMIFS(IsQList,IsIList,Table_ExternalData_15[[#This Row],[item_key]],IsITypeList,Table_ExternalData_15[[#This Row],[IType]],IsDList,Table_ExternalData_15[[#Headers],[18]])</f>
        <v>0</v>
      </c>
      <c r="W255" s="10">
        <f>SUMIFS(IsQList,IsIList,Table_ExternalData_15[[#This Row],[item_key]],IsITypeList,Table_ExternalData_15[[#This Row],[IType]],IsDList,Table_ExternalData_15[[#Headers],[19]])</f>
        <v>0</v>
      </c>
      <c r="X255" s="10">
        <f>SUMIFS(IsQList,IsIList,Table_ExternalData_15[[#This Row],[item_key]],IsITypeList,Table_ExternalData_15[[#This Row],[IType]],IsDList,Table_ExternalData_15[[#Headers],[20]])</f>
        <v>0</v>
      </c>
      <c r="Y255" s="10">
        <f>SUMIFS(IsQList,IsIList,Table_ExternalData_15[[#This Row],[item_key]],IsITypeList,Table_ExternalData_15[[#This Row],[IType]],IsDList,Table_ExternalData_15[[#Headers],[21]])</f>
        <v>0</v>
      </c>
      <c r="Z255" s="10">
        <f>SUMIFS(IsQList,IsIList,Table_ExternalData_15[[#This Row],[item_key]],IsITypeList,Table_ExternalData_15[[#This Row],[IType]],IsDList,Table_ExternalData_15[[#Headers],[22]])</f>
        <v>0</v>
      </c>
      <c r="AA255" s="10">
        <f>SUMIFS(IsQList,IsIList,Table_ExternalData_15[[#This Row],[item_key]],IsITypeList,Table_ExternalData_15[[#This Row],[IType]],IsDList,Table_ExternalData_15[[#Headers],[23]])</f>
        <v>0</v>
      </c>
      <c r="AB255" s="10">
        <f>SUMIFS(IsQList,IsIList,Table_ExternalData_15[[#This Row],[item_key]],IsITypeList,Table_ExternalData_15[[#This Row],[IType]],IsDList,Table_ExternalData_15[[#Headers],[24]])</f>
        <v>5</v>
      </c>
      <c r="AC255" s="10">
        <f>SUMIFS(IsQList,IsIList,Table_ExternalData_15[[#This Row],[item_key]],IsITypeList,Table_ExternalData_15[[#This Row],[IType]],IsDList,Table_ExternalData_15[[#Headers],[25]])</f>
        <v>0</v>
      </c>
      <c r="AD255" s="10">
        <f>SUMIFS(IsQList,IsIList,Table_ExternalData_15[[#This Row],[item_key]],IsITypeList,Table_ExternalData_15[[#This Row],[IType]],IsDList,Table_ExternalData_15[[#Headers],[26]])</f>
        <v>0</v>
      </c>
      <c r="AE255" s="10">
        <f>SUMIFS(IsQList,IsIList,Table_ExternalData_15[[#This Row],[item_key]],IsITypeList,Table_ExternalData_15[[#This Row],[IType]],IsDList,Table_ExternalData_15[[#Headers],[27]])</f>
        <v>0</v>
      </c>
      <c r="AF255" s="10">
        <f>SUMIFS(IsQList,IsIList,Table_ExternalData_15[[#This Row],[item_key]],IsITypeList,Table_ExternalData_15[[#This Row],[IType]],IsDList,Table_ExternalData_15[[#Headers],[28]])</f>
        <v>0</v>
      </c>
      <c r="AG255" s="10">
        <f>SUMIFS(IsQList,IsIList,Table_ExternalData_15[[#This Row],[item_key]],IsITypeList,Table_ExternalData_15[[#This Row],[IType]],IsDList,Table_ExternalData_15[[#Headers],[29]])</f>
        <v>0</v>
      </c>
      <c r="AH255" s="10">
        <f>SUMIFS(IsQList,IsIList,Table_ExternalData_15[[#This Row],[item_key]],IsITypeList,Table_ExternalData_15[[#This Row],[IType]],IsDList,Table_ExternalData_15[[#Headers],[30]])</f>
        <v>0</v>
      </c>
      <c r="AI255" s="10">
        <f>SUMIFS(IsQList,IsIList,Table_ExternalData_15[[#This Row],[item_key]],IsITypeList,Table_ExternalData_15[[#This Row],[IType]],IsDList,Table_ExternalData_15[[#Headers],[31]])</f>
        <v>0</v>
      </c>
      <c r="AJ255" s="10">
        <f>SUM(Table_ExternalData_15[[#This Row],[1]:[31]])</f>
        <v>25</v>
      </c>
    </row>
    <row r="256" spans="1:36">
      <c r="A256" s="1" t="s">
        <v>1887</v>
      </c>
      <c r="B256" s="1" t="s">
        <v>2699</v>
      </c>
      <c r="C256" s="1" t="s">
        <v>2700</v>
      </c>
      <c r="D256" s="11" t="s">
        <v>72</v>
      </c>
      <c r="E256" s="10">
        <f>SUMIFS(IsQList,IsIList,Table_ExternalData_15[[#This Row],[item_key]],IsITypeList,Table_ExternalData_15[[#This Row],[IType]],IsDList,Table_ExternalData_15[[#Headers],[1]])</f>
        <v>0</v>
      </c>
      <c r="F256" s="10">
        <f>SUMIFS(IsQList,IsIList,Table_ExternalData_15[[#This Row],[item_key]],IsITypeList,Table_ExternalData_15[[#This Row],[IType]],IsDList,Table_ExternalData_15[[#Headers],[2]])</f>
        <v>0</v>
      </c>
      <c r="G256" s="10">
        <f>SUMIFS(IsQList,IsIList,Table_ExternalData_15[[#This Row],[item_key]],IsITypeList,Table_ExternalData_15[[#This Row],[IType]],IsDList,Table_ExternalData_15[[#Headers],[3]])</f>
        <v>0</v>
      </c>
      <c r="H256" s="10">
        <f>SUMIFS(IsQList,IsIList,Table_ExternalData_15[[#This Row],[item_key]],IsITypeList,Table_ExternalData_15[[#This Row],[IType]],IsDList,Table_ExternalData_15[[#Headers],[4]])</f>
        <v>0</v>
      </c>
      <c r="I256" s="10">
        <f>SUMIFS(IsQList,IsIList,Table_ExternalData_15[[#This Row],[item_key]],IsITypeList,Table_ExternalData_15[[#This Row],[IType]],IsDList,Table_ExternalData_15[[#Headers],[5]])</f>
        <v>0</v>
      </c>
      <c r="J256" s="10">
        <f>SUMIFS(IsQList,IsIList,Table_ExternalData_15[[#This Row],[item_key]],IsITypeList,Table_ExternalData_15[[#This Row],[IType]],IsDList,Table_ExternalData_15[[#Headers],[6]])</f>
        <v>0</v>
      </c>
      <c r="K256" s="10">
        <f>SUMIFS(IsQList,IsIList,Table_ExternalData_15[[#This Row],[item_key]],IsITypeList,Table_ExternalData_15[[#This Row],[IType]],IsDList,Table_ExternalData_15[[#Headers],[7]])</f>
        <v>0</v>
      </c>
      <c r="L256" s="10">
        <f>SUMIFS(IsQList,IsIList,Table_ExternalData_15[[#This Row],[item_key]],IsITypeList,Table_ExternalData_15[[#This Row],[IType]],IsDList,Table_ExternalData_15[[#Headers],[8]])</f>
        <v>0</v>
      </c>
      <c r="M256" s="10">
        <f>SUMIFS(IsQList,IsIList,Table_ExternalData_15[[#This Row],[item_key]],IsITypeList,Table_ExternalData_15[[#This Row],[IType]],IsDList,Table_ExternalData_15[[#Headers],[9]])</f>
        <v>0</v>
      </c>
      <c r="N256" s="10">
        <f>SUMIFS(IsQList,IsIList,Table_ExternalData_15[[#This Row],[item_key]],IsITypeList,Table_ExternalData_15[[#This Row],[IType]],IsDList,Table_ExternalData_15[[#Headers],[10]])</f>
        <v>0</v>
      </c>
      <c r="O256" s="10">
        <f>SUMIFS(IsQList,IsIList,Table_ExternalData_15[[#This Row],[item_key]],IsITypeList,Table_ExternalData_15[[#This Row],[IType]],IsDList,Table_ExternalData_15[[#Headers],[11]])</f>
        <v>0</v>
      </c>
      <c r="P256" s="10">
        <f>SUMIFS(IsQList,IsIList,Table_ExternalData_15[[#This Row],[item_key]],IsITypeList,Table_ExternalData_15[[#This Row],[IType]],IsDList,Table_ExternalData_15[[#Headers],[12]])</f>
        <v>0</v>
      </c>
      <c r="Q256" s="10">
        <f>SUMIFS(IsQList,IsIList,Table_ExternalData_15[[#This Row],[item_key]],IsITypeList,Table_ExternalData_15[[#This Row],[IType]],IsDList,Table_ExternalData_15[[#Headers],[13]])</f>
        <v>0</v>
      </c>
      <c r="R256" s="10">
        <f>SUMIFS(IsQList,IsIList,Table_ExternalData_15[[#This Row],[item_key]],IsITypeList,Table_ExternalData_15[[#This Row],[IType]],IsDList,Table_ExternalData_15[[#Headers],[14]])</f>
        <v>0</v>
      </c>
      <c r="S256" s="10">
        <f>SUMIFS(IsQList,IsIList,Table_ExternalData_15[[#This Row],[item_key]],IsITypeList,Table_ExternalData_15[[#This Row],[IType]],IsDList,Table_ExternalData_15[[#Headers],[15]])</f>
        <v>0</v>
      </c>
      <c r="T256" s="10">
        <f>SUMIFS(IsQList,IsIList,Table_ExternalData_15[[#This Row],[item_key]],IsITypeList,Table_ExternalData_15[[#This Row],[IType]],IsDList,Table_ExternalData_15[[#Headers],[16]])</f>
        <v>0</v>
      </c>
      <c r="U256" s="10">
        <f>SUMIFS(IsQList,IsIList,Table_ExternalData_15[[#This Row],[item_key]],IsITypeList,Table_ExternalData_15[[#This Row],[IType]],IsDList,Table_ExternalData_15[[#Headers],[17]])</f>
        <v>0</v>
      </c>
      <c r="V256" s="10">
        <f>SUMIFS(IsQList,IsIList,Table_ExternalData_15[[#This Row],[item_key]],IsITypeList,Table_ExternalData_15[[#This Row],[IType]],IsDList,Table_ExternalData_15[[#Headers],[18]])</f>
        <v>0</v>
      </c>
      <c r="W256" s="10">
        <f>SUMIFS(IsQList,IsIList,Table_ExternalData_15[[#This Row],[item_key]],IsITypeList,Table_ExternalData_15[[#This Row],[IType]],IsDList,Table_ExternalData_15[[#Headers],[19]])</f>
        <v>0</v>
      </c>
      <c r="X256" s="10">
        <f>SUMIFS(IsQList,IsIList,Table_ExternalData_15[[#This Row],[item_key]],IsITypeList,Table_ExternalData_15[[#This Row],[IType]],IsDList,Table_ExternalData_15[[#Headers],[20]])</f>
        <v>0</v>
      </c>
      <c r="Y256" s="10">
        <f>SUMIFS(IsQList,IsIList,Table_ExternalData_15[[#This Row],[item_key]],IsITypeList,Table_ExternalData_15[[#This Row],[IType]],IsDList,Table_ExternalData_15[[#Headers],[21]])</f>
        <v>0</v>
      </c>
      <c r="Z256" s="10">
        <f>SUMIFS(IsQList,IsIList,Table_ExternalData_15[[#This Row],[item_key]],IsITypeList,Table_ExternalData_15[[#This Row],[IType]],IsDList,Table_ExternalData_15[[#Headers],[22]])</f>
        <v>0</v>
      </c>
      <c r="AA256" s="10">
        <f>SUMIFS(IsQList,IsIList,Table_ExternalData_15[[#This Row],[item_key]],IsITypeList,Table_ExternalData_15[[#This Row],[IType]],IsDList,Table_ExternalData_15[[#Headers],[23]])</f>
        <v>0</v>
      </c>
      <c r="AB256" s="10">
        <f>SUMIFS(IsQList,IsIList,Table_ExternalData_15[[#This Row],[item_key]],IsITypeList,Table_ExternalData_15[[#This Row],[IType]],IsDList,Table_ExternalData_15[[#Headers],[24]])</f>
        <v>0</v>
      </c>
      <c r="AC256" s="10">
        <f>SUMIFS(IsQList,IsIList,Table_ExternalData_15[[#This Row],[item_key]],IsITypeList,Table_ExternalData_15[[#This Row],[IType]],IsDList,Table_ExternalData_15[[#Headers],[25]])</f>
        <v>0</v>
      </c>
      <c r="AD256" s="10">
        <f>SUMIFS(IsQList,IsIList,Table_ExternalData_15[[#This Row],[item_key]],IsITypeList,Table_ExternalData_15[[#This Row],[IType]],IsDList,Table_ExternalData_15[[#Headers],[26]])</f>
        <v>0</v>
      </c>
      <c r="AE256" s="10">
        <f>SUMIFS(IsQList,IsIList,Table_ExternalData_15[[#This Row],[item_key]],IsITypeList,Table_ExternalData_15[[#This Row],[IType]],IsDList,Table_ExternalData_15[[#Headers],[27]])</f>
        <v>0</v>
      </c>
      <c r="AF256" s="10">
        <f>SUMIFS(IsQList,IsIList,Table_ExternalData_15[[#This Row],[item_key]],IsITypeList,Table_ExternalData_15[[#This Row],[IType]],IsDList,Table_ExternalData_15[[#Headers],[28]])</f>
        <v>0</v>
      </c>
      <c r="AG256" s="10">
        <f>SUMIFS(IsQList,IsIList,Table_ExternalData_15[[#This Row],[item_key]],IsITypeList,Table_ExternalData_15[[#This Row],[IType]],IsDList,Table_ExternalData_15[[#Headers],[29]])</f>
        <v>0</v>
      </c>
      <c r="AH256" s="10">
        <f>SUMIFS(IsQList,IsIList,Table_ExternalData_15[[#This Row],[item_key]],IsITypeList,Table_ExternalData_15[[#This Row],[IType]],IsDList,Table_ExternalData_15[[#Headers],[30]])</f>
        <v>0</v>
      </c>
      <c r="AI256" s="10">
        <f>SUMIFS(IsQList,IsIList,Table_ExternalData_15[[#This Row],[item_key]],IsITypeList,Table_ExternalData_15[[#This Row],[IType]],IsDList,Table_ExternalData_15[[#Headers],[31]])</f>
        <v>0</v>
      </c>
      <c r="AJ256" s="10">
        <f>SUM(Table_ExternalData_15[[#This Row],[1]:[31]])</f>
        <v>0</v>
      </c>
    </row>
    <row r="257" spans="1:36">
      <c r="A257" s="1" t="s">
        <v>1895</v>
      </c>
      <c r="B257" s="1" t="s">
        <v>2701</v>
      </c>
      <c r="C257" s="1" t="s">
        <v>2702</v>
      </c>
      <c r="D257" s="11" t="s">
        <v>72</v>
      </c>
      <c r="E257" s="10">
        <f>SUMIFS(IsQList,IsIList,Table_ExternalData_15[[#This Row],[item_key]],IsITypeList,Table_ExternalData_15[[#This Row],[IType]],IsDList,Table_ExternalData_15[[#Headers],[1]])</f>
        <v>0</v>
      </c>
      <c r="F257" s="10">
        <f>SUMIFS(IsQList,IsIList,Table_ExternalData_15[[#This Row],[item_key]],IsITypeList,Table_ExternalData_15[[#This Row],[IType]],IsDList,Table_ExternalData_15[[#Headers],[2]])</f>
        <v>0</v>
      </c>
      <c r="G257" s="10">
        <f>SUMIFS(IsQList,IsIList,Table_ExternalData_15[[#This Row],[item_key]],IsITypeList,Table_ExternalData_15[[#This Row],[IType]],IsDList,Table_ExternalData_15[[#Headers],[3]])</f>
        <v>0</v>
      </c>
      <c r="H257" s="10">
        <f>SUMIFS(IsQList,IsIList,Table_ExternalData_15[[#This Row],[item_key]],IsITypeList,Table_ExternalData_15[[#This Row],[IType]],IsDList,Table_ExternalData_15[[#Headers],[4]])</f>
        <v>0</v>
      </c>
      <c r="I257" s="10">
        <f>SUMIFS(IsQList,IsIList,Table_ExternalData_15[[#This Row],[item_key]],IsITypeList,Table_ExternalData_15[[#This Row],[IType]],IsDList,Table_ExternalData_15[[#Headers],[5]])</f>
        <v>0</v>
      </c>
      <c r="J257" s="10">
        <f>SUMIFS(IsQList,IsIList,Table_ExternalData_15[[#This Row],[item_key]],IsITypeList,Table_ExternalData_15[[#This Row],[IType]],IsDList,Table_ExternalData_15[[#Headers],[6]])</f>
        <v>0</v>
      </c>
      <c r="K257" s="10">
        <f>SUMIFS(IsQList,IsIList,Table_ExternalData_15[[#This Row],[item_key]],IsITypeList,Table_ExternalData_15[[#This Row],[IType]],IsDList,Table_ExternalData_15[[#Headers],[7]])</f>
        <v>0</v>
      </c>
      <c r="L257" s="10">
        <f>SUMIFS(IsQList,IsIList,Table_ExternalData_15[[#This Row],[item_key]],IsITypeList,Table_ExternalData_15[[#This Row],[IType]],IsDList,Table_ExternalData_15[[#Headers],[8]])</f>
        <v>0</v>
      </c>
      <c r="M257" s="10">
        <f>SUMIFS(IsQList,IsIList,Table_ExternalData_15[[#This Row],[item_key]],IsITypeList,Table_ExternalData_15[[#This Row],[IType]],IsDList,Table_ExternalData_15[[#Headers],[9]])</f>
        <v>0</v>
      </c>
      <c r="N257" s="10">
        <f>SUMIFS(IsQList,IsIList,Table_ExternalData_15[[#This Row],[item_key]],IsITypeList,Table_ExternalData_15[[#This Row],[IType]],IsDList,Table_ExternalData_15[[#Headers],[10]])</f>
        <v>0</v>
      </c>
      <c r="O257" s="10">
        <f>SUMIFS(IsQList,IsIList,Table_ExternalData_15[[#This Row],[item_key]],IsITypeList,Table_ExternalData_15[[#This Row],[IType]],IsDList,Table_ExternalData_15[[#Headers],[11]])</f>
        <v>0</v>
      </c>
      <c r="P257" s="10">
        <f>SUMIFS(IsQList,IsIList,Table_ExternalData_15[[#This Row],[item_key]],IsITypeList,Table_ExternalData_15[[#This Row],[IType]],IsDList,Table_ExternalData_15[[#Headers],[12]])</f>
        <v>0</v>
      </c>
      <c r="Q257" s="10">
        <f>SUMIFS(IsQList,IsIList,Table_ExternalData_15[[#This Row],[item_key]],IsITypeList,Table_ExternalData_15[[#This Row],[IType]],IsDList,Table_ExternalData_15[[#Headers],[13]])</f>
        <v>0</v>
      </c>
      <c r="R257" s="10">
        <f>SUMIFS(IsQList,IsIList,Table_ExternalData_15[[#This Row],[item_key]],IsITypeList,Table_ExternalData_15[[#This Row],[IType]],IsDList,Table_ExternalData_15[[#Headers],[14]])</f>
        <v>0</v>
      </c>
      <c r="S257" s="10">
        <f>SUMIFS(IsQList,IsIList,Table_ExternalData_15[[#This Row],[item_key]],IsITypeList,Table_ExternalData_15[[#This Row],[IType]],IsDList,Table_ExternalData_15[[#Headers],[15]])</f>
        <v>0</v>
      </c>
      <c r="T257" s="10">
        <f>SUMIFS(IsQList,IsIList,Table_ExternalData_15[[#This Row],[item_key]],IsITypeList,Table_ExternalData_15[[#This Row],[IType]],IsDList,Table_ExternalData_15[[#Headers],[16]])</f>
        <v>0</v>
      </c>
      <c r="U257" s="10">
        <f>SUMIFS(IsQList,IsIList,Table_ExternalData_15[[#This Row],[item_key]],IsITypeList,Table_ExternalData_15[[#This Row],[IType]],IsDList,Table_ExternalData_15[[#Headers],[17]])</f>
        <v>0</v>
      </c>
      <c r="V257" s="10">
        <f>SUMIFS(IsQList,IsIList,Table_ExternalData_15[[#This Row],[item_key]],IsITypeList,Table_ExternalData_15[[#This Row],[IType]],IsDList,Table_ExternalData_15[[#Headers],[18]])</f>
        <v>0</v>
      </c>
      <c r="W257" s="10">
        <f>SUMIFS(IsQList,IsIList,Table_ExternalData_15[[#This Row],[item_key]],IsITypeList,Table_ExternalData_15[[#This Row],[IType]],IsDList,Table_ExternalData_15[[#Headers],[19]])</f>
        <v>0</v>
      </c>
      <c r="X257" s="10">
        <f>SUMIFS(IsQList,IsIList,Table_ExternalData_15[[#This Row],[item_key]],IsITypeList,Table_ExternalData_15[[#This Row],[IType]],IsDList,Table_ExternalData_15[[#Headers],[20]])</f>
        <v>0</v>
      </c>
      <c r="Y257" s="10">
        <f>SUMIFS(IsQList,IsIList,Table_ExternalData_15[[#This Row],[item_key]],IsITypeList,Table_ExternalData_15[[#This Row],[IType]],IsDList,Table_ExternalData_15[[#Headers],[21]])</f>
        <v>0</v>
      </c>
      <c r="Z257" s="10">
        <f>SUMIFS(IsQList,IsIList,Table_ExternalData_15[[#This Row],[item_key]],IsITypeList,Table_ExternalData_15[[#This Row],[IType]],IsDList,Table_ExternalData_15[[#Headers],[22]])</f>
        <v>0</v>
      </c>
      <c r="AA257" s="10">
        <f>SUMIFS(IsQList,IsIList,Table_ExternalData_15[[#This Row],[item_key]],IsITypeList,Table_ExternalData_15[[#This Row],[IType]],IsDList,Table_ExternalData_15[[#Headers],[23]])</f>
        <v>0</v>
      </c>
      <c r="AB257" s="10">
        <f>SUMIFS(IsQList,IsIList,Table_ExternalData_15[[#This Row],[item_key]],IsITypeList,Table_ExternalData_15[[#This Row],[IType]],IsDList,Table_ExternalData_15[[#Headers],[24]])</f>
        <v>0</v>
      </c>
      <c r="AC257" s="10">
        <f>SUMIFS(IsQList,IsIList,Table_ExternalData_15[[#This Row],[item_key]],IsITypeList,Table_ExternalData_15[[#This Row],[IType]],IsDList,Table_ExternalData_15[[#Headers],[25]])</f>
        <v>0</v>
      </c>
      <c r="AD257" s="10">
        <f>SUMIFS(IsQList,IsIList,Table_ExternalData_15[[#This Row],[item_key]],IsITypeList,Table_ExternalData_15[[#This Row],[IType]],IsDList,Table_ExternalData_15[[#Headers],[26]])</f>
        <v>0</v>
      </c>
      <c r="AE257" s="10">
        <f>SUMIFS(IsQList,IsIList,Table_ExternalData_15[[#This Row],[item_key]],IsITypeList,Table_ExternalData_15[[#This Row],[IType]],IsDList,Table_ExternalData_15[[#Headers],[27]])</f>
        <v>0</v>
      </c>
      <c r="AF257" s="10">
        <f>SUMIFS(IsQList,IsIList,Table_ExternalData_15[[#This Row],[item_key]],IsITypeList,Table_ExternalData_15[[#This Row],[IType]],IsDList,Table_ExternalData_15[[#Headers],[28]])</f>
        <v>0</v>
      </c>
      <c r="AG257" s="10">
        <f>SUMIFS(IsQList,IsIList,Table_ExternalData_15[[#This Row],[item_key]],IsITypeList,Table_ExternalData_15[[#This Row],[IType]],IsDList,Table_ExternalData_15[[#Headers],[29]])</f>
        <v>0</v>
      </c>
      <c r="AH257" s="10">
        <f>SUMIFS(IsQList,IsIList,Table_ExternalData_15[[#This Row],[item_key]],IsITypeList,Table_ExternalData_15[[#This Row],[IType]],IsDList,Table_ExternalData_15[[#Headers],[30]])</f>
        <v>0</v>
      </c>
      <c r="AI257" s="10">
        <f>SUMIFS(IsQList,IsIList,Table_ExternalData_15[[#This Row],[item_key]],IsITypeList,Table_ExternalData_15[[#This Row],[IType]],IsDList,Table_ExternalData_15[[#Headers],[31]])</f>
        <v>0</v>
      </c>
      <c r="AJ257" s="10">
        <f>SUM(Table_ExternalData_15[[#This Row],[1]:[31]])</f>
        <v>0</v>
      </c>
    </row>
    <row r="258" spans="1:36">
      <c r="A258" s="1" t="s">
        <v>1897</v>
      </c>
      <c r="B258" s="1" t="s">
        <v>2703</v>
      </c>
      <c r="C258" s="1" t="s">
        <v>2704</v>
      </c>
      <c r="D258" s="11" t="s">
        <v>72</v>
      </c>
      <c r="E258" s="10">
        <f>SUMIFS(IsQList,IsIList,Table_ExternalData_15[[#This Row],[item_key]],IsITypeList,Table_ExternalData_15[[#This Row],[IType]],IsDList,Table_ExternalData_15[[#Headers],[1]])</f>
        <v>0</v>
      </c>
      <c r="F258" s="10">
        <f>SUMIFS(IsQList,IsIList,Table_ExternalData_15[[#This Row],[item_key]],IsITypeList,Table_ExternalData_15[[#This Row],[IType]],IsDList,Table_ExternalData_15[[#Headers],[2]])</f>
        <v>0</v>
      </c>
      <c r="G258" s="10">
        <f>SUMIFS(IsQList,IsIList,Table_ExternalData_15[[#This Row],[item_key]],IsITypeList,Table_ExternalData_15[[#This Row],[IType]],IsDList,Table_ExternalData_15[[#Headers],[3]])</f>
        <v>0</v>
      </c>
      <c r="H258" s="10">
        <f>SUMIFS(IsQList,IsIList,Table_ExternalData_15[[#This Row],[item_key]],IsITypeList,Table_ExternalData_15[[#This Row],[IType]],IsDList,Table_ExternalData_15[[#Headers],[4]])</f>
        <v>0</v>
      </c>
      <c r="I258" s="10">
        <f>SUMIFS(IsQList,IsIList,Table_ExternalData_15[[#This Row],[item_key]],IsITypeList,Table_ExternalData_15[[#This Row],[IType]],IsDList,Table_ExternalData_15[[#Headers],[5]])</f>
        <v>0</v>
      </c>
      <c r="J258" s="10">
        <f>SUMIFS(IsQList,IsIList,Table_ExternalData_15[[#This Row],[item_key]],IsITypeList,Table_ExternalData_15[[#This Row],[IType]],IsDList,Table_ExternalData_15[[#Headers],[6]])</f>
        <v>0</v>
      </c>
      <c r="K258" s="10">
        <f>SUMIFS(IsQList,IsIList,Table_ExternalData_15[[#This Row],[item_key]],IsITypeList,Table_ExternalData_15[[#This Row],[IType]],IsDList,Table_ExternalData_15[[#Headers],[7]])</f>
        <v>0</v>
      </c>
      <c r="L258" s="10">
        <f>SUMIFS(IsQList,IsIList,Table_ExternalData_15[[#This Row],[item_key]],IsITypeList,Table_ExternalData_15[[#This Row],[IType]],IsDList,Table_ExternalData_15[[#Headers],[8]])</f>
        <v>0</v>
      </c>
      <c r="M258" s="10">
        <f>SUMIFS(IsQList,IsIList,Table_ExternalData_15[[#This Row],[item_key]],IsITypeList,Table_ExternalData_15[[#This Row],[IType]],IsDList,Table_ExternalData_15[[#Headers],[9]])</f>
        <v>0</v>
      </c>
      <c r="N258" s="10">
        <f>SUMIFS(IsQList,IsIList,Table_ExternalData_15[[#This Row],[item_key]],IsITypeList,Table_ExternalData_15[[#This Row],[IType]],IsDList,Table_ExternalData_15[[#Headers],[10]])</f>
        <v>10</v>
      </c>
      <c r="O258" s="10">
        <f>SUMIFS(IsQList,IsIList,Table_ExternalData_15[[#This Row],[item_key]],IsITypeList,Table_ExternalData_15[[#This Row],[IType]],IsDList,Table_ExternalData_15[[#Headers],[11]])</f>
        <v>0</v>
      </c>
      <c r="P258" s="10">
        <f>SUMIFS(IsQList,IsIList,Table_ExternalData_15[[#This Row],[item_key]],IsITypeList,Table_ExternalData_15[[#This Row],[IType]],IsDList,Table_ExternalData_15[[#Headers],[12]])</f>
        <v>0</v>
      </c>
      <c r="Q258" s="10">
        <f>SUMIFS(IsQList,IsIList,Table_ExternalData_15[[#This Row],[item_key]],IsITypeList,Table_ExternalData_15[[#This Row],[IType]],IsDList,Table_ExternalData_15[[#Headers],[13]])</f>
        <v>0</v>
      </c>
      <c r="R258" s="10">
        <f>SUMIFS(IsQList,IsIList,Table_ExternalData_15[[#This Row],[item_key]],IsITypeList,Table_ExternalData_15[[#This Row],[IType]],IsDList,Table_ExternalData_15[[#Headers],[14]])</f>
        <v>0</v>
      </c>
      <c r="S258" s="10">
        <f>SUMIFS(IsQList,IsIList,Table_ExternalData_15[[#This Row],[item_key]],IsITypeList,Table_ExternalData_15[[#This Row],[IType]],IsDList,Table_ExternalData_15[[#Headers],[15]])</f>
        <v>0</v>
      </c>
      <c r="T258" s="10">
        <f>SUMIFS(IsQList,IsIList,Table_ExternalData_15[[#This Row],[item_key]],IsITypeList,Table_ExternalData_15[[#This Row],[IType]],IsDList,Table_ExternalData_15[[#Headers],[16]])</f>
        <v>0</v>
      </c>
      <c r="U258" s="10">
        <f>SUMIFS(IsQList,IsIList,Table_ExternalData_15[[#This Row],[item_key]],IsITypeList,Table_ExternalData_15[[#This Row],[IType]],IsDList,Table_ExternalData_15[[#Headers],[17]])</f>
        <v>0</v>
      </c>
      <c r="V258" s="10">
        <f>SUMIFS(IsQList,IsIList,Table_ExternalData_15[[#This Row],[item_key]],IsITypeList,Table_ExternalData_15[[#This Row],[IType]],IsDList,Table_ExternalData_15[[#Headers],[18]])</f>
        <v>0</v>
      </c>
      <c r="W258" s="10">
        <f>SUMIFS(IsQList,IsIList,Table_ExternalData_15[[#This Row],[item_key]],IsITypeList,Table_ExternalData_15[[#This Row],[IType]],IsDList,Table_ExternalData_15[[#Headers],[19]])</f>
        <v>0</v>
      </c>
      <c r="X258" s="10">
        <f>SUMIFS(IsQList,IsIList,Table_ExternalData_15[[#This Row],[item_key]],IsITypeList,Table_ExternalData_15[[#This Row],[IType]],IsDList,Table_ExternalData_15[[#Headers],[20]])</f>
        <v>0</v>
      </c>
      <c r="Y258" s="10">
        <f>SUMIFS(IsQList,IsIList,Table_ExternalData_15[[#This Row],[item_key]],IsITypeList,Table_ExternalData_15[[#This Row],[IType]],IsDList,Table_ExternalData_15[[#Headers],[21]])</f>
        <v>0</v>
      </c>
      <c r="Z258" s="10">
        <f>SUMIFS(IsQList,IsIList,Table_ExternalData_15[[#This Row],[item_key]],IsITypeList,Table_ExternalData_15[[#This Row],[IType]],IsDList,Table_ExternalData_15[[#Headers],[22]])</f>
        <v>0</v>
      </c>
      <c r="AA258" s="10">
        <f>SUMIFS(IsQList,IsIList,Table_ExternalData_15[[#This Row],[item_key]],IsITypeList,Table_ExternalData_15[[#This Row],[IType]],IsDList,Table_ExternalData_15[[#Headers],[23]])</f>
        <v>0</v>
      </c>
      <c r="AB258" s="10">
        <f>SUMIFS(IsQList,IsIList,Table_ExternalData_15[[#This Row],[item_key]],IsITypeList,Table_ExternalData_15[[#This Row],[IType]],IsDList,Table_ExternalData_15[[#Headers],[24]])</f>
        <v>0</v>
      </c>
      <c r="AC258" s="10">
        <f>SUMIFS(IsQList,IsIList,Table_ExternalData_15[[#This Row],[item_key]],IsITypeList,Table_ExternalData_15[[#This Row],[IType]],IsDList,Table_ExternalData_15[[#Headers],[25]])</f>
        <v>0</v>
      </c>
      <c r="AD258" s="10">
        <f>SUMIFS(IsQList,IsIList,Table_ExternalData_15[[#This Row],[item_key]],IsITypeList,Table_ExternalData_15[[#This Row],[IType]],IsDList,Table_ExternalData_15[[#Headers],[26]])</f>
        <v>0</v>
      </c>
      <c r="AE258" s="10">
        <f>SUMIFS(IsQList,IsIList,Table_ExternalData_15[[#This Row],[item_key]],IsITypeList,Table_ExternalData_15[[#This Row],[IType]],IsDList,Table_ExternalData_15[[#Headers],[27]])</f>
        <v>0</v>
      </c>
      <c r="AF258" s="10">
        <f>SUMIFS(IsQList,IsIList,Table_ExternalData_15[[#This Row],[item_key]],IsITypeList,Table_ExternalData_15[[#This Row],[IType]],IsDList,Table_ExternalData_15[[#Headers],[28]])</f>
        <v>0</v>
      </c>
      <c r="AG258" s="10">
        <f>SUMIFS(IsQList,IsIList,Table_ExternalData_15[[#This Row],[item_key]],IsITypeList,Table_ExternalData_15[[#This Row],[IType]],IsDList,Table_ExternalData_15[[#Headers],[29]])</f>
        <v>0</v>
      </c>
      <c r="AH258" s="10">
        <f>SUMIFS(IsQList,IsIList,Table_ExternalData_15[[#This Row],[item_key]],IsITypeList,Table_ExternalData_15[[#This Row],[IType]],IsDList,Table_ExternalData_15[[#Headers],[30]])</f>
        <v>0</v>
      </c>
      <c r="AI258" s="10">
        <f>SUMIFS(IsQList,IsIList,Table_ExternalData_15[[#This Row],[item_key]],IsITypeList,Table_ExternalData_15[[#This Row],[IType]],IsDList,Table_ExternalData_15[[#Headers],[31]])</f>
        <v>0</v>
      </c>
      <c r="AJ258" s="10">
        <f>SUM(Table_ExternalData_15[[#This Row],[1]:[31]])</f>
        <v>10</v>
      </c>
    </row>
    <row r="259" spans="1:36">
      <c r="A259" s="1" t="s">
        <v>1900</v>
      </c>
      <c r="B259" s="1" t="s">
        <v>2705</v>
      </c>
      <c r="C259" s="1" t="s">
        <v>2706</v>
      </c>
      <c r="D259" s="11" t="s">
        <v>72</v>
      </c>
      <c r="E259" s="10">
        <f>SUMIFS(IsQList,IsIList,Table_ExternalData_15[[#This Row],[item_key]],IsITypeList,Table_ExternalData_15[[#This Row],[IType]],IsDList,Table_ExternalData_15[[#Headers],[1]])</f>
        <v>0</v>
      </c>
      <c r="F259" s="10">
        <f>SUMIFS(IsQList,IsIList,Table_ExternalData_15[[#This Row],[item_key]],IsITypeList,Table_ExternalData_15[[#This Row],[IType]],IsDList,Table_ExternalData_15[[#Headers],[2]])</f>
        <v>0</v>
      </c>
      <c r="G259" s="10">
        <f>SUMIFS(IsQList,IsIList,Table_ExternalData_15[[#This Row],[item_key]],IsITypeList,Table_ExternalData_15[[#This Row],[IType]],IsDList,Table_ExternalData_15[[#Headers],[3]])</f>
        <v>0</v>
      </c>
      <c r="H259" s="10">
        <f>SUMIFS(IsQList,IsIList,Table_ExternalData_15[[#This Row],[item_key]],IsITypeList,Table_ExternalData_15[[#This Row],[IType]],IsDList,Table_ExternalData_15[[#Headers],[4]])</f>
        <v>0</v>
      </c>
      <c r="I259" s="10">
        <f>SUMIFS(IsQList,IsIList,Table_ExternalData_15[[#This Row],[item_key]],IsITypeList,Table_ExternalData_15[[#This Row],[IType]],IsDList,Table_ExternalData_15[[#Headers],[5]])</f>
        <v>0</v>
      </c>
      <c r="J259" s="10">
        <f>SUMIFS(IsQList,IsIList,Table_ExternalData_15[[#This Row],[item_key]],IsITypeList,Table_ExternalData_15[[#This Row],[IType]],IsDList,Table_ExternalData_15[[#Headers],[6]])</f>
        <v>0</v>
      </c>
      <c r="K259" s="10">
        <f>SUMIFS(IsQList,IsIList,Table_ExternalData_15[[#This Row],[item_key]],IsITypeList,Table_ExternalData_15[[#This Row],[IType]],IsDList,Table_ExternalData_15[[#Headers],[7]])</f>
        <v>0</v>
      </c>
      <c r="L259" s="10">
        <f>SUMIFS(IsQList,IsIList,Table_ExternalData_15[[#This Row],[item_key]],IsITypeList,Table_ExternalData_15[[#This Row],[IType]],IsDList,Table_ExternalData_15[[#Headers],[8]])</f>
        <v>0</v>
      </c>
      <c r="M259" s="10">
        <f>SUMIFS(IsQList,IsIList,Table_ExternalData_15[[#This Row],[item_key]],IsITypeList,Table_ExternalData_15[[#This Row],[IType]],IsDList,Table_ExternalData_15[[#Headers],[9]])</f>
        <v>0</v>
      </c>
      <c r="N259" s="10">
        <f>SUMIFS(IsQList,IsIList,Table_ExternalData_15[[#This Row],[item_key]],IsITypeList,Table_ExternalData_15[[#This Row],[IType]],IsDList,Table_ExternalData_15[[#Headers],[10]])</f>
        <v>0</v>
      </c>
      <c r="O259" s="10">
        <f>SUMIFS(IsQList,IsIList,Table_ExternalData_15[[#This Row],[item_key]],IsITypeList,Table_ExternalData_15[[#This Row],[IType]],IsDList,Table_ExternalData_15[[#Headers],[11]])</f>
        <v>0</v>
      </c>
      <c r="P259" s="10">
        <f>SUMIFS(IsQList,IsIList,Table_ExternalData_15[[#This Row],[item_key]],IsITypeList,Table_ExternalData_15[[#This Row],[IType]],IsDList,Table_ExternalData_15[[#Headers],[12]])</f>
        <v>0</v>
      </c>
      <c r="Q259" s="10">
        <f>SUMIFS(IsQList,IsIList,Table_ExternalData_15[[#This Row],[item_key]],IsITypeList,Table_ExternalData_15[[#This Row],[IType]],IsDList,Table_ExternalData_15[[#Headers],[13]])</f>
        <v>0</v>
      </c>
      <c r="R259" s="10">
        <f>SUMIFS(IsQList,IsIList,Table_ExternalData_15[[#This Row],[item_key]],IsITypeList,Table_ExternalData_15[[#This Row],[IType]],IsDList,Table_ExternalData_15[[#Headers],[14]])</f>
        <v>0</v>
      </c>
      <c r="S259" s="10">
        <f>SUMIFS(IsQList,IsIList,Table_ExternalData_15[[#This Row],[item_key]],IsITypeList,Table_ExternalData_15[[#This Row],[IType]],IsDList,Table_ExternalData_15[[#Headers],[15]])</f>
        <v>0</v>
      </c>
      <c r="T259" s="10">
        <f>SUMIFS(IsQList,IsIList,Table_ExternalData_15[[#This Row],[item_key]],IsITypeList,Table_ExternalData_15[[#This Row],[IType]],IsDList,Table_ExternalData_15[[#Headers],[16]])</f>
        <v>0</v>
      </c>
      <c r="U259" s="10">
        <f>SUMIFS(IsQList,IsIList,Table_ExternalData_15[[#This Row],[item_key]],IsITypeList,Table_ExternalData_15[[#This Row],[IType]],IsDList,Table_ExternalData_15[[#Headers],[17]])</f>
        <v>0</v>
      </c>
      <c r="V259" s="10">
        <f>SUMIFS(IsQList,IsIList,Table_ExternalData_15[[#This Row],[item_key]],IsITypeList,Table_ExternalData_15[[#This Row],[IType]],IsDList,Table_ExternalData_15[[#Headers],[18]])</f>
        <v>0</v>
      </c>
      <c r="W259" s="10">
        <f>SUMIFS(IsQList,IsIList,Table_ExternalData_15[[#This Row],[item_key]],IsITypeList,Table_ExternalData_15[[#This Row],[IType]],IsDList,Table_ExternalData_15[[#Headers],[19]])</f>
        <v>0</v>
      </c>
      <c r="X259" s="10">
        <f>SUMIFS(IsQList,IsIList,Table_ExternalData_15[[#This Row],[item_key]],IsITypeList,Table_ExternalData_15[[#This Row],[IType]],IsDList,Table_ExternalData_15[[#Headers],[20]])</f>
        <v>0</v>
      </c>
      <c r="Y259" s="10">
        <f>SUMIFS(IsQList,IsIList,Table_ExternalData_15[[#This Row],[item_key]],IsITypeList,Table_ExternalData_15[[#This Row],[IType]],IsDList,Table_ExternalData_15[[#Headers],[21]])</f>
        <v>0</v>
      </c>
      <c r="Z259" s="10">
        <f>SUMIFS(IsQList,IsIList,Table_ExternalData_15[[#This Row],[item_key]],IsITypeList,Table_ExternalData_15[[#This Row],[IType]],IsDList,Table_ExternalData_15[[#Headers],[22]])</f>
        <v>0</v>
      </c>
      <c r="AA259" s="10">
        <f>SUMIFS(IsQList,IsIList,Table_ExternalData_15[[#This Row],[item_key]],IsITypeList,Table_ExternalData_15[[#This Row],[IType]],IsDList,Table_ExternalData_15[[#Headers],[23]])</f>
        <v>0</v>
      </c>
      <c r="AB259" s="10">
        <f>SUMIFS(IsQList,IsIList,Table_ExternalData_15[[#This Row],[item_key]],IsITypeList,Table_ExternalData_15[[#This Row],[IType]],IsDList,Table_ExternalData_15[[#Headers],[24]])</f>
        <v>20</v>
      </c>
      <c r="AC259" s="10">
        <f>SUMIFS(IsQList,IsIList,Table_ExternalData_15[[#This Row],[item_key]],IsITypeList,Table_ExternalData_15[[#This Row],[IType]],IsDList,Table_ExternalData_15[[#Headers],[25]])</f>
        <v>0</v>
      </c>
      <c r="AD259" s="10">
        <f>SUMIFS(IsQList,IsIList,Table_ExternalData_15[[#This Row],[item_key]],IsITypeList,Table_ExternalData_15[[#This Row],[IType]],IsDList,Table_ExternalData_15[[#Headers],[26]])</f>
        <v>0</v>
      </c>
      <c r="AE259" s="10">
        <f>SUMIFS(IsQList,IsIList,Table_ExternalData_15[[#This Row],[item_key]],IsITypeList,Table_ExternalData_15[[#This Row],[IType]],IsDList,Table_ExternalData_15[[#Headers],[27]])</f>
        <v>0</v>
      </c>
      <c r="AF259" s="10">
        <f>SUMIFS(IsQList,IsIList,Table_ExternalData_15[[#This Row],[item_key]],IsITypeList,Table_ExternalData_15[[#This Row],[IType]],IsDList,Table_ExternalData_15[[#Headers],[28]])</f>
        <v>0</v>
      </c>
      <c r="AG259" s="10">
        <f>SUMIFS(IsQList,IsIList,Table_ExternalData_15[[#This Row],[item_key]],IsITypeList,Table_ExternalData_15[[#This Row],[IType]],IsDList,Table_ExternalData_15[[#Headers],[29]])</f>
        <v>0</v>
      </c>
      <c r="AH259" s="10">
        <f>SUMIFS(IsQList,IsIList,Table_ExternalData_15[[#This Row],[item_key]],IsITypeList,Table_ExternalData_15[[#This Row],[IType]],IsDList,Table_ExternalData_15[[#Headers],[30]])</f>
        <v>0</v>
      </c>
      <c r="AI259" s="10">
        <f>SUMIFS(IsQList,IsIList,Table_ExternalData_15[[#This Row],[item_key]],IsITypeList,Table_ExternalData_15[[#This Row],[IType]],IsDList,Table_ExternalData_15[[#Headers],[31]])</f>
        <v>0</v>
      </c>
      <c r="AJ259" s="10">
        <f>SUM(Table_ExternalData_15[[#This Row],[1]:[31]])</f>
        <v>20</v>
      </c>
    </row>
    <row r="260" spans="1:36">
      <c r="A260" s="1" t="s">
        <v>784</v>
      </c>
      <c r="B260" s="1" t="s">
        <v>2707</v>
      </c>
      <c r="C260" s="1" t="s">
        <v>2708</v>
      </c>
      <c r="D260" s="11" t="s">
        <v>72</v>
      </c>
      <c r="E260" s="10">
        <f>SUMIFS(IsQList,IsIList,Table_ExternalData_15[[#This Row],[item_key]],IsITypeList,Table_ExternalData_15[[#This Row],[IType]],IsDList,Table_ExternalData_15[[#Headers],[1]])</f>
        <v>0</v>
      </c>
      <c r="F260" s="10">
        <f>SUMIFS(IsQList,IsIList,Table_ExternalData_15[[#This Row],[item_key]],IsITypeList,Table_ExternalData_15[[#This Row],[IType]],IsDList,Table_ExternalData_15[[#Headers],[2]])</f>
        <v>0</v>
      </c>
      <c r="G260" s="10">
        <f>SUMIFS(IsQList,IsIList,Table_ExternalData_15[[#This Row],[item_key]],IsITypeList,Table_ExternalData_15[[#This Row],[IType]],IsDList,Table_ExternalData_15[[#Headers],[3]])</f>
        <v>0</v>
      </c>
      <c r="H260" s="10">
        <f>SUMIFS(IsQList,IsIList,Table_ExternalData_15[[#This Row],[item_key]],IsITypeList,Table_ExternalData_15[[#This Row],[IType]],IsDList,Table_ExternalData_15[[#Headers],[4]])</f>
        <v>0</v>
      </c>
      <c r="I260" s="10">
        <f>SUMIFS(IsQList,IsIList,Table_ExternalData_15[[#This Row],[item_key]],IsITypeList,Table_ExternalData_15[[#This Row],[IType]],IsDList,Table_ExternalData_15[[#Headers],[5]])</f>
        <v>0</v>
      </c>
      <c r="J260" s="10">
        <f>SUMIFS(IsQList,IsIList,Table_ExternalData_15[[#This Row],[item_key]],IsITypeList,Table_ExternalData_15[[#This Row],[IType]],IsDList,Table_ExternalData_15[[#Headers],[6]])</f>
        <v>0</v>
      </c>
      <c r="K260" s="10">
        <f>SUMIFS(IsQList,IsIList,Table_ExternalData_15[[#This Row],[item_key]],IsITypeList,Table_ExternalData_15[[#This Row],[IType]],IsDList,Table_ExternalData_15[[#Headers],[7]])</f>
        <v>0</v>
      </c>
      <c r="L260" s="10">
        <f>SUMIFS(IsQList,IsIList,Table_ExternalData_15[[#This Row],[item_key]],IsITypeList,Table_ExternalData_15[[#This Row],[IType]],IsDList,Table_ExternalData_15[[#Headers],[8]])</f>
        <v>0</v>
      </c>
      <c r="M260" s="10">
        <f>SUMIFS(IsQList,IsIList,Table_ExternalData_15[[#This Row],[item_key]],IsITypeList,Table_ExternalData_15[[#This Row],[IType]],IsDList,Table_ExternalData_15[[#Headers],[9]])</f>
        <v>0</v>
      </c>
      <c r="N260" s="10">
        <f>SUMIFS(IsQList,IsIList,Table_ExternalData_15[[#This Row],[item_key]],IsITypeList,Table_ExternalData_15[[#This Row],[IType]],IsDList,Table_ExternalData_15[[#Headers],[10]])</f>
        <v>0</v>
      </c>
      <c r="O260" s="10">
        <f>SUMIFS(IsQList,IsIList,Table_ExternalData_15[[#This Row],[item_key]],IsITypeList,Table_ExternalData_15[[#This Row],[IType]],IsDList,Table_ExternalData_15[[#Headers],[11]])</f>
        <v>0</v>
      </c>
      <c r="P260" s="10">
        <f>SUMIFS(IsQList,IsIList,Table_ExternalData_15[[#This Row],[item_key]],IsITypeList,Table_ExternalData_15[[#This Row],[IType]],IsDList,Table_ExternalData_15[[#Headers],[12]])</f>
        <v>0</v>
      </c>
      <c r="Q260" s="10">
        <f>SUMIFS(IsQList,IsIList,Table_ExternalData_15[[#This Row],[item_key]],IsITypeList,Table_ExternalData_15[[#This Row],[IType]],IsDList,Table_ExternalData_15[[#Headers],[13]])</f>
        <v>0</v>
      </c>
      <c r="R260" s="10">
        <f>SUMIFS(IsQList,IsIList,Table_ExternalData_15[[#This Row],[item_key]],IsITypeList,Table_ExternalData_15[[#This Row],[IType]],IsDList,Table_ExternalData_15[[#Headers],[14]])</f>
        <v>0</v>
      </c>
      <c r="S260" s="10">
        <f>SUMIFS(IsQList,IsIList,Table_ExternalData_15[[#This Row],[item_key]],IsITypeList,Table_ExternalData_15[[#This Row],[IType]],IsDList,Table_ExternalData_15[[#Headers],[15]])</f>
        <v>0</v>
      </c>
      <c r="T260" s="10">
        <f>SUMIFS(IsQList,IsIList,Table_ExternalData_15[[#This Row],[item_key]],IsITypeList,Table_ExternalData_15[[#This Row],[IType]],IsDList,Table_ExternalData_15[[#Headers],[16]])</f>
        <v>5</v>
      </c>
      <c r="U260" s="10">
        <f>SUMIFS(IsQList,IsIList,Table_ExternalData_15[[#This Row],[item_key]],IsITypeList,Table_ExternalData_15[[#This Row],[IType]],IsDList,Table_ExternalData_15[[#Headers],[17]])</f>
        <v>0</v>
      </c>
      <c r="V260" s="10">
        <f>SUMIFS(IsQList,IsIList,Table_ExternalData_15[[#This Row],[item_key]],IsITypeList,Table_ExternalData_15[[#This Row],[IType]],IsDList,Table_ExternalData_15[[#Headers],[18]])</f>
        <v>0</v>
      </c>
      <c r="W260" s="10">
        <f>SUMIFS(IsQList,IsIList,Table_ExternalData_15[[#This Row],[item_key]],IsITypeList,Table_ExternalData_15[[#This Row],[IType]],IsDList,Table_ExternalData_15[[#Headers],[19]])</f>
        <v>0</v>
      </c>
      <c r="X260" s="10">
        <f>SUMIFS(IsQList,IsIList,Table_ExternalData_15[[#This Row],[item_key]],IsITypeList,Table_ExternalData_15[[#This Row],[IType]],IsDList,Table_ExternalData_15[[#Headers],[20]])</f>
        <v>0</v>
      </c>
      <c r="Y260" s="10">
        <f>SUMIFS(IsQList,IsIList,Table_ExternalData_15[[#This Row],[item_key]],IsITypeList,Table_ExternalData_15[[#This Row],[IType]],IsDList,Table_ExternalData_15[[#Headers],[21]])</f>
        <v>0</v>
      </c>
      <c r="Z260" s="10">
        <f>SUMIFS(IsQList,IsIList,Table_ExternalData_15[[#This Row],[item_key]],IsITypeList,Table_ExternalData_15[[#This Row],[IType]],IsDList,Table_ExternalData_15[[#Headers],[22]])</f>
        <v>0</v>
      </c>
      <c r="AA260" s="10">
        <f>SUMIFS(IsQList,IsIList,Table_ExternalData_15[[#This Row],[item_key]],IsITypeList,Table_ExternalData_15[[#This Row],[IType]],IsDList,Table_ExternalData_15[[#Headers],[23]])</f>
        <v>0</v>
      </c>
      <c r="AB260" s="10">
        <f>SUMIFS(IsQList,IsIList,Table_ExternalData_15[[#This Row],[item_key]],IsITypeList,Table_ExternalData_15[[#This Row],[IType]],IsDList,Table_ExternalData_15[[#Headers],[24]])</f>
        <v>0</v>
      </c>
      <c r="AC260" s="10">
        <f>SUMIFS(IsQList,IsIList,Table_ExternalData_15[[#This Row],[item_key]],IsITypeList,Table_ExternalData_15[[#This Row],[IType]],IsDList,Table_ExternalData_15[[#Headers],[25]])</f>
        <v>0</v>
      </c>
      <c r="AD260" s="10">
        <f>SUMIFS(IsQList,IsIList,Table_ExternalData_15[[#This Row],[item_key]],IsITypeList,Table_ExternalData_15[[#This Row],[IType]],IsDList,Table_ExternalData_15[[#Headers],[26]])</f>
        <v>0</v>
      </c>
      <c r="AE260" s="10">
        <f>SUMIFS(IsQList,IsIList,Table_ExternalData_15[[#This Row],[item_key]],IsITypeList,Table_ExternalData_15[[#This Row],[IType]],IsDList,Table_ExternalData_15[[#Headers],[27]])</f>
        <v>0</v>
      </c>
      <c r="AF260" s="10">
        <f>SUMIFS(IsQList,IsIList,Table_ExternalData_15[[#This Row],[item_key]],IsITypeList,Table_ExternalData_15[[#This Row],[IType]],IsDList,Table_ExternalData_15[[#Headers],[28]])</f>
        <v>0</v>
      </c>
      <c r="AG260" s="10">
        <f>SUMIFS(IsQList,IsIList,Table_ExternalData_15[[#This Row],[item_key]],IsITypeList,Table_ExternalData_15[[#This Row],[IType]],IsDList,Table_ExternalData_15[[#Headers],[29]])</f>
        <v>0</v>
      </c>
      <c r="AH260" s="10">
        <f>SUMIFS(IsQList,IsIList,Table_ExternalData_15[[#This Row],[item_key]],IsITypeList,Table_ExternalData_15[[#This Row],[IType]],IsDList,Table_ExternalData_15[[#Headers],[30]])</f>
        <v>0</v>
      </c>
      <c r="AI260" s="10">
        <f>SUMIFS(IsQList,IsIList,Table_ExternalData_15[[#This Row],[item_key]],IsITypeList,Table_ExternalData_15[[#This Row],[IType]],IsDList,Table_ExternalData_15[[#Headers],[31]])</f>
        <v>0</v>
      </c>
      <c r="AJ260" s="10">
        <f>SUM(Table_ExternalData_15[[#This Row],[1]:[31]])</f>
        <v>5</v>
      </c>
    </row>
    <row r="261" spans="1:36">
      <c r="A261" s="1" t="s">
        <v>1908</v>
      </c>
      <c r="B261" s="1" t="s">
        <v>2709</v>
      </c>
      <c r="C261" s="1" t="s">
        <v>2710</v>
      </c>
      <c r="D261" s="11" t="s">
        <v>72</v>
      </c>
      <c r="E261" s="10">
        <f>SUMIFS(IsQList,IsIList,Table_ExternalData_15[[#This Row],[item_key]],IsITypeList,Table_ExternalData_15[[#This Row],[IType]],IsDList,Table_ExternalData_15[[#Headers],[1]])</f>
        <v>0</v>
      </c>
      <c r="F261" s="10">
        <f>SUMIFS(IsQList,IsIList,Table_ExternalData_15[[#This Row],[item_key]],IsITypeList,Table_ExternalData_15[[#This Row],[IType]],IsDList,Table_ExternalData_15[[#Headers],[2]])</f>
        <v>0</v>
      </c>
      <c r="G261" s="10">
        <f>SUMIFS(IsQList,IsIList,Table_ExternalData_15[[#This Row],[item_key]],IsITypeList,Table_ExternalData_15[[#This Row],[IType]],IsDList,Table_ExternalData_15[[#Headers],[3]])</f>
        <v>0</v>
      </c>
      <c r="H261" s="10">
        <f>SUMIFS(IsQList,IsIList,Table_ExternalData_15[[#This Row],[item_key]],IsITypeList,Table_ExternalData_15[[#This Row],[IType]],IsDList,Table_ExternalData_15[[#Headers],[4]])</f>
        <v>0</v>
      </c>
      <c r="I261" s="10">
        <f>SUMIFS(IsQList,IsIList,Table_ExternalData_15[[#This Row],[item_key]],IsITypeList,Table_ExternalData_15[[#This Row],[IType]],IsDList,Table_ExternalData_15[[#Headers],[5]])</f>
        <v>0</v>
      </c>
      <c r="J261" s="10">
        <f>SUMIFS(IsQList,IsIList,Table_ExternalData_15[[#This Row],[item_key]],IsITypeList,Table_ExternalData_15[[#This Row],[IType]],IsDList,Table_ExternalData_15[[#Headers],[6]])</f>
        <v>0</v>
      </c>
      <c r="K261" s="10">
        <f>SUMIFS(IsQList,IsIList,Table_ExternalData_15[[#This Row],[item_key]],IsITypeList,Table_ExternalData_15[[#This Row],[IType]],IsDList,Table_ExternalData_15[[#Headers],[7]])</f>
        <v>0</v>
      </c>
      <c r="L261" s="10">
        <f>SUMIFS(IsQList,IsIList,Table_ExternalData_15[[#This Row],[item_key]],IsITypeList,Table_ExternalData_15[[#This Row],[IType]],IsDList,Table_ExternalData_15[[#Headers],[8]])</f>
        <v>0</v>
      </c>
      <c r="M261" s="10">
        <f>SUMIFS(IsQList,IsIList,Table_ExternalData_15[[#This Row],[item_key]],IsITypeList,Table_ExternalData_15[[#This Row],[IType]],IsDList,Table_ExternalData_15[[#Headers],[9]])</f>
        <v>0</v>
      </c>
      <c r="N261" s="10">
        <f>SUMIFS(IsQList,IsIList,Table_ExternalData_15[[#This Row],[item_key]],IsITypeList,Table_ExternalData_15[[#This Row],[IType]],IsDList,Table_ExternalData_15[[#Headers],[10]])</f>
        <v>0</v>
      </c>
      <c r="O261" s="10">
        <f>SUMIFS(IsQList,IsIList,Table_ExternalData_15[[#This Row],[item_key]],IsITypeList,Table_ExternalData_15[[#This Row],[IType]],IsDList,Table_ExternalData_15[[#Headers],[11]])</f>
        <v>0</v>
      </c>
      <c r="P261" s="10">
        <f>SUMIFS(IsQList,IsIList,Table_ExternalData_15[[#This Row],[item_key]],IsITypeList,Table_ExternalData_15[[#This Row],[IType]],IsDList,Table_ExternalData_15[[#Headers],[12]])</f>
        <v>0</v>
      </c>
      <c r="Q261" s="10">
        <f>SUMIFS(IsQList,IsIList,Table_ExternalData_15[[#This Row],[item_key]],IsITypeList,Table_ExternalData_15[[#This Row],[IType]],IsDList,Table_ExternalData_15[[#Headers],[13]])</f>
        <v>0</v>
      </c>
      <c r="R261" s="10">
        <f>SUMIFS(IsQList,IsIList,Table_ExternalData_15[[#This Row],[item_key]],IsITypeList,Table_ExternalData_15[[#This Row],[IType]],IsDList,Table_ExternalData_15[[#Headers],[14]])</f>
        <v>0</v>
      </c>
      <c r="S261" s="10">
        <f>SUMIFS(IsQList,IsIList,Table_ExternalData_15[[#This Row],[item_key]],IsITypeList,Table_ExternalData_15[[#This Row],[IType]],IsDList,Table_ExternalData_15[[#Headers],[15]])</f>
        <v>0</v>
      </c>
      <c r="T261" s="10">
        <f>SUMIFS(IsQList,IsIList,Table_ExternalData_15[[#This Row],[item_key]],IsITypeList,Table_ExternalData_15[[#This Row],[IType]],IsDList,Table_ExternalData_15[[#Headers],[16]])</f>
        <v>10</v>
      </c>
      <c r="U261" s="10">
        <f>SUMIFS(IsQList,IsIList,Table_ExternalData_15[[#This Row],[item_key]],IsITypeList,Table_ExternalData_15[[#This Row],[IType]],IsDList,Table_ExternalData_15[[#Headers],[17]])</f>
        <v>0</v>
      </c>
      <c r="V261" s="10">
        <f>SUMIFS(IsQList,IsIList,Table_ExternalData_15[[#This Row],[item_key]],IsITypeList,Table_ExternalData_15[[#This Row],[IType]],IsDList,Table_ExternalData_15[[#Headers],[18]])</f>
        <v>0</v>
      </c>
      <c r="W261" s="10">
        <f>SUMIFS(IsQList,IsIList,Table_ExternalData_15[[#This Row],[item_key]],IsITypeList,Table_ExternalData_15[[#This Row],[IType]],IsDList,Table_ExternalData_15[[#Headers],[19]])</f>
        <v>0</v>
      </c>
      <c r="X261" s="10">
        <f>SUMIFS(IsQList,IsIList,Table_ExternalData_15[[#This Row],[item_key]],IsITypeList,Table_ExternalData_15[[#This Row],[IType]],IsDList,Table_ExternalData_15[[#Headers],[20]])</f>
        <v>0</v>
      </c>
      <c r="Y261" s="10">
        <f>SUMIFS(IsQList,IsIList,Table_ExternalData_15[[#This Row],[item_key]],IsITypeList,Table_ExternalData_15[[#This Row],[IType]],IsDList,Table_ExternalData_15[[#Headers],[21]])</f>
        <v>0</v>
      </c>
      <c r="Z261" s="10">
        <f>SUMIFS(IsQList,IsIList,Table_ExternalData_15[[#This Row],[item_key]],IsITypeList,Table_ExternalData_15[[#This Row],[IType]],IsDList,Table_ExternalData_15[[#Headers],[22]])</f>
        <v>0</v>
      </c>
      <c r="AA261" s="10">
        <f>SUMIFS(IsQList,IsIList,Table_ExternalData_15[[#This Row],[item_key]],IsITypeList,Table_ExternalData_15[[#This Row],[IType]],IsDList,Table_ExternalData_15[[#Headers],[23]])</f>
        <v>0</v>
      </c>
      <c r="AB261" s="10">
        <f>SUMIFS(IsQList,IsIList,Table_ExternalData_15[[#This Row],[item_key]],IsITypeList,Table_ExternalData_15[[#This Row],[IType]],IsDList,Table_ExternalData_15[[#Headers],[24]])</f>
        <v>0</v>
      </c>
      <c r="AC261" s="10">
        <f>SUMIFS(IsQList,IsIList,Table_ExternalData_15[[#This Row],[item_key]],IsITypeList,Table_ExternalData_15[[#This Row],[IType]],IsDList,Table_ExternalData_15[[#Headers],[25]])</f>
        <v>0</v>
      </c>
      <c r="AD261" s="10">
        <f>SUMIFS(IsQList,IsIList,Table_ExternalData_15[[#This Row],[item_key]],IsITypeList,Table_ExternalData_15[[#This Row],[IType]],IsDList,Table_ExternalData_15[[#Headers],[26]])</f>
        <v>0</v>
      </c>
      <c r="AE261" s="10">
        <f>SUMIFS(IsQList,IsIList,Table_ExternalData_15[[#This Row],[item_key]],IsITypeList,Table_ExternalData_15[[#This Row],[IType]],IsDList,Table_ExternalData_15[[#Headers],[27]])</f>
        <v>0</v>
      </c>
      <c r="AF261" s="10">
        <f>SUMIFS(IsQList,IsIList,Table_ExternalData_15[[#This Row],[item_key]],IsITypeList,Table_ExternalData_15[[#This Row],[IType]],IsDList,Table_ExternalData_15[[#Headers],[28]])</f>
        <v>0</v>
      </c>
      <c r="AG261" s="10">
        <f>SUMIFS(IsQList,IsIList,Table_ExternalData_15[[#This Row],[item_key]],IsITypeList,Table_ExternalData_15[[#This Row],[IType]],IsDList,Table_ExternalData_15[[#Headers],[29]])</f>
        <v>0</v>
      </c>
      <c r="AH261" s="10">
        <f>SUMIFS(IsQList,IsIList,Table_ExternalData_15[[#This Row],[item_key]],IsITypeList,Table_ExternalData_15[[#This Row],[IType]],IsDList,Table_ExternalData_15[[#Headers],[30]])</f>
        <v>0</v>
      </c>
      <c r="AI261" s="10">
        <f>SUMIFS(IsQList,IsIList,Table_ExternalData_15[[#This Row],[item_key]],IsITypeList,Table_ExternalData_15[[#This Row],[IType]],IsDList,Table_ExternalData_15[[#Headers],[31]])</f>
        <v>0</v>
      </c>
      <c r="AJ261" s="10">
        <f>SUM(Table_ExternalData_15[[#This Row],[1]:[31]])</f>
        <v>10</v>
      </c>
    </row>
    <row r="262" spans="1:36">
      <c r="A262" s="1" t="s">
        <v>786</v>
      </c>
      <c r="B262" s="1" t="s">
        <v>2711</v>
      </c>
      <c r="C262" s="1" t="s">
        <v>2712</v>
      </c>
      <c r="D262" s="11" t="s">
        <v>72</v>
      </c>
      <c r="E262" s="10">
        <f>SUMIFS(IsQList,IsIList,Table_ExternalData_15[[#This Row],[item_key]],IsITypeList,Table_ExternalData_15[[#This Row],[IType]],IsDList,Table_ExternalData_15[[#Headers],[1]])</f>
        <v>0</v>
      </c>
      <c r="F262" s="10">
        <f>SUMIFS(IsQList,IsIList,Table_ExternalData_15[[#This Row],[item_key]],IsITypeList,Table_ExternalData_15[[#This Row],[IType]],IsDList,Table_ExternalData_15[[#Headers],[2]])</f>
        <v>0</v>
      </c>
      <c r="G262" s="10">
        <f>SUMIFS(IsQList,IsIList,Table_ExternalData_15[[#This Row],[item_key]],IsITypeList,Table_ExternalData_15[[#This Row],[IType]],IsDList,Table_ExternalData_15[[#Headers],[3]])</f>
        <v>0</v>
      </c>
      <c r="H262" s="10">
        <f>SUMIFS(IsQList,IsIList,Table_ExternalData_15[[#This Row],[item_key]],IsITypeList,Table_ExternalData_15[[#This Row],[IType]],IsDList,Table_ExternalData_15[[#Headers],[4]])</f>
        <v>0</v>
      </c>
      <c r="I262" s="10">
        <f>SUMIFS(IsQList,IsIList,Table_ExternalData_15[[#This Row],[item_key]],IsITypeList,Table_ExternalData_15[[#This Row],[IType]],IsDList,Table_ExternalData_15[[#Headers],[5]])</f>
        <v>0</v>
      </c>
      <c r="J262" s="10">
        <f>SUMIFS(IsQList,IsIList,Table_ExternalData_15[[#This Row],[item_key]],IsITypeList,Table_ExternalData_15[[#This Row],[IType]],IsDList,Table_ExternalData_15[[#Headers],[6]])</f>
        <v>0</v>
      </c>
      <c r="K262" s="10">
        <f>SUMIFS(IsQList,IsIList,Table_ExternalData_15[[#This Row],[item_key]],IsITypeList,Table_ExternalData_15[[#This Row],[IType]],IsDList,Table_ExternalData_15[[#Headers],[7]])</f>
        <v>0</v>
      </c>
      <c r="L262" s="10">
        <f>SUMIFS(IsQList,IsIList,Table_ExternalData_15[[#This Row],[item_key]],IsITypeList,Table_ExternalData_15[[#This Row],[IType]],IsDList,Table_ExternalData_15[[#Headers],[8]])</f>
        <v>0</v>
      </c>
      <c r="M262" s="10">
        <f>SUMIFS(IsQList,IsIList,Table_ExternalData_15[[#This Row],[item_key]],IsITypeList,Table_ExternalData_15[[#This Row],[IType]],IsDList,Table_ExternalData_15[[#Headers],[9]])</f>
        <v>0</v>
      </c>
      <c r="N262" s="10">
        <f>SUMIFS(IsQList,IsIList,Table_ExternalData_15[[#This Row],[item_key]],IsITypeList,Table_ExternalData_15[[#This Row],[IType]],IsDList,Table_ExternalData_15[[#Headers],[10]])</f>
        <v>0</v>
      </c>
      <c r="O262" s="10">
        <f>SUMIFS(IsQList,IsIList,Table_ExternalData_15[[#This Row],[item_key]],IsITypeList,Table_ExternalData_15[[#This Row],[IType]],IsDList,Table_ExternalData_15[[#Headers],[11]])</f>
        <v>0</v>
      </c>
      <c r="P262" s="10">
        <f>SUMIFS(IsQList,IsIList,Table_ExternalData_15[[#This Row],[item_key]],IsITypeList,Table_ExternalData_15[[#This Row],[IType]],IsDList,Table_ExternalData_15[[#Headers],[12]])</f>
        <v>0</v>
      </c>
      <c r="Q262" s="10">
        <f>SUMIFS(IsQList,IsIList,Table_ExternalData_15[[#This Row],[item_key]],IsITypeList,Table_ExternalData_15[[#This Row],[IType]],IsDList,Table_ExternalData_15[[#Headers],[13]])</f>
        <v>0</v>
      </c>
      <c r="R262" s="10">
        <f>SUMIFS(IsQList,IsIList,Table_ExternalData_15[[#This Row],[item_key]],IsITypeList,Table_ExternalData_15[[#This Row],[IType]],IsDList,Table_ExternalData_15[[#Headers],[14]])</f>
        <v>0</v>
      </c>
      <c r="S262" s="10">
        <f>SUMIFS(IsQList,IsIList,Table_ExternalData_15[[#This Row],[item_key]],IsITypeList,Table_ExternalData_15[[#This Row],[IType]],IsDList,Table_ExternalData_15[[#Headers],[15]])</f>
        <v>0</v>
      </c>
      <c r="T262" s="10">
        <f>SUMIFS(IsQList,IsIList,Table_ExternalData_15[[#This Row],[item_key]],IsITypeList,Table_ExternalData_15[[#This Row],[IType]],IsDList,Table_ExternalData_15[[#Headers],[16]])</f>
        <v>0</v>
      </c>
      <c r="U262" s="10">
        <f>SUMIFS(IsQList,IsIList,Table_ExternalData_15[[#This Row],[item_key]],IsITypeList,Table_ExternalData_15[[#This Row],[IType]],IsDList,Table_ExternalData_15[[#Headers],[17]])</f>
        <v>0</v>
      </c>
      <c r="V262" s="10">
        <f>SUMIFS(IsQList,IsIList,Table_ExternalData_15[[#This Row],[item_key]],IsITypeList,Table_ExternalData_15[[#This Row],[IType]],IsDList,Table_ExternalData_15[[#Headers],[18]])</f>
        <v>0</v>
      </c>
      <c r="W262" s="10">
        <f>SUMIFS(IsQList,IsIList,Table_ExternalData_15[[#This Row],[item_key]],IsITypeList,Table_ExternalData_15[[#This Row],[IType]],IsDList,Table_ExternalData_15[[#Headers],[19]])</f>
        <v>0</v>
      </c>
      <c r="X262" s="10">
        <f>SUMIFS(IsQList,IsIList,Table_ExternalData_15[[#This Row],[item_key]],IsITypeList,Table_ExternalData_15[[#This Row],[IType]],IsDList,Table_ExternalData_15[[#Headers],[20]])</f>
        <v>0</v>
      </c>
      <c r="Y262" s="10">
        <f>SUMIFS(IsQList,IsIList,Table_ExternalData_15[[#This Row],[item_key]],IsITypeList,Table_ExternalData_15[[#This Row],[IType]],IsDList,Table_ExternalData_15[[#Headers],[21]])</f>
        <v>0</v>
      </c>
      <c r="Z262" s="10">
        <f>SUMIFS(IsQList,IsIList,Table_ExternalData_15[[#This Row],[item_key]],IsITypeList,Table_ExternalData_15[[#This Row],[IType]],IsDList,Table_ExternalData_15[[#Headers],[22]])</f>
        <v>0</v>
      </c>
      <c r="AA262" s="10">
        <f>SUMIFS(IsQList,IsIList,Table_ExternalData_15[[#This Row],[item_key]],IsITypeList,Table_ExternalData_15[[#This Row],[IType]],IsDList,Table_ExternalData_15[[#Headers],[23]])</f>
        <v>0</v>
      </c>
      <c r="AB262" s="10">
        <f>SUMIFS(IsQList,IsIList,Table_ExternalData_15[[#This Row],[item_key]],IsITypeList,Table_ExternalData_15[[#This Row],[IType]],IsDList,Table_ExternalData_15[[#Headers],[24]])</f>
        <v>0</v>
      </c>
      <c r="AC262" s="10">
        <f>SUMIFS(IsQList,IsIList,Table_ExternalData_15[[#This Row],[item_key]],IsITypeList,Table_ExternalData_15[[#This Row],[IType]],IsDList,Table_ExternalData_15[[#Headers],[25]])</f>
        <v>0</v>
      </c>
      <c r="AD262" s="10">
        <f>SUMIFS(IsQList,IsIList,Table_ExternalData_15[[#This Row],[item_key]],IsITypeList,Table_ExternalData_15[[#This Row],[IType]],IsDList,Table_ExternalData_15[[#Headers],[26]])</f>
        <v>0</v>
      </c>
      <c r="AE262" s="10">
        <f>SUMIFS(IsQList,IsIList,Table_ExternalData_15[[#This Row],[item_key]],IsITypeList,Table_ExternalData_15[[#This Row],[IType]],IsDList,Table_ExternalData_15[[#Headers],[27]])</f>
        <v>0</v>
      </c>
      <c r="AF262" s="10">
        <f>SUMIFS(IsQList,IsIList,Table_ExternalData_15[[#This Row],[item_key]],IsITypeList,Table_ExternalData_15[[#This Row],[IType]],IsDList,Table_ExternalData_15[[#Headers],[28]])</f>
        <v>0</v>
      </c>
      <c r="AG262" s="10">
        <f>SUMIFS(IsQList,IsIList,Table_ExternalData_15[[#This Row],[item_key]],IsITypeList,Table_ExternalData_15[[#This Row],[IType]],IsDList,Table_ExternalData_15[[#Headers],[29]])</f>
        <v>0</v>
      </c>
      <c r="AH262" s="10">
        <f>SUMIFS(IsQList,IsIList,Table_ExternalData_15[[#This Row],[item_key]],IsITypeList,Table_ExternalData_15[[#This Row],[IType]],IsDList,Table_ExternalData_15[[#Headers],[30]])</f>
        <v>0</v>
      </c>
      <c r="AI262" s="10">
        <f>SUMIFS(IsQList,IsIList,Table_ExternalData_15[[#This Row],[item_key]],IsITypeList,Table_ExternalData_15[[#This Row],[IType]],IsDList,Table_ExternalData_15[[#Headers],[31]])</f>
        <v>0</v>
      </c>
      <c r="AJ262" s="10">
        <f>SUM(Table_ExternalData_15[[#This Row],[1]:[31]])</f>
        <v>0</v>
      </c>
    </row>
    <row r="263" spans="1:36">
      <c r="A263" s="1" t="s">
        <v>1921</v>
      </c>
      <c r="B263" s="1" t="s">
        <v>2713</v>
      </c>
      <c r="C263" s="1" t="s">
        <v>2714</v>
      </c>
      <c r="D263" s="11" t="s">
        <v>72</v>
      </c>
      <c r="E263" s="10">
        <f>SUMIFS(IsQList,IsIList,Table_ExternalData_15[[#This Row],[item_key]],IsITypeList,Table_ExternalData_15[[#This Row],[IType]],IsDList,Table_ExternalData_15[[#Headers],[1]])</f>
        <v>0</v>
      </c>
      <c r="F263" s="10">
        <f>SUMIFS(IsQList,IsIList,Table_ExternalData_15[[#This Row],[item_key]],IsITypeList,Table_ExternalData_15[[#This Row],[IType]],IsDList,Table_ExternalData_15[[#Headers],[2]])</f>
        <v>0</v>
      </c>
      <c r="G263" s="10">
        <f>SUMIFS(IsQList,IsIList,Table_ExternalData_15[[#This Row],[item_key]],IsITypeList,Table_ExternalData_15[[#This Row],[IType]],IsDList,Table_ExternalData_15[[#Headers],[3]])</f>
        <v>0</v>
      </c>
      <c r="H263" s="10">
        <f>SUMIFS(IsQList,IsIList,Table_ExternalData_15[[#This Row],[item_key]],IsITypeList,Table_ExternalData_15[[#This Row],[IType]],IsDList,Table_ExternalData_15[[#Headers],[4]])</f>
        <v>0</v>
      </c>
      <c r="I263" s="10">
        <f>SUMIFS(IsQList,IsIList,Table_ExternalData_15[[#This Row],[item_key]],IsITypeList,Table_ExternalData_15[[#This Row],[IType]],IsDList,Table_ExternalData_15[[#Headers],[5]])</f>
        <v>0</v>
      </c>
      <c r="J263" s="10">
        <f>SUMIFS(IsQList,IsIList,Table_ExternalData_15[[#This Row],[item_key]],IsITypeList,Table_ExternalData_15[[#This Row],[IType]],IsDList,Table_ExternalData_15[[#Headers],[6]])</f>
        <v>0</v>
      </c>
      <c r="K263" s="10">
        <f>SUMIFS(IsQList,IsIList,Table_ExternalData_15[[#This Row],[item_key]],IsITypeList,Table_ExternalData_15[[#This Row],[IType]],IsDList,Table_ExternalData_15[[#Headers],[7]])</f>
        <v>0</v>
      </c>
      <c r="L263" s="10">
        <f>SUMIFS(IsQList,IsIList,Table_ExternalData_15[[#This Row],[item_key]],IsITypeList,Table_ExternalData_15[[#This Row],[IType]],IsDList,Table_ExternalData_15[[#Headers],[8]])</f>
        <v>0</v>
      </c>
      <c r="M263" s="10">
        <f>SUMIFS(IsQList,IsIList,Table_ExternalData_15[[#This Row],[item_key]],IsITypeList,Table_ExternalData_15[[#This Row],[IType]],IsDList,Table_ExternalData_15[[#Headers],[9]])</f>
        <v>0</v>
      </c>
      <c r="N263" s="10">
        <f>SUMIFS(IsQList,IsIList,Table_ExternalData_15[[#This Row],[item_key]],IsITypeList,Table_ExternalData_15[[#This Row],[IType]],IsDList,Table_ExternalData_15[[#Headers],[10]])</f>
        <v>0</v>
      </c>
      <c r="O263" s="10">
        <f>SUMIFS(IsQList,IsIList,Table_ExternalData_15[[#This Row],[item_key]],IsITypeList,Table_ExternalData_15[[#This Row],[IType]],IsDList,Table_ExternalData_15[[#Headers],[11]])</f>
        <v>0</v>
      </c>
      <c r="P263" s="10">
        <f>SUMIFS(IsQList,IsIList,Table_ExternalData_15[[#This Row],[item_key]],IsITypeList,Table_ExternalData_15[[#This Row],[IType]],IsDList,Table_ExternalData_15[[#Headers],[12]])</f>
        <v>0</v>
      </c>
      <c r="Q263" s="10">
        <f>SUMIFS(IsQList,IsIList,Table_ExternalData_15[[#This Row],[item_key]],IsITypeList,Table_ExternalData_15[[#This Row],[IType]],IsDList,Table_ExternalData_15[[#Headers],[13]])</f>
        <v>0</v>
      </c>
      <c r="R263" s="10">
        <f>SUMIFS(IsQList,IsIList,Table_ExternalData_15[[#This Row],[item_key]],IsITypeList,Table_ExternalData_15[[#This Row],[IType]],IsDList,Table_ExternalData_15[[#Headers],[14]])</f>
        <v>0</v>
      </c>
      <c r="S263" s="10">
        <f>SUMIFS(IsQList,IsIList,Table_ExternalData_15[[#This Row],[item_key]],IsITypeList,Table_ExternalData_15[[#This Row],[IType]],IsDList,Table_ExternalData_15[[#Headers],[15]])</f>
        <v>0</v>
      </c>
      <c r="T263" s="10">
        <f>SUMIFS(IsQList,IsIList,Table_ExternalData_15[[#This Row],[item_key]],IsITypeList,Table_ExternalData_15[[#This Row],[IType]],IsDList,Table_ExternalData_15[[#Headers],[16]])</f>
        <v>0</v>
      </c>
      <c r="U263" s="10">
        <f>SUMIFS(IsQList,IsIList,Table_ExternalData_15[[#This Row],[item_key]],IsITypeList,Table_ExternalData_15[[#This Row],[IType]],IsDList,Table_ExternalData_15[[#Headers],[17]])</f>
        <v>0</v>
      </c>
      <c r="V263" s="10">
        <f>SUMIFS(IsQList,IsIList,Table_ExternalData_15[[#This Row],[item_key]],IsITypeList,Table_ExternalData_15[[#This Row],[IType]],IsDList,Table_ExternalData_15[[#Headers],[18]])</f>
        <v>0</v>
      </c>
      <c r="W263" s="10">
        <f>SUMIFS(IsQList,IsIList,Table_ExternalData_15[[#This Row],[item_key]],IsITypeList,Table_ExternalData_15[[#This Row],[IType]],IsDList,Table_ExternalData_15[[#Headers],[19]])</f>
        <v>0</v>
      </c>
      <c r="X263" s="10">
        <f>SUMIFS(IsQList,IsIList,Table_ExternalData_15[[#This Row],[item_key]],IsITypeList,Table_ExternalData_15[[#This Row],[IType]],IsDList,Table_ExternalData_15[[#Headers],[20]])</f>
        <v>0</v>
      </c>
      <c r="Y263" s="10">
        <f>SUMIFS(IsQList,IsIList,Table_ExternalData_15[[#This Row],[item_key]],IsITypeList,Table_ExternalData_15[[#This Row],[IType]],IsDList,Table_ExternalData_15[[#Headers],[21]])</f>
        <v>0</v>
      </c>
      <c r="Z263" s="10">
        <f>SUMIFS(IsQList,IsIList,Table_ExternalData_15[[#This Row],[item_key]],IsITypeList,Table_ExternalData_15[[#This Row],[IType]],IsDList,Table_ExternalData_15[[#Headers],[22]])</f>
        <v>0</v>
      </c>
      <c r="AA263" s="10">
        <f>SUMIFS(IsQList,IsIList,Table_ExternalData_15[[#This Row],[item_key]],IsITypeList,Table_ExternalData_15[[#This Row],[IType]],IsDList,Table_ExternalData_15[[#Headers],[23]])</f>
        <v>0</v>
      </c>
      <c r="AB263" s="10">
        <f>SUMIFS(IsQList,IsIList,Table_ExternalData_15[[#This Row],[item_key]],IsITypeList,Table_ExternalData_15[[#This Row],[IType]],IsDList,Table_ExternalData_15[[#Headers],[24]])</f>
        <v>0</v>
      </c>
      <c r="AC263" s="10">
        <f>SUMIFS(IsQList,IsIList,Table_ExternalData_15[[#This Row],[item_key]],IsITypeList,Table_ExternalData_15[[#This Row],[IType]],IsDList,Table_ExternalData_15[[#Headers],[25]])</f>
        <v>0</v>
      </c>
      <c r="AD263" s="10">
        <f>SUMIFS(IsQList,IsIList,Table_ExternalData_15[[#This Row],[item_key]],IsITypeList,Table_ExternalData_15[[#This Row],[IType]],IsDList,Table_ExternalData_15[[#Headers],[26]])</f>
        <v>0</v>
      </c>
      <c r="AE263" s="10">
        <f>SUMIFS(IsQList,IsIList,Table_ExternalData_15[[#This Row],[item_key]],IsITypeList,Table_ExternalData_15[[#This Row],[IType]],IsDList,Table_ExternalData_15[[#Headers],[27]])</f>
        <v>0</v>
      </c>
      <c r="AF263" s="10">
        <f>SUMIFS(IsQList,IsIList,Table_ExternalData_15[[#This Row],[item_key]],IsITypeList,Table_ExternalData_15[[#This Row],[IType]],IsDList,Table_ExternalData_15[[#Headers],[28]])</f>
        <v>0</v>
      </c>
      <c r="AG263" s="10">
        <f>SUMIFS(IsQList,IsIList,Table_ExternalData_15[[#This Row],[item_key]],IsITypeList,Table_ExternalData_15[[#This Row],[IType]],IsDList,Table_ExternalData_15[[#Headers],[29]])</f>
        <v>0</v>
      </c>
      <c r="AH263" s="10">
        <f>SUMIFS(IsQList,IsIList,Table_ExternalData_15[[#This Row],[item_key]],IsITypeList,Table_ExternalData_15[[#This Row],[IType]],IsDList,Table_ExternalData_15[[#Headers],[30]])</f>
        <v>0</v>
      </c>
      <c r="AI263" s="10">
        <f>SUMIFS(IsQList,IsIList,Table_ExternalData_15[[#This Row],[item_key]],IsITypeList,Table_ExternalData_15[[#This Row],[IType]],IsDList,Table_ExternalData_15[[#Headers],[31]])</f>
        <v>0</v>
      </c>
      <c r="AJ263" s="10">
        <f>SUM(Table_ExternalData_15[[#This Row],[1]:[31]])</f>
        <v>0</v>
      </c>
    </row>
    <row r="264" spans="1:36">
      <c r="A264" s="1" t="s">
        <v>1966</v>
      </c>
      <c r="B264" s="1" t="s">
        <v>2717</v>
      </c>
      <c r="C264" s="1" t="s">
        <v>2718</v>
      </c>
      <c r="D264" s="11" t="s">
        <v>72</v>
      </c>
      <c r="E264" s="10">
        <f>SUMIFS(IsQList,IsIList,Table_ExternalData_15[[#This Row],[item_key]],IsITypeList,Table_ExternalData_15[[#This Row],[IType]],IsDList,Table_ExternalData_15[[#Headers],[1]])</f>
        <v>0</v>
      </c>
      <c r="F264" s="10">
        <f>SUMIFS(IsQList,IsIList,Table_ExternalData_15[[#This Row],[item_key]],IsITypeList,Table_ExternalData_15[[#This Row],[IType]],IsDList,Table_ExternalData_15[[#Headers],[2]])</f>
        <v>0</v>
      </c>
      <c r="G264" s="10">
        <f>SUMIFS(IsQList,IsIList,Table_ExternalData_15[[#This Row],[item_key]],IsITypeList,Table_ExternalData_15[[#This Row],[IType]],IsDList,Table_ExternalData_15[[#Headers],[3]])</f>
        <v>0</v>
      </c>
      <c r="H264" s="10">
        <f>SUMIFS(IsQList,IsIList,Table_ExternalData_15[[#This Row],[item_key]],IsITypeList,Table_ExternalData_15[[#This Row],[IType]],IsDList,Table_ExternalData_15[[#Headers],[4]])</f>
        <v>0</v>
      </c>
      <c r="I264" s="10">
        <f>SUMIFS(IsQList,IsIList,Table_ExternalData_15[[#This Row],[item_key]],IsITypeList,Table_ExternalData_15[[#This Row],[IType]],IsDList,Table_ExternalData_15[[#Headers],[5]])</f>
        <v>0</v>
      </c>
      <c r="J264" s="10">
        <f>SUMIFS(IsQList,IsIList,Table_ExternalData_15[[#This Row],[item_key]],IsITypeList,Table_ExternalData_15[[#This Row],[IType]],IsDList,Table_ExternalData_15[[#Headers],[6]])</f>
        <v>0</v>
      </c>
      <c r="K264" s="10">
        <f>SUMIFS(IsQList,IsIList,Table_ExternalData_15[[#This Row],[item_key]],IsITypeList,Table_ExternalData_15[[#This Row],[IType]],IsDList,Table_ExternalData_15[[#Headers],[7]])</f>
        <v>0</v>
      </c>
      <c r="L264" s="10">
        <f>SUMIFS(IsQList,IsIList,Table_ExternalData_15[[#This Row],[item_key]],IsITypeList,Table_ExternalData_15[[#This Row],[IType]],IsDList,Table_ExternalData_15[[#Headers],[8]])</f>
        <v>0</v>
      </c>
      <c r="M264" s="10">
        <f>SUMIFS(IsQList,IsIList,Table_ExternalData_15[[#This Row],[item_key]],IsITypeList,Table_ExternalData_15[[#This Row],[IType]],IsDList,Table_ExternalData_15[[#Headers],[9]])</f>
        <v>0</v>
      </c>
      <c r="N264" s="10">
        <f>SUMIFS(IsQList,IsIList,Table_ExternalData_15[[#This Row],[item_key]],IsITypeList,Table_ExternalData_15[[#This Row],[IType]],IsDList,Table_ExternalData_15[[#Headers],[10]])</f>
        <v>0</v>
      </c>
      <c r="O264" s="10">
        <f>SUMIFS(IsQList,IsIList,Table_ExternalData_15[[#This Row],[item_key]],IsITypeList,Table_ExternalData_15[[#This Row],[IType]],IsDList,Table_ExternalData_15[[#Headers],[11]])</f>
        <v>0</v>
      </c>
      <c r="P264" s="10">
        <f>SUMIFS(IsQList,IsIList,Table_ExternalData_15[[#This Row],[item_key]],IsITypeList,Table_ExternalData_15[[#This Row],[IType]],IsDList,Table_ExternalData_15[[#Headers],[12]])</f>
        <v>0</v>
      </c>
      <c r="Q264" s="10">
        <f>SUMIFS(IsQList,IsIList,Table_ExternalData_15[[#This Row],[item_key]],IsITypeList,Table_ExternalData_15[[#This Row],[IType]],IsDList,Table_ExternalData_15[[#Headers],[13]])</f>
        <v>0</v>
      </c>
      <c r="R264" s="10">
        <f>SUMIFS(IsQList,IsIList,Table_ExternalData_15[[#This Row],[item_key]],IsITypeList,Table_ExternalData_15[[#This Row],[IType]],IsDList,Table_ExternalData_15[[#Headers],[14]])</f>
        <v>0</v>
      </c>
      <c r="S264" s="10">
        <f>SUMIFS(IsQList,IsIList,Table_ExternalData_15[[#This Row],[item_key]],IsITypeList,Table_ExternalData_15[[#This Row],[IType]],IsDList,Table_ExternalData_15[[#Headers],[15]])</f>
        <v>0</v>
      </c>
      <c r="T264" s="10">
        <f>SUMIFS(IsQList,IsIList,Table_ExternalData_15[[#This Row],[item_key]],IsITypeList,Table_ExternalData_15[[#This Row],[IType]],IsDList,Table_ExternalData_15[[#Headers],[16]])</f>
        <v>0</v>
      </c>
      <c r="U264" s="10">
        <f>SUMIFS(IsQList,IsIList,Table_ExternalData_15[[#This Row],[item_key]],IsITypeList,Table_ExternalData_15[[#This Row],[IType]],IsDList,Table_ExternalData_15[[#Headers],[17]])</f>
        <v>0</v>
      </c>
      <c r="V264" s="10">
        <f>SUMIFS(IsQList,IsIList,Table_ExternalData_15[[#This Row],[item_key]],IsITypeList,Table_ExternalData_15[[#This Row],[IType]],IsDList,Table_ExternalData_15[[#Headers],[18]])</f>
        <v>0</v>
      </c>
      <c r="W264" s="10">
        <f>SUMIFS(IsQList,IsIList,Table_ExternalData_15[[#This Row],[item_key]],IsITypeList,Table_ExternalData_15[[#This Row],[IType]],IsDList,Table_ExternalData_15[[#Headers],[19]])</f>
        <v>0</v>
      </c>
      <c r="X264" s="10">
        <f>SUMIFS(IsQList,IsIList,Table_ExternalData_15[[#This Row],[item_key]],IsITypeList,Table_ExternalData_15[[#This Row],[IType]],IsDList,Table_ExternalData_15[[#Headers],[20]])</f>
        <v>0</v>
      </c>
      <c r="Y264" s="10">
        <f>SUMIFS(IsQList,IsIList,Table_ExternalData_15[[#This Row],[item_key]],IsITypeList,Table_ExternalData_15[[#This Row],[IType]],IsDList,Table_ExternalData_15[[#Headers],[21]])</f>
        <v>0</v>
      </c>
      <c r="Z264" s="10">
        <f>SUMIFS(IsQList,IsIList,Table_ExternalData_15[[#This Row],[item_key]],IsITypeList,Table_ExternalData_15[[#This Row],[IType]],IsDList,Table_ExternalData_15[[#Headers],[22]])</f>
        <v>0</v>
      </c>
      <c r="AA264" s="10">
        <f>SUMIFS(IsQList,IsIList,Table_ExternalData_15[[#This Row],[item_key]],IsITypeList,Table_ExternalData_15[[#This Row],[IType]],IsDList,Table_ExternalData_15[[#Headers],[23]])</f>
        <v>0</v>
      </c>
      <c r="AB264" s="10">
        <f>SUMIFS(IsQList,IsIList,Table_ExternalData_15[[#This Row],[item_key]],IsITypeList,Table_ExternalData_15[[#This Row],[IType]],IsDList,Table_ExternalData_15[[#Headers],[24]])</f>
        <v>0</v>
      </c>
      <c r="AC264" s="10">
        <f>SUMIFS(IsQList,IsIList,Table_ExternalData_15[[#This Row],[item_key]],IsITypeList,Table_ExternalData_15[[#This Row],[IType]],IsDList,Table_ExternalData_15[[#Headers],[25]])</f>
        <v>0</v>
      </c>
      <c r="AD264" s="10">
        <f>SUMIFS(IsQList,IsIList,Table_ExternalData_15[[#This Row],[item_key]],IsITypeList,Table_ExternalData_15[[#This Row],[IType]],IsDList,Table_ExternalData_15[[#Headers],[26]])</f>
        <v>0</v>
      </c>
      <c r="AE264" s="10">
        <f>SUMIFS(IsQList,IsIList,Table_ExternalData_15[[#This Row],[item_key]],IsITypeList,Table_ExternalData_15[[#This Row],[IType]],IsDList,Table_ExternalData_15[[#Headers],[27]])</f>
        <v>0</v>
      </c>
      <c r="AF264" s="10">
        <f>SUMIFS(IsQList,IsIList,Table_ExternalData_15[[#This Row],[item_key]],IsITypeList,Table_ExternalData_15[[#This Row],[IType]],IsDList,Table_ExternalData_15[[#Headers],[28]])</f>
        <v>0</v>
      </c>
      <c r="AG264" s="10">
        <f>SUMIFS(IsQList,IsIList,Table_ExternalData_15[[#This Row],[item_key]],IsITypeList,Table_ExternalData_15[[#This Row],[IType]],IsDList,Table_ExternalData_15[[#Headers],[29]])</f>
        <v>0</v>
      </c>
      <c r="AH264" s="10">
        <f>SUMIFS(IsQList,IsIList,Table_ExternalData_15[[#This Row],[item_key]],IsITypeList,Table_ExternalData_15[[#This Row],[IType]],IsDList,Table_ExternalData_15[[#Headers],[30]])</f>
        <v>0</v>
      </c>
      <c r="AI264" s="10">
        <f>SUMIFS(IsQList,IsIList,Table_ExternalData_15[[#This Row],[item_key]],IsITypeList,Table_ExternalData_15[[#This Row],[IType]],IsDList,Table_ExternalData_15[[#Headers],[31]])</f>
        <v>0</v>
      </c>
      <c r="AJ264" s="10">
        <f>SUM(Table_ExternalData_15[[#This Row],[1]:[31]])</f>
        <v>0</v>
      </c>
    </row>
    <row r="265" spans="1:36">
      <c r="A265" s="1" t="s">
        <v>792</v>
      </c>
      <c r="B265" s="1" t="s">
        <v>1400</v>
      </c>
      <c r="C265" s="1" t="s">
        <v>1401</v>
      </c>
      <c r="D265" s="11" t="s">
        <v>72</v>
      </c>
      <c r="E265" s="10">
        <f>SUMIFS(IsQList,IsIList,Table_ExternalData_15[[#This Row],[item_key]],IsITypeList,Table_ExternalData_15[[#This Row],[IType]],IsDList,Table_ExternalData_15[[#Headers],[1]])</f>
        <v>0</v>
      </c>
      <c r="F265" s="10">
        <f>SUMIFS(IsQList,IsIList,Table_ExternalData_15[[#This Row],[item_key]],IsITypeList,Table_ExternalData_15[[#This Row],[IType]],IsDList,Table_ExternalData_15[[#Headers],[2]])</f>
        <v>0</v>
      </c>
      <c r="G265" s="10">
        <f>SUMIFS(IsQList,IsIList,Table_ExternalData_15[[#This Row],[item_key]],IsITypeList,Table_ExternalData_15[[#This Row],[IType]],IsDList,Table_ExternalData_15[[#Headers],[3]])</f>
        <v>0</v>
      </c>
      <c r="H265" s="10">
        <f>SUMIFS(IsQList,IsIList,Table_ExternalData_15[[#This Row],[item_key]],IsITypeList,Table_ExternalData_15[[#This Row],[IType]],IsDList,Table_ExternalData_15[[#Headers],[4]])</f>
        <v>0</v>
      </c>
      <c r="I265" s="10">
        <f>SUMIFS(IsQList,IsIList,Table_ExternalData_15[[#This Row],[item_key]],IsITypeList,Table_ExternalData_15[[#This Row],[IType]],IsDList,Table_ExternalData_15[[#Headers],[5]])</f>
        <v>0</v>
      </c>
      <c r="J265" s="10">
        <f>SUMIFS(IsQList,IsIList,Table_ExternalData_15[[#This Row],[item_key]],IsITypeList,Table_ExternalData_15[[#This Row],[IType]],IsDList,Table_ExternalData_15[[#Headers],[6]])</f>
        <v>0</v>
      </c>
      <c r="K265" s="10">
        <f>SUMIFS(IsQList,IsIList,Table_ExternalData_15[[#This Row],[item_key]],IsITypeList,Table_ExternalData_15[[#This Row],[IType]],IsDList,Table_ExternalData_15[[#Headers],[7]])</f>
        <v>0</v>
      </c>
      <c r="L265" s="10">
        <f>SUMIFS(IsQList,IsIList,Table_ExternalData_15[[#This Row],[item_key]],IsITypeList,Table_ExternalData_15[[#This Row],[IType]],IsDList,Table_ExternalData_15[[#Headers],[8]])</f>
        <v>0</v>
      </c>
      <c r="M265" s="10">
        <f>SUMIFS(IsQList,IsIList,Table_ExternalData_15[[#This Row],[item_key]],IsITypeList,Table_ExternalData_15[[#This Row],[IType]],IsDList,Table_ExternalData_15[[#Headers],[9]])</f>
        <v>0</v>
      </c>
      <c r="N265" s="10">
        <f>SUMIFS(IsQList,IsIList,Table_ExternalData_15[[#This Row],[item_key]],IsITypeList,Table_ExternalData_15[[#This Row],[IType]],IsDList,Table_ExternalData_15[[#Headers],[10]])</f>
        <v>0</v>
      </c>
      <c r="O265" s="10">
        <f>SUMIFS(IsQList,IsIList,Table_ExternalData_15[[#This Row],[item_key]],IsITypeList,Table_ExternalData_15[[#This Row],[IType]],IsDList,Table_ExternalData_15[[#Headers],[11]])</f>
        <v>0</v>
      </c>
      <c r="P265" s="10">
        <f>SUMIFS(IsQList,IsIList,Table_ExternalData_15[[#This Row],[item_key]],IsITypeList,Table_ExternalData_15[[#This Row],[IType]],IsDList,Table_ExternalData_15[[#Headers],[12]])</f>
        <v>0</v>
      </c>
      <c r="Q265" s="10">
        <f>SUMIFS(IsQList,IsIList,Table_ExternalData_15[[#This Row],[item_key]],IsITypeList,Table_ExternalData_15[[#This Row],[IType]],IsDList,Table_ExternalData_15[[#Headers],[13]])</f>
        <v>0</v>
      </c>
      <c r="R265" s="10">
        <f>SUMIFS(IsQList,IsIList,Table_ExternalData_15[[#This Row],[item_key]],IsITypeList,Table_ExternalData_15[[#This Row],[IType]],IsDList,Table_ExternalData_15[[#Headers],[14]])</f>
        <v>0</v>
      </c>
      <c r="S265" s="10">
        <f>SUMIFS(IsQList,IsIList,Table_ExternalData_15[[#This Row],[item_key]],IsITypeList,Table_ExternalData_15[[#This Row],[IType]],IsDList,Table_ExternalData_15[[#Headers],[15]])</f>
        <v>0</v>
      </c>
      <c r="T265" s="10">
        <f>SUMIFS(IsQList,IsIList,Table_ExternalData_15[[#This Row],[item_key]],IsITypeList,Table_ExternalData_15[[#This Row],[IType]],IsDList,Table_ExternalData_15[[#Headers],[16]])</f>
        <v>0</v>
      </c>
      <c r="U265" s="10">
        <f>SUMIFS(IsQList,IsIList,Table_ExternalData_15[[#This Row],[item_key]],IsITypeList,Table_ExternalData_15[[#This Row],[IType]],IsDList,Table_ExternalData_15[[#Headers],[17]])</f>
        <v>0</v>
      </c>
      <c r="V265" s="10">
        <f>SUMIFS(IsQList,IsIList,Table_ExternalData_15[[#This Row],[item_key]],IsITypeList,Table_ExternalData_15[[#This Row],[IType]],IsDList,Table_ExternalData_15[[#Headers],[18]])</f>
        <v>0</v>
      </c>
      <c r="W265" s="10">
        <f>SUMIFS(IsQList,IsIList,Table_ExternalData_15[[#This Row],[item_key]],IsITypeList,Table_ExternalData_15[[#This Row],[IType]],IsDList,Table_ExternalData_15[[#Headers],[19]])</f>
        <v>0</v>
      </c>
      <c r="X265" s="10">
        <f>SUMIFS(IsQList,IsIList,Table_ExternalData_15[[#This Row],[item_key]],IsITypeList,Table_ExternalData_15[[#This Row],[IType]],IsDList,Table_ExternalData_15[[#Headers],[20]])</f>
        <v>0</v>
      </c>
      <c r="Y265" s="10">
        <f>SUMIFS(IsQList,IsIList,Table_ExternalData_15[[#This Row],[item_key]],IsITypeList,Table_ExternalData_15[[#This Row],[IType]],IsDList,Table_ExternalData_15[[#Headers],[21]])</f>
        <v>0</v>
      </c>
      <c r="Z265" s="10">
        <f>SUMIFS(IsQList,IsIList,Table_ExternalData_15[[#This Row],[item_key]],IsITypeList,Table_ExternalData_15[[#This Row],[IType]],IsDList,Table_ExternalData_15[[#Headers],[22]])</f>
        <v>0</v>
      </c>
      <c r="AA265" s="10">
        <f>SUMIFS(IsQList,IsIList,Table_ExternalData_15[[#This Row],[item_key]],IsITypeList,Table_ExternalData_15[[#This Row],[IType]],IsDList,Table_ExternalData_15[[#Headers],[23]])</f>
        <v>0</v>
      </c>
      <c r="AB265" s="10">
        <f>SUMIFS(IsQList,IsIList,Table_ExternalData_15[[#This Row],[item_key]],IsITypeList,Table_ExternalData_15[[#This Row],[IType]],IsDList,Table_ExternalData_15[[#Headers],[24]])</f>
        <v>0</v>
      </c>
      <c r="AC265" s="10">
        <f>SUMIFS(IsQList,IsIList,Table_ExternalData_15[[#This Row],[item_key]],IsITypeList,Table_ExternalData_15[[#This Row],[IType]],IsDList,Table_ExternalData_15[[#Headers],[25]])</f>
        <v>0</v>
      </c>
      <c r="AD265" s="10">
        <f>SUMIFS(IsQList,IsIList,Table_ExternalData_15[[#This Row],[item_key]],IsITypeList,Table_ExternalData_15[[#This Row],[IType]],IsDList,Table_ExternalData_15[[#Headers],[26]])</f>
        <v>0</v>
      </c>
      <c r="AE265" s="10">
        <f>SUMIFS(IsQList,IsIList,Table_ExternalData_15[[#This Row],[item_key]],IsITypeList,Table_ExternalData_15[[#This Row],[IType]],IsDList,Table_ExternalData_15[[#Headers],[27]])</f>
        <v>0</v>
      </c>
      <c r="AF265" s="10">
        <f>SUMIFS(IsQList,IsIList,Table_ExternalData_15[[#This Row],[item_key]],IsITypeList,Table_ExternalData_15[[#This Row],[IType]],IsDList,Table_ExternalData_15[[#Headers],[28]])</f>
        <v>0</v>
      </c>
      <c r="AG265" s="10">
        <f>SUMIFS(IsQList,IsIList,Table_ExternalData_15[[#This Row],[item_key]],IsITypeList,Table_ExternalData_15[[#This Row],[IType]],IsDList,Table_ExternalData_15[[#Headers],[29]])</f>
        <v>0</v>
      </c>
      <c r="AH265" s="10">
        <f>SUMIFS(IsQList,IsIList,Table_ExternalData_15[[#This Row],[item_key]],IsITypeList,Table_ExternalData_15[[#This Row],[IType]],IsDList,Table_ExternalData_15[[#Headers],[30]])</f>
        <v>38</v>
      </c>
      <c r="AI265" s="10">
        <f>SUMIFS(IsQList,IsIList,Table_ExternalData_15[[#This Row],[item_key]],IsITypeList,Table_ExternalData_15[[#This Row],[IType]],IsDList,Table_ExternalData_15[[#Headers],[31]])</f>
        <v>0</v>
      </c>
      <c r="AJ265" s="10">
        <f>SUM(Table_ExternalData_15[[#This Row],[1]:[31]])</f>
        <v>38</v>
      </c>
    </row>
    <row r="266" spans="1:36">
      <c r="A266" s="1" t="s">
        <v>795</v>
      </c>
      <c r="B266" s="1" t="s">
        <v>1405</v>
      </c>
      <c r="C266" s="1" t="s">
        <v>1406</v>
      </c>
      <c r="D266" s="11" t="s">
        <v>72</v>
      </c>
      <c r="E266" s="10">
        <f>SUMIFS(IsQList,IsIList,Table_ExternalData_15[[#This Row],[item_key]],IsITypeList,Table_ExternalData_15[[#This Row],[IType]],IsDList,Table_ExternalData_15[[#Headers],[1]])</f>
        <v>0</v>
      </c>
      <c r="F266" s="10">
        <f>SUMIFS(IsQList,IsIList,Table_ExternalData_15[[#This Row],[item_key]],IsITypeList,Table_ExternalData_15[[#This Row],[IType]],IsDList,Table_ExternalData_15[[#Headers],[2]])</f>
        <v>0</v>
      </c>
      <c r="G266" s="10">
        <f>SUMIFS(IsQList,IsIList,Table_ExternalData_15[[#This Row],[item_key]],IsITypeList,Table_ExternalData_15[[#This Row],[IType]],IsDList,Table_ExternalData_15[[#Headers],[3]])</f>
        <v>0</v>
      </c>
      <c r="H266" s="10">
        <f>SUMIFS(IsQList,IsIList,Table_ExternalData_15[[#This Row],[item_key]],IsITypeList,Table_ExternalData_15[[#This Row],[IType]],IsDList,Table_ExternalData_15[[#Headers],[4]])</f>
        <v>0</v>
      </c>
      <c r="I266" s="10">
        <f>SUMIFS(IsQList,IsIList,Table_ExternalData_15[[#This Row],[item_key]],IsITypeList,Table_ExternalData_15[[#This Row],[IType]],IsDList,Table_ExternalData_15[[#Headers],[5]])</f>
        <v>0</v>
      </c>
      <c r="J266" s="10">
        <f>SUMIFS(IsQList,IsIList,Table_ExternalData_15[[#This Row],[item_key]],IsITypeList,Table_ExternalData_15[[#This Row],[IType]],IsDList,Table_ExternalData_15[[#Headers],[6]])</f>
        <v>0</v>
      </c>
      <c r="K266" s="10">
        <f>SUMIFS(IsQList,IsIList,Table_ExternalData_15[[#This Row],[item_key]],IsITypeList,Table_ExternalData_15[[#This Row],[IType]],IsDList,Table_ExternalData_15[[#Headers],[7]])</f>
        <v>0</v>
      </c>
      <c r="L266" s="10">
        <f>SUMIFS(IsQList,IsIList,Table_ExternalData_15[[#This Row],[item_key]],IsITypeList,Table_ExternalData_15[[#This Row],[IType]],IsDList,Table_ExternalData_15[[#Headers],[8]])</f>
        <v>0</v>
      </c>
      <c r="M266" s="10">
        <f>SUMIFS(IsQList,IsIList,Table_ExternalData_15[[#This Row],[item_key]],IsITypeList,Table_ExternalData_15[[#This Row],[IType]],IsDList,Table_ExternalData_15[[#Headers],[9]])</f>
        <v>0</v>
      </c>
      <c r="N266" s="10">
        <f>SUMIFS(IsQList,IsIList,Table_ExternalData_15[[#This Row],[item_key]],IsITypeList,Table_ExternalData_15[[#This Row],[IType]],IsDList,Table_ExternalData_15[[#Headers],[10]])</f>
        <v>0</v>
      </c>
      <c r="O266" s="10">
        <f>SUMIFS(IsQList,IsIList,Table_ExternalData_15[[#This Row],[item_key]],IsITypeList,Table_ExternalData_15[[#This Row],[IType]],IsDList,Table_ExternalData_15[[#Headers],[11]])</f>
        <v>0</v>
      </c>
      <c r="P266" s="10">
        <f>SUMIFS(IsQList,IsIList,Table_ExternalData_15[[#This Row],[item_key]],IsITypeList,Table_ExternalData_15[[#This Row],[IType]],IsDList,Table_ExternalData_15[[#Headers],[12]])</f>
        <v>0</v>
      </c>
      <c r="Q266" s="10">
        <f>SUMIFS(IsQList,IsIList,Table_ExternalData_15[[#This Row],[item_key]],IsITypeList,Table_ExternalData_15[[#This Row],[IType]],IsDList,Table_ExternalData_15[[#Headers],[13]])</f>
        <v>0</v>
      </c>
      <c r="R266" s="10">
        <f>SUMIFS(IsQList,IsIList,Table_ExternalData_15[[#This Row],[item_key]],IsITypeList,Table_ExternalData_15[[#This Row],[IType]],IsDList,Table_ExternalData_15[[#Headers],[14]])</f>
        <v>0</v>
      </c>
      <c r="S266" s="10">
        <f>SUMIFS(IsQList,IsIList,Table_ExternalData_15[[#This Row],[item_key]],IsITypeList,Table_ExternalData_15[[#This Row],[IType]],IsDList,Table_ExternalData_15[[#Headers],[15]])</f>
        <v>0</v>
      </c>
      <c r="T266" s="10">
        <f>SUMIFS(IsQList,IsIList,Table_ExternalData_15[[#This Row],[item_key]],IsITypeList,Table_ExternalData_15[[#This Row],[IType]],IsDList,Table_ExternalData_15[[#Headers],[16]])</f>
        <v>0</v>
      </c>
      <c r="U266" s="10">
        <f>SUMIFS(IsQList,IsIList,Table_ExternalData_15[[#This Row],[item_key]],IsITypeList,Table_ExternalData_15[[#This Row],[IType]],IsDList,Table_ExternalData_15[[#Headers],[17]])</f>
        <v>0</v>
      </c>
      <c r="V266" s="10">
        <f>SUMIFS(IsQList,IsIList,Table_ExternalData_15[[#This Row],[item_key]],IsITypeList,Table_ExternalData_15[[#This Row],[IType]],IsDList,Table_ExternalData_15[[#Headers],[18]])</f>
        <v>0</v>
      </c>
      <c r="W266" s="10">
        <f>SUMIFS(IsQList,IsIList,Table_ExternalData_15[[#This Row],[item_key]],IsITypeList,Table_ExternalData_15[[#This Row],[IType]],IsDList,Table_ExternalData_15[[#Headers],[19]])</f>
        <v>0</v>
      </c>
      <c r="X266" s="10">
        <f>SUMIFS(IsQList,IsIList,Table_ExternalData_15[[#This Row],[item_key]],IsITypeList,Table_ExternalData_15[[#This Row],[IType]],IsDList,Table_ExternalData_15[[#Headers],[20]])</f>
        <v>0</v>
      </c>
      <c r="Y266" s="10">
        <f>SUMIFS(IsQList,IsIList,Table_ExternalData_15[[#This Row],[item_key]],IsITypeList,Table_ExternalData_15[[#This Row],[IType]],IsDList,Table_ExternalData_15[[#Headers],[21]])</f>
        <v>0</v>
      </c>
      <c r="Z266" s="10">
        <f>SUMIFS(IsQList,IsIList,Table_ExternalData_15[[#This Row],[item_key]],IsITypeList,Table_ExternalData_15[[#This Row],[IType]],IsDList,Table_ExternalData_15[[#Headers],[22]])</f>
        <v>0</v>
      </c>
      <c r="AA266" s="10">
        <f>SUMIFS(IsQList,IsIList,Table_ExternalData_15[[#This Row],[item_key]],IsITypeList,Table_ExternalData_15[[#This Row],[IType]],IsDList,Table_ExternalData_15[[#Headers],[23]])</f>
        <v>0</v>
      </c>
      <c r="AB266" s="10">
        <f>SUMIFS(IsQList,IsIList,Table_ExternalData_15[[#This Row],[item_key]],IsITypeList,Table_ExternalData_15[[#This Row],[IType]],IsDList,Table_ExternalData_15[[#Headers],[24]])</f>
        <v>0</v>
      </c>
      <c r="AC266" s="10">
        <f>SUMIFS(IsQList,IsIList,Table_ExternalData_15[[#This Row],[item_key]],IsITypeList,Table_ExternalData_15[[#This Row],[IType]],IsDList,Table_ExternalData_15[[#Headers],[25]])</f>
        <v>0</v>
      </c>
      <c r="AD266" s="10">
        <f>SUMIFS(IsQList,IsIList,Table_ExternalData_15[[#This Row],[item_key]],IsITypeList,Table_ExternalData_15[[#This Row],[IType]],IsDList,Table_ExternalData_15[[#Headers],[26]])</f>
        <v>0</v>
      </c>
      <c r="AE266" s="10">
        <f>SUMIFS(IsQList,IsIList,Table_ExternalData_15[[#This Row],[item_key]],IsITypeList,Table_ExternalData_15[[#This Row],[IType]],IsDList,Table_ExternalData_15[[#Headers],[27]])</f>
        <v>0</v>
      </c>
      <c r="AF266" s="10">
        <f>SUMIFS(IsQList,IsIList,Table_ExternalData_15[[#This Row],[item_key]],IsITypeList,Table_ExternalData_15[[#This Row],[IType]],IsDList,Table_ExternalData_15[[#Headers],[28]])</f>
        <v>0</v>
      </c>
      <c r="AG266" s="10">
        <f>SUMIFS(IsQList,IsIList,Table_ExternalData_15[[#This Row],[item_key]],IsITypeList,Table_ExternalData_15[[#This Row],[IType]],IsDList,Table_ExternalData_15[[#Headers],[29]])</f>
        <v>0</v>
      </c>
      <c r="AH266" s="10">
        <f>SUMIFS(IsQList,IsIList,Table_ExternalData_15[[#This Row],[item_key]],IsITypeList,Table_ExternalData_15[[#This Row],[IType]],IsDList,Table_ExternalData_15[[#Headers],[30]])</f>
        <v>0</v>
      </c>
      <c r="AI266" s="10">
        <f>SUMIFS(IsQList,IsIList,Table_ExternalData_15[[#This Row],[item_key]],IsITypeList,Table_ExternalData_15[[#This Row],[IType]],IsDList,Table_ExternalData_15[[#Headers],[31]])</f>
        <v>0</v>
      </c>
      <c r="AJ266" s="10">
        <f>SUM(Table_ExternalData_15[[#This Row],[1]:[31]])</f>
        <v>0</v>
      </c>
    </row>
    <row r="267" spans="1:36">
      <c r="A267" s="1" t="s">
        <v>797</v>
      </c>
      <c r="B267" s="1" t="s">
        <v>1407</v>
      </c>
      <c r="C267" s="1" t="s">
        <v>1408</v>
      </c>
      <c r="D267" s="11" t="s">
        <v>72</v>
      </c>
      <c r="E267" s="10">
        <f>SUMIFS(IsQList,IsIList,Table_ExternalData_15[[#This Row],[item_key]],IsITypeList,Table_ExternalData_15[[#This Row],[IType]],IsDList,Table_ExternalData_15[[#Headers],[1]])</f>
        <v>0</v>
      </c>
      <c r="F267" s="10">
        <f>SUMIFS(IsQList,IsIList,Table_ExternalData_15[[#This Row],[item_key]],IsITypeList,Table_ExternalData_15[[#This Row],[IType]],IsDList,Table_ExternalData_15[[#Headers],[2]])</f>
        <v>0</v>
      </c>
      <c r="G267" s="10">
        <f>SUMIFS(IsQList,IsIList,Table_ExternalData_15[[#This Row],[item_key]],IsITypeList,Table_ExternalData_15[[#This Row],[IType]],IsDList,Table_ExternalData_15[[#Headers],[3]])</f>
        <v>0</v>
      </c>
      <c r="H267" s="10">
        <f>SUMIFS(IsQList,IsIList,Table_ExternalData_15[[#This Row],[item_key]],IsITypeList,Table_ExternalData_15[[#This Row],[IType]],IsDList,Table_ExternalData_15[[#Headers],[4]])</f>
        <v>0</v>
      </c>
      <c r="I267" s="10">
        <f>SUMIFS(IsQList,IsIList,Table_ExternalData_15[[#This Row],[item_key]],IsITypeList,Table_ExternalData_15[[#This Row],[IType]],IsDList,Table_ExternalData_15[[#Headers],[5]])</f>
        <v>0</v>
      </c>
      <c r="J267" s="10">
        <f>SUMIFS(IsQList,IsIList,Table_ExternalData_15[[#This Row],[item_key]],IsITypeList,Table_ExternalData_15[[#This Row],[IType]],IsDList,Table_ExternalData_15[[#Headers],[6]])</f>
        <v>0</v>
      </c>
      <c r="K267" s="10">
        <f>SUMIFS(IsQList,IsIList,Table_ExternalData_15[[#This Row],[item_key]],IsITypeList,Table_ExternalData_15[[#This Row],[IType]],IsDList,Table_ExternalData_15[[#Headers],[7]])</f>
        <v>0</v>
      </c>
      <c r="L267" s="10">
        <f>SUMIFS(IsQList,IsIList,Table_ExternalData_15[[#This Row],[item_key]],IsITypeList,Table_ExternalData_15[[#This Row],[IType]],IsDList,Table_ExternalData_15[[#Headers],[8]])</f>
        <v>0</v>
      </c>
      <c r="M267" s="10">
        <f>SUMIFS(IsQList,IsIList,Table_ExternalData_15[[#This Row],[item_key]],IsITypeList,Table_ExternalData_15[[#This Row],[IType]],IsDList,Table_ExternalData_15[[#Headers],[9]])</f>
        <v>0</v>
      </c>
      <c r="N267" s="10">
        <f>SUMIFS(IsQList,IsIList,Table_ExternalData_15[[#This Row],[item_key]],IsITypeList,Table_ExternalData_15[[#This Row],[IType]],IsDList,Table_ExternalData_15[[#Headers],[10]])</f>
        <v>115</v>
      </c>
      <c r="O267" s="10">
        <f>SUMIFS(IsQList,IsIList,Table_ExternalData_15[[#This Row],[item_key]],IsITypeList,Table_ExternalData_15[[#This Row],[IType]],IsDList,Table_ExternalData_15[[#Headers],[11]])</f>
        <v>0</v>
      </c>
      <c r="P267" s="10">
        <f>SUMIFS(IsQList,IsIList,Table_ExternalData_15[[#This Row],[item_key]],IsITypeList,Table_ExternalData_15[[#This Row],[IType]],IsDList,Table_ExternalData_15[[#Headers],[12]])</f>
        <v>0</v>
      </c>
      <c r="Q267" s="10">
        <f>SUMIFS(IsQList,IsIList,Table_ExternalData_15[[#This Row],[item_key]],IsITypeList,Table_ExternalData_15[[#This Row],[IType]],IsDList,Table_ExternalData_15[[#Headers],[13]])</f>
        <v>0</v>
      </c>
      <c r="R267" s="10">
        <f>SUMIFS(IsQList,IsIList,Table_ExternalData_15[[#This Row],[item_key]],IsITypeList,Table_ExternalData_15[[#This Row],[IType]],IsDList,Table_ExternalData_15[[#Headers],[14]])</f>
        <v>0</v>
      </c>
      <c r="S267" s="10">
        <f>SUMIFS(IsQList,IsIList,Table_ExternalData_15[[#This Row],[item_key]],IsITypeList,Table_ExternalData_15[[#This Row],[IType]],IsDList,Table_ExternalData_15[[#Headers],[15]])</f>
        <v>0</v>
      </c>
      <c r="T267" s="10">
        <f>SUMIFS(IsQList,IsIList,Table_ExternalData_15[[#This Row],[item_key]],IsITypeList,Table_ExternalData_15[[#This Row],[IType]],IsDList,Table_ExternalData_15[[#Headers],[16]])</f>
        <v>0</v>
      </c>
      <c r="U267" s="10">
        <f>SUMIFS(IsQList,IsIList,Table_ExternalData_15[[#This Row],[item_key]],IsITypeList,Table_ExternalData_15[[#This Row],[IType]],IsDList,Table_ExternalData_15[[#Headers],[17]])</f>
        <v>0</v>
      </c>
      <c r="V267" s="10">
        <f>SUMIFS(IsQList,IsIList,Table_ExternalData_15[[#This Row],[item_key]],IsITypeList,Table_ExternalData_15[[#This Row],[IType]],IsDList,Table_ExternalData_15[[#Headers],[18]])</f>
        <v>0</v>
      </c>
      <c r="W267" s="10">
        <f>SUMIFS(IsQList,IsIList,Table_ExternalData_15[[#This Row],[item_key]],IsITypeList,Table_ExternalData_15[[#This Row],[IType]],IsDList,Table_ExternalData_15[[#Headers],[19]])</f>
        <v>0</v>
      </c>
      <c r="X267" s="10">
        <f>SUMIFS(IsQList,IsIList,Table_ExternalData_15[[#This Row],[item_key]],IsITypeList,Table_ExternalData_15[[#This Row],[IType]],IsDList,Table_ExternalData_15[[#Headers],[20]])</f>
        <v>0</v>
      </c>
      <c r="Y267" s="10">
        <f>SUMIFS(IsQList,IsIList,Table_ExternalData_15[[#This Row],[item_key]],IsITypeList,Table_ExternalData_15[[#This Row],[IType]],IsDList,Table_ExternalData_15[[#Headers],[21]])</f>
        <v>0</v>
      </c>
      <c r="Z267" s="10">
        <f>SUMIFS(IsQList,IsIList,Table_ExternalData_15[[#This Row],[item_key]],IsITypeList,Table_ExternalData_15[[#This Row],[IType]],IsDList,Table_ExternalData_15[[#Headers],[22]])</f>
        <v>0</v>
      </c>
      <c r="AA267" s="10">
        <f>SUMIFS(IsQList,IsIList,Table_ExternalData_15[[#This Row],[item_key]],IsITypeList,Table_ExternalData_15[[#This Row],[IType]],IsDList,Table_ExternalData_15[[#Headers],[23]])</f>
        <v>0</v>
      </c>
      <c r="AB267" s="10">
        <f>SUMIFS(IsQList,IsIList,Table_ExternalData_15[[#This Row],[item_key]],IsITypeList,Table_ExternalData_15[[#This Row],[IType]],IsDList,Table_ExternalData_15[[#Headers],[24]])</f>
        <v>0</v>
      </c>
      <c r="AC267" s="10">
        <f>SUMIFS(IsQList,IsIList,Table_ExternalData_15[[#This Row],[item_key]],IsITypeList,Table_ExternalData_15[[#This Row],[IType]],IsDList,Table_ExternalData_15[[#Headers],[25]])</f>
        <v>0</v>
      </c>
      <c r="AD267" s="10">
        <f>SUMIFS(IsQList,IsIList,Table_ExternalData_15[[#This Row],[item_key]],IsITypeList,Table_ExternalData_15[[#This Row],[IType]],IsDList,Table_ExternalData_15[[#Headers],[26]])</f>
        <v>0</v>
      </c>
      <c r="AE267" s="10">
        <f>SUMIFS(IsQList,IsIList,Table_ExternalData_15[[#This Row],[item_key]],IsITypeList,Table_ExternalData_15[[#This Row],[IType]],IsDList,Table_ExternalData_15[[#Headers],[27]])</f>
        <v>0</v>
      </c>
      <c r="AF267" s="10">
        <f>SUMIFS(IsQList,IsIList,Table_ExternalData_15[[#This Row],[item_key]],IsITypeList,Table_ExternalData_15[[#This Row],[IType]],IsDList,Table_ExternalData_15[[#Headers],[28]])</f>
        <v>0</v>
      </c>
      <c r="AG267" s="10">
        <f>SUMIFS(IsQList,IsIList,Table_ExternalData_15[[#This Row],[item_key]],IsITypeList,Table_ExternalData_15[[#This Row],[IType]],IsDList,Table_ExternalData_15[[#Headers],[29]])</f>
        <v>0</v>
      </c>
      <c r="AH267" s="10">
        <f>SUMIFS(IsQList,IsIList,Table_ExternalData_15[[#This Row],[item_key]],IsITypeList,Table_ExternalData_15[[#This Row],[IType]],IsDList,Table_ExternalData_15[[#Headers],[30]])</f>
        <v>0</v>
      </c>
      <c r="AI267" s="10">
        <f>SUMIFS(IsQList,IsIList,Table_ExternalData_15[[#This Row],[item_key]],IsITypeList,Table_ExternalData_15[[#This Row],[IType]],IsDList,Table_ExternalData_15[[#Headers],[31]])</f>
        <v>0</v>
      </c>
      <c r="AJ267" s="10">
        <f>SUM(Table_ExternalData_15[[#This Row],[1]:[31]])</f>
        <v>115</v>
      </c>
    </row>
    <row r="268" spans="1:36">
      <c r="A268" s="1" t="s">
        <v>815</v>
      </c>
      <c r="B268" s="1" t="s">
        <v>1410</v>
      </c>
      <c r="C268" s="1" t="s">
        <v>1411</v>
      </c>
      <c r="D268" s="11" t="s">
        <v>72</v>
      </c>
      <c r="E268" s="10">
        <f>SUMIFS(IsQList,IsIList,Table_ExternalData_15[[#This Row],[item_key]],IsITypeList,Table_ExternalData_15[[#This Row],[IType]],IsDList,Table_ExternalData_15[[#Headers],[1]])</f>
        <v>0</v>
      </c>
      <c r="F268" s="10">
        <f>SUMIFS(IsQList,IsIList,Table_ExternalData_15[[#This Row],[item_key]],IsITypeList,Table_ExternalData_15[[#This Row],[IType]],IsDList,Table_ExternalData_15[[#Headers],[2]])</f>
        <v>0</v>
      </c>
      <c r="G268" s="10">
        <f>SUMIFS(IsQList,IsIList,Table_ExternalData_15[[#This Row],[item_key]],IsITypeList,Table_ExternalData_15[[#This Row],[IType]],IsDList,Table_ExternalData_15[[#Headers],[3]])</f>
        <v>0</v>
      </c>
      <c r="H268" s="10">
        <f>SUMIFS(IsQList,IsIList,Table_ExternalData_15[[#This Row],[item_key]],IsITypeList,Table_ExternalData_15[[#This Row],[IType]],IsDList,Table_ExternalData_15[[#Headers],[4]])</f>
        <v>0</v>
      </c>
      <c r="I268" s="10">
        <f>SUMIFS(IsQList,IsIList,Table_ExternalData_15[[#This Row],[item_key]],IsITypeList,Table_ExternalData_15[[#This Row],[IType]],IsDList,Table_ExternalData_15[[#Headers],[5]])</f>
        <v>0</v>
      </c>
      <c r="J268" s="10">
        <f>SUMIFS(IsQList,IsIList,Table_ExternalData_15[[#This Row],[item_key]],IsITypeList,Table_ExternalData_15[[#This Row],[IType]],IsDList,Table_ExternalData_15[[#Headers],[6]])</f>
        <v>0</v>
      </c>
      <c r="K268" s="10">
        <f>SUMIFS(IsQList,IsIList,Table_ExternalData_15[[#This Row],[item_key]],IsITypeList,Table_ExternalData_15[[#This Row],[IType]],IsDList,Table_ExternalData_15[[#Headers],[7]])</f>
        <v>0</v>
      </c>
      <c r="L268" s="10">
        <f>SUMIFS(IsQList,IsIList,Table_ExternalData_15[[#This Row],[item_key]],IsITypeList,Table_ExternalData_15[[#This Row],[IType]],IsDList,Table_ExternalData_15[[#Headers],[8]])</f>
        <v>0</v>
      </c>
      <c r="M268" s="10">
        <f>SUMIFS(IsQList,IsIList,Table_ExternalData_15[[#This Row],[item_key]],IsITypeList,Table_ExternalData_15[[#This Row],[IType]],IsDList,Table_ExternalData_15[[#Headers],[9]])</f>
        <v>0</v>
      </c>
      <c r="N268" s="10">
        <f>SUMIFS(IsQList,IsIList,Table_ExternalData_15[[#This Row],[item_key]],IsITypeList,Table_ExternalData_15[[#This Row],[IType]],IsDList,Table_ExternalData_15[[#Headers],[10]])</f>
        <v>0</v>
      </c>
      <c r="O268" s="10">
        <f>SUMIFS(IsQList,IsIList,Table_ExternalData_15[[#This Row],[item_key]],IsITypeList,Table_ExternalData_15[[#This Row],[IType]],IsDList,Table_ExternalData_15[[#Headers],[11]])</f>
        <v>0</v>
      </c>
      <c r="P268" s="10">
        <f>SUMIFS(IsQList,IsIList,Table_ExternalData_15[[#This Row],[item_key]],IsITypeList,Table_ExternalData_15[[#This Row],[IType]],IsDList,Table_ExternalData_15[[#Headers],[12]])</f>
        <v>0</v>
      </c>
      <c r="Q268" s="10">
        <f>SUMIFS(IsQList,IsIList,Table_ExternalData_15[[#This Row],[item_key]],IsITypeList,Table_ExternalData_15[[#This Row],[IType]],IsDList,Table_ExternalData_15[[#Headers],[13]])</f>
        <v>0</v>
      </c>
      <c r="R268" s="10">
        <f>SUMIFS(IsQList,IsIList,Table_ExternalData_15[[#This Row],[item_key]],IsITypeList,Table_ExternalData_15[[#This Row],[IType]],IsDList,Table_ExternalData_15[[#Headers],[14]])</f>
        <v>0</v>
      </c>
      <c r="S268" s="10">
        <f>SUMIFS(IsQList,IsIList,Table_ExternalData_15[[#This Row],[item_key]],IsITypeList,Table_ExternalData_15[[#This Row],[IType]],IsDList,Table_ExternalData_15[[#Headers],[15]])</f>
        <v>0</v>
      </c>
      <c r="T268" s="10">
        <f>SUMIFS(IsQList,IsIList,Table_ExternalData_15[[#This Row],[item_key]],IsITypeList,Table_ExternalData_15[[#This Row],[IType]],IsDList,Table_ExternalData_15[[#Headers],[16]])</f>
        <v>0</v>
      </c>
      <c r="U268" s="10">
        <f>SUMIFS(IsQList,IsIList,Table_ExternalData_15[[#This Row],[item_key]],IsITypeList,Table_ExternalData_15[[#This Row],[IType]],IsDList,Table_ExternalData_15[[#Headers],[17]])</f>
        <v>0</v>
      </c>
      <c r="V268" s="10">
        <f>SUMIFS(IsQList,IsIList,Table_ExternalData_15[[#This Row],[item_key]],IsITypeList,Table_ExternalData_15[[#This Row],[IType]],IsDList,Table_ExternalData_15[[#Headers],[18]])</f>
        <v>0</v>
      </c>
      <c r="W268" s="10">
        <f>SUMIFS(IsQList,IsIList,Table_ExternalData_15[[#This Row],[item_key]],IsITypeList,Table_ExternalData_15[[#This Row],[IType]],IsDList,Table_ExternalData_15[[#Headers],[19]])</f>
        <v>0</v>
      </c>
      <c r="X268" s="10">
        <f>SUMIFS(IsQList,IsIList,Table_ExternalData_15[[#This Row],[item_key]],IsITypeList,Table_ExternalData_15[[#This Row],[IType]],IsDList,Table_ExternalData_15[[#Headers],[20]])</f>
        <v>0</v>
      </c>
      <c r="Y268" s="10">
        <f>SUMIFS(IsQList,IsIList,Table_ExternalData_15[[#This Row],[item_key]],IsITypeList,Table_ExternalData_15[[#This Row],[IType]],IsDList,Table_ExternalData_15[[#Headers],[21]])</f>
        <v>0</v>
      </c>
      <c r="Z268" s="10">
        <f>SUMIFS(IsQList,IsIList,Table_ExternalData_15[[#This Row],[item_key]],IsITypeList,Table_ExternalData_15[[#This Row],[IType]],IsDList,Table_ExternalData_15[[#Headers],[22]])</f>
        <v>0</v>
      </c>
      <c r="AA268" s="10">
        <f>SUMIFS(IsQList,IsIList,Table_ExternalData_15[[#This Row],[item_key]],IsITypeList,Table_ExternalData_15[[#This Row],[IType]],IsDList,Table_ExternalData_15[[#Headers],[23]])</f>
        <v>0</v>
      </c>
      <c r="AB268" s="10">
        <f>SUMIFS(IsQList,IsIList,Table_ExternalData_15[[#This Row],[item_key]],IsITypeList,Table_ExternalData_15[[#This Row],[IType]],IsDList,Table_ExternalData_15[[#Headers],[24]])</f>
        <v>0</v>
      </c>
      <c r="AC268" s="10">
        <f>SUMIFS(IsQList,IsIList,Table_ExternalData_15[[#This Row],[item_key]],IsITypeList,Table_ExternalData_15[[#This Row],[IType]],IsDList,Table_ExternalData_15[[#Headers],[25]])</f>
        <v>0</v>
      </c>
      <c r="AD268" s="10">
        <f>SUMIFS(IsQList,IsIList,Table_ExternalData_15[[#This Row],[item_key]],IsITypeList,Table_ExternalData_15[[#This Row],[IType]],IsDList,Table_ExternalData_15[[#Headers],[26]])</f>
        <v>0</v>
      </c>
      <c r="AE268" s="10">
        <f>SUMIFS(IsQList,IsIList,Table_ExternalData_15[[#This Row],[item_key]],IsITypeList,Table_ExternalData_15[[#This Row],[IType]],IsDList,Table_ExternalData_15[[#Headers],[27]])</f>
        <v>0</v>
      </c>
      <c r="AF268" s="10">
        <f>SUMIFS(IsQList,IsIList,Table_ExternalData_15[[#This Row],[item_key]],IsITypeList,Table_ExternalData_15[[#This Row],[IType]],IsDList,Table_ExternalData_15[[#Headers],[28]])</f>
        <v>0</v>
      </c>
      <c r="AG268" s="10">
        <f>SUMIFS(IsQList,IsIList,Table_ExternalData_15[[#This Row],[item_key]],IsITypeList,Table_ExternalData_15[[#This Row],[IType]],IsDList,Table_ExternalData_15[[#Headers],[29]])</f>
        <v>0</v>
      </c>
      <c r="AH268" s="10">
        <f>SUMIFS(IsQList,IsIList,Table_ExternalData_15[[#This Row],[item_key]],IsITypeList,Table_ExternalData_15[[#This Row],[IType]],IsDList,Table_ExternalData_15[[#Headers],[30]])</f>
        <v>0</v>
      </c>
      <c r="AI268" s="10">
        <f>SUMIFS(IsQList,IsIList,Table_ExternalData_15[[#This Row],[item_key]],IsITypeList,Table_ExternalData_15[[#This Row],[IType]],IsDList,Table_ExternalData_15[[#Headers],[31]])</f>
        <v>0</v>
      </c>
      <c r="AJ268" s="10">
        <f>SUM(Table_ExternalData_15[[#This Row],[1]:[31]])</f>
        <v>0</v>
      </c>
    </row>
    <row r="269" spans="1:36">
      <c r="A269" s="1" t="s">
        <v>2002</v>
      </c>
      <c r="B269" s="1" t="s">
        <v>2719</v>
      </c>
      <c r="C269" s="1" t="s">
        <v>2720</v>
      </c>
      <c r="D269" s="11" t="s">
        <v>72</v>
      </c>
      <c r="E269" s="10">
        <f>SUMIFS(IsQList,IsIList,Table_ExternalData_15[[#This Row],[item_key]],IsITypeList,Table_ExternalData_15[[#This Row],[IType]],IsDList,Table_ExternalData_15[[#Headers],[1]])</f>
        <v>0</v>
      </c>
      <c r="F269" s="10">
        <f>SUMIFS(IsQList,IsIList,Table_ExternalData_15[[#This Row],[item_key]],IsITypeList,Table_ExternalData_15[[#This Row],[IType]],IsDList,Table_ExternalData_15[[#Headers],[2]])</f>
        <v>0</v>
      </c>
      <c r="G269" s="10">
        <f>SUMIFS(IsQList,IsIList,Table_ExternalData_15[[#This Row],[item_key]],IsITypeList,Table_ExternalData_15[[#This Row],[IType]],IsDList,Table_ExternalData_15[[#Headers],[3]])</f>
        <v>0</v>
      </c>
      <c r="H269" s="10">
        <f>SUMIFS(IsQList,IsIList,Table_ExternalData_15[[#This Row],[item_key]],IsITypeList,Table_ExternalData_15[[#This Row],[IType]],IsDList,Table_ExternalData_15[[#Headers],[4]])</f>
        <v>0</v>
      </c>
      <c r="I269" s="10">
        <f>SUMIFS(IsQList,IsIList,Table_ExternalData_15[[#This Row],[item_key]],IsITypeList,Table_ExternalData_15[[#This Row],[IType]],IsDList,Table_ExternalData_15[[#Headers],[5]])</f>
        <v>0</v>
      </c>
      <c r="J269" s="10">
        <f>SUMIFS(IsQList,IsIList,Table_ExternalData_15[[#This Row],[item_key]],IsITypeList,Table_ExternalData_15[[#This Row],[IType]],IsDList,Table_ExternalData_15[[#Headers],[6]])</f>
        <v>20</v>
      </c>
      <c r="K269" s="10">
        <f>SUMIFS(IsQList,IsIList,Table_ExternalData_15[[#This Row],[item_key]],IsITypeList,Table_ExternalData_15[[#This Row],[IType]],IsDList,Table_ExternalData_15[[#Headers],[7]])</f>
        <v>0</v>
      </c>
      <c r="L269" s="10">
        <f>SUMIFS(IsQList,IsIList,Table_ExternalData_15[[#This Row],[item_key]],IsITypeList,Table_ExternalData_15[[#This Row],[IType]],IsDList,Table_ExternalData_15[[#Headers],[8]])</f>
        <v>0</v>
      </c>
      <c r="M269" s="10">
        <f>SUMIFS(IsQList,IsIList,Table_ExternalData_15[[#This Row],[item_key]],IsITypeList,Table_ExternalData_15[[#This Row],[IType]],IsDList,Table_ExternalData_15[[#Headers],[9]])</f>
        <v>0</v>
      </c>
      <c r="N269" s="10">
        <f>SUMIFS(IsQList,IsIList,Table_ExternalData_15[[#This Row],[item_key]],IsITypeList,Table_ExternalData_15[[#This Row],[IType]],IsDList,Table_ExternalData_15[[#Headers],[10]])</f>
        <v>200</v>
      </c>
      <c r="O269" s="10">
        <f>SUMIFS(IsQList,IsIList,Table_ExternalData_15[[#This Row],[item_key]],IsITypeList,Table_ExternalData_15[[#This Row],[IType]],IsDList,Table_ExternalData_15[[#Headers],[11]])</f>
        <v>0</v>
      </c>
      <c r="P269" s="10">
        <f>SUMIFS(IsQList,IsIList,Table_ExternalData_15[[#This Row],[item_key]],IsITypeList,Table_ExternalData_15[[#This Row],[IType]],IsDList,Table_ExternalData_15[[#Headers],[12]])</f>
        <v>0</v>
      </c>
      <c r="Q269" s="10">
        <f>SUMIFS(IsQList,IsIList,Table_ExternalData_15[[#This Row],[item_key]],IsITypeList,Table_ExternalData_15[[#This Row],[IType]],IsDList,Table_ExternalData_15[[#Headers],[13]])</f>
        <v>0</v>
      </c>
      <c r="R269" s="10">
        <f>SUMIFS(IsQList,IsIList,Table_ExternalData_15[[#This Row],[item_key]],IsITypeList,Table_ExternalData_15[[#This Row],[IType]],IsDList,Table_ExternalData_15[[#Headers],[14]])</f>
        <v>0</v>
      </c>
      <c r="S269" s="10">
        <f>SUMIFS(IsQList,IsIList,Table_ExternalData_15[[#This Row],[item_key]],IsITypeList,Table_ExternalData_15[[#This Row],[IType]],IsDList,Table_ExternalData_15[[#Headers],[15]])</f>
        <v>0</v>
      </c>
      <c r="T269" s="10">
        <f>SUMIFS(IsQList,IsIList,Table_ExternalData_15[[#This Row],[item_key]],IsITypeList,Table_ExternalData_15[[#This Row],[IType]],IsDList,Table_ExternalData_15[[#Headers],[16]])</f>
        <v>40</v>
      </c>
      <c r="U269" s="10">
        <f>SUMIFS(IsQList,IsIList,Table_ExternalData_15[[#This Row],[item_key]],IsITypeList,Table_ExternalData_15[[#This Row],[IType]],IsDList,Table_ExternalData_15[[#Headers],[17]])</f>
        <v>0</v>
      </c>
      <c r="V269" s="10">
        <f>SUMIFS(IsQList,IsIList,Table_ExternalData_15[[#This Row],[item_key]],IsITypeList,Table_ExternalData_15[[#This Row],[IType]],IsDList,Table_ExternalData_15[[#Headers],[18]])</f>
        <v>0</v>
      </c>
      <c r="W269" s="10">
        <f>SUMIFS(IsQList,IsIList,Table_ExternalData_15[[#This Row],[item_key]],IsITypeList,Table_ExternalData_15[[#This Row],[IType]],IsDList,Table_ExternalData_15[[#Headers],[19]])</f>
        <v>0</v>
      </c>
      <c r="X269" s="10">
        <f>SUMIFS(IsQList,IsIList,Table_ExternalData_15[[#This Row],[item_key]],IsITypeList,Table_ExternalData_15[[#This Row],[IType]],IsDList,Table_ExternalData_15[[#Headers],[20]])</f>
        <v>0</v>
      </c>
      <c r="Y269" s="10">
        <f>SUMIFS(IsQList,IsIList,Table_ExternalData_15[[#This Row],[item_key]],IsITypeList,Table_ExternalData_15[[#This Row],[IType]],IsDList,Table_ExternalData_15[[#Headers],[21]])</f>
        <v>0</v>
      </c>
      <c r="Z269" s="10">
        <f>SUMIFS(IsQList,IsIList,Table_ExternalData_15[[#This Row],[item_key]],IsITypeList,Table_ExternalData_15[[#This Row],[IType]],IsDList,Table_ExternalData_15[[#Headers],[22]])</f>
        <v>0</v>
      </c>
      <c r="AA269" s="10">
        <f>SUMIFS(IsQList,IsIList,Table_ExternalData_15[[#This Row],[item_key]],IsITypeList,Table_ExternalData_15[[#This Row],[IType]],IsDList,Table_ExternalData_15[[#Headers],[23]])</f>
        <v>0</v>
      </c>
      <c r="AB269" s="10">
        <f>SUMIFS(IsQList,IsIList,Table_ExternalData_15[[#This Row],[item_key]],IsITypeList,Table_ExternalData_15[[#This Row],[IType]],IsDList,Table_ExternalData_15[[#Headers],[24]])</f>
        <v>0</v>
      </c>
      <c r="AC269" s="10">
        <f>SUMIFS(IsQList,IsIList,Table_ExternalData_15[[#This Row],[item_key]],IsITypeList,Table_ExternalData_15[[#This Row],[IType]],IsDList,Table_ExternalData_15[[#Headers],[25]])</f>
        <v>0</v>
      </c>
      <c r="AD269" s="10">
        <f>SUMIFS(IsQList,IsIList,Table_ExternalData_15[[#This Row],[item_key]],IsITypeList,Table_ExternalData_15[[#This Row],[IType]],IsDList,Table_ExternalData_15[[#Headers],[26]])</f>
        <v>0</v>
      </c>
      <c r="AE269" s="10">
        <f>SUMIFS(IsQList,IsIList,Table_ExternalData_15[[#This Row],[item_key]],IsITypeList,Table_ExternalData_15[[#This Row],[IType]],IsDList,Table_ExternalData_15[[#Headers],[27]])</f>
        <v>0</v>
      </c>
      <c r="AF269" s="10">
        <f>SUMIFS(IsQList,IsIList,Table_ExternalData_15[[#This Row],[item_key]],IsITypeList,Table_ExternalData_15[[#This Row],[IType]],IsDList,Table_ExternalData_15[[#Headers],[28]])</f>
        <v>0</v>
      </c>
      <c r="AG269" s="10">
        <f>SUMIFS(IsQList,IsIList,Table_ExternalData_15[[#This Row],[item_key]],IsITypeList,Table_ExternalData_15[[#This Row],[IType]],IsDList,Table_ExternalData_15[[#Headers],[29]])</f>
        <v>0</v>
      </c>
      <c r="AH269" s="10">
        <f>SUMIFS(IsQList,IsIList,Table_ExternalData_15[[#This Row],[item_key]],IsITypeList,Table_ExternalData_15[[#This Row],[IType]],IsDList,Table_ExternalData_15[[#Headers],[30]])</f>
        <v>1120</v>
      </c>
      <c r="AI269" s="10">
        <f>SUMIFS(IsQList,IsIList,Table_ExternalData_15[[#This Row],[item_key]],IsITypeList,Table_ExternalData_15[[#This Row],[IType]],IsDList,Table_ExternalData_15[[#Headers],[31]])</f>
        <v>0</v>
      </c>
      <c r="AJ269" s="10">
        <f>SUM(Table_ExternalData_15[[#This Row],[1]:[31]])</f>
        <v>1380</v>
      </c>
    </row>
    <row r="270" spans="1:36">
      <c r="A270" s="1" t="s">
        <v>817</v>
      </c>
      <c r="B270" s="1" t="s">
        <v>1622</v>
      </c>
      <c r="C270" s="1" t="s">
        <v>1596</v>
      </c>
      <c r="D270" s="11" t="s">
        <v>72</v>
      </c>
      <c r="E270" s="10">
        <f>SUMIFS(IsQList,IsIList,Table_ExternalData_15[[#This Row],[item_key]],IsITypeList,Table_ExternalData_15[[#This Row],[IType]],IsDList,Table_ExternalData_15[[#Headers],[1]])</f>
        <v>0</v>
      </c>
      <c r="F270" s="10">
        <f>SUMIFS(IsQList,IsIList,Table_ExternalData_15[[#This Row],[item_key]],IsITypeList,Table_ExternalData_15[[#This Row],[IType]],IsDList,Table_ExternalData_15[[#Headers],[2]])</f>
        <v>0</v>
      </c>
      <c r="G270" s="10">
        <f>SUMIFS(IsQList,IsIList,Table_ExternalData_15[[#This Row],[item_key]],IsITypeList,Table_ExternalData_15[[#This Row],[IType]],IsDList,Table_ExternalData_15[[#Headers],[3]])</f>
        <v>0</v>
      </c>
      <c r="H270" s="10">
        <f>SUMIFS(IsQList,IsIList,Table_ExternalData_15[[#This Row],[item_key]],IsITypeList,Table_ExternalData_15[[#This Row],[IType]],IsDList,Table_ExternalData_15[[#Headers],[4]])</f>
        <v>0</v>
      </c>
      <c r="I270" s="10">
        <f>SUMIFS(IsQList,IsIList,Table_ExternalData_15[[#This Row],[item_key]],IsITypeList,Table_ExternalData_15[[#This Row],[IType]],IsDList,Table_ExternalData_15[[#Headers],[5]])</f>
        <v>0</v>
      </c>
      <c r="J270" s="10">
        <f>SUMIFS(IsQList,IsIList,Table_ExternalData_15[[#This Row],[item_key]],IsITypeList,Table_ExternalData_15[[#This Row],[IType]],IsDList,Table_ExternalData_15[[#Headers],[6]])</f>
        <v>29</v>
      </c>
      <c r="K270" s="10">
        <f>SUMIFS(IsQList,IsIList,Table_ExternalData_15[[#This Row],[item_key]],IsITypeList,Table_ExternalData_15[[#This Row],[IType]],IsDList,Table_ExternalData_15[[#Headers],[7]])</f>
        <v>0</v>
      </c>
      <c r="L270" s="10">
        <f>SUMIFS(IsQList,IsIList,Table_ExternalData_15[[#This Row],[item_key]],IsITypeList,Table_ExternalData_15[[#This Row],[IType]],IsDList,Table_ExternalData_15[[#Headers],[8]])</f>
        <v>0</v>
      </c>
      <c r="M270" s="10">
        <f>SUMIFS(IsQList,IsIList,Table_ExternalData_15[[#This Row],[item_key]],IsITypeList,Table_ExternalData_15[[#This Row],[IType]],IsDList,Table_ExternalData_15[[#Headers],[9]])</f>
        <v>0</v>
      </c>
      <c r="N270" s="10">
        <f>SUMIFS(IsQList,IsIList,Table_ExternalData_15[[#This Row],[item_key]],IsITypeList,Table_ExternalData_15[[#This Row],[IType]],IsDList,Table_ExternalData_15[[#Headers],[10]])</f>
        <v>0</v>
      </c>
      <c r="O270" s="10">
        <f>SUMIFS(IsQList,IsIList,Table_ExternalData_15[[#This Row],[item_key]],IsITypeList,Table_ExternalData_15[[#This Row],[IType]],IsDList,Table_ExternalData_15[[#Headers],[11]])</f>
        <v>0</v>
      </c>
      <c r="P270" s="10">
        <f>SUMIFS(IsQList,IsIList,Table_ExternalData_15[[#This Row],[item_key]],IsITypeList,Table_ExternalData_15[[#This Row],[IType]],IsDList,Table_ExternalData_15[[#Headers],[12]])</f>
        <v>0</v>
      </c>
      <c r="Q270" s="10">
        <f>SUMIFS(IsQList,IsIList,Table_ExternalData_15[[#This Row],[item_key]],IsITypeList,Table_ExternalData_15[[#This Row],[IType]],IsDList,Table_ExternalData_15[[#Headers],[13]])</f>
        <v>0</v>
      </c>
      <c r="R270" s="10">
        <f>SUMIFS(IsQList,IsIList,Table_ExternalData_15[[#This Row],[item_key]],IsITypeList,Table_ExternalData_15[[#This Row],[IType]],IsDList,Table_ExternalData_15[[#Headers],[14]])</f>
        <v>0</v>
      </c>
      <c r="S270" s="10">
        <f>SUMIFS(IsQList,IsIList,Table_ExternalData_15[[#This Row],[item_key]],IsITypeList,Table_ExternalData_15[[#This Row],[IType]],IsDList,Table_ExternalData_15[[#Headers],[15]])</f>
        <v>0</v>
      </c>
      <c r="T270" s="10">
        <f>SUMIFS(IsQList,IsIList,Table_ExternalData_15[[#This Row],[item_key]],IsITypeList,Table_ExternalData_15[[#This Row],[IType]],IsDList,Table_ExternalData_15[[#Headers],[16]])</f>
        <v>5</v>
      </c>
      <c r="U270" s="10">
        <f>SUMIFS(IsQList,IsIList,Table_ExternalData_15[[#This Row],[item_key]],IsITypeList,Table_ExternalData_15[[#This Row],[IType]],IsDList,Table_ExternalData_15[[#Headers],[17]])</f>
        <v>0</v>
      </c>
      <c r="V270" s="10">
        <f>SUMIFS(IsQList,IsIList,Table_ExternalData_15[[#This Row],[item_key]],IsITypeList,Table_ExternalData_15[[#This Row],[IType]],IsDList,Table_ExternalData_15[[#Headers],[18]])</f>
        <v>0</v>
      </c>
      <c r="W270" s="10">
        <f>SUMIFS(IsQList,IsIList,Table_ExternalData_15[[#This Row],[item_key]],IsITypeList,Table_ExternalData_15[[#This Row],[IType]],IsDList,Table_ExternalData_15[[#Headers],[19]])</f>
        <v>0</v>
      </c>
      <c r="X270" s="10">
        <f>SUMIFS(IsQList,IsIList,Table_ExternalData_15[[#This Row],[item_key]],IsITypeList,Table_ExternalData_15[[#This Row],[IType]],IsDList,Table_ExternalData_15[[#Headers],[20]])</f>
        <v>0</v>
      </c>
      <c r="Y270" s="10">
        <f>SUMIFS(IsQList,IsIList,Table_ExternalData_15[[#This Row],[item_key]],IsITypeList,Table_ExternalData_15[[#This Row],[IType]],IsDList,Table_ExternalData_15[[#Headers],[21]])</f>
        <v>0</v>
      </c>
      <c r="Z270" s="10">
        <f>SUMIFS(IsQList,IsIList,Table_ExternalData_15[[#This Row],[item_key]],IsITypeList,Table_ExternalData_15[[#This Row],[IType]],IsDList,Table_ExternalData_15[[#Headers],[22]])</f>
        <v>0</v>
      </c>
      <c r="AA270" s="10">
        <f>SUMIFS(IsQList,IsIList,Table_ExternalData_15[[#This Row],[item_key]],IsITypeList,Table_ExternalData_15[[#This Row],[IType]],IsDList,Table_ExternalData_15[[#Headers],[23]])</f>
        <v>0</v>
      </c>
      <c r="AB270" s="10">
        <f>SUMIFS(IsQList,IsIList,Table_ExternalData_15[[#This Row],[item_key]],IsITypeList,Table_ExternalData_15[[#This Row],[IType]],IsDList,Table_ExternalData_15[[#Headers],[24]])</f>
        <v>12</v>
      </c>
      <c r="AC270" s="10">
        <f>SUMIFS(IsQList,IsIList,Table_ExternalData_15[[#This Row],[item_key]],IsITypeList,Table_ExternalData_15[[#This Row],[IType]],IsDList,Table_ExternalData_15[[#Headers],[25]])</f>
        <v>0</v>
      </c>
      <c r="AD270" s="10">
        <f>SUMIFS(IsQList,IsIList,Table_ExternalData_15[[#This Row],[item_key]],IsITypeList,Table_ExternalData_15[[#This Row],[IType]],IsDList,Table_ExternalData_15[[#Headers],[26]])</f>
        <v>0</v>
      </c>
      <c r="AE270" s="10">
        <f>SUMIFS(IsQList,IsIList,Table_ExternalData_15[[#This Row],[item_key]],IsITypeList,Table_ExternalData_15[[#This Row],[IType]],IsDList,Table_ExternalData_15[[#Headers],[27]])</f>
        <v>0</v>
      </c>
      <c r="AF270" s="10">
        <f>SUMIFS(IsQList,IsIList,Table_ExternalData_15[[#This Row],[item_key]],IsITypeList,Table_ExternalData_15[[#This Row],[IType]],IsDList,Table_ExternalData_15[[#Headers],[28]])</f>
        <v>0</v>
      </c>
      <c r="AG270" s="10">
        <f>SUMIFS(IsQList,IsIList,Table_ExternalData_15[[#This Row],[item_key]],IsITypeList,Table_ExternalData_15[[#This Row],[IType]],IsDList,Table_ExternalData_15[[#Headers],[29]])</f>
        <v>0</v>
      </c>
      <c r="AH270" s="10">
        <f>SUMIFS(IsQList,IsIList,Table_ExternalData_15[[#This Row],[item_key]],IsITypeList,Table_ExternalData_15[[#This Row],[IType]],IsDList,Table_ExternalData_15[[#Headers],[30]])</f>
        <v>97</v>
      </c>
      <c r="AI270" s="10">
        <f>SUMIFS(IsQList,IsIList,Table_ExternalData_15[[#This Row],[item_key]],IsITypeList,Table_ExternalData_15[[#This Row],[IType]],IsDList,Table_ExternalData_15[[#Headers],[31]])</f>
        <v>0</v>
      </c>
      <c r="AJ270" s="10">
        <f>SUM(Table_ExternalData_15[[#This Row],[1]:[31]])</f>
        <v>143</v>
      </c>
    </row>
    <row r="271" spans="1:36">
      <c r="A271" s="1" t="s">
        <v>2009</v>
      </c>
      <c r="B271" s="1" t="s">
        <v>2353</v>
      </c>
      <c r="C271" s="1" t="s">
        <v>2354</v>
      </c>
      <c r="D271" s="11" t="s">
        <v>72</v>
      </c>
      <c r="E271" s="10">
        <f>SUMIFS(IsQList,IsIList,Table_ExternalData_15[[#This Row],[item_key]],IsITypeList,Table_ExternalData_15[[#This Row],[IType]],IsDList,Table_ExternalData_15[[#Headers],[1]])</f>
        <v>0</v>
      </c>
      <c r="F271" s="10">
        <f>SUMIFS(IsQList,IsIList,Table_ExternalData_15[[#This Row],[item_key]],IsITypeList,Table_ExternalData_15[[#This Row],[IType]],IsDList,Table_ExternalData_15[[#Headers],[2]])</f>
        <v>0</v>
      </c>
      <c r="G271" s="10">
        <f>SUMIFS(IsQList,IsIList,Table_ExternalData_15[[#This Row],[item_key]],IsITypeList,Table_ExternalData_15[[#This Row],[IType]],IsDList,Table_ExternalData_15[[#Headers],[3]])</f>
        <v>0</v>
      </c>
      <c r="H271" s="10">
        <f>SUMIFS(IsQList,IsIList,Table_ExternalData_15[[#This Row],[item_key]],IsITypeList,Table_ExternalData_15[[#This Row],[IType]],IsDList,Table_ExternalData_15[[#Headers],[4]])</f>
        <v>0</v>
      </c>
      <c r="I271" s="10">
        <f>SUMIFS(IsQList,IsIList,Table_ExternalData_15[[#This Row],[item_key]],IsITypeList,Table_ExternalData_15[[#This Row],[IType]],IsDList,Table_ExternalData_15[[#Headers],[5]])</f>
        <v>0</v>
      </c>
      <c r="J271" s="10">
        <f>SUMIFS(IsQList,IsIList,Table_ExternalData_15[[#This Row],[item_key]],IsITypeList,Table_ExternalData_15[[#This Row],[IType]],IsDList,Table_ExternalData_15[[#Headers],[6]])</f>
        <v>0</v>
      </c>
      <c r="K271" s="10">
        <f>SUMIFS(IsQList,IsIList,Table_ExternalData_15[[#This Row],[item_key]],IsITypeList,Table_ExternalData_15[[#This Row],[IType]],IsDList,Table_ExternalData_15[[#Headers],[7]])</f>
        <v>0</v>
      </c>
      <c r="L271" s="10">
        <f>SUMIFS(IsQList,IsIList,Table_ExternalData_15[[#This Row],[item_key]],IsITypeList,Table_ExternalData_15[[#This Row],[IType]],IsDList,Table_ExternalData_15[[#Headers],[8]])</f>
        <v>0</v>
      </c>
      <c r="M271" s="10">
        <f>SUMIFS(IsQList,IsIList,Table_ExternalData_15[[#This Row],[item_key]],IsITypeList,Table_ExternalData_15[[#This Row],[IType]],IsDList,Table_ExternalData_15[[#Headers],[9]])</f>
        <v>0</v>
      </c>
      <c r="N271" s="10">
        <f>SUMIFS(IsQList,IsIList,Table_ExternalData_15[[#This Row],[item_key]],IsITypeList,Table_ExternalData_15[[#This Row],[IType]],IsDList,Table_ExternalData_15[[#Headers],[10]])</f>
        <v>0</v>
      </c>
      <c r="O271" s="10">
        <f>SUMIFS(IsQList,IsIList,Table_ExternalData_15[[#This Row],[item_key]],IsITypeList,Table_ExternalData_15[[#This Row],[IType]],IsDList,Table_ExternalData_15[[#Headers],[11]])</f>
        <v>0</v>
      </c>
      <c r="P271" s="10">
        <f>SUMIFS(IsQList,IsIList,Table_ExternalData_15[[#This Row],[item_key]],IsITypeList,Table_ExternalData_15[[#This Row],[IType]],IsDList,Table_ExternalData_15[[#Headers],[12]])</f>
        <v>0</v>
      </c>
      <c r="Q271" s="10">
        <f>SUMIFS(IsQList,IsIList,Table_ExternalData_15[[#This Row],[item_key]],IsITypeList,Table_ExternalData_15[[#This Row],[IType]],IsDList,Table_ExternalData_15[[#Headers],[13]])</f>
        <v>0</v>
      </c>
      <c r="R271" s="10">
        <f>SUMIFS(IsQList,IsIList,Table_ExternalData_15[[#This Row],[item_key]],IsITypeList,Table_ExternalData_15[[#This Row],[IType]],IsDList,Table_ExternalData_15[[#Headers],[14]])</f>
        <v>0</v>
      </c>
      <c r="S271" s="10">
        <f>SUMIFS(IsQList,IsIList,Table_ExternalData_15[[#This Row],[item_key]],IsITypeList,Table_ExternalData_15[[#This Row],[IType]],IsDList,Table_ExternalData_15[[#Headers],[15]])</f>
        <v>0</v>
      </c>
      <c r="T271" s="10">
        <f>SUMIFS(IsQList,IsIList,Table_ExternalData_15[[#This Row],[item_key]],IsITypeList,Table_ExternalData_15[[#This Row],[IType]],IsDList,Table_ExternalData_15[[#Headers],[16]])</f>
        <v>30</v>
      </c>
      <c r="U271" s="10">
        <f>SUMIFS(IsQList,IsIList,Table_ExternalData_15[[#This Row],[item_key]],IsITypeList,Table_ExternalData_15[[#This Row],[IType]],IsDList,Table_ExternalData_15[[#Headers],[17]])</f>
        <v>0</v>
      </c>
      <c r="V271" s="10">
        <f>SUMIFS(IsQList,IsIList,Table_ExternalData_15[[#This Row],[item_key]],IsITypeList,Table_ExternalData_15[[#This Row],[IType]],IsDList,Table_ExternalData_15[[#Headers],[18]])</f>
        <v>0</v>
      </c>
      <c r="W271" s="10">
        <f>SUMIFS(IsQList,IsIList,Table_ExternalData_15[[#This Row],[item_key]],IsITypeList,Table_ExternalData_15[[#This Row],[IType]],IsDList,Table_ExternalData_15[[#Headers],[19]])</f>
        <v>0</v>
      </c>
      <c r="X271" s="10">
        <f>SUMIFS(IsQList,IsIList,Table_ExternalData_15[[#This Row],[item_key]],IsITypeList,Table_ExternalData_15[[#This Row],[IType]],IsDList,Table_ExternalData_15[[#Headers],[20]])</f>
        <v>0</v>
      </c>
      <c r="Y271" s="10">
        <f>SUMIFS(IsQList,IsIList,Table_ExternalData_15[[#This Row],[item_key]],IsITypeList,Table_ExternalData_15[[#This Row],[IType]],IsDList,Table_ExternalData_15[[#Headers],[21]])</f>
        <v>0</v>
      </c>
      <c r="Z271" s="10">
        <f>SUMIFS(IsQList,IsIList,Table_ExternalData_15[[#This Row],[item_key]],IsITypeList,Table_ExternalData_15[[#This Row],[IType]],IsDList,Table_ExternalData_15[[#Headers],[22]])</f>
        <v>0</v>
      </c>
      <c r="AA271" s="10">
        <f>SUMIFS(IsQList,IsIList,Table_ExternalData_15[[#This Row],[item_key]],IsITypeList,Table_ExternalData_15[[#This Row],[IType]],IsDList,Table_ExternalData_15[[#Headers],[23]])</f>
        <v>0</v>
      </c>
      <c r="AB271" s="10">
        <f>SUMIFS(IsQList,IsIList,Table_ExternalData_15[[#This Row],[item_key]],IsITypeList,Table_ExternalData_15[[#This Row],[IType]],IsDList,Table_ExternalData_15[[#Headers],[24]])</f>
        <v>10</v>
      </c>
      <c r="AC271" s="10">
        <f>SUMIFS(IsQList,IsIList,Table_ExternalData_15[[#This Row],[item_key]],IsITypeList,Table_ExternalData_15[[#This Row],[IType]],IsDList,Table_ExternalData_15[[#Headers],[25]])</f>
        <v>0</v>
      </c>
      <c r="AD271" s="10">
        <f>SUMIFS(IsQList,IsIList,Table_ExternalData_15[[#This Row],[item_key]],IsITypeList,Table_ExternalData_15[[#This Row],[IType]],IsDList,Table_ExternalData_15[[#Headers],[26]])</f>
        <v>0</v>
      </c>
      <c r="AE271" s="10">
        <f>SUMIFS(IsQList,IsIList,Table_ExternalData_15[[#This Row],[item_key]],IsITypeList,Table_ExternalData_15[[#This Row],[IType]],IsDList,Table_ExternalData_15[[#Headers],[27]])</f>
        <v>0</v>
      </c>
      <c r="AF271" s="10">
        <f>SUMIFS(IsQList,IsIList,Table_ExternalData_15[[#This Row],[item_key]],IsITypeList,Table_ExternalData_15[[#This Row],[IType]],IsDList,Table_ExternalData_15[[#Headers],[28]])</f>
        <v>0</v>
      </c>
      <c r="AG271" s="10">
        <f>SUMIFS(IsQList,IsIList,Table_ExternalData_15[[#This Row],[item_key]],IsITypeList,Table_ExternalData_15[[#This Row],[IType]],IsDList,Table_ExternalData_15[[#Headers],[29]])</f>
        <v>0</v>
      </c>
      <c r="AH271" s="10">
        <f>SUMIFS(IsQList,IsIList,Table_ExternalData_15[[#This Row],[item_key]],IsITypeList,Table_ExternalData_15[[#This Row],[IType]],IsDList,Table_ExternalData_15[[#Headers],[30]])</f>
        <v>150</v>
      </c>
      <c r="AI271" s="10">
        <f>SUMIFS(IsQList,IsIList,Table_ExternalData_15[[#This Row],[item_key]],IsITypeList,Table_ExternalData_15[[#This Row],[IType]],IsDList,Table_ExternalData_15[[#Headers],[31]])</f>
        <v>0</v>
      </c>
      <c r="AJ271" s="10">
        <f>SUM(Table_ExternalData_15[[#This Row],[1]:[31]])</f>
        <v>190</v>
      </c>
    </row>
    <row r="272" spans="1:36">
      <c r="A272" s="1" t="s">
        <v>818</v>
      </c>
      <c r="B272" s="1" t="s">
        <v>1413</v>
      </c>
      <c r="C272" s="1" t="s">
        <v>1414</v>
      </c>
      <c r="D272" s="11" t="s">
        <v>72</v>
      </c>
      <c r="E272" s="10">
        <f>SUMIFS(IsQList,IsIList,Table_ExternalData_15[[#This Row],[item_key]],IsITypeList,Table_ExternalData_15[[#This Row],[IType]],IsDList,Table_ExternalData_15[[#Headers],[1]])</f>
        <v>0</v>
      </c>
      <c r="F272" s="10">
        <f>SUMIFS(IsQList,IsIList,Table_ExternalData_15[[#This Row],[item_key]],IsITypeList,Table_ExternalData_15[[#This Row],[IType]],IsDList,Table_ExternalData_15[[#Headers],[2]])</f>
        <v>0</v>
      </c>
      <c r="G272" s="10">
        <f>SUMIFS(IsQList,IsIList,Table_ExternalData_15[[#This Row],[item_key]],IsITypeList,Table_ExternalData_15[[#This Row],[IType]],IsDList,Table_ExternalData_15[[#Headers],[3]])</f>
        <v>0</v>
      </c>
      <c r="H272" s="10">
        <f>SUMIFS(IsQList,IsIList,Table_ExternalData_15[[#This Row],[item_key]],IsITypeList,Table_ExternalData_15[[#This Row],[IType]],IsDList,Table_ExternalData_15[[#Headers],[4]])</f>
        <v>0</v>
      </c>
      <c r="I272" s="10">
        <f>SUMIFS(IsQList,IsIList,Table_ExternalData_15[[#This Row],[item_key]],IsITypeList,Table_ExternalData_15[[#This Row],[IType]],IsDList,Table_ExternalData_15[[#Headers],[5]])</f>
        <v>0</v>
      </c>
      <c r="J272" s="10">
        <f>SUMIFS(IsQList,IsIList,Table_ExternalData_15[[#This Row],[item_key]],IsITypeList,Table_ExternalData_15[[#This Row],[IType]],IsDList,Table_ExternalData_15[[#Headers],[6]])</f>
        <v>6</v>
      </c>
      <c r="K272" s="10">
        <f>SUMIFS(IsQList,IsIList,Table_ExternalData_15[[#This Row],[item_key]],IsITypeList,Table_ExternalData_15[[#This Row],[IType]],IsDList,Table_ExternalData_15[[#Headers],[7]])</f>
        <v>0</v>
      </c>
      <c r="L272" s="10">
        <f>SUMIFS(IsQList,IsIList,Table_ExternalData_15[[#This Row],[item_key]],IsITypeList,Table_ExternalData_15[[#This Row],[IType]],IsDList,Table_ExternalData_15[[#Headers],[8]])</f>
        <v>0</v>
      </c>
      <c r="M272" s="10">
        <f>SUMIFS(IsQList,IsIList,Table_ExternalData_15[[#This Row],[item_key]],IsITypeList,Table_ExternalData_15[[#This Row],[IType]],IsDList,Table_ExternalData_15[[#Headers],[9]])</f>
        <v>0</v>
      </c>
      <c r="N272" s="10">
        <f>SUMIFS(IsQList,IsIList,Table_ExternalData_15[[#This Row],[item_key]],IsITypeList,Table_ExternalData_15[[#This Row],[IType]],IsDList,Table_ExternalData_15[[#Headers],[10]])</f>
        <v>0</v>
      </c>
      <c r="O272" s="10">
        <f>SUMIFS(IsQList,IsIList,Table_ExternalData_15[[#This Row],[item_key]],IsITypeList,Table_ExternalData_15[[#This Row],[IType]],IsDList,Table_ExternalData_15[[#Headers],[11]])</f>
        <v>0</v>
      </c>
      <c r="P272" s="10">
        <f>SUMIFS(IsQList,IsIList,Table_ExternalData_15[[#This Row],[item_key]],IsITypeList,Table_ExternalData_15[[#This Row],[IType]],IsDList,Table_ExternalData_15[[#Headers],[12]])</f>
        <v>0</v>
      </c>
      <c r="Q272" s="10">
        <f>SUMIFS(IsQList,IsIList,Table_ExternalData_15[[#This Row],[item_key]],IsITypeList,Table_ExternalData_15[[#This Row],[IType]],IsDList,Table_ExternalData_15[[#Headers],[13]])</f>
        <v>0</v>
      </c>
      <c r="R272" s="10">
        <f>SUMIFS(IsQList,IsIList,Table_ExternalData_15[[#This Row],[item_key]],IsITypeList,Table_ExternalData_15[[#This Row],[IType]],IsDList,Table_ExternalData_15[[#Headers],[14]])</f>
        <v>0</v>
      </c>
      <c r="S272" s="10">
        <f>SUMIFS(IsQList,IsIList,Table_ExternalData_15[[#This Row],[item_key]],IsITypeList,Table_ExternalData_15[[#This Row],[IType]],IsDList,Table_ExternalData_15[[#Headers],[15]])</f>
        <v>0</v>
      </c>
      <c r="T272" s="10">
        <f>SUMIFS(IsQList,IsIList,Table_ExternalData_15[[#This Row],[item_key]],IsITypeList,Table_ExternalData_15[[#This Row],[IType]],IsDList,Table_ExternalData_15[[#Headers],[16]])</f>
        <v>7</v>
      </c>
      <c r="U272" s="10">
        <f>SUMIFS(IsQList,IsIList,Table_ExternalData_15[[#This Row],[item_key]],IsITypeList,Table_ExternalData_15[[#This Row],[IType]],IsDList,Table_ExternalData_15[[#Headers],[17]])</f>
        <v>0</v>
      </c>
      <c r="V272" s="10">
        <f>SUMIFS(IsQList,IsIList,Table_ExternalData_15[[#This Row],[item_key]],IsITypeList,Table_ExternalData_15[[#This Row],[IType]],IsDList,Table_ExternalData_15[[#Headers],[18]])</f>
        <v>0</v>
      </c>
      <c r="W272" s="10">
        <f>SUMIFS(IsQList,IsIList,Table_ExternalData_15[[#This Row],[item_key]],IsITypeList,Table_ExternalData_15[[#This Row],[IType]],IsDList,Table_ExternalData_15[[#Headers],[19]])</f>
        <v>0</v>
      </c>
      <c r="X272" s="10">
        <f>SUMIFS(IsQList,IsIList,Table_ExternalData_15[[#This Row],[item_key]],IsITypeList,Table_ExternalData_15[[#This Row],[IType]],IsDList,Table_ExternalData_15[[#Headers],[20]])</f>
        <v>0</v>
      </c>
      <c r="Y272" s="10">
        <f>SUMIFS(IsQList,IsIList,Table_ExternalData_15[[#This Row],[item_key]],IsITypeList,Table_ExternalData_15[[#This Row],[IType]],IsDList,Table_ExternalData_15[[#Headers],[21]])</f>
        <v>0</v>
      </c>
      <c r="Z272" s="10">
        <f>SUMIFS(IsQList,IsIList,Table_ExternalData_15[[#This Row],[item_key]],IsITypeList,Table_ExternalData_15[[#This Row],[IType]],IsDList,Table_ExternalData_15[[#Headers],[22]])</f>
        <v>0</v>
      </c>
      <c r="AA272" s="10">
        <f>SUMIFS(IsQList,IsIList,Table_ExternalData_15[[#This Row],[item_key]],IsITypeList,Table_ExternalData_15[[#This Row],[IType]],IsDList,Table_ExternalData_15[[#Headers],[23]])</f>
        <v>0</v>
      </c>
      <c r="AB272" s="10">
        <f>SUMIFS(IsQList,IsIList,Table_ExternalData_15[[#This Row],[item_key]],IsITypeList,Table_ExternalData_15[[#This Row],[IType]],IsDList,Table_ExternalData_15[[#Headers],[24]])</f>
        <v>0</v>
      </c>
      <c r="AC272" s="10">
        <f>SUMIFS(IsQList,IsIList,Table_ExternalData_15[[#This Row],[item_key]],IsITypeList,Table_ExternalData_15[[#This Row],[IType]],IsDList,Table_ExternalData_15[[#Headers],[25]])</f>
        <v>0</v>
      </c>
      <c r="AD272" s="10">
        <f>SUMIFS(IsQList,IsIList,Table_ExternalData_15[[#This Row],[item_key]],IsITypeList,Table_ExternalData_15[[#This Row],[IType]],IsDList,Table_ExternalData_15[[#Headers],[26]])</f>
        <v>0</v>
      </c>
      <c r="AE272" s="10">
        <f>SUMIFS(IsQList,IsIList,Table_ExternalData_15[[#This Row],[item_key]],IsITypeList,Table_ExternalData_15[[#This Row],[IType]],IsDList,Table_ExternalData_15[[#Headers],[27]])</f>
        <v>0</v>
      </c>
      <c r="AF272" s="10">
        <f>SUMIFS(IsQList,IsIList,Table_ExternalData_15[[#This Row],[item_key]],IsITypeList,Table_ExternalData_15[[#This Row],[IType]],IsDList,Table_ExternalData_15[[#Headers],[28]])</f>
        <v>0</v>
      </c>
      <c r="AG272" s="10">
        <f>SUMIFS(IsQList,IsIList,Table_ExternalData_15[[#This Row],[item_key]],IsITypeList,Table_ExternalData_15[[#This Row],[IType]],IsDList,Table_ExternalData_15[[#Headers],[29]])</f>
        <v>0</v>
      </c>
      <c r="AH272" s="10">
        <f>SUMIFS(IsQList,IsIList,Table_ExternalData_15[[#This Row],[item_key]],IsITypeList,Table_ExternalData_15[[#This Row],[IType]],IsDList,Table_ExternalData_15[[#Headers],[30]])</f>
        <v>13</v>
      </c>
      <c r="AI272" s="10">
        <f>SUMIFS(IsQList,IsIList,Table_ExternalData_15[[#This Row],[item_key]],IsITypeList,Table_ExternalData_15[[#This Row],[IType]],IsDList,Table_ExternalData_15[[#Headers],[31]])</f>
        <v>0</v>
      </c>
      <c r="AJ272" s="10">
        <f>SUM(Table_ExternalData_15[[#This Row],[1]:[31]])</f>
        <v>26</v>
      </c>
    </row>
    <row r="273" spans="1:36">
      <c r="A273" s="1" t="s">
        <v>819</v>
      </c>
      <c r="B273" s="1" t="s">
        <v>2721</v>
      </c>
      <c r="C273" s="1" t="s">
        <v>2722</v>
      </c>
      <c r="D273" s="11" t="s">
        <v>72</v>
      </c>
      <c r="E273" s="10">
        <f>SUMIFS(IsQList,IsIList,Table_ExternalData_15[[#This Row],[item_key]],IsITypeList,Table_ExternalData_15[[#This Row],[IType]],IsDList,Table_ExternalData_15[[#Headers],[1]])</f>
        <v>0</v>
      </c>
      <c r="F273" s="10">
        <f>SUMIFS(IsQList,IsIList,Table_ExternalData_15[[#This Row],[item_key]],IsITypeList,Table_ExternalData_15[[#This Row],[IType]],IsDList,Table_ExternalData_15[[#Headers],[2]])</f>
        <v>0</v>
      </c>
      <c r="G273" s="10">
        <f>SUMIFS(IsQList,IsIList,Table_ExternalData_15[[#This Row],[item_key]],IsITypeList,Table_ExternalData_15[[#This Row],[IType]],IsDList,Table_ExternalData_15[[#Headers],[3]])</f>
        <v>0</v>
      </c>
      <c r="H273" s="10">
        <f>SUMIFS(IsQList,IsIList,Table_ExternalData_15[[#This Row],[item_key]],IsITypeList,Table_ExternalData_15[[#This Row],[IType]],IsDList,Table_ExternalData_15[[#Headers],[4]])</f>
        <v>0</v>
      </c>
      <c r="I273" s="10">
        <f>SUMIFS(IsQList,IsIList,Table_ExternalData_15[[#This Row],[item_key]],IsITypeList,Table_ExternalData_15[[#This Row],[IType]],IsDList,Table_ExternalData_15[[#Headers],[5]])</f>
        <v>0</v>
      </c>
      <c r="J273" s="10">
        <f>SUMIFS(IsQList,IsIList,Table_ExternalData_15[[#This Row],[item_key]],IsITypeList,Table_ExternalData_15[[#This Row],[IType]],IsDList,Table_ExternalData_15[[#Headers],[6]])</f>
        <v>0</v>
      </c>
      <c r="K273" s="10">
        <f>SUMIFS(IsQList,IsIList,Table_ExternalData_15[[#This Row],[item_key]],IsITypeList,Table_ExternalData_15[[#This Row],[IType]],IsDList,Table_ExternalData_15[[#Headers],[7]])</f>
        <v>0</v>
      </c>
      <c r="L273" s="10">
        <f>SUMIFS(IsQList,IsIList,Table_ExternalData_15[[#This Row],[item_key]],IsITypeList,Table_ExternalData_15[[#This Row],[IType]],IsDList,Table_ExternalData_15[[#Headers],[8]])</f>
        <v>0</v>
      </c>
      <c r="M273" s="10">
        <f>SUMIFS(IsQList,IsIList,Table_ExternalData_15[[#This Row],[item_key]],IsITypeList,Table_ExternalData_15[[#This Row],[IType]],IsDList,Table_ExternalData_15[[#Headers],[9]])</f>
        <v>0</v>
      </c>
      <c r="N273" s="10">
        <f>SUMIFS(IsQList,IsIList,Table_ExternalData_15[[#This Row],[item_key]],IsITypeList,Table_ExternalData_15[[#This Row],[IType]],IsDList,Table_ExternalData_15[[#Headers],[10]])</f>
        <v>0</v>
      </c>
      <c r="O273" s="10">
        <f>SUMIFS(IsQList,IsIList,Table_ExternalData_15[[#This Row],[item_key]],IsITypeList,Table_ExternalData_15[[#This Row],[IType]],IsDList,Table_ExternalData_15[[#Headers],[11]])</f>
        <v>0</v>
      </c>
      <c r="P273" s="10">
        <f>SUMIFS(IsQList,IsIList,Table_ExternalData_15[[#This Row],[item_key]],IsITypeList,Table_ExternalData_15[[#This Row],[IType]],IsDList,Table_ExternalData_15[[#Headers],[12]])</f>
        <v>0</v>
      </c>
      <c r="Q273" s="10">
        <f>SUMIFS(IsQList,IsIList,Table_ExternalData_15[[#This Row],[item_key]],IsITypeList,Table_ExternalData_15[[#This Row],[IType]],IsDList,Table_ExternalData_15[[#Headers],[13]])</f>
        <v>0</v>
      </c>
      <c r="R273" s="10">
        <f>SUMIFS(IsQList,IsIList,Table_ExternalData_15[[#This Row],[item_key]],IsITypeList,Table_ExternalData_15[[#This Row],[IType]],IsDList,Table_ExternalData_15[[#Headers],[14]])</f>
        <v>0</v>
      </c>
      <c r="S273" s="10">
        <f>SUMIFS(IsQList,IsIList,Table_ExternalData_15[[#This Row],[item_key]],IsITypeList,Table_ExternalData_15[[#This Row],[IType]],IsDList,Table_ExternalData_15[[#Headers],[15]])</f>
        <v>0</v>
      </c>
      <c r="T273" s="10">
        <f>SUMIFS(IsQList,IsIList,Table_ExternalData_15[[#This Row],[item_key]],IsITypeList,Table_ExternalData_15[[#This Row],[IType]],IsDList,Table_ExternalData_15[[#Headers],[16]])</f>
        <v>0</v>
      </c>
      <c r="U273" s="10">
        <f>SUMIFS(IsQList,IsIList,Table_ExternalData_15[[#This Row],[item_key]],IsITypeList,Table_ExternalData_15[[#This Row],[IType]],IsDList,Table_ExternalData_15[[#Headers],[17]])</f>
        <v>0</v>
      </c>
      <c r="V273" s="10">
        <f>SUMIFS(IsQList,IsIList,Table_ExternalData_15[[#This Row],[item_key]],IsITypeList,Table_ExternalData_15[[#This Row],[IType]],IsDList,Table_ExternalData_15[[#Headers],[18]])</f>
        <v>0</v>
      </c>
      <c r="W273" s="10">
        <f>SUMIFS(IsQList,IsIList,Table_ExternalData_15[[#This Row],[item_key]],IsITypeList,Table_ExternalData_15[[#This Row],[IType]],IsDList,Table_ExternalData_15[[#Headers],[19]])</f>
        <v>0</v>
      </c>
      <c r="X273" s="10">
        <f>SUMIFS(IsQList,IsIList,Table_ExternalData_15[[#This Row],[item_key]],IsITypeList,Table_ExternalData_15[[#This Row],[IType]],IsDList,Table_ExternalData_15[[#Headers],[20]])</f>
        <v>0</v>
      </c>
      <c r="Y273" s="10">
        <f>SUMIFS(IsQList,IsIList,Table_ExternalData_15[[#This Row],[item_key]],IsITypeList,Table_ExternalData_15[[#This Row],[IType]],IsDList,Table_ExternalData_15[[#Headers],[21]])</f>
        <v>0</v>
      </c>
      <c r="Z273" s="10">
        <f>SUMIFS(IsQList,IsIList,Table_ExternalData_15[[#This Row],[item_key]],IsITypeList,Table_ExternalData_15[[#This Row],[IType]],IsDList,Table_ExternalData_15[[#Headers],[22]])</f>
        <v>0</v>
      </c>
      <c r="AA273" s="10">
        <f>SUMIFS(IsQList,IsIList,Table_ExternalData_15[[#This Row],[item_key]],IsITypeList,Table_ExternalData_15[[#This Row],[IType]],IsDList,Table_ExternalData_15[[#Headers],[23]])</f>
        <v>0</v>
      </c>
      <c r="AB273" s="10">
        <f>SUMIFS(IsQList,IsIList,Table_ExternalData_15[[#This Row],[item_key]],IsITypeList,Table_ExternalData_15[[#This Row],[IType]],IsDList,Table_ExternalData_15[[#Headers],[24]])</f>
        <v>0</v>
      </c>
      <c r="AC273" s="10">
        <f>SUMIFS(IsQList,IsIList,Table_ExternalData_15[[#This Row],[item_key]],IsITypeList,Table_ExternalData_15[[#This Row],[IType]],IsDList,Table_ExternalData_15[[#Headers],[25]])</f>
        <v>0</v>
      </c>
      <c r="AD273" s="10">
        <f>SUMIFS(IsQList,IsIList,Table_ExternalData_15[[#This Row],[item_key]],IsITypeList,Table_ExternalData_15[[#This Row],[IType]],IsDList,Table_ExternalData_15[[#Headers],[26]])</f>
        <v>0</v>
      </c>
      <c r="AE273" s="10">
        <f>SUMIFS(IsQList,IsIList,Table_ExternalData_15[[#This Row],[item_key]],IsITypeList,Table_ExternalData_15[[#This Row],[IType]],IsDList,Table_ExternalData_15[[#Headers],[27]])</f>
        <v>0</v>
      </c>
      <c r="AF273" s="10">
        <f>SUMIFS(IsQList,IsIList,Table_ExternalData_15[[#This Row],[item_key]],IsITypeList,Table_ExternalData_15[[#This Row],[IType]],IsDList,Table_ExternalData_15[[#Headers],[28]])</f>
        <v>0</v>
      </c>
      <c r="AG273" s="10">
        <f>SUMIFS(IsQList,IsIList,Table_ExternalData_15[[#This Row],[item_key]],IsITypeList,Table_ExternalData_15[[#This Row],[IType]],IsDList,Table_ExternalData_15[[#Headers],[29]])</f>
        <v>0</v>
      </c>
      <c r="AH273" s="10">
        <f>SUMIFS(IsQList,IsIList,Table_ExternalData_15[[#This Row],[item_key]],IsITypeList,Table_ExternalData_15[[#This Row],[IType]],IsDList,Table_ExternalData_15[[#Headers],[30]])</f>
        <v>30</v>
      </c>
      <c r="AI273" s="10">
        <f>SUMIFS(IsQList,IsIList,Table_ExternalData_15[[#This Row],[item_key]],IsITypeList,Table_ExternalData_15[[#This Row],[IType]],IsDList,Table_ExternalData_15[[#Headers],[31]])</f>
        <v>0</v>
      </c>
      <c r="AJ273" s="10">
        <f>SUM(Table_ExternalData_15[[#This Row],[1]:[31]])</f>
        <v>30</v>
      </c>
    </row>
    <row r="274" spans="1:36">
      <c r="A274" s="1" t="s">
        <v>2026</v>
      </c>
      <c r="B274" s="1" t="s">
        <v>2725</v>
      </c>
      <c r="C274" s="1" t="s">
        <v>2726</v>
      </c>
      <c r="D274" s="11" t="s">
        <v>72</v>
      </c>
      <c r="E274" s="10">
        <f>SUMIFS(IsQList,IsIList,Table_ExternalData_15[[#This Row],[item_key]],IsITypeList,Table_ExternalData_15[[#This Row],[IType]],IsDList,Table_ExternalData_15[[#Headers],[1]])</f>
        <v>0</v>
      </c>
      <c r="F274" s="10">
        <f>SUMIFS(IsQList,IsIList,Table_ExternalData_15[[#This Row],[item_key]],IsITypeList,Table_ExternalData_15[[#This Row],[IType]],IsDList,Table_ExternalData_15[[#Headers],[2]])</f>
        <v>0</v>
      </c>
      <c r="G274" s="10">
        <f>SUMIFS(IsQList,IsIList,Table_ExternalData_15[[#This Row],[item_key]],IsITypeList,Table_ExternalData_15[[#This Row],[IType]],IsDList,Table_ExternalData_15[[#Headers],[3]])</f>
        <v>0</v>
      </c>
      <c r="H274" s="10">
        <f>SUMIFS(IsQList,IsIList,Table_ExternalData_15[[#This Row],[item_key]],IsITypeList,Table_ExternalData_15[[#This Row],[IType]],IsDList,Table_ExternalData_15[[#Headers],[4]])</f>
        <v>0</v>
      </c>
      <c r="I274" s="10">
        <f>SUMIFS(IsQList,IsIList,Table_ExternalData_15[[#This Row],[item_key]],IsITypeList,Table_ExternalData_15[[#This Row],[IType]],IsDList,Table_ExternalData_15[[#Headers],[5]])</f>
        <v>0</v>
      </c>
      <c r="J274" s="10">
        <f>SUMIFS(IsQList,IsIList,Table_ExternalData_15[[#This Row],[item_key]],IsITypeList,Table_ExternalData_15[[#This Row],[IType]],IsDList,Table_ExternalData_15[[#Headers],[6]])</f>
        <v>0</v>
      </c>
      <c r="K274" s="10">
        <f>SUMIFS(IsQList,IsIList,Table_ExternalData_15[[#This Row],[item_key]],IsITypeList,Table_ExternalData_15[[#This Row],[IType]],IsDList,Table_ExternalData_15[[#Headers],[7]])</f>
        <v>0</v>
      </c>
      <c r="L274" s="10">
        <f>SUMIFS(IsQList,IsIList,Table_ExternalData_15[[#This Row],[item_key]],IsITypeList,Table_ExternalData_15[[#This Row],[IType]],IsDList,Table_ExternalData_15[[#Headers],[8]])</f>
        <v>0</v>
      </c>
      <c r="M274" s="10">
        <f>SUMIFS(IsQList,IsIList,Table_ExternalData_15[[#This Row],[item_key]],IsITypeList,Table_ExternalData_15[[#This Row],[IType]],IsDList,Table_ExternalData_15[[#Headers],[9]])</f>
        <v>0</v>
      </c>
      <c r="N274" s="10">
        <f>SUMIFS(IsQList,IsIList,Table_ExternalData_15[[#This Row],[item_key]],IsITypeList,Table_ExternalData_15[[#This Row],[IType]],IsDList,Table_ExternalData_15[[#Headers],[10]])</f>
        <v>20</v>
      </c>
      <c r="O274" s="10">
        <f>SUMIFS(IsQList,IsIList,Table_ExternalData_15[[#This Row],[item_key]],IsITypeList,Table_ExternalData_15[[#This Row],[IType]],IsDList,Table_ExternalData_15[[#Headers],[11]])</f>
        <v>0</v>
      </c>
      <c r="P274" s="10">
        <f>SUMIFS(IsQList,IsIList,Table_ExternalData_15[[#This Row],[item_key]],IsITypeList,Table_ExternalData_15[[#This Row],[IType]],IsDList,Table_ExternalData_15[[#Headers],[12]])</f>
        <v>0</v>
      </c>
      <c r="Q274" s="10">
        <f>SUMIFS(IsQList,IsIList,Table_ExternalData_15[[#This Row],[item_key]],IsITypeList,Table_ExternalData_15[[#This Row],[IType]],IsDList,Table_ExternalData_15[[#Headers],[13]])</f>
        <v>0</v>
      </c>
      <c r="R274" s="10">
        <f>SUMIFS(IsQList,IsIList,Table_ExternalData_15[[#This Row],[item_key]],IsITypeList,Table_ExternalData_15[[#This Row],[IType]],IsDList,Table_ExternalData_15[[#Headers],[14]])</f>
        <v>0</v>
      </c>
      <c r="S274" s="10">
        <f>SUMIFS(IsQList,IsIList,Table_ExternalData_15[[#This Row],[item_key]],IsITypeList,Table_ExternalData_15[[#This Row],[IType]],IsDList,Table_ExternalData_15[[#Headers],[15]])</f>
        <v>0</v>
      </c>
      <c r="T274" s="10">
        <f>SUMIFS(IsQList,IsIList,Table_ExternalData_15[[#This Row],[item_key]],IsITypeList,Table_ExternalData_15[[#This Row],[IType]],IsDList,Table_ExternalData_15[[#Headers],[16]])</f>
        <v>0</v>
      </c>
      <c r="U274" s="10">
        <f>SUMIFS(IsQList,IsIList,Table_ExternalData_15[[#This Row],[item_key]],IsITypeList,Table_ExternalData_15[[#This Row],[IType]],IsDList,Table_ExternalData_15[[#Headers],[17]])</f>
        <v>0</v>
      </c>
      <c r="V274" s="10">
        <f>SUMIFS(IsQList,IsIList,Table_ExternalData_15[[#This Row],[item_key]],IsITypeList,Table_ExternalData_15[[#This Row],[IType]],IsDList,Table_ExternalData_15[[#Headers],[18]])</f>
        <v>0</v>
      </c>
      <c r="W274" s="10">
        <f>SUMIFS(IsQList,IsIList,Table_ExternalData_15[[#This Row],[item_key]],IsITypeList,Table_ExternalData_15[[#This Row],[IType]],IsDList,Table_ExternalData_15[[#Headers],[19]])</f>
        <v>0</v>
      </c>
      <c r="X274" s="10">
        <f>SUMIFS(IsQList,IsIList,Table_ExternalData_15[[#This Row],[item_key]],IsITypeList,Table_ExternalData_15[[#This Row],[IType]],IsDList,Table_ExternalData_15[[#Headers],[20]])</f>
        <v>0</v>
      </c>
      <c r="Y274" s="10">
        <f>SUMIFS(IsQList,IsIList,Table_ExternalData_15[[#This Row],[item_key]],IsITypeList,Table_ExternalData_15[[#This Row],[IType]],IsDList,Table_ExternalData_15[[#Headers],[21]])</f>
        <v>0</v>
      </c>
      <c r="Z274" s="10">
        <f>SUMIFS(IsQList,IsIList,Table_ExternalData_15[[#This Row],[item_key]],IsITypeList,Table_ExternalData_15[[#This Row],[IType]],IsDList,Table_ExternalData_15[[#Headers],[22]])</f>
        <v>0</v>
      </c>
      <c r="AA274" s="10">
        <f>SUMIFS(IsQList,IsIList,Table_ExternalData_15[[#This Row],[item_key]],IsITypeList,Table_ExternalData_15[[#This Row],[IType]],IsDList,Table_ExternalData_15[[#Headers],[23]])</f>
        <v>0</v>
      </c>
      <c r="AB274" s="10">
        <f>SUMIFS(IsQList,IsIList,Table_ExternalData_15[[#This Row],[item_key]],IsITypeList,Table_ExternalData_15[[#This Row],[IType]],IsDList,Table_ExternalData_15[[#Headers],[24]])</f>
        <v>100</v>
      </c>
      <c r="AC274" s="10">
        <f>SUMIFS(IsQList,IsIList,Table_ExternalData_15[[#This Row],[item_key]],IsITypeList,Table_ExternalData_15[[#This Row],[IType]],IsDList,Table_ExternalData_15[[#Headers],[25]])</f>
        <v>0</v>
      </c>
      <c r="AD274" s="10">
        <f>SUMIFS(IsQList,IsIList,Table_ExternalData_15[[#This Row],[item_key]],IsITypeList,Table_ExternalData_15[[#This Row],[IType]],IsDList,Table_ExternalData_15[[#Headers],[26]])</f>
        <v>0</v>
      </c>
      <c r="AE274" s="10">
        <f>SUMIFS(IsQList,IsIList,Table_ExternalData_15[[#This Row],[item_key]],IsITypeList,Table_ExternalData_15[[#This Row],[IType]],IsDList,Table_ExternalData_15[[#Headers],[27]])</f>
        <v>0</v>
      </c>
      <c r="AF274" s="10">
        <f>SUMIFS(IsQList,IsIList,Table_ExternalData_15[[#This Row],[item_key]],IsITypeList,Table_ExternalData_15[[#This Row],[IType]],IsDList,Table_ExternalData_15[[#Headers],[28]])</f>
        <v>0</v>
      </c>
      <c r="AG274" s="10">
        <f>SUMIFS(IsQList,IsIList,Table_ExternalData_15[[#This Row],[item_key]],IsITypeList,Table_ExternalData_15[[#This Row],[IType]],IsDList,Table_ExternalData_15[[#Headers],[29]])</f>
        <v>0</v>
      </c>
      <c r="AH274" s="10">
        <f>SUMIFS(IsQList,IsIList,Table_ExternalData_15[[#This Row],[item_key]],IsITypeList,Table_ExternalData_15[[#This Row],[IType]],IsDList,Table_ExternalData_15[[#Headers],[30]])</f>
        <v>0</v>
      </c>
      <c r="AI274" s="10">
        <f>SUMIFS(IsQList,IsIList,Table_ExternalData_15[[#This Row],[item_key]],IsITypeList,Table_ExternalData_15[[#This Row],[IType]],IsDList,Table_ExternalData_15[[#Headers],[31]])</f>
        <v>0</v>
      </c>
      <c r="AJ274" s="10">
        <f>SUM(Table_ExternalData_15[[#This Row],[1]:[31]])</f>
        <v>120</v>
      </c>
    </row>
    <row r="275" spans="1:36">
      <c r="A275" s="1" t="s">
        <v>2027</v>
      </c>
      <c r="B275" s="1" t="s">
        <v>2727</v>
      </c>
      <c r="C275" s="1" t="s">
        <v>2728</v>
      </c>
      <c r="D275" s="11" t="s">
        <v>72</v>
      </c>
      <c r="E275" s="10">
        <f>SUMIFS(IsQList,IsIList,Table_ExternalData_15[[#This Row],[item_key]],IsITypeList,Table_ExternalData_15[[#This Row],[IType]],IsDList,Table_ExternalData_15[[#Headers],[1]])</f>
        <v>0</v>
      </c>
      <c r="F275" s="10">
        <f>SUMIFS(IsQList,IsIList,Table_ExternalData_15[[#This Row],[item_key]],IsITypeList,Table_ExternalData_15[[#This Row],[IType]],IsDList,Table_ExternalData_15[[#Headers],[2]])</f>
        <v>0</v>
      </c>
      <c r="G275" s="10">
        <f>SUMIFS(IsQList,IsIList,Table_ExternalData_15[[#This Row],[item_key]],IsITypeList,Table_ExternalData_15[[#This Row],[IType]],IsDList,Table_ExternalData_15[[#Headers],[3]])</f>
        <v>0</v>
      </c>
      <c r="H275" s="10">
        <f>SUMIFS(IsQList,IsIList,Table_ExternalData_15[[#This Row],[item_key]],IsITypeList,Table_ExternalData_15[[#This Row],[IType]],IsDList,Table_ExternalData_15[[#Headers],[4]])</f>
        <v>0</v>
      </c>
      <c r="I275" s="10">
        <f>SUMIFS(IsQList,IsIList,Table_ExternalData_15[[#This Row],[item_key]],IsITypeList,Table_ExternalData_15[[#This Row],[IType]],IsDList,Table_ExternalData_15[[#Headers],[5]])</f>
        <v>0</v>
      </c>
      <c r="J275" s="10">
        <f>SUMIFS(IsQList,IsIList,Table_ExternalData_15[[#This Row],[item_key]],IsITypeList,Table_ExternalData_15[[#This Row],[IType]],IsDList,Table_ExternalData_15[[#Headers],[6]])</f>
        <v>0</v>
      </c>
      <c r="K275" s="10">
        <f>SUMIFS(IsQList,IsIList,Table_ExternalData_15[[#This Row],[item_key]],IsITypeList,Table_ExternalData_15[[#This Row],[IType]],IsDList,Table_ExternalData_15[[#Headers],[7]])</f>
        <v>0</v>
      </c>
      <c r="L275" s="10">
        <f>SUMIFS(IsQList,IsIList,Table_ExternalData_15[[#This Row],[item_key]],IsITypeList,Table_ExternalData_15[[#This Row],[IType]],IsDList,Table_ExternalData_15[[#Headers],[8]])</f>
        <v>0</v>
      </c>
      <c r="M275" s="10">
        <f>SUMIFS(IsQList,IsIList,Table_ExternalData_15[[#This Row],[item_key]],IsITypeList,Table_ExternalData_15[[#This Row],[IType]],IsDList,Table_ExternalData_15[[#Headers],[9]])</f>
        <v>0</v>
      </c>
      <c r="N275" s="10">
        <f>SUMIFS(IsQList,IsIList,Table_ExternalData_15[[#This Row],[item_key]],IsITypeList,Table_ExternalData_15[[#This Row],[IType]],IsDList,Table_ExternalData_15[[#Headers],[10]])</f>
        <v>0</v>
      </c>
      <c r="O275" s="10">
        <f>SUMIFS(IsQList,IsIList,Table_ExternalData_15[[#This Row],[item_key]],IsITypeList,Table_ExternalData_15[[#This Row],[IType]],IsDList,Table_ExternalData_15[[#Headers],[11]])</f>
        <v>0</v>
      </c>
      <c r="P275" s="10">
        <f>SUMIFS(IsQList,IsIList,Table_ExternalData_15[[#This Row],[item_key]],IsITypeList,Table_ExternalData_15[[#This Row],[IType]],IsDList,Table_ExternalData_15[[#Headers],[12]])</f>
        <v>0</v>
      </c>
      <c r="Q275" s="10">
        <f>SUMIFS(IsQList,IsIList,Table_ExternalData_15[[#This Row],[item_key]],IsITypeList,Table_ExternalData_15[[#This Row],[IType]],IsDList,Table_ExternalData_15[[#Headers],[13]])</f>
        <v>0</v>
      </c>
      <c r="R275" s="10">
        <f>SUMIFS(IsQList,IsIList,Table_ExternalData_15[[#This Row],[item_key]],IsITypeList,Table_ExternalData_15[[#This Row],[IType]],IsDList,Table_ExternalData_15[[#Headers],[14]])</f>
        <v>0</v>
      </c>
      <c r="S275" s="10">
        <f>SUMIFS(IsQList,IsIList,Table_ExternalData_15[[#This Row],[item_key]],IsITypeList,Table_ExternalData_15[[#This Row],[IType]],IsDList,Table_ExternalData_15[[#Headers],[15]])</f>
        <v>0</v>
      </c>
      <c r="T275" s="10">
        <f>SUMIFS(IsQList,IsIList,Table_ExternalData_15[[#This Row],[item_key]],IsITypeList,Table_ExternalData_15[[#This Row],[IType]],IsDList,Table_ExternalData_15[[#Headers],[16]])</f>
        <v>0</v>
      </c>
      <c r="U275" s="10">
        <f>SUMIFS(IsQList,IsIList,Table_ExternalData_15[[#This Row],[item_key]],IsITypeList,Table_ExternalData_15[[#This Row],[IType]],IsDList,Table_ExternalData_15[[#Headers],[17]])</f>
        <v>0</v>
      </c>
      <c r="V275" s="10">
        <f>SUMIFS(IsQList,IsIList,Table_ExternalData_15[[#This Row],[item_key]],IsITypeList,Table_ExternalData_15[[#This Row],[IType]],IsDList,Table_ExternalData_15[[#Headers],[18]])</f>
        <v>0</v>
      </c>
      <c r="W275" s="10">
        <f>SUMIFS(IsQList,IsIList,Table_ExternalData_15[[#This Row],[item_key]],IsITypeList,Table_ExternalData_15[[#This Row],[IType]],IsDList,Table_ExternalData_15[[#Headers],[19]])</f>
        <v>0</v>
      </c>
      <c r="X275" s="10">
        <f>SUMIFS(IsQList,IsIList,Table_ExternalData_15[[#This Row],[item_key]],IsITypeList,Table_ExternalData_15[[#This Row],[IType]],IsDList,Table_ExternalData_15[[#Headers],[20]])</f>
        <v>0</v>
      </c>
      <c r="Y275" s="10">
        <f>SUMIFS(IsQList,IsIList,Table_ExternalData_15[[#This Row],[item_key]],IsITypeList,Table_ExternalData_15[[#This Row],[IType]],IsDList,Table_ExternalData_15[[#Headers],[21]])</f>
        <v>0</v>
      </c>
      <c r="Z275" s="10">
        <f>SUMIFS(IsQList,IsIList,Table_ExternalData_15[[#This Row],[item_key]],IsITypeList,Table_ExternalData_15[[#This Row],[IType]],IsDList,Table_ExternalData_15[[#Headers],[22]])</f>
        <v>0</v>
      </c>
      <c r="AA275" s="10">
        <f>SUMIFS(IsQList,IsIList,Table_ExternalData_15[[#This Row],[item_key]],IsITypeList,Table_ExternalData_15[[#This Row],[IType]],IsDList,Table_ExternalData_15[[#Headers],[23]])</f>
        <v>0</v>
      </c>
      <c r="AB275" s="10">
        <f>SUMIFS(IsQList,IsIList,Table_ExternalData_15[[#This Row],[item_key]],IsITypeList,Table_ExternalData_15[[#This Row],[IType]],IsDList,Table_ExternalData_15[[#Headers],[24]])</f>
        <v>0</v>
      </c>
      <c r="AC275" s="10">
        <f>SUMIFS(IsQList,IsIList,Table_ExternalData_15[[#This Row],[item_key]],IsITypeList,Table_ExternalData_15[[#This Row],[IType]],IsDList,Table_ExternalData_15[[#Headers],[25]])</f>
        <v>0</v>
      </c>
      <c r="AD275" s="10">
        <f>SUMIFS(IsQList,IsIList,Table_ExternalData_15[[#This Row],[item_key]],IsITypeList,Table_ExternalData_15[[#This Row],[IType]],IsDList,Table_ExternalData_15[[#Headers],[26]])</f>
        <v>0</v>
      </c>
      <c r="AE275" s="10">
        <f>SUMIFS(IsQList,IsIList,Table_ExternalData_15[[#This Row],[item_key]],IsITypeList,Table_ExternalData_15[[#This Row],[IType]],IsDList,Table_ExternalData_15[[#Headers],[27]])</f>
        <v>0</v>
      </c>
      <c r="AF275" s="10">
        <f>SUMIFS(IsQList,IsIList,Table_ExternalData_15[[#This Row],[item_key]],IsITypeList,Table_ExternalData_15[[#This Row],[IType]],IsDList,Table_ExternalData_15[[#Headers],[28]])</f>
        <v>0</v>
      </c>
      <c r="AG275" s="10">
        <f>SUMIFS(IsQList,IsIList,Table_ExternalData_15[[#This Row],[item_key]],IsITypeList,Table_ExternalData_15[[#This Row],[IType]],IsDList,Table_ExternalData_15[[#Headers],[29]])</f>
        <v>0</v>
      </c>
      <c r="AH275" s="10">
        <f>SUMIFS(IsQList,IsIList,Table_ExternalData_15[[#This Row],[item_key]],IsITypeList,Table_ExternalData_15[[#This Row],[IType]],IsDList,Table_ExternalData_15[[#Headers],[30]])</f>
        <v>0</v>
      </c>
      <c r="AI275" s="10">
        <f>SUMIFS(IsQList,IsIList,Table_ExternalData_15[[#This Row],[item_key]],IsITypeList,Table_ExternalData_15[[#This Row],[IType]],IsDList,Table_ExternalData_15[[#Headers],[31]])</f>
        <v>0</v>
      </c>
      <c r="AJ275" s="10">
        <f>SUM(Table_ExternalData_15[[#This Row],[1]:[31]])</f>
        <v>0</v>
      </c>
    </row>
    <row r="276" spans="1:36">
      <c r="A276" s="1" t="s">
        <v>824</v>
      </c>
      <c r="B276" s="1" t="s">
        <v>2731</v>
      </c>
      <c r="C276" s="1" t="s">
        <v>2732</v>
      </c>
      <c r="D276" s="11" t="s">
        <v>72</v>
      </c>
      <c r="E276" s="10">
        <f>SUMIFS(IsQList,IsIList,Table_ExternalData_15[[#This Row],[item_key]],IsITypeList,Table_ExternalData_15[[#This Row],[IType]],IsDList,Table_ExternalData_15[[#Headers],[1]])</f>
        <v>0</v>
      </c>
      <c r="F276" s="10">
        <f>SUMIFS(IsQList,IsIList,Table_ExternalData_15[[#This Row],[item_key]],IsITypeList,Table_ExternalData_15[[#This Row],[IType]],IsDList,Table_ExternalData_15[[#Headers],[2]])</f>
        <v>0</v>
      </c>
      <c r="G276" s="10">
        <f>SUMIFS(IsQList,IsIList,Table_ExternalData_15[[#This Row],[item_key]],IsITypeList,Table_ExternalData_15[[#This Row],[IType]],IsDList,Table_ExternalData_15[[#Headers],[3]])</f>
        <v>0</v>
      </c>
      <c r="H276" s="10">
        <f>SUMIFS(IsQList,IsIList,Table_ExternalData_15[[#This Row],[item_key]],IsITypeList,Table_ExternalData_15[[#This Row],[IType]],IsDList,Table_ExternalData_15[[#Headers],[4]])</f>
        <v>0</v>
      </c>
      <c r="I276" s="10">
        <f>SUMIFS(IsQList,IsIList,Table_ExternalData_15[[#This Row],[item_key]],IsITypeList,Table_ExternalData_15[[#This Row],[IType]],IsDList,Table_ExternalData_15[[#Headers],[5]])</f>
        <v>0</v>
      </c>
      <c r="J276" s="10">
        <f>SUMIFS(IsQList,IsIList,Table_ExternalData_15[[#This Row],[item_key]],IsITypeList,Table_ExternalData_15[[#This Row],[IType]],IsDList,Table_ExternalData_15[[#Headers],[6]])</f>
        <v>0</v>
      </c>
      <c r="K276" s="10">
        <f>SUMIFS(IsQList,IsIList,Table_ExternalData_15[[#This Row],[item_key]],IsITypeList,Table_ExternalData_15[[#This Row],[IType]],IsDList,Table_ExternalData_15[[#Headers],[7]])</f>
        <v>0</v>
      </c>
      <c r="L276" s="10">
        <f>SUMIFS(IsQList,IsIList,Table_ExternalData_15[[#This Row],[item_key]],IsITypeList,Table_ExternalData_15[[#This Row],[IType]],IsDList,Table_ExternalData_15[[#Headers],[8]])</f>
        <v>0</v>
      </c>
      <c r="M276" s="10">
        <f>SUMIFS(IsQList,IsIList,Table_ExternalData_15[[#This Row],[item_key]],IsITypeList,Table_ExternalData_15[[#This Row],[IType]],IsDList,Table_ExternalData_15[[#Headers],[9]])</f>
        <v>0</v>
      </c>
      <c r="N276" s="10">
        <f>SUMIFS(IsQList,IsIList,Table_ExternalData_15[[#This Row],[item_key]],IsITypeList,Table_ExternalData_15[[#This Row],[IType]],IsDList,Table_ExternalData_15[[#Headers],[10]])</f>
        <v>0</v>
      </c>
      <c r="O276" s="10">
        <f>SUMIFS(IsQList,IsIList,Table_ExternalData_15[[#This Row],[item_key]],IsITypeList,Table_ExternalData_15[[#This Row],[IType]],IsDList,Table_ExternalData_15[[#Headers],[11]])</f>
        <v>0</v>
      </c>
      <c r="P276" s="10">
        <f>SUMIFS(IsQList,IsIList,Table_ExternalData_15[[#This Row],[item_key]],IsITypeList,Table_ExternalData_15[[#This Row],[IType]],IsDList,Table_ExternalData_15[[#Headers],[12]])</f>
        <v>0</v>
      </c>
      <c r="Q276" s="10">
        <f>SUMIFS(IsQList,IsIList,Table_ExternalData_15[[#This Row],[item_key]],IsITypeList,Table_ExternalData_15[[#This Row],[IType]],IsDList,Table_ExternalData_15[[#Headers],[13]])</f>
        <v>0</v>
      </c>
      <c r="R276" s="10">
        <f>SUMIFS(IsQList,IsIList,Table_ExternalData_15[[#This Row],[item_key]],IsITypeList,Table_ExternalData_15[[#This Row],[IType]],IsDList,Table_ExternalData_15[[#Headers],[14]])</f>
        <v>0</v>
      </c>
      <c r="S276" s="10">
        <f>SUMIFS(IsQList,IsIList,Table_ExternalData_15[[#This Row],[item_key]],IsITypeList,Table_ExternalData_15[[#This Row],[IType]],IsDList,Table_ExternalData_15[[#Headers],[15]])</f>
        <v>0</v>
      </c>
      <c r="T276" s="10">
        <f>SUMIFS(IsQList,IsIList,Table_ExternalData_15[[#This Row],[item_key]],IsITypeList,Table_ExternalData_15[[#This Row],[IType]],IsDList,Table_ExternalData_15[[#Headers],[16]])</f>
        <v>0</v>
      </c>
      <c r="U276" s="10">
        <f>SUMIFS(IsQList,IsIList,Table_ExternalData_15[[#This Row],[item_key]],IsITypeList,Table_ExternalData_15[[#This Row],[IType]],IsDList,Table_ExternalData_15[[#Headers],[17]])</f>
        <v>0</v>
      </c>
      <c r="V276" s="10">
        <f>SUMIFS(IsQList,IsIList,Table_ExternalData_15[[#This Row],[item_key]],IsITypeList,Table_ExternalData_15[[#This Row],[IType]],IsDList,Table_ExternalData_15[[#Headers],[18]])</f>
        <v>0</v>
      </c>
      <c r="W276" s="10">
        <f>SUMIFS(IsQList,IsIList,Table_ExternalData_15[[#This Row],[item_key]],IsITypeList,Table_ExternalData_15[[#This Row],[IType]],IsDList,Table_ExternalData_15[[#Headers],[19]])</f>
        <v>0</v>
      </c>
      <c r="X276" s="10">
        <f>SUMIFS(IsQList,IsIList,Table_ExternalData_15[[#This Row],[item_key]],IsITypeList,Table_ExternalData_15[[#This Row],[IType]],IsDList,Table_ExternalData_15[[#Headers],[20]])</f>
        <v>0</v>
      </c>
      <c r="Y276" s="10">
        <f>SUMIFS(IsQList,IsIList,Table_ExternalData_15[[#This Row],[item_key]],IsITypeList,Table_ExternalData_15[[#This Row],[IType]],IsDList,Table_ExternalData_15[[#Headers],[21]])</f>
        <v>0</v>
      </c>
      <c r="Z276" s="10">
        <f>SUMIFS(IsQList,IsIList,Table_ExternalData_15[[#This Row],[item_key]],IsITypeList,Table_ExternalData_15[[#This Row],[IType]],IsDList,Table_ExternalData_15[[#Headers],[22]])</f>
        <v>0</v>
      </c>
      <c r="AA276" s="10">
        <f>SUMIFS(IsQList,IsIList,Table_ExternalData_15[[#This Row],[item_key]],IsITypeList,Table_ExternalData_15[[#This Row],[IType]],IsDList,Table_ExternalData_15[[#Headers],[23]])</f>
        <v>0</v>
      </c>
      <c r="AB276" s="10">
        <f>SUMIFS(IsQList,IsIList,Table_ExternalData_15[[#This Row],[item_key]],IsITypeList,Table_ExternalData_15[[#This Row],[IType]],IsDList,Table_ExternalData_15[[#Headers],[24]])</f>
        <v>1</v>
      </c>
      <c r="AC276" s="10">
        <f>SUMIFS(IsQList,IsIList,Table_ExternalData_15[[#This Row],[item_key]],IsITypeList,Table_ExternalData_15[[#This Row],[IType]],IsDList,Table_ExternalData_15[[#Headers],[25]])</f>
        <v>0</v>
      </c>
      <c r="AD276" s="10">
        <f>SUMIFS(IsQList,IsIList,Table_ExternalData_15[[#This Row],[item_key]],IsITypeList,Table_ExternalData_15[[#This Row],[IType]],IsDList,Table_ExternalData_15[[#Headers],[26]])</f>
        <v>0</v>
      </c>
      <c r="AE276" s="10">
        <f>SUMIFS(IsQList,IsIList,Table_ExternalData_15[[#This Row],[item_key]],IsITypeList,Table_ExternalData_15[[#This Row],[IType]],IsDList,Table_ExternalData_15[[#Headers],[27]])</f>
        <v>0</v>
      </c>
      <c r="AF276" s="10">
        <f>SUMIFS(IsQList,IsIList,Table_ExternalData_15[[#This Row],[item_key]],IsITypeList,Table_ExternalData_15[[#This Row],[IType]],IsDList,Table_ExternalData_15[[#Headers],[28]])</f>
        <v>0</v>
      </c>
      <c r="AG276" s="10">
        <f>SUMIFS(IsQList,IsIList,Table_ExternalData_15[[#This Row],[item_key]],IsITypeList,Table_ExternalData_15[[#This Row],[IType]],IsDList,Table_ExternalData_15[[#Headers],[29]])</f>
        <v>0</v>
      </c>
      <c r="AH276" s="10">
        <f>SUMIFS(IsQList,IsIList,Table_ExternalData_15[[#This Row],[item_key]],IsITypeList,Table_ExternalData_15[[#This Row],[IType]],IsDList,Table_ExternalData_15[[#Headers],[30]])</f>
        <v>2</v>
      </c>
      <c r="AI276" s="10">
        <f>SUMIFS(IsQList,IsIList,Table_ExternalData_15[[#This Row],[item_key]],IsITypeList,Table_ExternalData_15[[#This Row],[IType]],IsDList,Table_ExternalData_15[[#Headers],[31]])</f>
        <v>0</v>
      </c>
      <c r="AJ276" s="10">
        <f>SUM(Table_ExternalData_15[[#This Row],[1]:[31]])</f>
        <v>3</v>
      </c>
    </row>
    <row r="277" spans="1:36">
      <c r="A277" s="1" t="s">
        <v>827</v>
      </c>
      <c r="B277" s="1" t="s">
        <v>2360</v>
      </c>
      <c r="C277" s="1" t="s">
        <v>2361</v>
      </c>
      <c r="D277" s="11" t="s">
        <v>72</v>
      </c>
      <c r="E277" s="10">
        <f>SUMIFS(IsQList,IsIList,Table_ExternalData_15[[#This Row],[item_key]],IsITypeList,Table_ExternalData_15[[#This Row],[IType]],IsDList,Table_ExternalData_15[[#Headers],[1]])</f>
        <v>0</v>
      </c>
      <c r="F277" s="10">
        <f>SUMIFS(IsQList,IsIList,Table_ExternalData_15[[#This Row],[item_key]],IsITypeList,Table_ExternalData_15[[#This Row],[IType]],IsDList,Table_ExternalData_15[[#Headers],[2]])</f>
        <v>0</v>
      </c>
      <c r="G277" s="10">
        <f>SUMIFS(IsQList,IsIList,Table_ExternalData_15[[#This Row],[item_key]],IsITypeList,Table_ExternalData_15[[#This Row],[IType]],IsDList,Table_ExternalData_15[[#Headers],[3]])</f>
        <v>0</v>
      </c>
      <c r="H277" s="10">
        <f>SUMIFS(IsQList,IsIList,Table_ExternalData_15[[#This Row],[item_key]],IsITypeList,Table_ExternalData_15[[#This Row],[IType]],IsDList,Table_ExternalData_15[[#Headers],[4]])</f>
        <v>0</v>
      </c>
      <c r="I277" s="10">
        <f>SUMIFS(IsQList,IsIList,Table_ExternalData_15[[#This Row],[item_key]],IsITypeList,Table_ExternalData_15[[#This Row],[IType]],IsDList,Table_ExternalData_15[[#Headers],[5]])</f>
        <v>0</v>
      </c>
      <c r="J277" s="10">
        <f>SUMIFS(IsQList,IsIList,Table_ExternalData_15[[#This Row],[item_key]],IsITypeList,Table_ExternalData_15[[#This Row],[IType]],IsDList,Table_ExternalData_15[[#Headers],[6]])</f>
        <v>20</v>
      </c>
      <c r="K277" s="10">
        <f>SUMIFS(IsQList,IsIList,Table_ExternalData_15[[#This Row],[item_key]],IsITypeList,Table_ExternalData_15[[#This Row],[IType]],IsDList,Table_ExternalData_15[[#Headers],[7]])</f>
        <v>0</v>
      </c>
      <c r="L277" s="10">
        <f>SUMIFS(IsQList,IsIList,Table_ExternalData_15[[#This Row],[item_key]],IsITypeList,Table_ExternalData_15[[#This Row],[IType]],IsDList,Table_ExternalData_15[[#Headers],[8]])</f>
        <v>0</v>
      </c>
      <c r="M277" s="10">
        <f>SUMIFS(IsQList,IsIList,Table_ExternalData_15[[#This Row],[item_key]],IsITypeList,Table_ExternalData_15[[#This Row],[IType]],IsDList,Table_ExternalData_15[[#Headers],[9]])</f>
        <v>0</v>
      </c>
      <c r="N277" s="10">
        <f>SUMIFS(IsQList,IsIList,Table_ExternalData_15[[#This Row],[item_key]],IsITypeList,Table_ExternalData_15[[#This Row],[IType]],IsDList,Table_ExternalData_15[[#Headers],[10]])</f>
        <v>0</v>
      </c>
      <c r="O277" s="10">
        <f>SUMIFS(IsQList,IsIList,Table_ExternalData_15[[#This Row],[item_key]],IsITypeList,Table_ExternalData_15[[#This Row],[IType]],IsDList,Table_ExternalData_15[[#Headers],[11]])</f>
        <v>0</v>
      </c>
      <c r="P277" s="10">
        <f>SUMIFS(IsQList,IsIList,Table_ExternalData_15[[#This Row],[item_key]],IsITypeList,Table_ExternalData_15[[#This Row],[IType]],IsDList,Table_ExternalData_15[[#Headers],[12]])</f>
        <v>0</v>
      </c>
      <c r="Q277" s="10">
        <f>SUMIFS(IsQList,IsIList,Table_ExternalData_15[[#This Row],[item_key]],IsITypeList,Table_ExternalData_15[[#This Row],[IType]],IsDList,Table_ExternalData_15[[#Headers],[13]])</f>
        <v>0</v>
      </c>
      <c r="R277" s="10">
        <f>SUMIFS(IsQList,IsIList,Table_ExternalData_15[[#This Row],[item_key]],IsITypeList,Table_ExternalData_15[[#This Row],[IType]],IsDList,Table_ExternalData_15[[#Headers],[14]])</f>
        <v>0</v>
      </c>
      <c r="S277" s="10">
        <f>SUMIFS(IsQList,IsIList,Table_ExternalData_15[[#This Row],[item_key]],IsITypeList,Table_ExternalData_15[[#This Row],[IType]],IsDList,Table_ExternalData_15[[#Headers],[15]])</f>
        <v>0</v>
      </c>
      <c r="T277" s="10">
        <f>SUMIFS(IsQList,IsIList,Table_ExternalData_15[[#This Row],[item_key]],IsITypeList,Table_ExternalData_15[[#This Row],[IType]],IsDList,Table_ExternalData_15[[#Headers],[16]])</f>
        <v>20</v>
      </c>
      <c r="U277" s="10">
        <f>SUMIFS(IsQList,IsIList,Table_ExternalData_15[[#This Row],[item_key]],IsITypeList,Table_ExternalData_15[[#This Row],[IType]],IsDList,Table_ExternalData_15[[#Headers],[17]])</f>
        <v>0</v>
      </c>
      <c r="V277" s="10">
        <f>SUMIFS(IsQList,IsIList,Table_ExternalData_15[[#This Row],[item_key]],IsITypeList,Table_ExternalData_15[[#This Row],[IType]],IsDList,Table_ExternalData_15[[#Headers],[18]])</f>
        <v>0</v>
      </c>
      <c r="W277" s="10">
        <f>SUMIFS(IsQList,IsIList,Table_ExternalData_15[[#This Row],[item_key]],IsITypeList,Table_ExternalData_15[[#This Row],[IType]],IsDList,Table_ExternalData_15[[#Headers],[19]])</f>
        <v>0</v>
      </c>
      <c r="X277" s="10">
        <f>SUMIFS(IsQList,IsIList,Table_ExternalData_15[[#This Row],[item_key]],IsITypeList,Table_ExternalData_15[[#This Row],[IType]],IsDList,Table_ExternalData_15[[#Headers],[20]])</f>
        <v>0</v>
      </c>
      <c r="Y277" s="10">
        <f>SUMIFS(IsQList,IsIList,Table_ExternalData_15[[#This Row],[item_key]],IsITypeList,Table_ExternalData_15[[#This Row],[IType]],IsDList,Table_ExternalData_15[[#Headers],[21]])</f>
        <v>0</v>
      </c>
      <c r="Z277" s="10">
        <f>SUMIFS(IsQList,IsIList,Table_ExternalData_15[[#This Row],[item_key]],IsITypeList,Table_ExternalData_15[[#This Row],[IType]],IsDList,Table_ExternalData_15[[#Headers],[22]])</f>
        <v>0</v>
      </c>
      <c r="AA277" s="10">
        <f>SUMIFS(IsQList,IsIList,Table_ExternalData_15[[#This Row],[item_key]],IsITypeList,Table_ExternalData_15[[#This Row],[IType]],IsDList,Table_ExternalData_15[[#Headers],[23]])</f>
        <v>0</v>
      </c>
      <c r="AB277" s="10">
        <f>SUMIFS(IsQList,IsIList,Table_ExternalData_15[[#This Row],[item_key]],IsITypeList,Table_ExternalData_15[[#This Row],[IType]],IsDList,Table_ExternalData_15[[#Headers],[24]])</f>
        <v>10</v>
      </c>
      <c r="AC277" s="10">
        <f>SUMIFS(IsQList,IsIList,Table_ExternalData_15[[#This Row],[item_key]],IsITypeList,Table_ExternalData_15[[#This Row],[IType]],IsDList,Table_ExternalData_15[[#Headers],[25]])</f>
        <v>0</v>
      </c>
      <c r="AD277" s="10">
        <f>SUMIFS(IsQList,IsIList,Table_ExternalData_15[[#This Row],[item_key]],IsITypeList,Table_ExternalData_15[[#This Row],[IType]],IsDList,Table_ExternalData_15[[#Headers],[26]])</f>
        <v>0</v>
      </c>
      <c r="AE277" s="10">
        <f>SUMIFS(IsQList,IsIList,Table_ExternalData_15[[#This Row],[item_key]],IsITypeList,Table_ExternalData_15[[#This Row],[IType]],IsDList,Table_ExternalData_15[[#Headers],[27]])</f>
        <v>0</v>
      </c>
      <c r="AF277" s="10">
        <f>SUMIFS(IsQList,IsIList,Table_ExternalData_15[[#This Row],[item_key]],IsITypeList,Table_ExternalData_15[[#This Row],[IType]],IsDList,Table_ExternalData_15[[#Headers],[28]])</f>
        <v>0</v>
      </c>
      <c r="AG277" s="10">
        <f>SUMIFS(IsQList,IsIList,Table_ExternalData_15[[#This Row],[item_key]],IsITypeList,Table_ExternalData_15[[#This Row],[IType]],IsDList,Table_ExternalData_15[[#Headers],[29]])</f>
        <v>0</v>
      </c>
      <c r="AH277" s="10">
        <f>SUMIFS(IsQList,IsIList,Table_ExternalData_15[[#This Row],[item_key]],IsITypeList,Table_ExternalData_15[[#This Row],[IType]],IsDList,Table_ExternalData_15[[#Headers],[30]])</f>
        <v>8</v>
      </c>
      <c r="AI277" s="10">
        <f>SUMIFS(IsQList,IsIList,Table_ExternalData_15[[#This Row],[item_key]],IsITypeList,Table_ExternalData_15[[#This Row],[IType]],IsDList,Table_ExternalData_15[[#Headers],[31]])</f>
        <v>0</v>
      </c>
      <c r="AJ277" s="10">
        <f>SUM(Table_ExternalData_15[[#This Row],[1]:[31]])</f>
        <v>58</v>
      </c>
    </row>
    <row r="278" spans="1:36">
      <c r="A278" s="1" t="s">
        <v>2056</v>
      </c>
      <c r="B278" s="1" t="s">
        <v>2733</v>
      </c>
      <c r="C278" s="1" t="s">
        <v>2734</v>
      </c>
      <c r="D278" s="11" t="s">
        <v>72</v>
      </c>
      <c r="E278" s="10">
        <f>SUMIFS(IsQList,IsIList,Table_ExternalData_15[[#This Row],[item_key]],IsITypeList,Table_ExternalData_15[[#This Row],[IType]],IsDList,Table_ExternalData_15[[#Headers],[1]])</f>
        <v>0</v>
      </c>
      <c r="F278" s="10">
        <f>SUMIFS(IsQList,IsIList,Table_ExternalData_15[[#This Row],[item_key]],IsITypeList,Table_ExternalData_15[[#This Row],[IType]],IsDList,Table_ExternalData_15[[#Headers],[2]])</f>
        <v>0</v>
      </c>
      <c r="G278" s="10">
        <f>SUMIFS(IsQList,IsIList,Table_ExternalData_15[[#This Row],[item_key]],IsITypeList,Table_ExternalData_15[[#This Row],[IType]],IsDList,Table_ExternalData_15[[#Headers],[3]])</f>
        <v>0</v>
      </c>
      <c r="H278" s="10">
        <f>SUMIFS(IsQList,IsIList,Table_ExternalData_15[[#This Row],[item_key]],IsITypeList,Table_ExternalData_15[[#This Row],[IType]],IsDList,Table_ExternalData_15[[#Headers],[4]])</f>
        <v>0</v>
      </c>
      <c r="I278" s="10">
        <f>SUMIFS(IsQList,IsIList,Table_ExternalData_15[[#This Row],[item_key]],IsITypeList,Table_ExternalData_15[[#This Row],[IType]],IsDList,Table_ExternalData_15[[#Headers],[5]])</f>
        <v>0</v>
      </c>
      <c r="J278" s="10">
        <f>SUMIFS(IsQList,IsIList,Table_ExternalData_15[[#This Row],[item_key]],IsITypeList,Table_ExternalData_15[[#This Row],[IType]],IsDList,Table_ExternalData_15[[#Headers],[6]])</f>
        <v>0</v>
      </c>
      <c r="K278" s="10">
        <f>SUMIFS(IsQList,IsIList,Table_ExternalData_15[[#This Row],[item_key]],IsITypeList,Table_ExternalData_15[[#This Row],[IType]],IsDList,Table_ExternalData_15[[#Headers],[7]])</f>
        <v>0</v>
      </c>
      <c r="L278" s="10">
        <f>SUMIFS(IsQList,IsIList,Table_ExternalData_15[[#This Row],[item_key]],IsITypeList,Table_ExternalData_15[[#This Row],[IType]],IsDList,Table_ExternalData_15[[#Headers],[8]])</f>
        <v>0</v>
      </c>
      <c r="M278" s="10">
        <f>SUMIFS(IsQList,IsIList,Table_ExternalData_15[[#This Row],[item_key]],IsITypeList,Table_ExternalData_15[[#This Row],[IType]],IsDList,Table_ExternalData_15[[#Headers],[9]])</f>
        <v>0</v>
      </c>
      <c r="N278" s="10">
        <f>SUMIFS(IsQList,IsIList,Table_ExternalData_15[[#This Row],[item_key]],IsITypeList,Table_ExternalData_15[[#This Row],[IType]],IsDList,Table_ExternalData_15[[#Headers],[10]])</f>
        <v>19</v>
      </c>
      <c r="O278" s="10">
        <f>SUMIFS(IsQList,IsIList,Table_ExternalData_15[[#This Row],[item_key]],IsITypeList,Table_ExternalData_15[[#This Row],[IType]],IsDList,Table_ExternalData_15[[#Headers],[11]])</f>
        <v>0</v>
      </c>
      <c r="P278" s="10">
        <f>SUMIFS(IsQList,IsIList,Table_ExternalData_15[[#This Row],[item_key]],IsITypeList,Table_ExternalData_15[[#This Row],[IType]],IsDList,Table_ExternalData_15[[#Headers],[12]])</f>
        <v>0</v>
      </c>
      <c r="Q278" s="10">
        <f>SUMIFS(IsQList,IsIList,Table_ExternalData_15[[#This Row],[item_key]],IsITypeList,Table_ExternalData_15[[#This Row],[IType]],IsDList,Table_ExternalData_15[[#Headers],[13]])</f>
        <v>0</v>
      </c>
      <c r="R278" s="10">
        <f>SUMIFS(IsQList,IsIList,Table_ExternalData_15[[#This Row],[item_key]],IsITypeList,Table_ExternalData_15[[#This Row],[IType]],IsDList,Table_ExternalData_15[[#Headers],[14]])</f>
        <v>0</v>
      </c>
      <c r="S278" s="10">
        <f>SUMIFS(IsQList,IsIList,Table_ExternalData_15[[#This Row],[item_key]],IsITypeList,Table_ExternalData_15[[#This Row],[IType]],IsDList,Table_ExternalData_15[[#Headers],[15]])</f>
        <v>0</v>
      </c>
      <c r="T278" s="10">
        <f>SUMIFS(IsQList,IsIList,Table_ExternalData_15[[#This Row],[item_key]],IsITypeList,Table_ExternalData_15[[#This Row],[IType]],IsDList,Table_ExternalData_15[[#Headers],[16]])</f>
        <v>0</v>
      </c>
      <c r="U278" s="10">
        <f>SUMIFS(IsQList,IsIList,Table_ExternalData_15[[#This Row],[item_key]],IsITypeList,Table_ExternalData_15[[#This Row],[IType]],IsDList,Table_ExternalData_15[[#Headers],[17]])</f>
        <v>0</v>
      </c>
      <c r="V278" s="10">
        <f>SUMIFS(IsQList,IsIList,Table_ExternalData_15[[#This Row],[item_key]],IsITypeList,Table_ExternalData_15[[#This Row],[IType]],IsDList,Table_ExternalData_15[[#Headers],[18]])</f>
        <v>0</v>
      </c>
      <c r="W278" s="10">
        <f>SUMIFS(IsQList,IsIList,Table_ExternalData_15[[#This Row],[item_key]],IsITypeList,Table_ExternalData_15[[#This Row],[IType]],IsDList,Table_ExternalData_15[[#Headers],[19]])</f>
        <v>0</v>
      </c>
      <c r="X278" s="10">
        <f>SUMIFS(IsQList,IsIList,Table_ExternalData_15[[#This Row],[item_key]],IsITypeList,Table_ExternalData_15[[#This Row],[IType]],IsDList,Table_ExternalData_15[[#Headers],[20]])</f>
        <v>0</v>
      </c>
      <c r="Y278" s="10">
        <f>SUMIFS(IsQList,IsIList,Table_ExternalData_15[[#This Row],[item_key]],IsITypeList,Table_ExternalData_15[[#This Row],[IType]],IsDList,Table_ExternalData_15[[#Headers],[21]])</f>
        <v>0</v>
      </c>
      <c r="Z278" s="10">
        <f>SUMIFS(IsQList,IsIList,Table_ExternalData_15[[#This Row],[item_key]],IsITypeList,Table_ExternalData_15[[#This Row],[IType]],IsDList,Table_ExternalData_15[[#Headers],[22]])</f>
        <v>0</v>
      </c>
      <c r="AA278" s="10">
        <f>SUMIFS(IsQList,IsIList,Table_ExternalData_15[[#This Row],[item_key]],IsITypeList,Table_ExternalData_15[[#This Row],[IType]],IsDList,Table_ExternalData_15[[#Headers],[23]])</f>
        <v>0</v>
      </c>
      <c r="AB278" s="10">
        <f>SUMIFS(IsQList,IsIList,Table_ExternalData_15[[#This Row],[item_key]],IsITypeList,Table_ExternalData_15[[#This Row],[IType]],IsDList,Table_ExternalData_15[[#Headers],[24]])</f>
        <v>0</v>
      </c>
      <c r="AC278" s="10">
        <f>SUMIFS(IsQList,IsIList,Table_ExternalData_15[[#This Row],[item_key]],IsITypeList,Table_ExternalData_15[[#This Row],[IType]],IsDList,Table_ExternalData_15[[#Headers],[25]])</f>
        <v>0</v>
      </c>
      <c r="AD278" s="10">
        <f>SUMIFS(IsQList,IsIList,Table_ExternalData_15[[#This Row],[item_key]],IsITypeList,Table_ExternalData_15[[#This Row],[IType]],IsDList,Table_ExternalData_15[[#Headers],[26]])</f>
        <v>0</v>
      </c>
      <c r="AE278" s="10">
        <f>SUMIFS(IsQList,IsIList,Table_ExternalData_15[[#This Row],[item_key]],IsITypeList,Table_ExternalData_15[[#This Row],[IType]],IsDList,Table_ExternalData_15[[#Headers],[27]])</f>
        <v>0</v>
      </c>
      <c r="AF278" s="10">
        <f>SUMIFS(IsQList,IsIList,Table_ExternalData_15[[#This Row],[item_key]],IsITypeList,Table_ExternalData_15[[#This Row],[IType]],IsDList,Table_ExternalData_15[[#Headers],[28]])</f>
        <v>0</v>
      </c>
      <c r="AG278" s="10">
        <f>SUMIFS(IsQList,IsIList,Table_ExternalData_15[[#This Row],[item_key]],IsITypeList,Table_ExternalData_15[[#This Row],[IType]],IsDList,Table_ExternalData_15[[#Headers],[29]])</f>
        <v>0</v>
      </c>
      <c r="AH278" s="10">
        <f>SUMIFS(IsQList,IsIList,Table_ExternalData_15[[#This Row],[item_key]],IsITypeList,Table_ExternalData_15[[#This Row],[IType]],IsDList,Table_ExternalData_15[[#Headers],[30]])</f>
        <v>0</v>
      </c>
      <c r="AI278" s="10">
        <f>SUMIFS(IsQList,IsIList,Table_ExternalData_15[[#This Row],[item_key]],IsITypeList,Table_ExternalData_15[[#This Row],[IType]],IsDList,Table_ExternalData_15[[#Headers],[31]])</f>
        <v>0</v>
      </c>
      <c r="AJ278" s="10">
        <f>SUM(Table_ExternalData_15[[#This Row],[1]:[31]])</f>
        <v>19</v>
      </c>
    </row>
    <row r="279" spans="1:36">
      <c r="A279" s="1" t="s">
        <v>2062</v>
      </c>
      <c r="B279" s="1" t="s">
        <v>2389</v>
      </c>
      <c r="C279" s="1" t="s">
        <v>1553</v>
      </c>
      <c r="D279" s="11" t="s">
        <v>72</v>
      </c>
      <c r="E279" s="10">
        <f>SUMIFS(IsQList,IsIList,Table_ExternalData_15[[#This Row],[item_key]],IsITypeList,Table_ExternalData_15[[#This Row],[IType]],IsDList,Table_ExternalData_15[[#Headers],[1]])</f>
        <v>0</v>
      </c>
      <c r="F279" s="10">
        <f>SUMIFS(IsQList,IsIList,Table_ExternalData_15[[#This Row],[item_key]],IsITypeList,Table_ExternalData_15[[#This Row],[IType]],IsDList,Table_ExternalData_15[[#Headers],[2]])</f>
        <v>0</v>
      </c>
      <c r="G279" s="10">
        <f>SUMIFS(IsQList,IsIList,Table_ExternalData_15[[#This Row],[item_key]],IsITypeList,Table_ExternalData_15[[#This Row],[IType]],IsDList,Table_ExternalData_15[[#Headers],[3]])</f>
        <v>0</v>
      </c>
      <c r="H279" s="10">
        <f>SUMIFS(IsQList,IsIList,Table_ExternalData_15[[#This Row],[item_key]],IsITypeList,Table_ExternalData_15[[#This Row],[IType]],IsDList,Table_ExternalData_15[[#Headers],[4]])</f>
        <v>0</v>
      </c>
      <c r="I279" s="10">
        <f>SUMIFS(IsQList,IsIList,Table_ExternalData_15[[#This Row],[item_key]],IsITypeList,Table_ExternalData_15[[#This Row],[IType]],IsDList,Table_ExternalData_15[[#Headers],[5]])</f>
        <v>0</v>
      </c>
      <c r="J279" s="10">
        <f>SUMIFS(IsQList,IsIList,Table_ExternalData_15[[#This Row],[item_key]],IsITypeList,Table_ExternalData_15[[#This Row],[IType]],IsDList,Table_ExternalData_15[[#Headers],[6]])</f>
        <v>20</v>
      </c>
      <c r="K279" s="10">
        <f>SUMIFS(IsQList,IsIList,Table_ExternalData_15[[#This Row],[item_key]],IsITypeList,Table_ExternalData_15[[#This Row],[IType]],IsDList,Table_ExternalData_15[[#Headers],[7]])</f>
        <v>0</v>
      </c>
      <c r="L279" s="10">
        <f>SUMIFS(IsQList,IsIList,Table_ExternalData_15[[#This Row],[item_key]],IsITypeList,Table_ExternalData_15[[#This Row],[IType]],IsDList,Table_ExternalData_15[[#Headers],[8]])</f>
        <v>0</v>
      </c>
      <c r="M279" s="10">
        <f>SUMIFS(IsQList,IsIList,Table_ExternalData_15[[#This Row],[item_key]],IsITypeList,Table_ExternalData_15[[#This Row],[IType]],IsDList,Table_ExternalData_15[[#Headers],[9]])</f>
        <v>0</v>
      </c>
      <c r="N279" s="10">
        <f>SUMIFS(IsQList,IsIList,Table_ExternalData_15[[#This Row],[item_key]],IsITypeList,Table_ExternalData_15[[#This Row],[IType]],IsDList,Table_ExternalData_15[[#Headers],[10]])</f>
        <v>0</v>
      </c>
      <c r="O279" s="10">
        <f>SUMIFS(IsQList,IsIList,Table_ExternalData_15[[#This Row],[item_key]],IsITypeList,Table_ExternalData_15[[#This Row],[IType]],IsDList,Table_ExternalData_15[[#Headers],[11]])</f>
        <v>0</v>
      </c>
      <c r="P279" s="10">
        <f>SUMIFS(IsQList,IsIList,Table_ExternalData_15[[#This Row],[item_key]],IsITypeList,Table_ExternalData_15[[#This Row],[IType]],IsDList,Table_ExternalData_15[[#Headers],[12]])</f>
        <v>0</v>
      </c>
      <c r="Q279" s="10">
        <f>SUMIFS(IsQList,IsIList,Table_ExternalData_15[[#This Row],[item_key]],IsITypeList,Table_ExternalData_15[[#This Row],[IType]],IsDList,Table_ExternalData_15[[#Headers],[13]])</f>
        <v>0</v>
      </c>
      <c r="R279" s="10">
        <f>SUMIFS(IsQList,IsIList,Table_ExternalData_15[[#This Row],[item_key]],IsITypeList,Table_ExternalData_15[[#This Row],[IType]],IsDList,Table_ExternalData_15[[#Headers],[14]])</f>
        <v>0</v>
      </c>
      <c r="S279" s="10">
        <f>SUMIFS(IsQList,IsIList,Table_ExternalData_15[[#This Row],[item_key]],IsITypeList,Table_ExternalData_15[[#This Row],[IType]],IsDList,Table_ExternalData_15[[#Headers],[15]])</f>
        <v>0</v>
      </c>
      <c r="T279" s="10">
        <f>SUMIFS(IsQList,IsIList,Table_ExternalData_15[[#This Row],[item_key]],IsITypeList,Table_ExternalData_15[[#This Row],[IType]],IsDList,Table_ExternalData_15[[#Headers],[16]])</f>
        <v>30</v>
      </c>
      <c r="U279" s="10">
        <f>SUMIFS(IsQList,IsIList,Table_ExternalData_15[[#This Row],[item_key]],IsITypeList,Table_ExternalData_15[[#This Row],[IType]],IsDList,Table_ExternalData_15[[#Headers],[17]])</f>
        <v>0</v>
      </c>
      <c r="V279" s="10">
        <f>SUMIFS(IsQList,IsIList,Table_ExternalData_15[[#This Row],[item_key]],IsITypeList,Table_ExternalData_15[[#This Row],[IType]],IsDList,Table_ExternalData_15[[#Headers],[18]])</f>
        <v>0</v>
      </c>
      <c r="W279" s="10">
        <f>SUMIFS(IsQList,IsIList,Table_ExternalData_15[[#This Row],[item_key]],IsITypeList,Table_ExternalData_15[[#This Row],[IType]],IsDList,Table_ExternalData_15[[#Headers],[19]])</f>
        <v>0</v>
      </c>
      <c r="X279" s="10">
        <f>SUMIFS(IsQList,IsIList,Table_ExternalData_15[[#This Row],[item_key]],IsITypeList,Table_ExternalData_15[[#This Row],[IType]],IsDList,Table_ExternalData_15[[#Headers],[20]])</f>
        <v>0</v>
      </c>
      <c r="Y279" s="10">
        <f>SUMIFS(IsQList,IsIList,Table_ExternalData_15[[#This Row],[item_key]],IsITypeList,Table_ExternalData_15[[#This Row],[IType]],IsDList,Table_ExternalData_15[[#Headers],[21]])</f>
        <v>0</v>
      </c>
      <c r="Z279" s="10">
        <f>SUMIFS(IsQList,IsIList,Table_ExternalData_15[[#This Row],[item_key]],IsITypeList,Table_ExternalData_15[[#This Row],[IType]],IsDList,Table_ExternalData_15[[#Headers],[22]])</f>
        <v>0</v>
      </c>
      <c r="AA279" s="10">
        <f>SUMIFS(IsQList,IsIList,Table_ExternalData_15[[#This Row],[item_key]],IsITypeList,Table_ExternalData_15[[#This Row],[IType]],IsDList,Table_ExternalData_15[[#Headers],[23]])</f>
        <v>0</v>
      </c>
      <c r="AB279" s="10">
        <f>SUMIFS(IsQList,IsIList,Table_ExternalData_15[[#This Row],[item_key]],IsITypeList,Table_ExternalData_15[[#This Row],[IType]],IsDList,Table_ExternalData_15[[#Headers],[24]])</f>
        <v>0</v>
      </c>
      <c r="AC279" s="10">
        <f>SUMIFS(IsQList,IsIList,Table_ExternalData_15[[#This Row],[item_key]],IsITypeList,Table_ExternalData_15[[#This Row],[IType]],IsDList,Table_ExternalData_15[[#Headers],[25]])</f>
        <v>0</v>
      </c>
      <c r="AD279" s="10">
        <f>SUMIFS(IsQList,IsIList,Table_ExternalData_15[[#This Row],[item_key]],IsITypeList,Table_ExternalData_15[[#This Row],[IType]],IsDList,Table_ExternalData_15[[#Headers],[26]])</f>
        <v>0</v>
      </c>
      <c r="AE279" s="10">
        <f>SUMIFS(IsQList,IsIList,Table_ExternalData_15[[#This Row],[item_key]],IsITypeList,Table_ExternalData_15[[#This Row],[IType]],IsDList,Table_ExternalData_15[[#Headers],[27]])</f>
        <v>0</v>
      </c>
      <c r="AF279" s="10">
        <f>SUMIFS(IsQList,IsIList,Table_ExternalData_15[[#This Row],[item_key]],IsITypeList,Table_ExternalData_15[[#This Row],[IType]],IsDList,Table_ExternalData_15[[#Headers],[28]])</f>
        <v>0</v>
      </c>
      <c r="AG279" s="10">
        <f>SUMIFS(IsQList,IsIList,Table_ExternalData_15[[#This Row],[item_key]],IsITypeList,Table_ExternalData_15[[#This Row],[IType]],IsDList,Table_ExternalData_15[[#Headers],[29]])</f>
        <v>0</v>
      </c>
      <c r="AH279" s="10">
        <f>SUMIFS(IsQList,IsIList,Table_ExternalData_15[[#This Row],[item_key]],IsITypeList,Table_ExternalData_15[[#This Row],[IType]],IsDList,Table_ExternalData_15[[#Headers],[30]])</f>
        <v>35</v>
      </c>
      <c r="AI279" s="10">
        <f>SUMIFS(IsQList,IsIList,Table_ExternalData_15[[#This Row],[item_key]],IsITypeList,Table_ExternalData_15[[#This Row],[IType]],IsDList,Table_ExternalData_15[[#Headers],[31]])</f>
        <v>0</v>
      </c>
      <c r="AJ279" s="10">
        <f>SUM(Table_ExternalData_15[[#This Row],[1]:[31]])</f>
        <v>85</v>
      </c>
    </row>
    <row r="280" spans="1:36">
      <c r="A280" s="1" t="s">
        <v>2071</v>
      </c>
      <c r="B280" s="1" t="s">
        <v>2735</v>
      </c>
      <c r="C280" s="1" t="s">
        <v>2736</v>
      </c>
      <c r="D280" s="11" t="s">
        <v>72</v>
      </c>
      <c r="E280" s="10">
        <f>SUMIFS(IsQList,IsIList,Table_ExternalData_15[[#This Row],[item_key]],IsITypeList,Table_ExternalData_15[[#This Row],[IType]],IsDList,Table_ExternalData_15[[#Headers],[1]])</f>
        <v>0</v>
      </c>
      <c r="F280" s="10">
        <f>SUMIFS(IsQList,IsIList,Table_ExternalData_15[[#This Row],[item_key]],IsITypeList,Table_ExternalData_15[[#This Row],[IType]],IsDList,Table_ExternalData_15[[#Headers],[2]])</f>
        <v>0</v>
      </c>
      <c r="G280" s="10">
        <f>SUMIFS(IsQList,IsIList,Table_ExternalData_15[[#This Row],[item_key]],IsITypeList,Table_ExternalData_15[[#This Row],[IType]],IsDList,Table_ExternalData_15[[#Headers],[3]])</f>
        <v>0</v>
      </c>
      <c r="H280" s="10">
        <f>SUMIFS(IsQList,IsIList,Table_ExternalData_15[[#This Row],[item_key]],IsITypeList,Table_ExternalData_15[[#This Row],[IType]],IsDList,Table_ExternalData_15[[#Headers],[4]])</f>
        <v>0</v>
      </c>
      <c r="I280" s="10">
        <f>SUMIFS(IsQList,IsIList,Table_ExternalData_15[[#This Row],[item_key]],IsITypeList,Table_ExternalData_15[[#This Row],[IType]],IsDList,Table_ExternalData_15[[#Headers],[5]])</f>
        <v>0</v>
      </c>
      <c r="J280" s="10">
        <f>SUMIFS(IsQList,IsIList,Table_ExternalData_15[[#This Row],[item_key]],IsITypeList,Table_ExternalData_15[[#This Row],[IType]],IsDList,Table_ExternalData_15[[#Headers],[6]])</f>
        <v>10</v>
      </c>
      <c r="K280" s="10">
        <f>SUMIFS(IsQList,IsIList,Table_ExternalData_15[[#This Row],[item_key]],IsITypeList,Table_ExternalData_15[[#This Row],[IType]],IsDList,Table_ExternalData_15[[#Headers],[7]])</f>
        <v>0</v>
      </c>
      <c r="L280" s="10">
        <f>SUMIFS(IsQList,IsIList,Table_ExternalData_15[[#This Row],[item_key]],IsITypeList,Table_ExternalData_15[[#This Row],[IType]],IsDList,Table_ExternalData_15[[#Headers],[8]])</f>
        <v>0</v>
      </c>
      <c r="M280" s="10">
        <f>SUMIFS(IsQList,IsIList,Table_ExternalData_15[[#This Row],[item_key]],IsITypeList,Table_ExternalData_15[[#This Row],[IType]],IsDList,Table_ExternalData_15[[#Headers],[9]])</f>
        <v>0</v>
      </c>
      <c r="N280" s="10">
        <f>SUMIFS(IsQList,IsIList,Table_ExternalData_15[[#This Row],[item_key]],IsITypeList,Table_ExternalData_15[[#This Row],[IType]],IsDList,Table_ExternalData_15[[#Headers],[10]])</f>
        <v>0</v>
      </c>
      <c r="O280" s="10">
        <f>SUMIFS(IsQList,IsIList,Table_ExternalData_15[[#This Row],[item_key]],IsITypeList,Table_ExternalData_15[[#This Row],[IType]],IsDList,Table_ExternalData_15[[#Headers],[11]])</f>
        <v>0</v>
      </c>
      <c r="P280" s="10">
        <f>SUMIFS(IsQList,IsIList,Table_ExternalData_15[[#This Row],[item_key]],IsITypeList,Table_ExternalData_15[[#This Row],[IType]],IsDList,Table_ExternalData_15[[#Headers],[12]])</f>
        <v>0</v>
      </c>
      <c r="Q280" s="10">
        <f>SUMIFS(IsQList,IsIList,Table_ExternalData_15[[#This Row],[item_key]],IsITypeList,Table_ExternalData_15[[#This Row],[IType]],IsDList,Table_ExternalData_15[[#Headers],[13]])</f>
        <v>0</v>
      </c>
      <c r="R280" s="10">
        <f>SUMIFS(IsQList,IsIList,Table_ExternalData_15[[#This Row],[item_key]],IsITypeList,Table_ExternalData_15[[#This Row],[IType]],IsDList,Table_ExternalData_15[[#Headers],[14]])</f>
        <v>0</v>
      </c>
      <c r="S280" s="10">
        <f>SUMIFS(IsQList,IsIList,Table_ExternalData_15[[#This Row],[item_key]],IsITypeList,Table_ExternalData_15[[#This Row],[IType]],IsDList,Table_ExternalData_15[[#Headers],[15]])</f>
        <v>0</v>
      </c>
      <c r="T280" s="10">
        <f>SUMIFS(IsQList,IsIList,Table_ExternalData_15[[#This Row],[item_key]],IsITypeList,Table_ExternalData_15[[#This Row],[IType]],IsDList,Table_ExternalData_15[[#Headers],[16]])</f>
        <v>20</v>
      </c>
      <c r="U280" s="10">
        <f>SUMIFS(IsQList,IsIList,Table_ExternalData_15[[#This Row],[item_key]],IsITypeList,Table_ExternalData_15[[#This Row],[IType]],IsDList,Table_ExternalData_15[[#Headers],[17]])</f>
        <v>0</v>
      </c>
      <c r="V280" s="10">
        <f>SUMIFS(IsQList,IsIList,Table_ExternalData_15[[#This Row],[item_key]],IsITypeList,Table_ExternalData_15[[#This Row],[IType]],IsDList,Table_ExternalData_15[[#Headers],[18]])</f>
        <v>0</v>
      </c>
      <c r="W280" s="10">
        <f>SUMIFS(IsQList,IsIList,Table_ExternalData_15[[#This Row],[item_key]],IsITypeList,Table_ExternalData_15[[#This Row],[IType]],IsDList,Table_ExternalData_15[[#Headers],[19]])</f>
        <v>0</v>
      </c>
      <c r="X280" s="10">
        <f>SUMIFS(IsQList,IsIList,Table_ExternalData_15[[#This Row],[item_key]],IsITypeList,Table_ExternalData_15[[#This Row],[IType]],IsDList,Table_ExternalData_15[[#Headers],[20]])</f>
        <v>0</v>
      </c>
      <c r="Y280" s="10">
        <f>SUMIFS(IsQList,IsIList,Table_ExternalData_15[[#This Row],[item_key]],IsITypeList,Table_ExternalData_15[[#This Row],[IType]],IsDList,Table_ExternalData_15[[#Headers],[21]])</f>
        <v>0</v>
      </c>
      <c r="Z280" s="10">
        <f>SUMIFS(IsQList,IsIList,Table_ExternalData_15[[#This Row],[item_key]],IsITypeList,Table_ExternalData_15[[#This Row],[IType]],IsDList,Table_ExternalData_15[[#Headers],[22]])</f>
        <v>0</v>
      </c>
      <c r="AA280" s="10">
        <f>SUMIFS(IsQList,IsIList,Table_ExternalData_15[[#This Row],[item_key]],IsITypeList,Table_ExternalData_15[[#This Row],[IType]],IsDList,Table_ExternalData_15[[#Headers],[23]])</f>
        <v>0</v>
      </c>
      <c r="AB280" s="10">
        <f>SUMIFS(IsQList,IsIList,Table_ExternalData_15[[#This Row],[item_key]],IsITypeList,Table_ExternalData_15[[#This Row],[IType]],IsDList,Table_ExternalData_15[[#Headers],[24]])</f>
        <v>0</v>
      </c>
      <c r="AC280" s="10">
        <f>SUMIFS(IsQList,IsIList,Table_ExternalData_15[[#This Row],[item_key]],IsITypeList,Table_ExternalData_15[[#This Row],[IType]],IsDList,Table_ExternalData_15[[#Headers],[25]])</f>
        <v>0</v>
      </c>
      <c r="AD280" s="10">
        <f>SUMIFS(IsQList,IsIList,Table_ExternalData_15[[#This Row],[item_key]],IsITypeList,Table_ExternalData_15[[#This Row],[IType]],IsDList,Table_ExternalData_15[[#Headers],[26]])</f>
        <v>0</v>
      </c>
      <c r="AE280" s="10">
        <f>SUMIFS(IsQList,IsIList,Table_ExternalData_15[[#This Row],[item_key]],IsITypeList,Table_ExternalData_15[[#This Row],[IType]],IsDList,Table_ExternalData_15[[#Headers],[27]])</f>
        <v>0</v>
      </c>
      <c r="AF280" s="10">
        <f>SUMIFS(IsQList,IsIList,Table_ExternalData_15[[#This Row],[item_key]],IsITypeList,Table_ExternalData_15[[#This Row],[IType]],IsDList,Table_ExternalData_15[[#Headers],[28]])</f>
        <v>0</v>
      </c>
      <c r="AG280" s="10">
        <f>SUMIFS(IsQList,IsIList,Table_ExternalData_15[[#This Row],[item_key]],IsITypeList,Table_ExternalData_15[[#This Row],[IType]],IsDList,Table_ExternalData_15[[#Headers],[29]])</f>
        <v>0</v>
      </c>
      <c r="AH280" s="10">
        <f>SUMIFS(IsQList,IsIList,Table_ExternalData_15[[#This Row],[item_key]],IsITypeList,Table_ExternalData_15[[#This Row],[IType]],IsDList,Table_ExternalData_15[[#Headers],[30]])</f>
        <v>0</v>
      </c>
      <c r="AI280" s="10">
        <f>SUMIFS(IsQList,IsIList,Table_ExternalData_15[[#This Row],[item_key]],IsITypeList,Table_ExternalData_15[[#This Row],[IType]],IsDList,Table_ExternalData_15[[#Headers],[31]])</f>
        <v>0</v>
      </c>
      <c r="AJ280" s="10">
        <f>SUM(Table_ExternalData_15[[#This Row],[1]:[31]])</f>
        <v>30</v>
      </c>
    </row>
    <row r="281" spans="1:36">
      <c r="A281" s="1" t="s">
        <v>834</v>
      </c>
      <c r="B281" s="1" t="s">
        <v>1415</v>
      </c>
      <c r="C281" s="1" t="s">
        <v>1416</v>
      </c>
      <c r="D281" s="11" t="s">
        <v>72</v>
      </c>
      <c r="E281" s="10">
        <f>SUMIFS(IsQList,IsIList,Table_ExternalData_15[[#This Row],[item_key]],IsITypeList,Table_ExternalData_15[[#This Row],[IType]],IsDList,Table_ExternalData_15[[#Headers],[1]])</f>
        <v>0</v>
      </c>
      <c r="F281" s="10">
        <f>SUMIFS(IsQList,IsIList,Table_ExternalData_15[[#This Row],[item_key]],IsITypeList,Table_ExternalData_15[[#This Row],[IType]],IsDList,Table_ExternalData_15[[#Headers],[2]])</f>
        <v>0</v>
      </c>
      <c r="G281" s="10">
        <f>SUMIFS(IsQList,IsIList,Table_ExternalData_15[[#This Row],[item_key]],IsITypeList,Table_ExternalData_15[[#This Row],[IType]],IsDList,Table_ExternalData_15[[#Headers],[3]])</f>
        <v>0</v>
      </c>
      <c r="H281" s="10">
        <f>SUMIFS(IsQList,IsIList,Table_ExternalData_15[[#This Row],[item_key]],IsITypeList,Table_ExternalData_15[[#This Row],[IType]],IsDList,Table_ExternalData_15[[#Headers],[4]])</f>
        <v>0</v>
      </c>
      <c r="I281" s="10">
        <f>SUMIFS(IsQList,IsIList,Table_ExternalData_15[[#This Row],[item_key]],IsITypeList,Table_ExternalData_15[[#This Row],[IType]],IsDList,Table_ExternalData_15[[#Headers],[5]])</f>
        <v>0</v>
      </c>
      <c r="J281" s="10">
        <f>SUMIFS(IsQList,IsIList,Table_ExternalData_15[[#This Row],[item_key]],IsITypeList,Table_ExternalData_15[[#This Row],[IType]],IsDList,Table_ExternalData_15[[#Headers],[6]])</f>
        <v>0</v>
      </c>
      <c r="K281" s="10">
        <f>SUMIFS(IsQList,IsIList,Table_ExternalData_15[[#This Row],[item_key]],IsITypeList,Table_ExternalData_15[[#This Row],[IType]],IsDList,Table_ExternalData_15[[#Headers],[7]])</f>
        <v>0</v>
      </c>
      <c r="L281" s="10">
        <f>SUMIFS(IsQList,IsIList,Table_ExternalData_15[[#This Row],[item_key]],IsITypeList,Table_ExternalData_15[[#This Row],[IType]],IsDList,Table_ExternalData_15[[#Headers],[8]])</f>
        <v>0</v>
      </c>
      <c r="M281" s="10">
        <f>SUMIFS(IsQList,IsIList,Table_ExternalData_15[[#This Row],[item_key]],IsITypeList,Table_ExternalData_15[[#This Row],[IType]],IsDList,Table_ExternalData_15[[#Headers],[9]])</f>
        <v>0</v>
      </c>
      <c r="N281" s="10">
        <f>SUMIFS(IsQList,IsIList,Table_ExternalData_15[[#This Row],[item_key]],IsITypeList,Table_ExternalData_15[[#This Row],[IType]],IsDList,Table_ExternalData_15[[#Headers],[10]])</f>
        <v>0</v>
      </c>
      <c r="O281" s="10">
        <f>SUMIFS(IsQList,IsIList,Table_ExternalData_15[[#This Row],[item_key]],IsITypeList,Table_ExternalData_15[[#This Row],[IType]],IsDList,Table_ExternalData_15[[#Headers],[11]])</f>
        <v>0</v>
      </c>
      <c r="P281" s="10">
        <f>SUMIFS(IsQList,IsIList,Table_ExternalData_15[[#This Row],[item_key]],IsITypeList,Table_ExternalData_15[[#This Row],[IType]],IsDList,Table_ExternalData_15[[#Headers],[12]])</f>
        <v>0</v>
      </c>
      <c r="Q281" s="10">
        <f>SUMIFS(IsQList,IsIList,Table_ExternalData_15[[#This Row],[item_key]],IsITypeList,Table_ExternalData_15[[#This Row],[IType]],IsDList,Table_ExternalData_15[[#Headers],[13]])</f>
        <v>0</v>
      </c>
      <c r="R281" s="10">
        <f>SUMIFS(IsQList,IsIList,Table_ExternalData_15[[#This Row],[item_key]],IsITypeList,Table_ExternalData_15[[#This Row],[IType]],IsDList,Table_ExternalData_15[[#Headers],[14]])</f>
        <v>0</v>
      </c>
      <c r="S281" s="10">
        <f>SUMIFS(IsQList,IsIList,Table_ExternalData_15[[#This Row],[item_key]],IsITypeList,Table_ExternalData_15[[#This Row],[IType]],IsDList,Table_ExternalData_15[[#Headers],[15]])</f>
        <v>0</v>
      </c>
      <c r="T281" s="10">
        <f>SUMIFS(IsQList,IsIList,Table_ExternalData_15[[#This Row],[item_key]],IsITypeList,Table_ExternalData_15[[#This Row],[IType]],IsDList,Table_ExternalData_15[[#Headers],[16]])</f>
        <v>0</v>
      </c>
      <c r="U281" s="10">
        <f>SUMIFS(IsQList,IsIList,Table_ExternalData_15[[#This Row],[item_key]],IsITypeList,Table_ExternalData_15[[#This Row],[IType]],IsDList,Table_ExternalData_15[[#Headers],[17]])</f>
        <v>0</v>
      </c>
      <c r="V281" s="10">
        <f>SUMIFS(IsQList,IsIList,Table_ExternalData_15[[#This Row],[item_key]],IsITypeList,Table_ExternalData_15[[#This Row],[IType]],IsDList,Table_ExternalData_15[[#Headers],[18]])</f>
        <v>0</v>
      </c>
      <c r="W281" s="10">
        <f>SUMIFS(IsQList,IsIList,Table_ExternalData_15[[#This Row],[item_key]],IsITypeList,Table_ExternalData_15[[#This Row],[IType]],IsDList,Table_ExternalData_15[[#Headers],[19]])</f>
        <v>0</v>
      </c>
      <c r="X281" s="10">
        <f>SUMIFS(IsQList,IsIList,Table_ExternalData_15[[#This Row],[item_key]],IsITypeList,Table_ExternalData_15[[#This Row],[IType]],IsDList,Table_ExternalData_15[[#Headers],[20]])</f>
        <v>0</v>
      </c>
      <c r="Y281" s="10">
        <f>SUMIFS(IsQList,IsIList,Table_ExternalData_15[[#This Row],[item_key]],IsITypeList,Table_ExternalData_15[[#This Row],[IType]],IsDList,Table_ExternalData_15[[#Headers],[21]])</f>
        <v>0</v>
      </c>
      <c r="Z281" s="10">
        <f>SUMIFS(IsQList,IsIList,Table_ExternalData_15[[#This Row],[item_key]],IsITypeList,Table_ExternalData_15[[#This Row],[IType]],IsDList,Table_ExternalData_15[[#Headers],[22]])</f>
        <v>0</v>
      </c>
      <c r="AA281" s="10">
        <f>SUMIFS(IsQList,IsIList,Table_ExternalData_15[[#This Row],[item_key]],IsITypeList,Table_ExternalData_15[[#This Row],[IType]],IsDList,Table_ExternalData_15[[#Headers],[23]])</f>
        <v>0</v>
      </c>
      <c r="AB281" s="10">
        <f>SUMIFS(IsQList,IsIList,Table_ExternalData_15[[#This Row],[item_key]],IsITypeList,Table_ExternalData_15[[#This Row],[IType]],IsDList,Table_ExternalData_15[[#Headers],[24]])</f>
        <v>0</v>
      </c>
      <c r="AC281" s="10">
        <f>SUMIFS(IsQList,IsIList,Table_ExternalData_15[[#This Row],[item_key]],IsITypeList,Table_ExternalData_15[[#This Row],[IType]],IsDList,Table_ExternalData_15[[#Headers],[25]])</f>
        <v>0</v>
      </c>
      <c r="AD281" s="10">
        <f>SUMIFS(IsQList,IsIList,Table_ExternalData_15[[#This Row],[item_key]],IsITypeList,Table_ExternalData_15[[#This Row],[IType]],IsDList,Table_ExternalData_15[[#Headers],[26]])</f>
        <v>0</v>
      </c>
      <c r="AE281" s="10">
        <f>SUMIFS(IsQList,IsIList,Table_ExternalData_15[[#This Row],[item_key]],IsITypeList,Table_ExternalData_15[[#This Row],[IType]],IsDList,Table_ExternalData_15[[#Headers],[27]])</f>
        <v>0</v>
      </c>
      <c r="AF281" s="10">
        <f>SUMIFS(IsQList,IsIList,Table_ExternalData_15[[#This Row],[item_key]],IsITypeList,Table_ExternalData_15[[#This Row],[IType]],IsDList,Table_ExternalData_15[[#Headers],[28]])</f>
        <v>0</v>
      </c>
      <c r="AG281" s="10">
        <f>SUMIFS(IsQList,IsIList,Table_ExternalData_15[[#This Row],[item_key]],IsITypeList,Table_ExternalData_15[[#This Row],[IType]],IsDList,Table_ExternalData_15[[#Headers],[29]])</f>
        <v>0</v>
      </c>
      <c r="AH281" s="10">
        <f>SUMIFS(IsQList,IsIList,Table_ExternalData_15[[#This Row],[item_key]],IsITypeList,Table_ExternalData_15[[#This Row],[IType]],IsDList,Table_ExternalData_15[[#Headers],[30]])</f>
        <v>0</v>
      </c>
      <c r="AI281" s="10">
        <f>SUMIFS(IsQList,IsIList,Table_ExternalData_15[[#This Row],[item_key]],IsITypeList,Table_ExternalData_15[[#This Row],[IType]],IsDList,Table_ExternalData_15[[#Headers],[31]])</f>
        <v>0</v>
      </c>
      <c r="AJ281" s="10">
        <f>SUM(Table_ExternalData_15[[#This Row],[1]:[31]])</f>
        <v>0</v>
      </c>
    </row>
    <row r="282" spans="1:36">
      <c r="A282" s="1" t="s">
        <v>837</v>
      </c>
      <c r="B282" s="1" t="s">
        <v>1417</v>
      </c>
      <c r="C282" s="1" t="s">
        <v>1418</v>
      </c>
      <c r="D282" s="11" t="s">
        <v>72</v>
      </c>
      <c r="E282" s="10">
        <f>SUMIFS(IsQList,IsIList,Table_ExternalData_15[[#This Row],[item_key]],IsITypeList,Table_ExternalData_15[[#This Row],[IType]],IsDList,Table_ExternalData_15[[#Headers],[1]])</f>
        <v>0</v>
      </c>
      <c r="F282" s="10">
        <f>SUMIFS(IsQList,IsIList,Table_ExternalData_15[[#This Row],[item_key]],IsITypeList,Table_ExternalData_15[[#This Row],[IType]],IsDList,Table_ExternalData_15[[#Headers],[2]])</f>
        <v>0</v>
      </c>
      <c r="G282" s="10">
        <f>SUMIFS(IsQList,IsIList,Table_ExternalData_15[[#This Row],[item_key]],IsITypeList,Table_ExternalData_15[[#This Row],[IType]],IsDList,Table_ExternalData_15[[#Headers],[3]])</f>
        <v>0</v>
      </c>
      <c r="H282" s="10">
        <f>SUMIFS(IsQList,IsIList,Table_ExternalData_15[[#This Row],[item_key]],IsITypeList,Table_ExternalData_15[[#This Row],[IType]],IsDList,Table_ExternalData_15[[#Headers],[4]])</f>
        <v>0</v>
      </c>
      <c r="I282" s="10">
        <f>SUMIFS(IsQList,IsIList,Table_ExternalData_15[[#This Row],[item_key]],IsITypeList,Table_ExternalData_15[[#This Row],[IType]],IsDList,Table_ExternalData_15[[#Headers],[5]])</f>
        <v>0</v>
      </c>
      <c r="J282" s="10">
        <f>SUMIFS(IsQList,IsIList,Table_ExternalData_15[[#This Row],[item_key]],IsITypeList,Table_ExternalData_15[[#This Row],[IType]],IsDList,Table_ExternalData_15[[#Headers],[6]])</f>
        <v>0</v>
      </c>
      <c r="K282" s="10">
        <f>SUMIFS(IsQList,IsIList,Table_ExternalData_15[[#This Row],[item_key]],IsITypeList,Table_ExternalData_15[[#This Row],[IType]],IsDList,Table_ExternalData_15[[#Headers],[7]])</f>
        <v>0</v>
      </c>
      <c r="L282" s="10">
        <f>SUMIFS(IsQList,IsIList,Table_ExternalData_15[[#This Row],[item_key]],IsITypeList,Table_ExternalData_15[[#This Row],[IType]],IsDList,Table_ExternalData_15[[#Headers],[8]])</f>
        <v>0</v>
      </c>
      <c r="M282" s="10">
        <f>SUMIFS(IsQList,IsIList,Table_ExternalData_15[[#This Row],[item_key]],IsITypeList,Table_ExternalData_15[[#This Row],[IType]],IsDList,Table_ExternalData_15[[#Headers],[9]])</f>
        <v>0</v>
      </c>
      <c r="N282" s="10">
        <f>SUMIFS(IsQList,IsIList,Table_ExternalData_15[[#This Row],[item_key]],IsITypeList,Table_ExternalData_15[[#This Row],[IType]],IsDList,Table_ExternalData_15[[#Headers],[10]])</f>
        <v>0</v>
      </c>
      <c r="O282" s="10">
        <f>SUMIFS(IsQList,IsIList,Table_ExternalData_15[[#This Row],[item_key]],IsITypeList,Table_ExternalData_15[[#This Row],[IType]],IsDList,Table_ExternalData_15[[#Headers],[11]])</f>
        <v>0</v>
      </c>
      <c r="P282" s="10">
        <f>SUMIFS(IsQList,IsIList,Table_ExternalData_15[[#This Row],[item_key]],IsITypeList,Table_ExternalData_15[[#This Row],[IType]],IsDList,Table_ExternalData_15[[#Headers],[12]])</f>
        <v>0</v>
      </c>
      <c r="Q282" s="10">
        <f>SUMIFS(IsQList,IsIList,Table_ExternalData_15[[#This Row],[item_key]],IsITypeList,Table_ExternalData_15[[#This Row],[IType]],IsDList,Table_ExternalData_15[[#Headers],[13]])</f>
        <v>0</v>
      </c>
      <c r="R282" s="10">
        <f>SUMIFS(IsQList,IsIList,Table_ExternalData_15[[#This Row],[item_key]],IsITypeList,Table_ExternalData_15[[#This Row],[IType]],IsDList,Table_ExternalData_15[[#Headers],[14]])</f>
        <v>0</v>
      </c>
      <c r="S282" s="10">
        <f>SUMIFS(IsQList,IsIList,Table_ExternalData_15[[#This Row],[item_key]],IsITypeList,Table_ExternalData_15[[#This Row],[IType]],IsDList,Table_ExternalData_15[[#Headers],[15]])</f>
        <v>0</v>
      </c>
      <c r="T282" s="10">
        <f>SUMIFS(IsQList,IsIList,Table_ExternalData_15[[#This Row],[item_key]],IsITypeList,Table_ExternalData_15[[#This Row],[IType]],IsDList,Table_ExternalData_15[[#Headers],[16]])</f>
        <v>0</v>
      </c>
      <c r="U282" s="10">
        <f>SUMIFS(IsQList,IsIList,Table_ExternalData_15[[#This Row],[item_key]],IsITypeList,Table_ExternalData_15[[#This Row],[IType]],IsDList,Table_ExternalData_15[[#Headers],[17]])</f>
        <v>0</v>
      </c>
      <c r="V282" s="10">
        <f>SUMIFS(IsQList,IsIList,Table_ExternalData_15[[#This Row],[item_key]],IsITypeList,Table_ExternalData_15[[#This Row],[IType]],IsDList,Table_ExternalData_15[[#Headers],[18]])</f>
        <v>0</v>
      </c>
      <c r="W282" s="10">
        <f>SUMIFS(IsQList,IsIList,Table_ExternalData_15[[#This Row],[item_key]],IsITypeList,Table_ExternalData_15[[#This Row],[IType]],IsDList,Table_ExternalData_15[[#Headers],[19]])</f>
        <v>0</v>
      </c>
      <c r="X282" s="10">
        <f>SUMIFS(IsQList,IsIList,Table_ExternalData_15[[#This Row],[item_key]],IsITypeList,Table_ExternalData_15[[#This Row],[IType]],IsDList,Table_ExternalData_15[[#Headers],[20]])</f>
        <v>0</v>
      </c>
      <c r="Y282" s="10">
        <f>SUMIFS(IsQList,IsIList,Table_ExternalData_15[[#This Row],[item_key]],IsITypeList,Table_ExternalData_15[[#This Row],[IType]],IsDList,Table_ExternalData_15[[#Headers],[21]])</f>
        <v>0</v>
      </c>
      <c r="Z282" s="10">
        <f>SUMIFS(IsQList,IsIList,Table_ExternalData_15[[#This Row],[item_key]],IsITypeList,Table_ExternalData_15[[#This Row],[IType]],IsDList,Table_ExternalData_15[[#Headers],[22]])</f>
        <v>0</v>
      </c>
      <c r="AA282" s="10">
        <f>SUMIFS(IsQList,IsIList,Table_ExternalData_15[[#This Row],[item_key]],IsITypeList,Table_ExternalData_15[[#This Row],[IType]],IsDList,Table_ExternalData_15[[#Headers],[23]])</f>
        <v>0</v>
      </c>
      <c r="AB282" s="10">
        <f>SUMIFS(IsQList,IsIList,Table_ExternalData_15[[#This Row],[item_key]],IsITypeList,Table_ExternalData_15[[#This Row],[IType]],IsDList,Table_ExternalData_15[[#Headers],[24]])</f>
        <v>0</v>
      </c>
      <c r="AC282" s="10">
        <f>SUMIFS(IsQList,IsIList,Table_ExternalData_15[[#This Row],[item_key]],IsITypeList,Table_ExternalData_15[[#This Row],[IType]],IsDList,Table_ExternalData_15[[#Headers],[25]])</f>
        <v>0</v>
      </c>
      <c r="AD282" s="10">
        <f>SUMIFS(IsQList,IsIList,Table_ExternalData_15[[#This Row],[item_key]],IsITypeList,Table_ExternalData_15[[#This Row],[IType]],IsDList,Table_ExternalData_15[[#Headers],[26]])</f>
        <v>0</v>
      </c>
      <c r="AE282" s="10">
        <f>SUMIFS(IsQList,IsIList,Table_ExternalData_15[[#This Row],[item_key]],IsITypeList,Table_ExternalData_15[[#This Row],[IType]],IsDList,Table_ExternalData_15[[#Headers],[27]])</f>
        <v>0</v>
      </c>
      <c r="AF282" s="10">
        <f>SUMIFS(IsQList,IsIList,Table_ExternalData_15[[#This Row],[item_key]],IsITypeList,Table_ExternalData_15[[#This Row],[IType]],IsDList,Table_ExternalData_15[[#Headers],[28]])</f>
        <v>0</v>
      </c>
      <c r="AG282" s="10">
        <f>SUMIFS(IsQList,IsIList,Table_ExternalData_15[[#This Row],[item_key]],IsITypeList,Table_ExternalData_15[[#This Row],[IType]],IsDList,Table_ExternalData_15[[#Headers],[29]])</f>
        <v>0</v>
      </c>
      <c r="AH282" s="10">
        <f>SUMIFS(IsQList,IsIList,Table_ExternalData_15[[#This Row],[item_key]],IsITypeList,Table_ExternalData_15[[#This Row],[IType]],IsDList,Table_ExternalData_15[[#Headers],[30]])</f>
        <v>0</v>
      </c>
      <c r="AI282" s="10">
        <f>SUMIFS(IsQList,IsIList,Table_ExternalData_15[[#This Row],[item_key]],IsITypeList,Table_ExternalData_15[[#This Row],[IType]],IsDList,Table_ExternalData_15[[#Headers],[31]])</f>
        <v>0</v>
      </c>
      <c r="AJ282" s="10">
        <f>SUM(Table_ExternalData_15[[#This Row],[1]:[31]])</f>
        <v>0</v>
      </c>
    </row>
    <row r="283" spans="1:36">
      <c r="A283" s="1" t="s">
        <v>838</v>
      </c>
      <c r="B283" s="1" t="s">
        <v>2737</v>
      </c>
      <c r="C283" s="1" t="s">
        <v>2738</v>
      </c>
      <c r="D283" s="11" t="s">
        <v>72</v>
      </c>
      <c r="E283" s="10">
        <f>SUMIFS(IsQList,IsIList,Table_ExternalData_15[[#This Row],[item_key]],IsITypeList,Table_ExternalData_15[[#This Row],[IType]],IsDList,Table_ExternalData_15[[#Headers],[1]])</f>
        <v>0</v>
      </c>
      <c r="F283" s="10">
        <f>SUMIFS(IsQList,IsIList,Table_ExternalData_15[[#This Row],[item_key]],IsITypeList,Table_ExternalData_15[[#This Row],[IType]],IsDList,Table_ExternalData_15[[#Headers],[2]])</f>
        <v>0</v>
      </c>
      <c r="G283" s="10">
        <f>SUMIFS(IsQList,IsIList,Table_ExternalData_15[[#This Row],[item_key]],IsITypeList,Table_ExternalData_15[[#This Row],[IType]],IsDList,Table_ExternalData_15[[#Headers],[3]])</f>
        <v>0</v>
      </c>
      <c r="H283" s="10">
        <f>SUMIFS(IsQList,IsIList,Table_ExternalData_15[[#This Row],[item_key]],IsITypeList,Table_ExternalData_15[[#This Row],[IType]],IsDList,Table_ExternalData_15[[#Headers],[4]])</f>
        <v>0</v>
      </c>
      <c r="I283" s="10">
        <f>SUMIFS(IsQList,IsIList,Table_ExternalData_15[[#This Row],[item_key]],IsITypeList,Table_ExternalData_15[[#This Row],[IType]],IsDList,Table_ExternalData_15[[#Headers],[5]])</f>
        <v>0</v>
      </c>
      <c r="J283" s="10">
        <f>SUMIFS(IsQList,IsIList,Table_ExternalData_15[[#This Row],[item_key]],IsITypeList,Table_ExternalData_15[[#This Row],[IType]],IsDList,Table_ExternalData_15[[#Headers],[6]])</f>
        <v>0</v>
      </c>
      <c r="K283" s="10">
        <f>SUMIFS(IsQList,IsIList,Table_ExternalData_15[[#This Row],[item_key]],IsITypeList,Table_ExternalData_15[[#This Row],[IType]],IsDList,Table_ExternalData_15[[#Headers],[7]])</f>
        <v>0</v>
      </c>
      <c r="L283" s="10">
        <f>SUMIFS(IsQList,IsIList,Table_ExternalData_15[[#This Row],[item_key]],IsITypeList,Table_ExternalData_15[[#This Row],[IType]],IsDList,Table_ExternalData_15[[#Headers],[8]])</f>
        <v>0</v>
      </c>
      <c r="M283" s="10">
        <f>SUMIFS(IsQList,IsIList,Table_ExternalData_15[[#This Row],[item_key]],IsITypeList,Table_ExternalData_15[[#This Row],[IType]],IsDList,Table_ExternalData_15[[#Headers],[9]])</f>
        <v>0</v>
      </c>
      <c r="N283" s="10">
        <f>SUMIFS(IsQList,IsIList,Table_ExternalData_15[[#This Row],[item_key]],IsITypeList,Table_ExternalData_15[[#This Row],[IType]],IsDList,Table_ExternalData_15[[#Headers],[10]])</f>
        <v>0</v>
      </c>
      <c r="O283" s="10">
        <f>SUMIFS(IsQList,IsIList,Table_ExternalData_15[[#This Row],[item_key]],IsITypeList,Table_ExternalData_15[[#This Row],[IType]],IsDList,Table_ExternalData_15[[#Headers],[11]])</f>
        <v>0</v>
      </c>
      <c r="P283" s="10">
        <f>SUMIFS(IsQList,IsIList,Table_ExternalData_15[[#This Row],[item_key]],IsITypeList,Table_ExternalData_15[[#This Row],[IType]],IsDList,Table_ExternalData_15[[#Headers],[12]])</f>
        <v>0</v>
      </c>
      <c r="Q283" s="10">
        <f>SUMIFS(IsQList,IsIList,Table_ExternalData_15[[#This Row],[item_key]],IsITypeList,Table_ExternalData_15[[#This Row],[IType]],IsDList,Table_ExternalData_15[[#Headers],[13]])</f>
        <v>0</v>
      </c>
      <c r="R283" s="10">
        <f>SUMIFS(IsQList,IsIList,Table_ExternalData_15[[#This Row],[item_key]],IsITypeList,Table_ExternalData_15[[#This Row],[IType]],IsDList,Table_ExternalData_15[[#Headers],[14]])</f>
        <v>0</v>
      </c>
      <c r="S283" s="10">
        <f>SUMIFS(IsQList,IsIList,Table_ExternalData_15[[#This Row],[item_key]],IsITypeList,Table_ExternalData_15[[#This Row],[IType]],IsDList,Table_ExternalData_15[[#Headers],[15]])</f>
        <v>0</v>
      </c>
      <c r="T283" s="10">
        <f>SUMIFS(IsQList,IsIList,Table_ExternalData_15[[#This Row],[item_key]],IsITypeList,Table_ExternalData_15[[#This Row],[IType]],IsDList,Table_ExternalData_15[[#Headers],[16]])</f>
        <v>10</v>
      </c>
      <c r="U283" s="10">
        <f>SUMIFS(IsQList,IsIList,Table_ExternalData_15[[#This Row],[item_key]],IsITypeList,Table_ExternalData_15[[#This Row],[IType]],IsDList,Table_ExternalData_15[[#Headers],[17]])</f>
        <v>0</v>
      </c>
      <c r="V283" s="10">
        <f>SUMIFS(IsQList,IsIList,Table_ExternalData_15[[#This Row],[item_key]],IsITypeList,Table_ExternalData_15[[#This Row],[IType]],IsDList,Table_ExternalData_15[[#Headers],[18]])</f>
        <v>0</v>
      </c>
      <c r="W283" s="10">
        <f>SUMIFS(IsQList,IsIList,Table_ExternalData_15[[#This Row],[item_key]],IsITypeList,Table_ExternalData_15[[#This Row],[IType]],IsDList,Table_ExternalData_15[[#Headers],[19]])</f>
        <v>0</v>
      </c>
      <c r="X283" s="10">
        <f>SUMIFS(IsQList,IsIList,Table_ExternalData_15[[#This Row],[item_key]],IsITypeList,Table_ExternalData_15[[#This Row],[IType]],IsDList,Table_ExternalData_15[[#Headers],[20]])</f>
        <v>0</v>
      </c>
      <c r="Y283" s="10">
        <f>SUMIFS(IsQList,IsIList,Table_ExternalData_15[[#This Row],[item_key]],IsITypeList,Table_ExternalData_15[[#This Row],[IType]],IsDList,Table_ExternalData_15[[#Headers],[21]])</f>
        <v>0</v>
      </c>
      <c r="Z283" s="10">
        <f>SUMIFS(IsQList,IsIList,Table_ExternalData_15[[#This Row],[item_key]],IsITypeList,Table_ExternalData_15[[#This Row],[IType]],IsDList,Table_ExternalData_15[[#Headers],[22]])</f>
        <v>0</v>
      </c>
      <c r="AA283" s="10">
        <f>SUMIFS(IsQList,IsIList,Table_ExternalData_15[[#This Row],[item_key]],IsITypeList,Table_ExternalData_15[[#This Row],[IType]],IsDList,Table_ExternalData_15[[#Headers],[23]])</f>
        <v>0</v>
      </c>
      <c r="AB283" s="10">
        <f>SUMIFS(IsQList,IsIList,Table_ExternalData_15[[#This Row],[item_key]],IsITypeList,Table_ExternalData_15[[#This Row],[IType]],IsDList,Table_ExternalData_15[[#Headers],[24]])</f>
        <v>0</v>
      </c>
      <c r="AC283" s="10">
        <f>SUMIFS(IsQList,IsIList,Table_ExternalData_15[[#This Row],[item_key]],IsITypeList,Table_ExternalData_15[[#This Row],[IType]],IsDList,Table_ExternalData_15[[#Headers],[25]])</f>
        <v>0</v>
      </c>
      <c r="AD283" s="10">
        <f>SUMIFS(IsQList,IsIList,Table_ExternalData_15[[#This Row],[item_key]],IsITypeList,Table_ExternalData_15[[#This Row],[IType]],IsDList,Table_ExternalData_15[[#Headers],[26]])</f>
        <v>0</v>
      </c>
      <c r="AE283" s="10">
        <f>SUMIFS(IsQList,IsIList,Table_ExternalData_15[[#This Row],[item_key]],IsITypeList,Table_ExternalData_15[[#This Row],[IType]],IsDList,Table_ExternalData_15[[#Headers],[27]])</f>
        <v>0</v>
      </c>
      <c r="AF283" s="10">
        <f>SUMIFS(IsQList,IsIList,Table_ExternalData_15[[#This Row],[item_key]],IsITypeList,Table_ExternalData_15[[#This Row],[IType]],IsDList,Table_ExternalData_15[[#Headers],[28]])</f>
        <v>0</v>
      </c>
      <c r="AG283" s="10">
        <f>SUMIFS(IsQList,IsIList,Table_ExternalData_15[[#This Row],[item_key]],IsITypeList,Table_ExternalData_15[[#This Row],[IType]],IsDList,Table_ExternalData_15[[#Headers],[29]])</f>
        <v>0</v>
      </c>
      <c r="AH283" s="10">
        <f>SUMIFS(IsQList,IsIList,Table_ExternalData_15[[#This Row],[item_key]],IsITypeList,Table_ExternalData_15[[#This Row],[IType]],IsDList,Table_ExternalData_15[[#Headers],[30]])</f>
        <v>0</v>
      </c>
      <c r="AI283" s="10">
        <f>SUMIFS(IsQList,IsIList,Table_ExternalData_15[[#This Row],[item_key]],IsITypeList,Table_ExternalData_15[[#This Row],[IType]],IsDList,Table_ExternalData_15[[#Headers],[31]])</f>
        <v>0</v>
      </c>
      <c r="AJ283" s="10">
        <f>SUM(Table_ExternalData_15[[#This Row],[1]:[31]])</f>
        <v>10</v>
      </c>
    </row>
    <row r="284" spans="1:36">
      <c r="A284" s="1" t="s">
        <v>839</v>
      </c>
      <c r="B284" s="1" t="s">
        <v>2739</v>
      </c>
      <c r="C284" s="1" t="s">
        <v>2740</v>
      </c>
      <c r="D284" s="11" t="s">
        <v>72</v>
      </c>
      <c r="E284" s="10">
        <f>SUMIFS(IsQList,IsIList,Table_ExternalData_15[[#This Row],[item_key]],IsITypeList,Table_ExternalData_15[[#This Row],[IType]],IsDList,Table_ExternalData_15[[#Headers],[1]])</f>
        <v>0</v>
      </c>
      <c r="F284" s="10">
        <f>SUMIFS(IsQList,IsIList,Table_ExternalData_15[[#This Row],[item_key]],IsITypeList,Table_ExternalData_15[[#This Row],[IType]],IsDList,Table_ExternalData_15[[#Headers],[2]])</f>
        <v>0</v>
      </c>
      <c r="G284" s="10">
        <f>SUMIFS(IsQList,IsIList,Table_ExternalData_15[[#This Row],[item_key]],IsITypeList,Table_ExternalData_15[[#This Row],[IType]],IsDList,Table_ExternalData_15[[#Headers],[3]])</f>
        <v>0</v>
      </c>
      <c r="H284" s="10">
        <f>SUMIFS(IsQList,IsIList,Table_ExternalData_15[[#This Row],[item_key]],IsITypeList,Table_ExternalData_15[[#This Row],[IType]],IsDList,Table_ExternalData_15[[#Headers],[4]])</f>
        <v>0</v>
      </c>
      <c r="I284" s="10">
        <f>SUMIFS(IsQList,IsIList,Table_ExternalData_15[[#This Row],[item_key]],IsITypeList,Table_ExternalData_15[[#This Row],[IType]],IsDList,Table_ExternalData_15[[#Headers],[5]])</f>
        <v>0</v>
      </c>
      <c r="J284" s="10">
        <f>SUMIFS(IsQList,IsIList,Table_ExternalData_15[[#This Row],[item_key]],IsITypeList,Table_ExternalData_15[[#This Row],[IType]],IsDList,Table_ExternalData_15[[#Headers],[6]])</f>
        <v>0</v>
      </c>
      <c r="K284" s="10">
        <f>SUMIFS(IsQList,IsIList,Table_ExternalData_15[[#This Row],[item_key]],IsITypeList,Table_ExternalData_15[[#This Row],[IType]],IsDList,Table_ExternalData_15[[#Headers],[7]])</f>
        <v>0</v>
      </c>
      <c r="L284" s="10">
        <f>SUMIFS(IsQList,IsIList,Table_ExternalData_15[[#This Row],[item_key]],IsITypeList,Table_ExternalData_15[[#This Row],[IType]],IsDList,Table_ExternalData_15[[#Headers],[8]])</f>
        <v>0</v>
      </c>
      <c r="M284" s="10">
        <f>SUMIFS(IsQList,IsIList,Table_ExternalData_15[[#This Row],[item_key]],IsITypeList,Table_ExternalData_15[[#This Row],[IType]],IsDList,Table_ExternalData_15[[#Headers],[9]])</f>
        <v>0</v>
      </c>
      <c r="N284" s="10">
        <f>SUMIFS(IsQList,IsIList,Table_ExternalData_15[[#This Row],[item_key]],IsITypeList,Table_ExternalData_15[[#This Row],[IType]],IsDList,Table_ExternalData_15[[#Headers],[10]])</f>
        <v>0</v>
      </c>
      <c r="O284" s="10">
        <f>SUMIFS(IsQList,IsIList,Table_ExternalData_15[[#This Row],[item_key]],IsITypeList,Table_ExternalData_15[[#This Row],[IType]],IsDList,Table_ExternalData_15[[#Headers],[11]])</f>
        <v>0</v>
      </c>
      <c r="P284" s="10">
        <f>SUMIFS(IsQList,IsIList,Table_ExternalData_15[[#This Row],[item_key]],IsITypeList,Table_ExternalData_15[[#This Row],[IType]],IsDList,Table_ExternalData_15[[#Headers],[12]])</f>
        <v>0</v>
      </c>
      <c r="Q284" s="10">
        <f>SUMIFS(IsQList,IsIList,Table_ExternalData_15[[#This Row],[item_key]],IsITypeList,Table_ExternalData_15[[#This Row],[IType]],IsDList,Table_ExternalData_15[[#Headers],[13]])</f>
        <v>0</v>
      </c>
      <c r="R284" s="10">
        <f>SUMIFS(IsQList,IsIList,Table_ExternalData_15[[#This Row],[item_key]],IsITypeList,Table_ExternalData_15[[#This Row],[IType]],IsDList,Table_ExternalData_15[[#Headers],[14]])</f>
        <v>0</v>
      </c>
      <c r="S284" s="10">
        <f>SUMIFS(IsQList,IsIList,Table_ExternalData_15[[#This Row],[item_key]],IsITypeList,Table_ExternalData_15[[#This Row],[IType]],IsDList,Table_ExternalData_15[[#Headers],[15]])</f>
        <v>0</v>
      </c>
      <c r="T284" s="10">
        <f>SUMIFS(IsQList,IsIList,Table_ExternalData_15[[#This Row],[item_key]],IsITypeList,Table_ExternalData_15[[#This Row],[IType]],IsDList,Table_ExternalData_15[[#Headers],[16]])</f>
        <v>0</v>
      </c>
      <c r="U284" s="10">
        <f>SUMIFS(IsQList,IsIList,Table_ExternalData_15[[#This Row],[item_key]],IsITypeList,Table_ExternalData_15[[#This Row],[IType]],IsDList,Table_ExternalData_15[[#Headers],[17]])</f>
        <v>0</v>
      </c>
      <c r="V284" s="10">
        <f>SUMIFS(IsQList,IsIList,Table_ExternalData_15[[#This Row],[item_key]],IsITypeList,Table_ExternalData_15[[#This Row],[IType]],IsDList,Table_ExternalData_15[[#Headers],[18]])</f>
        <v>0</v>
      </c>
      <c r="W284" s="10">
        <f>SUMIFS(IsQList,IsIList,Table_ExternalData_15[[#This Row],[item_key]],IsITypeList,Table_ExternalData_15[[#This Row],[IType]],IsDList,Table_ExternalData_15[[#Headers],[19]])</f>
        <v>0</v>
      </c>
      <c r="X284" s="10">
        <f>SUMIFS(IsQList,IsIList,Table_ExternalData_15[[#This Row],[item_key]],IsITypeList,Table_ExternalData_15[[#This Row],[IType]],IsDList,Table_ExternalData_15[[#Headers],[20]])</f>
        <v>0</v>
      </c>
      <c r="Y284" s="10">
        <f>SUMIFS(IsQList,IsIList,Table_ExternalData_15[[#This Row],[item_key]],IsITypeList,Table_ExternalData_15[[#This Row],[IType]],IsDList,Table_ExternalData_15[[#Headers],[21]])</f>
        <v>0</v>
      </c>
      <c r="Z284" s="10">
        <f>SUMIFS(IsQList,IsIList,Table_ExternalData_15[[#This Row],[item_key]],IsITypeList,Table_ExternalData_15[[#This Row],[IType]],IsDList,Table_ExternalData_15[[#Headers],[22]])</f>
        <v>0</v>
      </c>
      <c r="AA284" s="10">
        <f>SUMIFS(IsQList,IsIList,Table_ExternalData_15[[#This Row],[item_key]],IsITypeList,Table_ExternalData_15[[#This Row],[IType]],IsDList,Table_ExternalData_15[[#Headers],[23]])</f>
        <v>0</v>
      </c>
      <c r="AB284" s="10">
        <f>SUMIFS(IsQList,IsIList,Table_ExternalData_15[[#This Row],[item_key]],IsITypeList,Table_ExternalData_15[[#This Row],[IType]],IsDList,Table_ExternalData_15[[#Headers],[24]])</f>
        <v>0</v>
      </c>
      <c r="AC284" s="10">
        <f>SUMIFS(IsQList,IsIList,Table_ExternalData_15[[#This Row],[item_key]],IsITypeList,Table_ExternalData_15[[#This Row],[IType]],IsDList,Table_ExternalData_15[[#Headers],[25]])</f>
        <v>0</v>
      </c>
      <c r="AD284" s="10">
        <f>SUMIFS(IsQList,IsIList,Table_ExternalData_15[[#This Row],[item_key]],IsITypeList,Table_ExternalData_15[[#This Row],[IType]],IsDList,Table_ExternalData_15[[#Headers],[26]])</f>
        <v>0</v>
      </c>
      <c r="AE284" s="10">
        <f>SUMIFS(IsQList,IsIList,Table_ExternalData_15[[#This Row],[item_key]],IsITypeList,Table_ExternalData_15[[#This Row],[IType]],IsDList,Table_ExternalData_15[[#Headers],[27]])</f>
        <v>0</v>
      </c>
      <c r="AF284" s="10">
        <f>SUMIFS(IsQList,IsIList,Table_ExternalData_15[[#This Row],[item_key]],IsITypeList,Table_ExternalData_15[[#This Row],[IType]],IsDList,Table_ExternalData_15[[#Headers],[28]])</f>
        <v>0</v>
      </c>
      <c r="AG284" s="10">
        <f>SUMIFS(IsQList,IsIList,Table_ExternalData_15[[#This Row],[item_key]],IsITypeList,Table_ExternalData_15[[#This Row],[IType]],IsDList,Table_ExternalData_15[[#Headers],[29]])</f>
        <v>0</v>
      </c>
      <c r="AH284" s="10">
        <f>SUMIFS(IsQList,IsIList,Table_ExternalData_15[[#This Row],[item_key]],IsITypeList,Table_ExternalData_15[[#This Row],[IType]],IsDList,Table_ExternalData_15[[#Headers],[30]])</f>
        <v>0</v>
      </c>
      <c r="AI284" s="10">
        <f>SUMIFS(IsQList,IsIList,Table_ExternalData_15[[#This Row],[item_key]],IsITypeList,Table_ExternalData_15[[#This Row],[IType]],IsDList,Table_ExternalData_15[[#Headers],[31]])</f>
        <v>0</v>
      </c>
      <c r="AJ284" s="10">
        <f>SUM(Table_ExternalData_15[[#This Row],[1]:[31]])</f>
        <v>0</v>
      </c>
    </row>
    <row r="285" spans="1:36">
      <c r="A285" s="1" t="s">
        <v>840</v>
      </c>
      <c r="B285" s="1" t="s">
        <v>2741</v>
      </c>
      <c r="C285" s="1" t="s">
        <v>2742</v>
      </c>
      <c r="D285" s="11" t="s">
        <v>72</v>
      </c>
      <c r="E285" s="10">
        <f>SUMIFS(IsQList,IsIList,Table_ExternalData_15[[#This Row],[item_key]],IsITypeList,Table_ExternalData_15[[#This Row],[IType]],IsDList,Table_ExternalData_15[[#Headers],[1]])</f>
        <v>0</v>
      </c>
      <c r="F285" s="10">
        <f>SUMIFS(IsQList,IsIList,Table_ExternalData_15[[#This Row],[item_key]],IsITypeList,Table_ExternalData_15[[#This Row],[IType]],IsDList,Table_ExternalData_15[[#Headers],[2]])</f>
        <v>0</v>
      </c>
      <c r="G285" s="10">
        <f>SUMIFS(IsQList,IsIList,Table_ExternalData_15[[#This Row],[item_key]],IsITypeList,Table_ExternalData_15[[#This Row],[IType]],IsDList,Table_ExternalData_15[[#Headers],[3]])</f>
        <v>0</v>
      </c>
      <c r="H285" s="10">
        <f>SUMIFS(IsQList,IsIList,Table_ExternalData_15[[#This Row],[item_key]],IsITypeList,Table_ExternalData_15[[#This Row],[IType]],IsDList,Table_ExternalData_15[[#Headers],[4]])</f>
        <v>0</v>
      </c>
      <c r="I285" s="10">
        <f>SUMIFS(IsQList,IsIList,Table_ExternalData_15[[#This Row],[item_key]],IsITypeList,Table_ExternalData_15[[#This Row],[IType]],IsDList,Table_ExternalData_15[[#Headers],[5]])</f>
        <v>0</v>
      </c>
      <c r="J285" s="10">
        <f>SUMIFS(IsQList,IsIList,Table_ExternalData_15[[#This Row],[item_key]],IsITypeList,Table_ExternalData_15[[#This Row],[IType]],IsDList,Table_ExternalData_15[[#Headers],[6]])</f>
        <v>50</v>
      </c>
      <c r="K285" s="10">
        <f>SUMIFS(IsQList,IsIList,Table_ExternalData_15[[#This Row],[item_key]],IsITypeList,Table_ExternalData_15[[#This Row],[IType]],IsDList,Table_ExternalData_15[[#Headers],[7]])</f>
        <v>0</v>
      </c>
      <c r="L285" s="10">
        <f>SUMIFS(IsQList,IsIList,Table_ExternalData_15[[#This Row],[item_key]],IsITypeList,Table_ExternalData_15[[#This Row],[IType]],IsDList,Table_ExternalData_15[[#Headers],[8]])</f>
        <v>0</v>
      </c>
      <c r="M285" s="10">
        <f>SUMIFS(IsQList,IsIList,Table_ExternalData_15[[#This Row],[item_key]],IsITypeList,Table_ExternalData_15[[#This Row],[IType]],IsDList,Table_ExternalData_15[[#Headers],[9]])</f>
        <v>0</v>
      </c>
      <c r="N285" s="10">
        <f>SUMIFS(IsQList,IsIList,Table_ExternalData_15[[#This Row],[item_key]],IsITypeList,Table_ExternalData_15[[#This Row],[IType]],IsDList,Table_ExternalData_15[[#Headers],[10]])</f>
        <v>0</v>
      </c>
      <c r="O285" s="10">
        <f>SUMIFS(IsQList,IsIList,Table_ExternalData_15[[#This Row],[item_key]],IsITypeList,Table_ExternalData_15[[#This Row],[IType]],IsDList,Table_ExternalData_15[[#Headers],[11]])</f>
        <v>0</v>
      </c>
      <c r="P285" s="10">
        <f>SUMIFS(IsQList,IsIList,Table_ExternalData_15[[#This Row],[item_key]],IsITypeList,Table_ExternalData_15[[#This Row],[IType]],IsDList,Table_ExternalData_15[[#Headers],[12]])</f>
        <v>0</v>
      </c>
      <c r="Q285" s="10">
        <f>SUMIFS(IsQList,IsIList,Table_ExternalData_15[[#This Row],[item_key]],IsITypeList,Table_ExternalData_15[[#This Row],[IType]],IsDList,Table_ExternalData_15[[#Headers],[13]])</f>
        <v>0</v>
      </c>
      <c r="R285" s="10">
        <f>SUMIFS(IsQList,IsIList,Table_ExternalData_15[[#This Row],[item_key]],IsITypeList,Table_ExternalData_15[[#This Row],[IType]],IsDList,Table_ExternalData_15[[#Headers],[14]])</f>
        <v>0</v>
      </c>
      <c r="S285" s="10">
        <f>SUMIFS(IsQList,IsIList,Table_ExternalData_15[[#This Row],[item_key]],IsITypeList,Table_ExternalData_15[[#This Row],[IType]],IsDList,Table_ExternalData_15[[#Headers],[15]])</f>
        <v>0</v>
      </c>
      <c r="T285" s="10">
        <f>SUMIFS(IsQList,IsIList,Table_ExternalData_15[[#This Row],[item_key]],IsITypeList,Table_ExternalData_15[[#This Row],[IType]],IsDList,Table_ExternalData_15[[#Headers],[16]])</f>
        <v>0</v>
      </c>
      <c r="U285" s="10">
        <f>SUMIFS(IsQList,IsIList,Table_ExternalData_15[[#This Row],[item_key]],IsITypeList,Table_ExternalData_15[[#This Row],[IType]],IsDList,Table_ExternalData_15[[#Headers],[17]])</f>
        <v>0</v>
      </c>
      <c r="V285" s="10">
        <f>SUMIFS(IsQList,IsIList,Table_ExternalData_15[[#This Row],[item_key]],IsITypeList,Table_ExternalData_15[[#This Row],[IType]],IsDList,Table_ExternalData_15[[#Headers],[18]])</f>
        <v>0</v>
      </c>
      <c r="W285" s="10">
        <f>SUMIFS(IsQList,IsIList,Table_ExternalData_15[[#This Row],[item_key]],IsITypeList,Table_ExternalData_15[[#This Row],[IType]],IsDList,Table_ExternalData_15[[#Headers],[19]])</f>
        <v>0</v>
      </c>
      <c r="X285" s="10">
        <f>SUMIFS(IsQList,IsIList,Table_ExternalData_15[[#This Row],[item_key]],IsITypeList,Table_ExternalData_15[[#This Row],[IType]],IsDList,Table_ExternalData_15[[#Headers],[20]])</f>
        <v>0</v>
      </c>
      <c r="Y285" s="10">
        <f>SUMIFS(IsQList,IsIList,Table_ExternalData_15[[#This Row],[item_key]],IsITypeList,Table_ExternalData_15[[#This Row],[IType]],IsDList,Table_ExternalData_15[[#Headers],[21]])</f>
        <v>0</v>
      </c>
      <c r="Z285" s="10">
        <f>SUMIFS(IsQList,IsIList,Table_ExternalData_15[[#This Row],[item_key]],IsITypeList,Table_ExternalData_15[[#This Row],[IType]],IsDList,Table_ExternalData_15[[#Headers],[22]])</f>
        <v>0</v>
      </c>
      <c r="AA285" s="10">
        <f>SUMIFS(IsQList,IsIList,Table_ExternalData_15[[#This Row],[item_key]],IsITypeList,Table_ExternalData_15[[#This Row],[IType]],IsDList,Table_ExternalData_15[[#Headers],[23]])</f>
        <v>0</v>
      </c>
      <c r="AB285" s="10">
        <f>SUMIFS(IsQList,IsIList,Table_ExternalData_15[[#This Row],[item_key]],IsITypeList,Table_ExternalData_15[[#This Row],[IType]],IsDList,Table_ExternalData_15[[#Headers],[24]])</f>
        <v>0</v>
      </c>
      <c r="AC285" s="10">
        <f>SUMIFS(IsQList,IsIList,Table_ExternalData_15[[#This Row],[item_key]],IsITypeList,Table_ExternalData_15[[#This Row],[IType]],IsDList,Table_ExternalData_15[[#Headers],[25]])</f>
        <v>0</v>
      </c>
      <c r="AD285" s="10">
        <f>SUMIFS(IsQList,IsIList,Table_ExternalData_15[[#This Row],[item_key]],IsITypeList,Table_ExternalData_15[[#This Row],[IType]],IsDList,Table_ExternalData_15[[#Headers],[26]])</f>
        <v>0</v>
      </c>
      <c r="AE285" s="10">
        <f>SUMIFS(IsQList,IsIList,Table_ExternalData_15[[#This Row],[item_key]],IsITypeList,Table_ExternalData_15[[#This Row],[IType]],IsDList,Table_ExternalData_15[[#Headers],[27]])</f>
        <v>0</v>
      </c>
      <c r="AF285" s="10">
        <f>SUMIFS(IsQList,IsIList,Table_ExternalData_15[[#This Row],[item_key]],IsITypeList,Table_ExternalData_15[[#This Row],[IType]],IsDList,Table_ExternalData_15[[#Headers],[28]])</f>
        <v>0</v>
      </c>
      <c r="AG285" s="10">
        <f>SUMIFS(IsQList,IsIList,Table_ExternalData_15[[#This Row],[item_key]],IsITypeList,Table_ExternalData_15[[#This Row],[IType]],IsDList,Table_ExternalData_15[[#Headers],[29]])</f>
        <v>0</v>
      </c>
      <c r="AH285" s="10">
        <f>SUMIFS(IsQList,IsIList,Table_ExternalData_15[[#This Row],[item_key]],IsITypeList,Table_ExternalData_15[[#This Row],[IType]],IsDList,Table_ExternalData_15[[#Headers],[30]])</f>
        <v>0</v>
      </c>
      <c r="AI285" s="10">
        <f>SUMIFS(IsQList,IsIList,Table_ExternalData_15[[#This Row],[item_key]],IsITypeList,Table_ExternalData_15[[#This Row],[IType]],IsDList,Table_ExternalData_15[[#Headers],[31]])</f>
        <v>0</v>
      </c>
      <c r="AJ285" s="10">
        <f>SUM(Table_ExternalData_15[[#This Row],[1]:[31]])</f>
        <v>50</v>
      </c>
    </row>
    <row r="286" spans="1:36">
      <c r="A286" s="1" t="s">
        <v>842</v>
      </c>
      <c r="B286" s="1" t="s">
        <v>1419</v>
      </c>
      <c r="C286" s="1" t="s">
        <v>1374</v>
      </c>
      <c r="D286" s="11" t="s">
        <v>72</v>
      </c>
      <c r="E286" s="10">
        <f>SUMIFS(IsQList,IsIList,Table_ExternalData_15[[#This Row],[item_key]],IsITypeList,Table_ExternalData_15[[#This Row],[IType]],IsDList,Table_ExternalData_15[[#Headers],[1]])</f>
        <v>0</v>
      </c>
      <c r="F286" s="10">
        <f>SUMIFS(IsQList,IsIList,Table_ExternalData_15[[#This Row],[item_key]],IsITypeList,Table_ExternalData_15[[#This Row],[IType]],IsDList,Table_ExternalData_15[[#Headers],[2]])</f>
        <v>0</v>
      </c>
      <c r="G286" s="10">
        <f>SUMIFS(IsQList,IsIList,Table_ExternalData_15[[#This Row],[item_key]],IsITypeList,Table_ExternalData_15[[#This Row],[IType]],IsDList,Table_ExternalData_15[[#Headers],[3]])</f>
        <v>0</v>
      </c>
      <c r="H286" s="10">
        <f>SUMIFS(IsQList,IsIList,Table_ExternalData_15[[#This Row],[item_key]],IsITypeList,Table_ExternalData_15[[#This Row],[IType]],IsDList,Table_ExternalData_15[[#Headers],[4]])</f>
        <v>0</v>
      </c>
      <c r="I286" s="10">
        <f>SUMIFS(IsQList,IsIList,Table_ExternalData_15[[#This Row],[item_key]],IsITypeList,Table_ExternalData_15[[#This Row],[IType]],IsDList,Table_ExternalData_15[[#Headers],[5]])</f>
        <v>0</v>
      </c>
      <c r="J286" s="10">
        <f>SUMIFS(IsQList,IsIList,Table_ExternalData_15[[#This Row],[item_key]],IsITypeList,Table_ExternalData_15[[#This Row],[IType]],IsDList,Table_ExternalData_15[[#Headers],[6]])</f>
        <v>0</v>
      </c>
      <c r="K286" s="10">
        <f>SUMIFS(IsQList,IsIList,Table_ExternalData_15[[#This Row],[item_key]],IsITypeList,Table_ExternalData_15[[#This Row],[IType]],IsDList,Table_ExternalData_15[[#Headers],[7]])</f>
        <v>0</v>
      </c>
      <c r="L286" s="10">
        <f>SUMIFS(IsQList,IsIList,Table_ExternalData_15[[#This Row],[item_key]],IsITypeList,Table_ExternalData_15[[#This Row],[IType]],IsDList,Table_ExternalData_15[[#Headers],[8]])</f>
        <v>0</v>
      </c>
      <c r="M286" s="10">
        <f>SUMIFS(IsQList,IsIList,Table_ExternalData_15[[#This Row],[item_key]],IsITypeList,Table_ExternalData_15[[#This Row],[IType]],IsDList,Table_ExternalData_15[[#Headers],[9]])</f>
        <v>0</v>
      </c>
      <c r="N286" s="10">
        <f>SUMIFS(IsQList,IsIList,Table_ExternalData_15[[#This Row],[item_key]],IsITypeList,Table_ExternalData_15[[#This Row],[IType]],IsDList,Table_ExternalData_15[[#Headers],[10]])</f>
        <v>0</v>
      </c>
      <c r="O286" s="10">
        <f>SUMIFS(IsQList,IsIList,Table_ExternalData_15[[#This Row],[item_key]],IsITypeList,Table_ExternalData_15[[#This Row],[IType]],IsDList,Table_ExternalData_15[[#Headers],[11]])</f>
        <v>0</v>
      </c>
      <c r="P286" s="10">
        <f>SUMIFS(IsQList,IsIList,Table_ExternalData_15[[#This Row],[item_key]],IsITypeList,Table_ExternalData_15[[#This Row],[IType]],IsDList,Table_ExternalData_15[[#Headers],[12]])</f>
        <v>0</v>
      </c>
      <c r="Q286" s="10">
        <f>SUMIFS(IsQList,IsIList,Table_ExternalData_15[[#This Row],[item_key]],IsITypeList,Table_ExternalData_15[[#This Row],[IType]],IsDList,Table_ExternalData_15[[#Headers],[13]])</f>
        <v>0</v>
      </c>
      <c r="R286" s="10">
        <f>SUMIFS(IsQList,IsIList,Table_ExternalData_15[[#This Row],[item_key]],IsITypeList,Table_ExternalData_15[[#This Row],[IType]],IsDList,Table_ExternalData_15[[#Headers],[14]])</f>
        <v>0</v>
      </c>
      <c r="S286" s="10">
        <f>SUMIFS(IsQList,IsIList,Table_ExternalData_15[[#This Row],[item_key]],IsITypeList,Table_ExternalData_15[[#This Row],[IType]],IsDList,Table_ExternalData_15[[#Headers],[15]])</f>
        <v>0</v>
      </c>
      <c r="T286" s="10">
        <f>SUMIFS(IsQList,IsIList,Table_ExternalData_15[[#This Row],[item_key]],IsITypeList,Table_ExternalData_15[[#This Row],[IType]],IsDList,Table_ExternalData_15[[#Headers],[16]])</f>
        <v>0</v>
      </c>
      <c r="U286" s="10">
        <f>SUMIFS(IsQList,IsIList,Table_ExternalData_15[[#This Row],[item_key]],IsITypeList,Table_ExternalData_15[[#This Row],[IType]],IsDList,Table_ExternalData_15[[#Headers],[17]])</f>
        <v>0</v>
      </c>
      <c r="V286" s="10">
        <f>SUMIFS(IsQList,IsIList,Table_ExternalData_15[[#This Row],[item_key]],IsITypeList,Table_ExternalData_15[[#This Row],[IType]],IsDList,Table_ExternalData_15[[#Headers],[18]])</f>
        <v>0</v>
      </c>
      <c r="W286" s="10">
        <f>SUMIFS(IsQList,IsIList,Table_ExternalData_15[[#This Row],[item_key]],IsITypeList,Table_ExternalData_15[[#This Row],[IType]],IsDList,Table_ExternalData_15[[#Headers],[19]])</f>
        <v>0</v>
      </c>
      <c r="X286" s="10">
        <f>SUMIFS(IsQList,IsIList,Table_ExternalData_15[[#This Row],[item_key]],IsITypeList,Table_ExternalData_15[[#This Row],[IType]],IsDList,Table_ExternalData_15[[#Headers],[20]])</f>
        <v>0</v>
      </c>
      <c r="Y286" s="10">
        <f>SUMIFS(IsQList,IsIList,Table_ExternalData_15[[#This Row],[item_key]],IsITypeList,Table_ExternalData_15[[#This Row],[IType]],IsDList,Table_ExternalData_15[[#Headers],[21]])</f>
        <v>0</v>
      </c>
      <c r="Z286" s="10">
        <f>SUMIFS(IsQList,IsIList,Table_ExternalData_15[[#This Row],[item_key]],IsITypeList,Table_ExternalData_15[[#This Row],[IType]],IsDList,Table_ExternalData_15[[#Headers],[22]])</f>
        <v>0</v>
      </c>
      <c r="AA286" s="10">
        <f>SUMIFS(IsQList,IsIList,Table_ExternalData_15[[#This Row],[item_key]],IsITypeList,Table_ExternalData_15[[#This Row],[IType]],IsDList,Table_ExternalData_15[[#Headers],[23]])</f>
        <v>0</v>
      </c>
      <c r="AB286" s="10">
        <f>SUMIFS(IsQList,IsIList,Table_ExternalData_15[[#This Row],[item_key]],IsITypeList,Table_ExternalData_15[[#This Row],[IType]],IsDList,Table_ExternalData_15[[#Headers],[24]])</f>
        <v>0</v>
      </c>
      <c r="AC286" s="10">
        <f>SUMIFS(IsQList,IsIList,Table_ExternalData_15[[#This Row],[item_key]],IsITypeList,Table_ExternalData_15[[#This Row],[IType]],IsDList,Table_ExternalData_15[[#Headers],[25]])</f>
        <v>0</v>
      </c>
      <c r="AD286" s="10">
        <f>SUMIFS(IsQList,IsIList,Table_ExternalData_15[[#This Row],[item_key]],IsITypeList,Table_ExternalData_15[[#This Row],[IType]],IsDList,Table_ExternalData_15[[#Headers],[26]])</f>
        <v>0</v>
      </c>
      <c r="AE286" s="10">
        <f>SUMIFS(IsQList,IsIList,Table_ExternalData_15[[#This Row],[item_key]],IsITypeList,Table_ExternalData_15[[#This Row],[IType]],IsDList,Table_ExternalData_15[[#Headers],[27]])</f>
        <v>0</v>
      </c>
      <c r="AF286" s="10">
        <f>SUMIFS(IsQList,IsIList,Table_ExternalData_15[[#This Row],[item_key]],IsITypeList,Table_ExternalData_15[[#This Row],[IType]],IsDList,Table_ExternalData_15[[#Headers],[28]])</f>
        <v>0</v>
      </c>
      <c r="AG286" s="10">
        <f>SUMIFS(IsQList,IsIList,Table_ExternalData_15[[#This Row],[item_key]],IsITypeList,Table_ExternalData_15[[#This Row],[IType]],IsDList,Table_ExternalData_15[[#Headers],[29]])</f>
        <v>0</v>
      </c>
      <c r="AH286" s="10">
        <f>SUMIFS(IsQList,IsIList,Table_ExternalData_15[[#This Row],[item_key]],IsITypeList,Table_ExternalData_15[[#This Row],[IType]],IsDList,Table_ExternalData_15[[#Headers],[30]])</f>
        <v>0</v>
      </c>
      <c r="AI286" s="10">
        <f>SUMIFS(IsQList,IsIList,Table_ExternalData_15[[#This Row],[item_key]],IsITypeList,Table_ExternalData_15[[#This Row],[IType]],IsDList,Table_ExternalData_15[[#Headers],[31]])</f>
        <v>0</v>
      </c>
      <c r="AJ286" s="10">
        <f>SUM(Table_ExternalData_15[[#This Row],[1]:[31]])</f>
        <v>0</v>
      </c>
    </row>
    <row r="287" spans="1:36">
      <c r="A287" s="1" t="s">
        <v>845</v>
      </c>
      <c r="B287" s="1" t="s">
        <v>2743</v>
      </c>
      <c r="C287" s="1" t="s">
        <v>2744</v>
      </c>
      <c r="D287" s="11" t="s">
        <v>72</v>
      </c>
      <c r="E287" s="10">
        <f>SUMIFS(IsQList,IsIList,Table_ExternalData_15[[#This Row],[item_key]],IsITypeList,Table_ExternalData_15[[#This Row],[IType]],IsDList,Table_ExternalData_15[[#Headers],[1]])</f>
        <v>0</v>
      </c>
      <c r="F287" s="10">
        <f>SUMIFS(IsQList,IsIList,Table_ExternalData_15[[#This Row],[item_key]],IsITypeList,Table_ExternalData_15[[#This Row],[IType]],IsDList,Table_ExternalData_15[[#Headers],[2]])</f>
        <v>0</v>
      </c>
      <c r="G287" s="10">
        <f>SUMIFS(IsQList,IsIList,Table_ExternalData_15[[#This Row],[item_key]],IsITypeList,Table_ExternalData_15[[#This Row],[IType]],IsDList,Table_ExternalData_15[[#Headers],[3]])</f>
        <v>0</v>
      </c>
      <c r="H287" s="10">
        <f>SUMIFS(IsQList,IsIList,Table_ExternalData_15[[#This Row],[item_key]],IsITypeList,Table_ExternalData_15[[#This Row],[IType]],IsDList,Table_ExternalData_15[[#Headers],[4]])</f>
        <v>0</v>
      </c>
      <c r="I287" s="10">
        <f>SUMIFS(IsQList,IsIList,Table_ExternalData_15[[#This Row],[item_key]],IsITypeList,Table_ExternalData_15[[#This Row],[IType]],IsDList,Table_ExternalData_15[[#Headers],[5]])</f>
        <v>0</v>
      </c>
      <c r="J287" s="10">
        <f>SUMIFS(IsQList,IsIList,Table_ExternalData_15[[#This Row],[item_key]],IsITypeList,Table_ExternalData_15[[#This Row],[IType]],IsDList,Table_ExternalData_15[[#Headers],[6]])</f>
        <v>0</v>
      </c>
      <c r="K287" s="10">
        <f>SUMIFS(IsQList,IsIList,Table_ExternalData_15[[#This Row],[item_key]],IsITypeList,Table_ExternalData_15[[#This Row],[IType]],IsDList,Table_ExternalData_15[[#Headers],[7]])</f>
        <v>0</v>
      </c>
      <c r="L287" s="10">
        <f>SUMIFS(IsQList,IsIList,Table_ExternalData_15[[#This Row],[item_key]],IsITypeList,Table_ExternalData_15[[#This Row],[IType]],IsDList,Table_ExternalData_15[[#Headers],[8]])</f>
        <v>0</v>
      </c>
      <c r="M287" s="10">
        <f>SUMIFS(IsQList,IsIList,Table_ExternalData_15[[#This Row],[item_key]],IsITypeList,Table_ExternalData_15[[#This Row],[IType]],IsDList,Table_ExternalData_15[[#Headers],[9]])</f>
        <v>0</v>
      </c>
      <c r="N287" s="10">
        <f>SUMIFS(IsQList,IsIList,Table_ExternalData_15[[#This Row],[item_key]],IsITypeList,Table_ExternalData_15[[#This Row],[IType]],IsDList,Table_ExternalData_15[[#Headers],[10]])</f>
        <v>0</v>
      </c>
      <c r="O287" s="10">
        <f>SUMIFS(IsQList,IsIList,Table_ExternalData_15[[#This Row],[item_key]],IsITypeList,Table_ExternalData_15[[#This Row],[IType]],IsDList,Table_ExternalData_15[[#Headers],[11]])</f>
        <v>0</v>
      </c>
      <c r="P287" s="10">
        <f>SUMIFS(IsQList,IsIList,Table_ExternalData_15[[#This Row],[item_key]],IsITypeList,Table_ExternalData_15[[#This Row],[IType]],IsDList,Table_ExternalData_15[[#Headers],[12]])</f>
        <v>0</v>
      </c>
      <c r="Q287" s="10">
        <f>SUMIFS(IsQList,IsIList,Table_ExternalData_15[[#This Row],[item_key]],IsITypeList,Table_ExternalData_15[[#This Row],[IType]],IsDList,Table_ExternalData_15[[#Headers],[13]])</f>
        <v>0</v>
      </c>
      <c r="R287" s="10">
        <f>SUMIFS(IsQList,IsIList,Table_ExternalData_15[[#This Row],[item_key]],IsITypeList,Table_ExternalData_15[[#This Row],[IType]],IsDList,Table_ExternalData_15[[#Headers],[14]])</f>
        <v>0</v>
      </c>
      <c r="S287" s="10">
        <f>SUMIFS(IsQList,IsIList,Table_ExternalData_15[[#This Row],[item_key]],IsITypeList,Table_ExternalData_15[[#This Row],[IType]],IsDList,Table_ExternalData_15[[#Headers],[15]])</f>
        <v>0</v>
      </c>
      <c r="T287" s="10">
        <f>SUMIFS(IsQList,IsIList,Table_ExternalData_15[[#This Row],[item_key]],IsITypeList,Table_ExternalData_15[[#This Row],[IType]],IsDList,Table_ExternalData_15[[#Headers],[16]])</f>
        <v>38</v>
      </c>
      <c r="U287" s="10">
        <f>SUMIFS(IsQList,IsIList,Table_ExternalData_15[[#This Row],[item_key]],IsITypeList,Table_ExternalData_15[[#This Row],[IType]],IsDList,Table_ExternalData_15[[#Headers],[17]])</f>
        <v>0</v>
      </c>
      <c r="V287" s="10">
        <f>SUMIFS(IsQList,IsIList,Table_ExternalData_15[[#This Row],[item_key]],IsITypeList,Table_ExternalData_15[[#This Row],[IType]],IsDList,Table_ExternalData_15[[#Headers],[18]])</f>
        <v>0</v>
      </c>
      <c r="W287" s="10">
        <f>SUMIFS(IsQList,IsIList,Table_ExternalData_15[[#This Row],[item_key]],IsITypeList,Table_ExternalData_15[[#This Row],[IType]],IsDList,Table_ExternalData_15[[#Headers],[19]])</f>
        <v>0</v>
      </c>
      <c r="X287" s="10">
        <f>SUMIFS(IsQList,IsIList,Table_ExternalData_15[[#This Row],[item_key]],IsITypeList,Table_ExternalData_15[[#This Row],[IType]],IsDList,Table_ExternalData_15[[#Headers],[20]])</f>
        <v>0</v>
      </c>
      <c r="Y287" s="10">
        <f>SUMIFS(IsQList,IsIList,Table_ExternalData_15[[#This Row],[item_key]],IsITypeList,Table_ExternalData_15[[#This Row],[IType]],IsDList,Table_ExternalData_15[[#Headers],[21]])</f>
        <v>0</v>
      </c>
      <c r="Z287" s="10">
        <f>SUMIFS(IsQList,IsIList,Table_ExternalData_15[[#This Row],[item_key]],IsITypeList,Table_ExternalData_15[[#This Row],[IType]],IsDList,Table_ExternalData_15[[#Headers],[22]])</f>
        <v>0</v>
      </c>
      <c r="AA287" s="10">
        <f>SUMIFS(IsQList,IsIList,Table_ExternalData_15[[#This Row],[item_key]],IsITypeList,Table_ExternalData_15[[#This Row],[IType]],IsDList,Table_ExternalData_15[[#Headers],[23]])</f>
        <v>0</v>
      </c>
      <c r="AB287" s="10">
        <f>SUMIFS(IsQList,IsIList,Table_ExternalData_15[[#This Row],[item_key]],IsITypeList,Table_ExternalData_15[[#This Row],[IType]],IsDList,Table_ExternalData_15[[#Headers],[24]])</f>
        <v>0</v>
      </c>
      <c r="AC287" s="10">
        <f>SUMIFS(IsQList,IsIList,Table_ExternalData_15[[#This Row],[item_key]],IsITypeList,Table_ExternalData_15[[#This Row],[IType]],IsDList,Table_ExternalData_15[[#Headers],[25]])</f>
        <v>0</v>
      </c>
      <c r="AD287" s="10">
        <f>SUMIFS(IsQList,IsIList,Table_ExternalData_15[[#This Row],[item_key]],IsITypeList,Table_ExternalData_15[[#This Row],[IType]],IsDList,Table_ExternalData_15[[#Headers],[26]])</f>
        <v>0</v>
      </c>
      <c r="AE287" s="10">
        <f>SUMIFS(IsQList,IsIList,Table_ExternalData_15[[#This Row],[item_key]],IsITypeList,Table_ExternalData_15[[#This Row],[IType]],IsDList,Table_ExternalData_15[[#Headers],[27]])</f>
        <v>0</v>
      </c>
      <c r="AF287" s="10">
        <f>SUMIFS(IsQList,IsIList,Table_ExternalData_15[[#This Row],[item_key]],IsITypeList,Table_ExternalData_15[[#This Row],[IType]],IsDList,Table_ExternalData_15[[#Headers],[28]])</f>
        <v>0</v>
      </c>
      <c r="AG287" s="10">
        <f>SUMIFS(IsQList,IsIList,Table_ExternalData_15[[#This Row],[item_key]],IsITypeList,Table_ExternalData_15[[#This Row],[IType]],IsDList,Table_ExternalData_15[[#Headers],[29]])</f>
        <v>0</v>
      </c>
      <c r="AH287" s="10">
        <f>SUMIFS(IsQList,IsIList,Table_ExternalData_15[[#This Row],[item_key]],IsITypeList,Table_ExternalData_15[[#This Row],[IType]],IsDList,Table_ExternalData_15[[#Headers],[30]])</f>
        <v>0</v>
      </c>
      <c r="AI287" s="10">
        <f>SUMIFS(IsQList,IsIList,Table_ExternalData_15[[#This Row],[item_key]],IsITypeList,Table_ExternalData_15[[#This Row],[IType]],IsDList,Table_ExternalData_15[[#Headers],[31]])</f>
        <v>0</v>
      </c>
      <c r="AJ287" s="10">
        <f>SUM(Table_ExternalData_15[[#This Row],[1]:[31]])</f>
        <v>38</v>
      </c>
    </row>
    <row r="288" spans="1:36">
      <c r="A288" s="1" t="s">
        <v>2089</v>
      </c>
      <c r="B288" s="1" t="s">
        <v>2745</v>
      </c>
      <c r="C288" s="1" t="s">
        <v>2746</v>
      </c>
      <c r="D288" s="11" t="s">
        <v>72</v>
      </c>
      <c r="E288" s="10">
        <f>SUMIFS(IsQList,IsIList,Table_ExternalData_15[[#This Row],[item_key]],IsITypeList,Table_ExternalData_15[[#This Row],[IType]],IsDList,Table_ExternalData_15[[#Headers],[1]])</f>
        <v>0</v>
      </c>
      <c r="F288" s="10">
        <f>SUMIFS(IsQList,IsIList,Table_ExternalData_15[[#This Row],[item_key]],IsITypeList,Table_ExternalData_15[[#This Row],[IType]],IsDList,Table_ExternalData_15[[#Headers],[2]])</f>
        <v>0</v>
      </c>
      <c r="G288" s="10">
        <f>SUMIFS(IsQList,IsIList,Table_ExternalData_15[[#This Row],[item_key]],IsITypeList,Table_ExternalData_15[[#This Row],[IType]],IsDList,Table_ExternalData_15[[#Headers],[3]])</f>
        <v>0</v>
      </c>
      <c r="H288" s="10">
        <f>SUMIFS(IsQList,IsIList,Table_ExternalData_15[[#This Row],[item_key]],IsITypeList,Table_ExternalData_15[[#This Row],[IType]],IsDList,Table_ExternalData_15[[#Headers],[4]])</f>
        <v>0</v>
      </c>
      <c r="I288" s="10">
        <f>SUMIFS(IsQList,IsIList,Table_ExternalData_15[[#This Row],[item_key]],IsITypeList,Table_ExternalData_15[[#This Row],[IType]],IsDList,Table_ExternalData_15[[#Headers],[5]])</f>
        <v>0</v>
      </c>
      <c r="J288" s="10">
        <f>SUMIFS(IsQList,IsIList,Table_ExternalData_15[[#This Row],[item_key]],IsITypeList,Table_ExternalData_15[[#This Row],[IType]],IsDList,Table_ExternalData_15[[#Headers],[6]])</f>
        <v>0</v>
      </c>
      <c r="K288" s="10">
        <f>SUMIFS(IsQList,IsIList,Table_ExternalData_15[[#This Row],[item_key]],IsITypeList,Table_ExternalData_15[[#This Row],[IType]],IsDList,Table_ExternalData_15[[#Headers],[7]])</f>
        <v>0</v>
      </c>
      <c r="L288" s="10">
        <f>SUMIFS(IsQList,IsIList,Table_ExternalData_15[[#This Row],[item_key]],IsITypeList,Table_ExternalData_15[[#This Row],[IType]],IsDList,Table_ExternalData_15[[#Headers],[8]])</f>
        <v>0</v>
      </c>
      <c r="M288" s="10">
        <f>SUMIFS(IsQList,IsIList,Table_ExternalData_15[[#This Row],[item_key]],IsITypeList,Table_ExternalData_15[[#This Row],[IType]],IsDList,Table_ExternalData_15[[#Headers],[9]])</f>
        <v>0</v>
      </c>
      <c r="N288" s="10">
        <f>SUMIFS(IsQList,IsIList,Table_ExternalData_15[[#This Row],[item_key]],IsITypeList,Table_ExternalData_15[[#This Row],[IType]],IsDList,Table_ExternalData_15[[#Headers],[10]])</f>
        <v>0</v>
      </c>
      <c r="O288" s="10">
        <f>SUMIFS(IsQList,IsIList,Table_ExternalData_15[[#This Row],[item_key]],IsITypeList,Table_ExternalData_15[[#This Row],[IType]],IsDList,Table_ExternalData_15[[#Headers],[11]])</f>
        <v>0</v>
      </c>
      <c r="P288" s="10">
        <f>SUMIFS(IsQList,IsIList,Table_ExternalData_15[[#This Row],[item_key]],IsITypeList,Table_ExternalData_15[[#This Row],[IType]],IsDList,Table_ExternalData_15[[#Headers],[12]])</f>
        <v>0</v>
      </c>
      <c r="Q288" s="10">
        <f>SUMIFS(IsQList,IsIList,Table_ExternalData_15[[#This Row],[item_key]],IsITypeList,Table_ExternalData_15[[#This Row],[IType]],IsDList,Table_ExternalData_15[[#Headers],[13]])</f>
        <v>0</v>
      </c>
      <c r="R288" s="10">
        <f>SUMIFS(IsQList,IsIList,Table_ExternalData_15[[#This Row],[item_key]],IsITypeList,Table_ExternalData_15[[#This Row],[IType]],IsDList,Table_ExternalData_15[[#Headers],[14]])</f>
        <v>0</v>
      </c>
      <c r="S288" s="10">
        <f>SUMIFS(IsQList,IsIList,Table_ExternalData_15[[#This Row],[item_key]],IsITypeList,Table_ExternalData_15[[#This Row],[IType]],IsDList,Table_ExternalData_15[[#Headers],[15]])</f>
        <v>0</v>
      </c>
      <c r="T288" s="10">
        <f>SUMIFS(IsQList,IsIList,Table_ExternalData_15[[#This Row],[item_key]],IsITypeList,Table_ExternalData_15[[#This Row],[IType]],IsDList,Table_ExternalData_15[[#Headers],[16]])</f>
        <v>0</v>
      </c>
      <c r="U288" s="10">
        <f>SUMIFS(IsQList,IsIList,Table_ExternalData_15[[#This Row],[item_key]],IsITypeList,Table_ExternalData_15[[#This Row],[IType]],IsDList,Table_ExternalData_15[[#Headers],[17]])</f>
        <v>0</v>
      </c>
      <c r="V288" s="10">
        <f>SUMIFS(IsQList,IsIList,Table_ExternalData_15[[#This Row],[item_key]],IsITypeList,Table_ExternalData_15[[#This Row],[IType]],IsDList,Table_ExternalData_15[[#Headers],[18]])</f>
        <v>0</v>
      </c>
      <c r="W288" s="10">
        <f>SUMIFS(IsQList,IsIList,Table_ExternalData_15[[#This Row],[item_key]],IsITypeList,Table_ExternalData_15[[#This Row],[IType]],IsDList,Table_ExternalData_15[[#Headers],[19]])</f>
        <v>0</v>
      </c>
      <c r="X288" s="10">
        <f>SUMIFS(IsQList,IsIList,Table_ExternalData_15[[#This Row],[item_key]],IsITypeList,Table_ExternalData_15[[#This Row],[IType]],IsDList,Table_ExternalData_15[[#Headers],[20]])</f>
        <v>0</v>
      </c>
      <c r="Y288" s="10">
        <f>SUMIFS(IsQList,IsIList,Table_ExternalData_15[[#This Row],[item_key]],IsITypeList,Table_ExternalData_15[[#This Row],[IType]],IsDList,Table_ExternalData_15[[#Headers],[21]])</f>
        <v>0</v>
      </c>
      <c r="Z288" s="10">
        <f>SUMIFS(IsQList,IsIList,Table_ExternalData_15[[#This Row],[item_key]],IsITypeList,Table_ExternalData_15[[#This Row],[IType]],IsDList,Table_ExternalData_15[[#Headers],[22]])</f>
        <v>0</v>
      </c>
      <c r="AA288" s="10">
        <f>SUMIFS(IsQList,IsIList,Table_ExternalData_15[[#This Row],[item_key]],IsITypeList,Table_ExternalData_15[[#This Row],[IType]],IsDList,Table_ExternalData_15[[#Headers],[23]])</f>
        <v>0</v>
      </c>
      <c r="AB288" s="10">
        <f>SUMIFS(IsQList,IsIList,Table_ExternalData_15[[#This Row],[item_key]],IsITypeList,Table_ExternalData_15[[#This Row],[IType]],IsDList,Table_ExternalData_15[[#Headers],[24]])</f>
        <v>0</v>
      </c>
      <c r="AC288" s="10">
        <f>SUMIFS(IsQList,IsIList,Table_ExternalData_15[[#This Row],[item_key]],IsITypeList,Table_ExternalData_15[[#This Row],[IType]],IsDList,Table_ExternalData_15[[#Headers],[25]])</f>
        <v>0</v>
      </c>
      <c r="AD288" s="10">
        <f>SUMIFS(IsQList,IsIList,Table_ExternalData_15[[#This Row],[item_key]],IsITypeList,Table_ExternalData_15[[#This Row],[IType]],IsDList,Table_ExternalData_15[[#Headers],[26]])</f>
        <v>0</v>
      </c>
      <c r="AE288" s="10">
        <f>SUMIFS(IsQList,IsIList,Table_ExternalData_15[[#This Row],[item_key]],IsITypeList,Table_ExternalData_15[[#This Row],[IType]],IsDList,Table_ExternalData_15[[#Headers],[27]])</f>
        <v>0</v>
      </c>
      <c r="AF288" s="10">
        <f>SUMIFS(IsQList,IsIList,Table_ExternalData_15[[#This Row],[item_key]],IsITypeList,Table_ExternalData_15[[#This Row],[IType]],IsDList,Table_ExternalData_15[[#Headers],[28]])</f>
        <v>0</v>
      </c>
      <c r="AG288" s="10">
        <f>SUMIFS(IsQList,IsIList,Table_ExternalData_15[[#This Row],[item_key]],IsITypeList,Table_ExternalData_15[[#This Row],[IType]],IsDList,Table_ExternalData_15[[#Headers],[29]])</f>
        <v>0</v>
      </c>
      <c r="AH288" s="10">
        <f>SUMIFS(IsQList,IsIList,Table_ExternalData_15[[#This Row],[item_key]],IsITypeList,Table_ExternalData_15[[#This Row],[IType]],IsDList,Table_ExternalData_15[[#Headers],[30]])</f>
        <v>0</v>
      </c>
      <c r="AI288" s="10">
        <f>SUMIFS(IsQList,IsIList,Table_ExternalData_15[[#This Row],[item_key]],IsITypeList,Table_ExternalData_15[[#This Row],[IType]],IsDList,Table_ExternalData_15[[#Headers],[31]])</f>
        <v>0</v>
      </c>
      <c r="AJ288" s="10">
        <f>SUM(Table_ExternalData_15[[#This Row],[1]:[31]])</f>
        <v>0</v>
      </c>
    </row>
    <row r="289" spans="1:36">
      <c r="A289" s="1" t="s">
        <v>859</v>
      </c>
      <c r="B289" s="1" t="s">
        <v>2749</v>
      </c>
      <c r="C289" s="1" t="s">
        <v>2750</v>
      </c>
      <c r="D289" s="11" t="s">
        <v>72</v>
      </c>
      <c r="E289" s="10">
        <f>SUMIFS(IsQList,IsIList,Table_ExternalData_15[[#This Row],[item_key]],IsITypeList,Table_ExternalData_15[[#This Row],[IType]],IsDList,Table_ExternalData_15[[#Headers],[1]])</f>
        <v>0</v>
      </c>
      <c r="F289" s="10">
        <f>SUMIFS(IsQList,IsIList,Table_ExternalData_15[[#This Row],[item_key]],IsITypeList,Table_ExternalData_15[[#This Row],[IType]],IsDList,Table_ExternalData_15[[#Headers],[2]])</f>
        <v>0</v>
      </c>
      <c r="G289" s="10">
        <f>SUMIFS(IsQList,IsIList,Table_ExternalData_15[[#This Row],[item_key]],IsITypeList,Table_ExternalData_15[[#This Row],[IType]],IsDList,Table_ExternalData_15[[#Headers],[3]])</f>
        <v>0</v>
      </c>
      <c r="H289" s="10">
        <f>SUMIFS(IsQList,IsIList,Table_ExternalData_15[[#This Row],[item_key]],IsITypeList,Table_ExternalData_15[[#This Row],[IType]],IsDList,Table_ExternalData_15[[#Headers],[4]])</f>
        <v>0</v>
      </c>
      <c r="I289" s="10">
        <f>SUMIFS(IsQList,IsIList,Table_ExternalData_15[[#This Row],[item_key]],IsITypeList,Table_ExternalData_15[[#This Row],[IType]],IsDList,Table_ExternalData_15[[#Headers],[5]])</f>
        <v>0</v>
      </c>
      <c r="J289" s="10">
        <f>SUMIFS(IsQList,IsIList,Table_ExternalData_15[[#This Row],[item_key]],IsITypeList,Table_ExternalData_15[[#This Row],[IType]],IsDList,Table_ExternalData_15[[#Headers],[6]])</f>
        <v>0</v>
      </c>
      <c r="K289" s="10">
        <f>SUMIFS(IsQList,IsIList,Table_ExternalData_15[[#This Row],[item_key]],IsITypeList,Table_ExternalData_15[[#This Row],[IType]],IsDList,Table_ExternalData_15[[#Headers],[7]])</f>
        <v>0</v>
      </c>
      <c r="L289" s="10">
        <f>SUMIFS(IsQList,IsIList,Table_ExternalData_15[[#This Row],[item_key]],IsITypeList,Table_ExternalData_15[[#This Row],[IType]],IsDList,Table_ExternalData_15[[#Headers],[8]])</f>
        <v>0</v>
      </c>
      <c r="M289" s="10">
        <f>SUMIFS(IsQList,IsIList,Table_ExternalData_15[[#This Row],[item_key]],IsITypeList,Table_ExternalData_15[[#This Row],[IType]],IsDList,Table_ExternalData_15[[#Headers],[9]])</f>
        <v>0</v>
      </c>
      <c r="N289" s="10">
        <f>SUMIFS(IsQList,IsIList,Table_ExternalData_15[[#This Row],[item_key]],IsITypeList,Table_ExternalData_15[[#This Row],[IType]],IsDList,Table_ExternalData_15[[#Headers],[10]])</f>
        <v>0</v>
      </c>
      <c r="O289" s="10">
        <f>SUMIFS(IsQList,IsIList,Table_ExternalData_15[[#This Row],[item_key]],IsITypeList,Table_ExternalData_15[[#This Row],[IType]],IsDList,Table_ExternalData_15[[#Headers],[11]])</f>
        <v>0</v>
      </c>
      <c r="P289" s="10">
        <f>SUMIFS(IsQList,IsIList,Table_ExternalData_15[[#This Row],[item_key]],IsITypeList,Table_ExternalData_15[[#This Row],[IType]],IsDList,Table_ExternalData_15[[#Headers],[12]])</f>
        <v>0</v>
      </c>
      <c r="Q289" s="10">
        <f>SUMIFS(IsQList,IsIList,Table_ExternalData_15[[#This Row],[item_key]],IsITypeList,Table_ExternalData_15[[#This Row],[IType]],IsDList,Table_ExternalData_15[[#Headers],[13]])</f>
        <v>0</v>
      </c>
      <c r="R289" s="10">
        <f>SUMIFS(IsQList,IsIList,Table_ExternalData_15[[#This Row],[item_key]],IsITypeList,Table_ExternalData_15[[#This Row],[IType]],IsDList,Table_ExternalData_15[[#Headers],[14]])</f>
        <v>0</v>
      </c>
      <c r="S289" s="10">
        <f>SUMIFS(IsQList,IsIList,Table_ExternalData_15[[#This Row],[item_key]],IsITypeList,Table_ExternalData_15[[#This Row],[IType]],IsDList,Table_ExternalData_15[[#Headers],[15]])</f>
        <v>0</v>
      </c>
      <c r="T289" s="10">
        <f>SUMIFS(IsQList,IsIList,Table_ExternalData_15[[#This Row],[item_key]],IsITypeList,Table_ExternalData_15[[#This Row],[IType]],IsDList,Table_ExternalData_15[[#Headers],[16]])</f>
        <v>0</v>
      </c>
      <c r="U289" s="10">
        <f>SUMIFS(IsQList,IsIList,Table_ExternalData_15[[#This Row],[item_key]],IsITypeList,Table_ExternalData_15[[#This Row],[IType]],IsDList,Table_ExternalData_15[[#Headers],[17]])</f>
        <v>0</v>
      </c>
      <c r="V289" s="10">
        <f>SUMIFS(IsQList,IsIList,Table_ExternalData_15[[#This Row],[item_key]],IsITypeList,Table_ExternalData_15[[#This Row],[IType]],IsDList,Table_ExternalData_15[[#Headers],[18]])</f>
        <v>0</v>
      </c>
      <c r="W289" s="10">
        <f>SUMIFS(IsQList,IsIList,Table_ExternalData_15[[#This Row],[item_key]],IsITypeList,Table_ExternalData_15[[#This Row],[IType]],IsDList,Table_ExternalData_15[[#Headers],[19]])</f>
        <v>0</v>
      </c>
      <c r="X289" s="10">
        <f>SUMIFS(IsQList,IsIList,Table_ExternalData_15[[#This Row],[item_key]],IsITypeList,Table_ExternalData_15[[#This Row],[IType]],IsDList,Table_ExternalData_15[[#Headers],[20]])</f>
        <v>0</v>
      </c>
      <c r="Y289" s="10">
        <f>SUMIFS(IsQList,IsIList,Table_ExternalData_15[[#This Row],[item_key]],IsITypeList,Table_ExternalData_15[[#This Row],[IType]],IsDList,Table_ExternalData_15[[#Headers],[21]])</f>
        <v>0</v>
      </c>
      <c r="Z289" s="10">
        <f>SUMIFS(IsQList,IsIList,Table_ExternalData_15[[#This Row],[item_key]],IsITypeList,Table_ExternalData_15[[#This Row],[IType]],IsDList,Table_ExternalData_15[[#Headers],[22]])</f>
        <v>0</v>
      </c>
      <c r="AA289" s="10">
        <f>SUMIFS(IsQList,IsIList,Table_ExternalData_15[[#This Row],[item_key]],IsITypeList,Table_ExternalData_15[[#This Row],[IType]],IsDList,Table_ExternalData_15[[#Headers],[23]])</f>
        <v>0</v>
      </c>
      <c r="AB289" s="10">
        <f>SUMIFS(IsQList,IsIList,Table_ExternalData_15[[#This Row],[item_key]],IsITypeList,Table_ExternalData_15[[#This Row],[IType]],IsDList,Table_ExternalData_15[[#Headers],[24]])</f>
        <v>0</v>
      </c>
      <c r="AC289" s="10">
        <f>SUMIFS(IsQList,IsIList,Table_ExternalData_15[[#This Row],[item_key]],IsITypeList,Table_ExternalData_15[[#This Row],[IType]],IsDList,Table_ExternalData_15[[#Headers],[25]])</f>
        <v>0</v>
      </c>
      <c r="AD289" s="10">
        <f>SUMIFS(IsQList,IsIList,Table_ExternalData_15[[#This Row],[item_key]],IsITypeList,Table_ExternalData_15[[#This Row],[IType]],IsDList,Table_ExternalData_15[[#Headers],[26]])</f>
        <v>0</v>
      </c>
      <c r="AE289" s="10">
        <f>SUMIFS(IsQList,IsIList,Table_ExternalData_15[[#This Row],[item_key]],IsITypeList,Table_ExternalData_15[[#This Row],[IType]],IsDList,Table_ExternalData_15[[#Headers],[27]])</f>
        <v>0</v>
      </c>
      <c r="AF289" s="10">
        <f>SUMIFS(IsQList,IsIList,Table_ExternalData_15[[#This Row],[item_key]],IsITypeList,Table_ExternalData_15[[#This Row],[IType]],IsDList,Table_ExternalData_15[[#Headers],[28]])</f>
        <v>0</v>
      </c>
      <c r="AG289" s="10">
        <f>SUMIFS(IsQList,IsIList,Table_ExternalData_15[[#This Row],[item_key]],IsITypeList,Table_ExternalData_15[[#This Row],[IType]],IsDList,Table_ExternalData_15[[#Headers],[29]])</f>
        <v>0</v>
      </c>
      <c r="AH289" s="10">
        <f>SUMIFS(IsQList,IsIList,Table_ExternalData_15[[#This Row],[item_key]],IsITypeList,Table_ExternalData_15[[#This Row],[IType]],IsDList,Table_ExternalData_15[[#Headers],[30]])</f>
        <v>10</v>
      </c>
      <c r="AI289" s="10">
        <f>SUMIFS(IsQList,IsIList,Table_ExternalData_15[[#This Row],[item_key]],IsITypeList,Table_ExternalData_15[[#This Row],[IType]],IsDList,Table_ExternalData_15[[#Headers],[31]])</f>
        <v>0</v>
      </c>
      <c r="AJ289" s="10">
        <f>SUM(Table_ExternalData_15[[#This Row],[1]:[31]])</f>
        <v>10</v>
      </c>
    </row>
    <row r="290" spans="1:36">
      <c r="A290" s="1" t="s">
        <v>2112</v>
      </c>
      <c r="B290" s="1" t="s">
        <v>2751</v>
      </c>
      <c r="C290" s="1" t="s">
        <v>2752</v>
      </c>
      <c r="D290" s="11" t="s">
        <v>72</v>
      </c>
      <c r="E290" s="10">
        <f>SUMIFS(IsQList,IsIList,Table_ExternalData_15[[#This Row],[item_key]],IsITypeList,Table_ExternalData_15[[#This Row],[IType]],IsDList,Table_ExternalData_15[[#Headers],[1]])</f>
        <v>0</v>
      </c>
      <c r="F290" s="10">
        <f>SUMIFS(IsQList,IsIList,Table_ExternalData_15[[#This Row],[item_key]],IsITypeList,Table_ExternalData_15[[#This Row],[IType]],IsDList,Table_ExternalData_15[[#Headers],[2]])</f>
        <v>0</v>
      </c>
      <c r="G290" s="10">
        <f>SUMIFS(IsQList,IsIList,Table_ExternalData_15[[#This Row],[item_key]],IsITypeList,Table_ExternalData_15[[#This Row],[IType]],IsDList,Table_ExternalData_15[[#Headers],[3]])</f>
        <v>0</v>
      </c>
      <c r="H290" s="10">
        <f>SUMIFS(IsQList,IsIList,Table_ExternalData_15[[#This Row],[item_key]],IsITypeList,Table_ExternalData_15[[#This Row],[IType]],IsDList,Table_ExternalData_15[[#Headers],[4]])</f>
        <v>0</v>
      </c>
      <c r="I290" s="10">
        <f>SUMIFS(IsQList,IsIList,Table_ExternalData_15[[#This Row],[item_key]],IsITypeList,Table_ExternalData_15[[#This Row],[IType]],IsDList,Table_ExternalData_15[[#Headers],[5]])</f>
        <v>0</v>
      </c>
      <c r="J290" s="10">
        <f>SUMIFS(IsQList,IsIList,Table_ExternalData_15[[#This Row],[item_key]],IsITypeList,Table_ExternalData_15[[#This Row],[IType]],IsDList,Table_ExternalData_15[[#Headers],[6]])</f>
        <v>0</v>
      </c>
      <c r="K290" s="10">
        <f>SUMIFS(IsQList,IsIList,Table_ExternalData_15[[#This Row],[item_key]],IsITypeList,Table_ExternalData_15[[#This Row],[IType]],IsDList,Table_ExternalData_15[[#Headers],[7]])</f>
        <v>0</v>
      </c>
      <c r="L290" s="10">
        <f>SUMIFS(IsQList,IsIList,Table_ExternalData_15[[#This Row],[item_key]],IsITypeList,Table_ExternalData_15[[#This Row],[IType]],IsDList,Table_ExternalData_15[[#Headers],[8]])</f>
        <v>0</v>
      </c>
      <c r="M290" s="10">
        <f>SUMIFS(IsQList,IsIList,Table_ExternalData_15[[#This Row],[item_key]],IsITypeList,Table_ExternalData_15[[#This Row],[IType]],IsDList,Table_ExternalData_15[[#Headers],[9]])</f>
        <v>0</v>
      </c>
      <c r="N290" s="10">
        <f>SUMIFS(IsQList,IsIList,Table_ExternalData_15[[#This Row],[item_key]],IsITypeList,Table_ExternalData_15[[#This Row],[IType]],IsDList,Table_ExternalData_15[[#Headers],[10]])</f>
        <v>0</v>
      </c>
      <c r="O290" s="10">
        <f>SUMIFS(IsQList,IsIList,Table_ExternalData_15[[#This Row],[item_key]],IsITypeList,Table_ExternalData_15[[#This Row],[IType]],IsDList,Table_ExternalData_15[[#Headers],[11]])</f>
        <v>0</v>
      </c>
      <c r="P290" s="10">
        <f>SUMIFS(IsQList,IsIList,Table_ExternalData_15[[#This Row],[item_key]],IsITypeList,Table_ExternalData_15[[#This Row],[IType]],IsDList,Table_ExternalData_15[[#Headers],[12]])</f>
        <v>0</v>
      </c>
      <c r="Q290" s="10">
        <f>SUMIFS(IsQList,IsIList,Table_ExternalData_15[[#This Row],[item_key]],IsITypeList,Table_ExternalData_15[[#This Row],[IType]],IsDList,Table_ExternalData_15[[#Headers],[13]])</f>
        <v>0</v>
      </c>
      <c r="R290" s="10">
        <f>SUMIFS(IsQList,IsIList,Table_ExternalData_15[[#This Row],[item_key]],IsITypeList,Table_ExternalData_15[[#This Row],[IType]],IsDList,Table_ExternalData_15[[#Headers],[14]])</f>
        <v>0</v>
      </c>
      <c r="S290" s="10">
        <f>SUMIFS(IsQList,IsIList,Table_ExternalData_15[[#This Row],[item_key]],IsITypeList,Table_ExternalData_15[[#This Row],[IType]],IsDList,Table_ExternalData_15[[#Headers],[15]])</f>
        <v>0</v>
      </c>
      <c r="T290" s="10">
        <f>SUMIFS(IsQList,IsIList,Table_ExternalData_15[[#This Row],[item_key]],IsITypeList,Table_ExternalData_15[[#This Row],[IType]],IsDList,Table_ExternalData_15[[#Headers],[16]])</f>
        <v>0</v>
      </c>
      <c r="U290" s="10">
        <f>SUMIFS(IsQList,IsIList,Table_ExternalData_15[[#This Row],[item_key]],IsITypeList,Table_ExternalData_15[[#This Row],[IType]],IsDList,Table_ExternalData_15[[#Headers],[17]])</f>
        <v>0</v>
      </c>
      <c r="V290" s="10">
        <f>SUMIFS(IsQList,IsIList,Table_ExternalData_15[[#This Row],[item_key]],IsITypeList,Table_ExternalData_15[[#This Row],[IType]],IsDList,Table_ExternalData_15[[#Headers],[18]])</f>
        <v>0</v>
      </c>
      <c r="W290" s="10">
        <f>SUMIFS(IsQList,IsIList,Table_ExternalData_15[[#This Row],[item_key]],IsITypeList,Table_ExternalData_15[[#This Row],[IType]],IsDList,Table_ExternalData_15[[#Headers],[19]])</f>
        <v>0</v>
      </c>
      <c r="X290" s="10">
        <f>SUMIFS(IsQList,IsIList,Table_ExternalData_15[[#This Row],[item_key]],IsITypeList,Table_ExternalData_15[[#This Row],[IType]],IsDList,Table_ExternalData_15[[#Headers],[20]])</f>
        <v>0</v>
      </c>
      <c r="Y290" s="10">
        <f>SUMIFS(IsQList,IsIList,Table_ExternalData_15[[#This Row],[item_key]],IsITypeList,Table_ExternalData_15[[#This Row],[IType]],IsDList,Table_ExternalData_15[[#Headers],[21]])</f>
        <v>0</v>
      </c>
      <c r="Z290" s="10">
        <f>SUMIFS(IsQList,IsIList,Table_ExternalData_15[[#This Row],[item_key]],IsITypeList,Table_ExternalData_15[[#This Row],[IType]],IsDList,Table_ExternalData_15[[#Headers],[22]])</f>
        <v>0</v>
      </c>
      <c r="AA290" s="10">
        <f>SUMIFS(IsQList,IsIList,Table_ExternalData_15[[#This Row],[item_key]],IsITypeList,Table_ExternalData_15[[#This Row],[IType]],IsDList,Table_ExternalData_15[[#Headers],[23]])</f>
        <v>0</v>
      </c>
      <c r="AB290" s="10">
        <f>SUMIFS(IsQList,IsIList,Table_ExternalData_15[[#This Row],[item_key]],IsITypeList,Table_ExternalData_15[[#This Row],[IType]],IsDList,Table_ExternalData_15[[#Headers],[24]])</f>
        <v>0</v>
      </c>
      <c r="AC290" s="10">
        <f>SUMIFS(IsQList,IsIList,Table_ExternalData_15[[#This Row],[item_key]],IsITypeList,Table_ExternalData_15[[#This Row],[IType]],IsDList,Table_ExternalData_15[[#Headers],[25]])</f>
        <v>0</v>
      </c>
      <c r="AD290" s="10">
        <f>SUMIFS(IsQList,IsIList,Table_ExternalData_15[[#This Row],[item_key]],IsITypeList,Table_ExternalData_15[[#This Row],[IType]],IsDList,Table_ExternalData_15[[#Headers],[26]])</f>
        <v>0</v>
      </c>
      <c r="AE290" s="10">
        <f>SUMIFS(IsQList,IsIList,Table_ExternalData_15[[#This Row],[item_key]],IsITypeList,Table_ExternalData_15[[#This Row],[IType]],IsDList,Table_ExternalData_15[[#Headers],[27]])</f>
        <v>0</v>
      </c>
      <c r="AF290" s="10">
        <f>SUMIFS(IsQList,IsIList,Table_ExternalData_15[[#This Row],[item_key]],IsITypeList,Table_ExternalData_15[[#This Row],[IType]],IsDList,Table_ExternalData_15[[#Headers],[28]])</f>
        <v>0</v>
      </c>
      <c r="AG290" s="10">
        <f>SUMIFS(IsQList,IsIList,Table_ExternalData_15[[#This Row],[item_key]],IsITypeList,Table_ExternalData_15[[#This Row],[IType]],IsDList,Table_ExternalData_15[[#Headers],[29]])</f>
        <v>0</v>
      </c>
      <c r="AH290" s="10">
        <f>SUMIFS(IsQList,IsIList,Table_ExternalData_15[[#This Row],[item_key]],IsITypeList,Table_ExternalData_15[[#This Row],[IType]],IsDList,Table_ExternalData_15[[#Headers],[30]])</f>
        <v>0</v>
      </c>
      <c r="AI290" s="10">
        <f>SUMIFS(IsQList,IsIList,Table_ExternalData_15[[#This Row],[item_key]],IsITypeList,Table_ExternalData_15[[#This Row],[IType]],IsDList,Table_ExternalData_15[[#Headers],[31]])</f>
        <v>0</v>
      </c>
      <c r="AJ290" s="10">
        <f>SUM(Table_ExternalData_15[[#This Row],[1]:[31]])</f>
        <v>0</v>
      </c>
    </row>
    <row r="291" spans="1:36">
      <c r="A291" s="1" t="s">
        <v>871</v>
      </c>
      <c r="B291" s="1" t="s">
        <v>2753</v>
      </c>
      <c r="C291" s="1" t="s">
        <v>2754</v>
      </c>
      <c r="D291" s="11" t="s">
        <v>72</v>
      </c>
      <c r="E291" s="10">
        <f>SUMIFS(IsQList,IsIList,Table_ExternalData_15[[#This Row],[item_key]],IsITypeList,Table_ExternalData_15[[#This Row],[IType]],IsDList,Table_ExternalData_15[[#Headers],[1]])</f>
        <v>0</v>
      </c>
      <c r="F291" s="10">
        <f>SUMIFS(IsQList,IsIList,Table_ExternalData_15[[#This Row],[item_key]],IsITypeList,Table_ExternalData_15[[#This Row],[IType]],IsDList,Table_ExternalData_15[[#Headers],[2]])</f>
        <v>0</v>
      </c>
      <c r="G291" s="10">
        <f>SUMIFS(IsQList,IsIList,Table_ExternalData_15[[#This Row],[item_key]],IsITypeList,Table_ExternalData_15[[#This Row],[IType]],IsDList,Table_ExternalData_15[[#Headers],[3]])</f>
        <v>0</v>
      </c>
      <c r="H291" s="10">
        <f>SUMIFS(IsQList,IsIList,Table_ExternalData_15[[#This Row],[item_key]],IsITypeList,Table_ExternalData_15[[#This Row],[IType]],IsDList,Table_ExternalData_15[[#Headers],[4]])</f>
        <v>0</v>
      </c>
      <c r="I291" s="10">
        <f>SUMIFS(IsQList,IsIList,Table_ExternalData_15[[#This Row],[item_key]],IsITypeList,Table_ExternalData_15[[#This Row],[IType]],IsDList,Table_ExternalData_15[[#Headers],[5]])</f>
        <v>0</v>
      </c>
      <c r="J291" s="10">
        <f>SUMIFS(IsQList,IsIList,Table_ExternalData_15[[#This Row],[item_key]],IsITypeList,Table_ExternalData_15[[#This Row],[IType]],IsDList,Table_ExternalData_15[[#Headers],[6]])</f>
        <v>0</v>
      </c>
      <c r="K291" s="10">
        <f>SUMIFS(IsQList,IsIList,Table_ExternalData_15[[#This Row],[item_key]],IsITypeList,Table_ExternalData_15[[#This Row],[IType]],IsDList,Table_ExternalData_15[[#Headers],[7]])</f>
        <v>0</v>
      </c>
      <c r="L291" s="10">
        <f>SUMIFS(IsQList,IsIList,Table_ExternalData_15[[#This Row],[item_key]],IsITypeList,Table_ExternalData_15[[#This Row],[IType]],IsDList,Table_ExternalData_15[[#Headers],[8]])</f>
        <v>0</v>
      </c>
      <c r="M291" s="10">
        <f>SUMIFS(IsQList,IsIList,Table_ExternalData_15[[#This Row],[item_key]],IsITypeList,Table_ExternalData_15[[#This Row],[IType]],IsDList,Table_ExternalData_15[[#Headers],[9]])</f>
        <v>0</v>
      </c>
      <c r="N291" s="10">
        <f>SUMIFS(IsQList,IsIList,Table_ExternalData_15[[#This Row],[item_key]],IsITypeList,Table_ExternalData_15[[#This Row],[IType]],IsDList,Table_ExternalData_15[[#Headers],[10]])</f>
        <v>0</v>
      </c>
      <c r="O291" s="10">
        <f>SUMIFS(IsQList,IsIList,Table_ExternalData_15[[#This Row],[item_key]],IsITypeList,Table_ExternalData_15[[#This Row],[IType]],IsDList,Table_ExternalData_15[[#Headers],[11]])</f>
        <v>0</v>
      </c>
      <c r="P291" s="10">
        <f>SUMIFS(IsQList,IsIList,Table_ExternalData_15[[#This Row],[item_key]],IsITypeList,Table_ExternalData_15[[#This Row],[IType]],IsDList,Table_ExternalData_15[[#Headers],[12]])</f>
        <v>0</v>
      </c>
      <c r="Q291" s="10">
        <f>SUMIFS(IsQList,IsIList,Table_ExternalData_15[[#This Row],[item_key]],IsITypeList,Table_ExternalData_15[[#This Row],[IType]],IsDList,Table_ExternalData_15[[#Headers],[13]])</f>
        <v>0</v>
      </c>
      <c r="R291" s="10">
        <f>SUMIFS(IsQList,IsIList,Table_ExternalData_15[[#This Row],[item_key]],IsITypeList,Table_ExternalData_15[[#This Row],[IType]],IsDList,Table_ExternalData_15[[#Headers],[14]])</f>
        <v>0</v>
      </c>
      <c r="S291" s="10">
        <f>SUMIFS(IsQList,IsIList,Table_ExternalData_15[[#This Row],[item_key]],IsITypeList,Table_ExternalData_15[[#This Row],[IType]],IsDList,Table_ExternalData_15[[#Headers],[15]])</f>
        <v>0</v>
      </c>
      <c r="T291" s="10">
        <f>SUMIFS(IsQList,IsIList,Table_ExternalData_15[[#This Row],[item_key]],IsITypeList,Table_ExternalData_15[[#This Row],[IType]],IsDList,Table_ExternalData_15[[#Headers],[16]])</f>
        <v>0</v>
      </c>
      <c r="U291" s="10">
        <f>SUMIFS(IsQList,IsIList,Table_ExternalData_15[[#This Row],[item_key]],IsITypeList,Table_ExternalData_15[[#This Row],[IType]],IsDList,Table_ExternalData_15[[#Headers],[17]])</f>
        <v>0</v>
      </c>
      <c r="V291" s="10">
        <f>SUMIFS(IsQList,IsIList,Table_ExternalData_15[[#This Row],[item_key]],IsITypeList,Table_ExternalData_15[[#This Row],[IType]],IsDList,Table_ExternalData_15[[#Headers],[18]])</f>
        <v>0</v>
      </c>
      <c r="W291" s="10">
        <f>SUMIFS(IsQList,IsIList,Table_ExternalData_15[[#This Row],[item_key]],IsITypeList,Table_ExternalData_15[[#This Row],[IType]],IsDList,Table_ExternalData_15[[#Headers],[19]])</f>
        <v>0</v>
      </c>
      <c r="X291" s="10">
        <f>SUMIFS(IsQList,IsIList,Table_ExternalData_15[[#This Row],[item_key]],IsITypeList,Table_ExternalData_15[[#This Row],[IType]],IsDList,Table_ExternalData_15[[#Headers],[20]])</f>
        <v>0</v>
      </c>
      <c r="Y291" s="10">
        <f>SUMIFS(IsQList,IsIList,Table_ExternalData_15[[#This Row],[item_key]],IsITypeList,Table_ExternalData_15[[#This Row],[IType]],IsDList,Table_ExternalData_15[[#Headers],[21]])</f>
        <v>0</v>
      </c>
      <c r="Z291" s="10">
        <f>SUMIFS(IsQList,IsIList,Table_ExternalData_15[[#This Row],[item_key]],IsITypeList,Table_ExternalData_15[[#This Row],[IType]],IsDList,Table_ExternalData_15[[#Headers],[22]])</f>
        <v>0</v>
      </c>
      <c r="AA291" s="10">
        <f>SUMIFS(IsQList,IsIList,Table_ExternalData_15[[#This Row],[item_key]],IsITypeList,Table_ExternalData_15[[#This Row],[IType]],IsDList,Table_ExternalData_15[[#Headers],[23]])</f>
        <v>0</v>
      </c>
      <c r="AB291" s="10">
        <f>SUMIFS(IsQList,IsIList,Table_ExternalData_15[[#This Row],[item_key]],IsITypeList,Table_ExternalData_15[[#This Row],[IType]],IsDList,Table_ExternalData_15[[#Headers],[24]])</f>
        <v>0</v>
      </c>
      <c r="AC291" s="10">
        <f>SUMIFS(IsQList,IsIList,Table_ExternalData_15[[#This Row],[item_key]],IsITypeList,Table_ExternalData_15[[#This Row],[IType]],IsDList,Table_ExternalData_15[[#Headers],[25]])</f>
        <v>0</v>
      </c>
      <c r="AD291" s="10">
        <f>SUMIFS(IsQList,IsIList,Table_ExternalData_15[[#This Row],[item_key]],IsITypeList,Table_ExternalData_15[[#This Row],[IType]],IsDList,Table_ExternalData_15[[#Headers],[26]])</f>
        <v>0</v>
      </c>
      <c r="AE291" s="10">
        <f>SUMIFS(IsQList,IsIList,Table_ExternalData_15[[#This Row],[item_key]],IsITypeList,Table_ExternalData_15[[#This Row],[IType]],IsDList,Table_ExternalData_15[[#Headers],[27]])</f>
        <v>0</v>
      </c>
      <c r="AF291" s="10">
        <f>SUMIFS(IsQList,IsIList,Table_ExternalData_15[[#This Row],[item_key]],IsITypeList,Table_ExternalData_15[[#This Row],[IType]],IsDList,Table_ExternalData_15[[#Headers],[28]])</f>
        <v>0</v>
      </c>
      <c r="AG291" s="10">
        <f>SUMIFS(IsQList,IsIList,Table_ExternalData_15[[#This Row],[item_key]],IsITypeList,Table_ExternalData_15[[#This Row],[IType]],IsDList,Table_ExternalData_15[[#Headers],[29]])</f>
        <v>0</v>
      </c>
      <c r="AH291" s="10">
        <f>SUMIFS(IsQList,IsIList,Table_ExternalData_15[[#This Row],[item_key]],IsITypeList,Table_ExternalData_15[[#This Row],[IType]],IsDList,Table_ExternalData_15[[#Headers],[30]])</f>
        <v>0</v>
      </c>
      <c r="AI291" s="10">
        <f>SUMIFS(IsQList,IsIList,Table_ExternalData_15[[#This Row],[item_key]],IsITypeList,Table_ExternalData_15[[#This Row],[IType]],IsDList,Table_ExternalData_15[[#Headers],[31]])</f>
        <v>0</v>
      </c>
      <c r="AJ291" s="10">
        <f>SUM(Table_ExternalData_15[[#This Row],[1]:[31]])</f>
        <v>0</v>
      </c>
    </row>
    <row r="292" spans="1:36">
      <c r="A292" s="1" t="s">
        <v>873</v>
      </c>
      <c r="B292" s="1" t="s">
        <v>1425</v>
      </c>
      <c r="C292" s="1" t="s">
        <v>1374</v>
      </c>
      <c r="D292" s="11" t="s">
        <v>72</v>
      </c>
      <c r="E292" s="10">
        <f>SUMIFS(IsQList,IsIList,Table_ExternalData_15[[#This Row],[item_key]],IsITypeList,Table_ExternalData_15[[#This Row],[IType]],IsDList,Table_ExternalData_15[[#Headers],[1]])</f>
        <v>0</v>
      </c>
      <c r="F292" s="10">
        <f>SUMIFS(IsQList,IsIList,Table_ExternalData_15[[#This Row],[item_key]],IsITypeList,Table_ExternalData_15[[#This Row],[IType]],IsDList,Table_ExternalData_15[[#Headers],[2]])</f>
        <v>0</v>
      </c>
      <c r="G292" s="10">
        <f>SUMIFS(IsQList,IsIList,Table_ExternalData_15[[#This Row],[item_key]],IsITypeList,Table_ExternalData_15[[#This Row],[IType]],IsDList,Table_ExternalData_15[[#Headers],[3]])</f>
        <v>0</v>
      </c>
      <c r="H292" s="10">
        <f>SUMIFS(IsQList,IsIList,Table_ExternalData_15[[#This Row],[item_key]],IsITypeList,Table_ExternalData_15[[#This Row],[IType]],IsDList,Table_ExternalData_15[[#Headers],[4]])</f>
        <v>0</v>
      </c>
      <c r="I292" s="10">
        <f>SUMIFS(IsQList,IsIList,Table_ExternalData_15[[#This Row],[item_key]],IsITypeList,Table_ExternalData_15[[#This Row],[IType]],IsDList,Table_ExternalData_15[[#Headers],[5]])</f>
        <v>0</v>
      </c>
      <c r="J292" s="10">
        <f>SUMIFS(IsQList,IsIList,Table_ExternalData_15[[#This Row],[item_key]],IsITypeList,Table_ExternalData_15[[#This Row],[IType]],IsDList,Table_ExternalData_15[[#Headers],[6]])</f>
        <v>0</v>
      </c>
      <c r="K292" s="10">
        <f>SUMIFS(IsQList,IsIList,Table_ExternalData_15[[#This Row],[item_key]],IsITypeList,Table_ExternalData_15[[#This Row],[IType]],IsDList,Table_ExternalData_15[[#Headers],[7]])</f>
        <v>0</v>
      </c>
      <c r="L292" s="10">
        <f>SUMIFS(IsQList,IsIList,Table_ExternalData_15[[#This Row],[item_key]],IsITypeList,Table_ExternalData_15[[#This Row],[IType]],IsDList,Table_ExternalData_15[[#Headers],[8]])</f>
        <v>0</v>
      </c>
      <c r="M292" s="10">
        <f>SUMIFS(IsQList,IsIList,Table_ExternalData_15[[#This Row],[item_key]],IsITypeList,Table_ExternalData_15[[#This Row],[IType]],IsDList,Table_ExternalData_15[[#Headers],[9]])</f>
        <v>0</v>
      </c>
      <c r="N292" s="10">
        <f>SUMIFS(IsQList,IsIList,Table_ExternalData_15[[#This Row],[item_key]],IsITypeList,Table_ExternalData_15[[#This Row],[IType]],IsDList,Table_ExternalData_15[[#Headers],[10]])</f>
        <v>0</v>
      </c>
      <c r="O292" s="10">
        <f>SUMIFS(IsQList,IsIList,Table_ExternalData_15[[#This Row],[item_key]],IsITypeList,Table_ExternalData_15[[#This Row],[IType]],IsDList,Table_ExternalData_15[[#Headers],[11]])</f>
        <v>0</v>
      </c>
      <c r="P292" s="10">
        <f>SUMIFS(IsQList,IsIList,Table_ExternalData_15[[#This Row],[item_key]],IsITypeList,Table_ExternalData_15[[#This Row],[IType]],IsDList,Table_ExternalData_15[[#Headers],[12]])</f>
        <v>0</v>
      </c>
      <c r="Q292" s="10">
        <f>SUMIFS(IsQList,IsIList,Table_ExternalData_15[[#This Row],[item_key]],IsITypeList,Table_ExternalData_15[[#This Row],[IType]],IsDList,Table_ExternalData_15[[#Headers],[13]])</f>
        <v>0</v>
      </c>
      <c r="R292" s="10">
        <f>SUMIFS(IsQList,IsIList,Table_ExternalData_15[[#This Row],[item_key]],IsITypeList,Table_ExternalData_15[[#This Row],[IType]],IsDList,Table_ExternalData_15[[#Headers],[14]])</f>
        <v>0</v>
      </c>
      <c r="S292" s="10">
        <f>SUMIFS(IsQList,IsIList,Table_ExternalData_15[[#This Row],[item_key]],IsITypeList,Table_ExternalData_15[[#This Row],[IType]],IsDList,Table_ExternalData_15[[#Headers],[15]])</f>
        <v>0</v>
      </c>
      <c r="T292" s="10">
        <f>SUMIFS(IsQList,IsIList,Table_ExternalData_15[[#This Row],[item_key]],IsITypeList,Table_ExternalData_15[[#This Row],[IType]],IsDList,Table_ExternalData_15[[#Headers],[16]])</f>
        <v>0</v>
      </c>
      <c r="U292" s="10">
        <f>SUMIFS(IsQList,IsIList,Table_ExternalData_15[[#This Row],[item_key]],IsITypeList,Table_ExternalData_15[[#This Row],[IType]],IsDList,Table_ExternalData_15[[#Headers],[17]])</f>
        <v>0</v>
      </c>
      <c r="V292" s="10">
        <f>SUMIFS(IsQList,IsIList,Table_ExternalData_15[[#This Row],[item_key]],IsITypeList,Table_ExternalData_15[[#This Row],[IType]],IsDList,Table_ExternalData_15[[#Headers],[18]])</f>
        <v>0</v>
      </c>
      <c r="W292" s="10">
        <f>SUMIFS(IsQList,IsIList,Table_ExternalData_15[[#This Row],[item_key]],IsITypeList,Table_ExternalData_15[[#This Row],[IType]],IsDList,Table_ExternalData_15[[#Headers],[19]])</f>
        <v>0</v>
      </c>
      <c r="X292" s="10">
        <f>SUMIFS(IsQList,IsIList,Table_ExternalData_15[[#This Row],[item_key]],IsITypeList,Table_ExternalData_15[[#This Row],[IType]],IsDList,Table_ExternalData_15[[#Headers],[20]])</f>
        <v>0</v>
      </c>
      <c r="Y292" s="10">
        <f>SUMIFS(IsQList,IsIList,Table_ExternalData_15[[#This Row],[item_key]],IsITypeList,Table_ExternalData_15[[#This Row],[IType]],IsDList,Table_ExternalData_15[[#Headers],[21]])</f>
        <v>0</v>
      </c>
      <c r="Z292" s="10">
        <f>SUMIFS(IsQList,IsIList,Table_ExternalData_15[[#This Row],[item_key]],IsITypeList,Table_ExternalData_15[[#This Row],[IType]],IsDList,Table_ExternalData_15[[#Headers],[22]])</f>
        <v>0</v>
      </c>
      <c r="AA292" s="10">
        <f>SUMIFS(IsQList,IsIList,Table_ExternalData_15[[#This Row],[item_key]],IsITypeList,Table_ExternalData_15[[#This Row],[IType]],IsDList,Table_ExternalData_15[[#Headers],[23]])</f>
        <v>0</v>
      </c>
      <c r="AB292" s="10">
        <f>SUMIFS(IsQList,IsIList,Table_ExternalData_15[[#This Row],[item_key]],IsITypeList,Table_ExternalData_15[[#This Row],[IType]],IsDList,Table_ExternalData_15[[#Headers],[24]])</f>
        <v>0</v>
      </c>
      <c r="AC292" s="10">
        <f>SUMIFS(IsQList,IsIList,Table_ExternalData_15[[#This Row],[item_key]],IsITypeList,Table_ExternalData_15[[#This Row],[IType]],IsDList,Table_ExternalData_15[[#Headers],[25]])</f>
        <v>0</v>
      </c>
      <c r="AD292" s="10">
        <f>SUMIFS(IsQList,IsIList,Table_ExternalData_15[[#This Row],[item_key]],IsITypeList,Table_ExternalData_15[[#This Row],[IType]],IsDList,Table_ExternalData_15[[#Headers],[26]])</f>
        <v>0</v>
      </c>
      <c r="AE292" s="10">
        <f>SUMIFS(IsQList,IsIList,Table_ExternalData_15[[#This Row],[item_key]],IsITypeList,Table_ExternalData_15[[#This Row],[IType]],IsDList,Table_ExternalData_15[[#Headers],[27]])</f>
        <v>0</v>
      </c>
      <c r="AF292" s="10">
        <f>SUMIFS(IsQList,IsIList,Table_ExternalData_15[[#This Row],[item_key]],IsITypeList,Table_ExternalData_15[[#This Row],[IType]],IsDList,Table_ExternalData_15[[#Headers],[28]])</f>
        <v>0</v>
      </c>
      <c r="AG292" s="10">
        <f>SUMIFS(IsQList,IsIList,Table_ExternalData_15[[#This Row],[item_key]],IsITypeList,Table_ExternalData_15[[#This Row],[IType]],IsDList,Table_ExternalData_15[[#Headers],[29]])</f>
        <v>0</v>
      </c>
      <c r="AH292" s="10">
        <f>SUMIFS(IsQList,IsIList,Table_ExternalData_15[[#This Row],[item_key]],IsITypeList,Table_ExternalData_15[[#This Row],[IType]],IsDList,Table_ExternalData_15[[#Headers],[30]])</f>
        <v>1</v>
      </c>
      <c r="AI292" s="10">
        <f>SUMIFS(IsQList,IsIList,Table_ExternalData_15[[#This Row],[item_key]],IsITypeList,Table_ExternalData_15[[#This Row],[IType]],IsDList,Table_ExternalData_15[[#Headers],[31]])</f>
        <v>0</v>
      </c>
      <c r="AJ292" s="10">
        <f>SUM(Table_ExternalData_15[[#This Row],[1]:[31]])</f>
        <v>1</v>
      </c>
    </row>
    <row r="293" spans="1:36">
      <c r="A293" s="1" t="s">
        <v>2136</v>
      </c>
      <c r="B293" s="1" t="s">
        <v>2755</v>
      </c>
      <c r="C293" s="1" t="s">
        <v>2756</v>
      </c>
      <c r="D293" s="11" t="s">
        <v>72</v>
      </c>
      <c r="E293" s="10">
        <f>SUMIFS(IsQList,IsIList,Table_ExternalData_15[[#This Row],[item_key]],IsITypeList,Table_ExternalData_15[[#This Row],[IType]],IsDList,Table_ExternalData_15[[#Headers],[1]])</f>
        <v>0</v>
      </c>
      <c r="F293" s="10">
        <f>SUMIFS(IsQList,IsIList,Table_ExternalData_15[[#This Row],[item_key]],IsITypeList,Table_ExternalData_15[[#This Row],[IType]],IsDList,Table_ExternalData_15[[#Headers],[2]])</f>
        <v>0</v>
      </c>
      <c r="G293" s="10">
        <f>SUMIFS(IsQList,IsIList,Table_ExternalData_15[[#This Row],[item_key]],IsITypeList,Table_ExternalData_15[[#This Row],[IType]],IsDList,Table_ExternalData_15[[#Headers],[3]])</f>
        <v>0</v>
      </c>
      <c r="H293" s="10">
        <f>SUMIFS(IsQList,IsIList,Table_ExternalData_15[[#This Row],[item_key]],IsITypeList,Table_ExternalData_15[[#This Row],[IType]],IsDList,Table_ExternalData_15[[#Headers],[4]])</f>
        <v>0</v>
      </c>
      <c r="I293" s="10">
        <f>SUMIFS(IsQList,IsIList,Table_ExternalData_15[[#This Row],[item_key]],IsITypeList,Table_ExternalData_15[[#This Row],[IType]],IsDList,Table_ExternalData_15[[#Headers],[5]])</f>
        <v>0</v>
      </c>
      <c r="J293" s="10">
        <f>SUMIFS(IsQList,IsIList,Table_ExternalData_15[[#This Row],[item_key]],IsITypeList,Table_ExternalData_15[[#This Row],[IType]],IsDList,Table_ExternalData_15[[#Headers],[6]])</f>
        <v>0</v>
      </c>
      <c r="K293" s="10">
        <f>SUMIFS(IsQList,IsIList,Table_ExternalData_15[[#This Row],[item_key]],IsITypeList,Table_ExternalData_15[[#This Row],[IType]],IsDList,Table_ExternalData_15[[#Headers],[7]])</f>
        <v>0</v>
      </c>
      <c r="L293" s="10">
        <f>SUMIFS(IsQList,IsIList,Table_ExternalData_15[[#This Row],[item_key]],IsITypeList,Table_ExternalData_15[[#This Row],[IType]],IsDList,Table_ExternalData_15[[#Headers],[8]])</f>
        <v>0</v>
      </c>
      <c r="M293" s="10">
        <f>SUMIFS(IsQList,IsIList,Table_ExternalData_15[[#This Row],[item_key]],IsITypeList,Table_ExternalData_15[[#This Row],[IType]],IsDList,Table_ExternalData_15[[#Headers],[9]])</f>
        <v>0</v>
      </c>
      <c r="N293" s="10">
        <f>SUMIFS(IsQList,IsIList,Table_ExternalData_15[[#This Row],[item_key]],IsITypeList,Table_ExternalData_15[[#This Row],[IType]],IsDList,Table_ExternalData_15[[#Headers],[10]])</f>
        <v>0</v>
      </c>
      <c r="O293" s="10">
        <f>SUMIFS(IsQList,IsIList,Table_ExternalData_15[[#This Row],[item_key]],IsITypeList,Table_ExternalData_15[[#This Row],[IType]],IsDList,Table_ExternalData_15[[#Headers],[11]])</f>
        <v>0</v>
      </c>
      <c r="P293" s="10">
        <f>SUMIFS(IsQList,IsIList,Table_ExternalData_15[[#This Row],[item_key]],IsITypeList,Table_ExternalData_15[[#This Row],[IType]],IsDList,Table_ExternalData_15[[#Headers],[12]])</f>
        <v>0</v>
      </c>
      <c r="Q293" s="10">
        <f>SUMIFS(IsQList,IsIList,Table_ExternalData_15[[#This Row],[item_key]],IsITypeList,Table_ExternalData_15[[#This Row],[IType]],IsDList,Table_ExternalData_15[[#Headers],[13]])</f>
        <v>0</v>
      </c>
      <c r="R293" s="10">
        <f>SUMIFS(IsQList,IsIList,Table_ExternalData_15[[#This Row],[item_key]],IsITypeList,Table_ExternalData_15[[#This Row],[IType]],IsDList,Table_ExternalData_15[[#Headers],[14]])</f>
        <v>0</v>
      </c>
      <c r="S293" s="10">
        <f>SUMIFS(IsQList,IsIList,Table_ExternalData_15[[#This Row],[item_key]],IsITypeList,Table_ExternalData_15[[#This Row],[IType]],IsDList,Table_ExternalData_15[[#Headers],[15]])</f>
        <v>0</v>
      </c>
      <c r="T293" s="10">
        <f>SUMIFS(IsQList,IsIList,Table_ExternalData_15[[#This Row],[item_key]],IsITypeList,Table_ExternalData_15[[#This Row],[IType]],IsDList,Table_ExternalData_15[[#Headers],[16]])</f>
        <v>0</v>
      </c>
      <c r="U293" s="10">
        <f>SUMIFS(IsQList,IsIList,Table_ExternalData_15[[#This Row],[item_key]],IsITypeList,Table_ExternalData_15[[#This Row],[IType]],IsDList,Table_ExternalData_15[[#Headers],[17]])</f>
        <v>0</v>
      </c>
      <c r="V293" s="10">
        <f>SUMIFS(IsQList,IsIList,Table_ExternalData_15[[#This Row],[item_key]],IsITypeList,Table_ExternalData_15[[#This Row],[IType]],IsDList,Table_ExternalData_15[[#Headers],[18]])</f>
        <v>0</v>
      </c>
      <c r="W293" s="10">
        <f>SUMIFS(IsQList,IsIList,Table_ExternalData_15[[#This Row],[item_key]],IsITypeList,Table_ExternalData_15[[#This Row],[IType]],IsDList,Table_ExternalData_15[[#Headers],[19]])</f>
        <v>0</v>
      </c>
      <c r="X293" s="10">
        <f>SUMIFS(IsQList,IsIList,Table_ExternalData_15[[#This Row],[item_key]],IsITypeList,Table_ExternalData_15[[#This Row],[IType]],IsDList,Table_ExternalData_15[[#Headers],[20]])</f>
        <v>0</v>
      </c>
      <c r="Y293" s="10">
        <f>SUMIFS(IsQList,IsIList,Table_ExternalData_15[[#This Row],[item_key]],IsITypeList,Table_ExternalData_15[[#This Row],[IType]],IsDList,Table_ExternalData_15[[#Headers],[21]])</f>
        <v>0</v>
      </c>
      <c r="Z293" s="10">
        <f>SUMIFS(IsQList,IsIList,Table_ExternalData_15[[#This Row],[item_key]],IsITypeList,Table_ExternalData_15[[#This Row],[IType]],IsDList,Table_ExternalData_15[[#Headers],[22]])</f>
        <v>0</v>
      </c>
      <c r="AA293" s="10">
        <f>SUMIFS(IsQList,IsIList,Table_ExternalData_15[[#This Row],[item_key]],IsITypeList,Table_ExternalData_15[[#This Row],[IType]],IsDList,Table_ExternalData_15[[#Headers],[23]])</f>
        <v>0</v>
      </c>
      <c r="AB293" s="10">
        <f>SUMIFS(IsQList,IsIList,Table_ExternalData_15[[#This Row],[item_key]],IsITypeList,Table_ExternalData_15[[#This Row],[IType]],IsDList,Table_ExternalData_15[[#Headers],[24]])</f>
        <v>2</v>
      </c>
      <c r="AC293" s="10">
        <f>SUMIFS(IsQList,IsIList,Table_ExternalData_15[[#This Row],[item_key]],IsITypeList,Table_ExternalData_15[[#This Row],[IType]],IsDList,Table_ExternalData_15[[#Headers],[25]])</f>
        <v>0</v>
      </c>
      <c r="AD293" s="10">
        <f>SUMIFS(IsQList,IsIList,Table_ExternalData_15[[#This Row],[item_key]],IsITypeList,Table_ExternalData_15[[#This Row],[IType]],IsDList,Table_ExternalData_15[[#Headers],[26]])</f>
        <v>0</v>
      </c>
      <c r="AE293" s="10">
        <f>SUMIFS(IsQList,IsIList,Table_ExternalData_15[[#This Row],[item_key]],IsITypeList,Table_ExternalData_15[[#This Row],[IType]],IsDList,Table_ExternalData_15[[#Headers],[27]])</f>
        <v>0</v>
      </c>
      <c r="AF293" s="10">
        <f>SUMIFS(IsQList,IsIList,Table_ExternalData_15[[#This Row],[item_key]],IsITypeList,Table_ExternalData_15[[#This Row],[IType]],IsDList,Table_ExternalData_15[[#Headers],[28]])</f>
        <v>0</v>
      </c>
      <c r="AG293" s="10">
        <f>SUMIFS(IsQList,IsIList,Table_ExternalData_15[[#This Row],[item_key]],IsITypeList,Table_ExternalData_15[[#This Row],[IType]],IsDList,Table_ExternalData_15[[#Headers],[29]])</f>
        <v>0</v>
      </c>
      <c r="AH293" s="10">
        <f>SUMIFS(IsQList,IsIList,Table_ExternalData_15[[#This Row],[item_key]],IsITypeList,Table_ExternalData_15[[#This Row],[IType]],IsDList,Table_ExternalData_15[[#Headers],[30]])</f>
        <v>0</v>
      </c>
      <c r="AI293" s="10">
        <f>SUMIFS(IsQList,IsIList,Table_ExternalData_15[[#This Row],[item_key]],IsITypeList,Table_ExternalData_15[[#This Row],[IType]],IsDList,Table_ExternalData_15[[#Headers],[31]])</f>
        <v>0</v>
      </c>
      <c r="AJ293" s="10">
        <f>SUM(Table_ExternalData_15[[#This Row],[1]:[31]])</f>
        <v>2</v>
      </c>
    </row>
    <row r="294" spans="1:36">
      <c r="A294" s="1" t="s">
        <v>2140</v>
      </c>
      <c r="B294" s="1" t="s">
        <v>2757</v>
      </c>
      <c r="C294" s="1" t="s">
        <v>2758</v>
      </c>
      <c r="D294" s="11" t="s">
        <v>72</v>
      </c>
      <c r="E294" s="10">
        <f>SUMIFS(IsQList,IsIList,Table_ExternalData_15[[#This Row],[item_key]],IsITypeList,Table_ExternalData_15[[#This Row],[IType]],IsDList,Table_ExternalData_15[[#Headers],[1]])</f>
        <v>0</v>
      </c>
      <c r="F294" s="10">
        <f>SUMIFS(IsQList,IsIList,Table_ExternalData_15[[#This Row],[item_key]],IsITypeList,Table_ExternalData_15[[#This Row],[IType]],IsDList,Table_ExternalData_15[[#Headers],[2]])</f>
        <v>0</v>
      </c>
      <c r="G294" s="10">
        <f>SUMIFS(IsQList,IsIList,Table_ExternalData_15[[#This Row],[item_key]],IsITypeList,Table_ExternalData_15[[#This Row],[IType]],IsDList,Table_ExternalData_15[[#Headers],[3]])</f>
        <v>0</v>
      </c>
      <c r="H294" s="10">
        <f>SUMIFS(IsQList,IsIList,Table_ExternalData_15[[#This Row],[item_key]],IsITypeList,Table_ExternalData_15[[#This Row],[IType]],IsDList,Table_ExternalData_15[[#Headers],[4]])</f>
        <v>0</v>
      </c>
      <c r="I294" s="10">
        <f>SUMIFS(IsQList,IsIList,Table_ExternalData_15[[#This Row],[item_key]],IsITypeList,Table_ExternalData_15[[#This Row],[IType]],IsDList,Table_ExternalData_15[[#Headers],[5]])</f>
        <v>0</v>
      </c>
      <c r="J294" s="10">
        <f>SUMIFS(IsQList,IsIList,Table_ExternalData_15[[#This Row],[item_key]],IsITypeList,Table_ExternalData_15[[#This Row],[IType]],IsDList,Table_ExternalData_15[[#Headers],[6]])</f>
        <v>0</v>
      </c>
      <c r="K294" s="10">
        <f>SUMIFS(IsQList,IsIList,Table_ExternalData_15[[#This Row],[item_key]],IsITypeList,Table_ExternalData_15[[#This Row],[IType]],IsDList,Table_ExternalData_15[[#Headers],[7]])</f>
        <v>0</v>
      </c>
      <c r="L294" s="10">
        <f>SUMIFS(IsQList,IsIList,Table_ExternalData_15[[#This Row],[item_key]],IsITypeList,Table_ExternalData_15[[#This Row],[IType]],IsDList,Table_ExternalData_15[[#Headers],[8]])</f>
        <v>0</v>
      </c>
      <c r="M294" s="10">
        <f>SUMIFS(IsQList,IsIList,Table_ExternalData_15[[#This Row],[item_key]],IsITypeList,Table_ExternalData_15[[#This Row],[IType]],IsDList,Table_ExternalData_15[[#Headers],[9]])</f>
        <v>0</v>
      </c>
      <c r="N294" s="10">
        <f>SUMIFS(IsQList,IsIList,Table_ExternalData_15[[#This Row],[item_key]],IsITypeList,Table_ExternalData_15[[#This Row],[IType]],IsDList,Table_ExternalData_15[[#Headers],[10]])</f>
        <v>0</v>
      </c>
      <c r="O294" s="10">
        <f>SUMIFS(IsQList,IsIList,Table_ExternalData_15[[#This Row],[item_key]],IsITypeList,Table_ExternalData_15[[#This Row],[IType]],IsDList,Table_ExternalData_15[[#Headers],[11]])</f>
        <v>0</v>
      </c>
      <c r="P294" s="10">
        <f>SUMIFS(IsQList,IsIList,Table_ExternalData_15[[#This Row],[item_key]],IsITypeList,Table_ExternalData_15[[#This Row],[IType]],IsDList,Table_ExternalData_15[[#Headers],[12]])</f>
        <v>0</v>
      </c>
      <c r="Q294" s="10">
        <f>SUMIFS(IsQList,IsIList,Table_ExternalData_15[[#This Row],[item_key]],IsITypeList,Table_ExternalData_15[[#This Row],[IType]],IsDList,Table_ExternalData_15[[#Headers],[13]])</f>
        <v>0</v>
      </c>
      <c r="R294" s="10">
        <f>SUMIFS(IsQList,IsIList,Table_ExternalData_15[[#This Row],[item_key]],IsITypeList,Table_ExternalData_15[[#This Row],[IType]],IsDList,Table_ExternalData_15[[#Headers],[14]])</f>
        <v>0</v>
      </c>
      <c r="S294" s="10">
        <f>SUMIFS(IsQList,IsIList,Table_ExternalData_15[[#This Row],[item_key]],IsITypeList,Table_ExternalData_15[[#This Row],[IType]],IsDList,Table_ExternalData_15[[#Headers],[15]])</f>
        <v>0</v>
      </c>
      <c r="T294" s="10">
        <f>SUMIFS(IsQList,IsIList,Table_ExternalData_15[[#This Row],[item_key]],IsITypeList,Table_ExternalData_15[[#This Row],[IType]],IsDList,Table_ExternalData_15[[#Headers],[16]])</f>
        <v>0</v>
      </c>
      <c r="U294" s="10">
        <f>SUMIFS(IsQList,IsIList,Table_ExternalData_15[[#This Row],[item_key]],IsITypeList,Table_ExternalData_15[[#This Row],[IType]],IsDList,Table_ExternalData_15[[#Headers],[17]])</f>
        <v>0</v>
      </c>
      <c r="V294" s="10">
        <f>SUMIFS(IsQList,IsIList,Table_ExternalData_15[[#This Row],[item_key]],IsITypeList,Table_ExternalData_15[[#This Row],[IType]],IsDList,Table_ExternalData_15[[#Headers],[18]])</f>
        <v>0</v>
      </c>
      <c r="W294" s="10">
        <f>SUMIFS(IsQList,IsIList,Table_ExternalData_15[[#This Row],[item_key]],IsITypeList,Table_ExternalData_15[[#This Row],[IType]],IsDList,Table_ExternalData_15[[#Headers],[19]])</f>
        <v>0</v>
      </c>
      <c r="X294" s="10">
        <f>SUMIFS(IsQList,IsIList,Table_ExternalData_15[[#This Row],[item_key]],IsITypeList,Table_ExternalData_15[[#This Row],[IType]],IsDList,Table_ExternalData_15[[#Headers],[20]])</f>
        <v>0</v>
      </c>
      <c r="Y294" s="10">
        <f>SUMIFS(IsQList,IsIList,Table_ExternalData_15[[#This Row],[item_key]],IsITypeList,Table_ExternalData_15[[#This Row],[IType]],IsDList,Table_ExternalData_15[[#Headers],[21]])</f>
        <v>0</v>
      </c>
      <c r="Z294" s="10">
        <f>SUMIFS(IsQList,IsIList,Table_ExternalData_15[[#This Row],[item_key]],IsITypeList,Table_ExternalData_15[[#This Row],[IType]],IsDList,Table_ExternalData_15[[#Headers],[22]])</f>
        <v>0</v>
      </c>
      <c r="AA294" s="10">
        <f>SUMIFS(IsQList,IsIList,Table_ExternalData_15[[#This Row],[item_key]],IsITypeList,Table_ExternalData_15[[#This Row],[IType]],IsDList,Table_ExternalData_15[[#Headers],[23]])</f>
        <v>0</v>
      </c>
      <c r="AB294" s="10">
        <f>SUMIFS(IsQList,IsIList,Table_ExternalData_15[[#This Row],[item_key]],IsITypeList,Table_ExternalData_15[[#This Row],[IType]],IsDList,Table_ExternalData_15[[#Headers],[24]])</f>
        <v>0</v>
      </c>
      <c r="AC294" s="10">
        <f>SUMIFS(IsQList,IsIList,Table_ExternalData_15[[#This Row],[item_key]],IsITypeList,Table_ExternalData_15[[#This Row],[IType]],IsDList,Table_ExternalData_15[[#Headers],[25]])</f>
        <v>0</v>
      </c>
      <c r="AD294" s="10">
        <f>SUMIFS(IsQList,IsIList,Table_ExternalData_15[[#This Row],[item_key]],IsITypeList,Table_ExternalData_15[[#This Row],[IType]],IsDList,Table_ExternalData_15[[#Headers],[26]])</f>
        <v>0</v>
      </c>
      <c r="AE294" s="10">
        <f>SUMIFS(IsQList,IsIList,Table_ExternalData_15[[#This Row],[item_key]],IsITypeList,Table_ExternalData_15[[#This Row],[IType]],IsDList,Table_ExternalData_15[[#Headers],[27]])</f>
        <v>0</v>
      </c>
      <c r="AF294" s="10">
        <f>SUMIFS(IsQList,IsIList,Table_ExternalData_15[[#This Row],[item_key]],IsITypeList,Table_ExternalData_15[[#This Row],[IType]],IsDList,Table_ExternalData_15[[#Headers],[28]])</f>
        <v>0</v>
      </c>
      <c r="AG294" s="10">
        <f>SUMIFS(IsQList,IsIList,Table_ExternalData_15[[#This Row],[item_key]],IsITypeList,Table_ExternalData_15[[#This Row],[IType]],IsDList,Table_ExternalData_15[[#Headers],[29]])</f>
        <v>0</v>
      </c>
      <c r="AH294" s="10">
        <f>SUMIFS(IsQList,IsIList,Table_ExternalData_15[[#This Row],[item_key]],IsITypeList,Table_ExternalData_15[[#This Row],[IType]],IsDList,Table_ExternalData_15[[#Headers],[30]])</f>
        <v>5</v>
      </c>
      <c r="AI294" s="10">
        <f>SUMIFS(IsQList,IsIList,Table_ExternalData_15[[#This Row],[item_key]],IsITypeList,Table_ExternalData_15[[#This Row],[IType]],IsDList,Table_ExternalData_15[[#Headers],[31]])</f>
        <v>0</v>
      </c>
      <c r="AJ294" s="10">
        <f>SUM(Table_ExternalData_15[[#This Row],[1]:[31]])</f>
        <v>5</v>
      </c>
    </row>
    <row r="295" spans="1:36">
      <c r="A295" s="1" t="s">
        <v>890</v>
      </c>
      <c r="B295" s="1" t="s">
        <v>1426</v>
      </c>
      <c r="C295" s="1" t="s">
        <v>1411</v>
      </c>
      <c r="D295" s="11" t="s">
        <v>72</v>
      </c>
      <c r="E295" s="10">
        <f>SUMIFS(IsQList,IsIList,Table_ExternalData_15[[#This Row],[item_key]],IsITypeList,Table_ExternalData_15[[#This Row],[IType]],IsDList,Table_ExternalData_15[[#Headers],[1]])</f>
        <v>0</v>
      </c>
      <c r="F295" s="10">
        <f>SUMIFS(IsQList,IsIList,Table_ExternalData_15[[#This Row],[item_key]],IsITypeList,Table_ExternalData_15[[#This Row],[IType]],IsDList,Table_ExternalData_15[[#Headers],[2]])</f>
        <v>0</v>
      </c>
      <c r="G295" s="10">
        <f>SUMIFS(IsQList,IsIList,Table_ExternalData_15[[#This Row],[item_key]],IsITypeList,Table_ExternalData_15[[#This Row],[IType]],IsDList,Table_ExternalData_15[[#Headers],[3]])</f>
        <v>0</v>
      </c>
      <c r="H295" s="10">
        <f>SUMIFS(IsQList,IsIList,Table_ExternalData_15[[#This Row],[item_key]],IsITypeList,Table_ExternalData_15[[#This Row],[IType]],IsDList,Table_ExternalData_15[[#Headers],[4]])</f>
        <v>0</v>
      </c>
      <c r="I295" s="10">
        <f>SUMIFS(IsQList,IsIList,Table_ExternalData_15[[#This Row],[item_key]],IsITypeList,Table_ExternalData_15[[#This Row],[IType]],IsDList,Table_ExternalData_15[[#Headers],[5]])</f>
        <v>0</v>
      </c>
      <c r="J295" s="10">
        <f>SUMIFS(IsQList,IsIList,Table_ExternalData_15[[#This Row],[item_key]],IsITypeList,Table_ExternalData_15[[#This Row],[IType]],IsDList,Table_ExternalData_15[[#Headers],[6]])</f>
        <v>0</v>
      </c>
      <c r="K295" s="10">
        <f>SUMIFS(IsQList,IsIList,Table_ExternalData_15[[#This Row],[item_key]],IsITypeList,Table_ExternalData_15[[#This Row],[IType]],IsDList,Table_ExternalData_15[[#Headers],[7]])</f>
        <v>0</v>
      </c>
      <c r="L295" s="10">
        <f>SUMIFS(IsQList,IsIList,Table_ExternalData_15[[#This Row],[item_key]],IsITypeList,Table_ExternalData_15[[#This Row],[IType]],IsDList,Table_ExternalData_15[[#Headers],[8]])</f>
        <v>0</v>
      </c>
      <c r="M295" s="10">
        <f>SUMIFS(IsQList,IsIList,Table_ExternalData_15[[#This Row],[item_key]],IsITypeList,Table_ExternalData_15[[#This Row],[IType]],IsDList,Table_ExternalData_15[[#Headers],[9]])</f>
        <v>0</v>
      </c>
      <c r="N295" s="10">
        <f>SUMIFS(IsQList,IsIList,Table_ExternalData_15[[#This Row],[item_key]],IsITypeList,Table_ExternalData_15[[#This Row],[IType]],IsDList,Table_ExternalData_15[[#Headers],[10]])</f>
        <v>0</v>
      </c>
      <c r="O295" s="10">
        <f>SUMIFS(IsQList,IsIList,Table_ExternalData_15[[#This Row],[item_key]],IsITypeList,Table_ExternalData_15[[#This Row],[IType]],IsDList,Table_ExternalData_15[[#Headers],[11]])</f>
        <v>0</v>
      </c>
      <c r="P295" s="10">
        <f>SUMIFS(IsQList,IsIList,Table_ExternalData_15[[#This Row],[item_key]],IsITypeList,Table_ExternalData_15[[#This Row],[IType]],IsDList,Table_ExternalData_15[[#Headers],[12]])</f>
        <v>0</v>
      </c>
      <c r="Q295" s="10">
        <f>SUMIFS(IsQList,IsIList,Table_ExternalData_15[[#This Row],[item_key]],IsITypeList,Table_ExternalData_15[[#This Row],[IType]],IsDList,Table_ExternalData_15[[#Headers],[13]])</f>
        <v>0</v>
      </c>
      <c r="R295" s="10">
        <f>SUMIFS(IsQList,IsIList,Table_ExternalData_15[[#This Row],[item_key]],IsITypeList,Table_ExternalData_15[[#This Row],[IType]],IsDList,Table_ExternalData_15[[#Headers],[14]])</f>
        <v>0</v>
      </c>
      <c r="S295" s="10">
        <f>SUMIFS(IsQList,IsIList,Table_ExternalData_15[[#This Row],[item_key]],IsITypeList,Table_ExternalData_15[[#This Row],[IType]],IsDList,Table_ExternalData_15[[#Headers],[15]])</f>
        <v>0</v>
      </c>
      <c r="T295" s="10">
        <f>SUMIFS(IsQList,IsIList,Table_ExternalData_15[[#This Row],[item_key]],IsITypeList,Table_ExternalData_15[[#This Row],[IType]],IsDList,Table_ExternalData_15[[#Headers],[16]])</f>
        <v>0</v>
      </c>
      <c r="U295" s="10">
        <f>SUMIFS(IsQList,IsIList,Table_ExternalData_15[[#This Row],[item_key]],IsITypeList,Table_ExternalData_15[[#This Row],[IType]],IsDList,Table_ExternalData_15[[#Headers],[17]])</f>
        <v>0</v>
      </c>
      <c r="V295" s="10">
        <f>SUMIFS(IsQList,IsIList,Table_ExternalData_15[[#This Row],[item_key]],IsITypeList,Table_ExternalData_15[[#This Row],[IType]],IsDList,Table_ExternalData_15[[#Headers],[18]])</f>
        <v>0</v>
      </c>
      <c r="W295" s="10">
        <f>SUMIFS(IsQList,IsIList,Table_ExternalData_15[[#This Row],[item_key]],IsITypeList,Table_ExternalData_15[[#This Row],[IType]],IsDList,Table_ExternalData_15[[#Headers],[19]])</f>
        <v>0</v>
      </c>
      <c r="X295" s="10">
        <f>SUMIFS(IsQList,IsIList,Table_ExternalData_15[[#This Row],[item_key]],IsITypeList,Table_ExternalData_15[[#This Row],[IType]],IsDList,Table_ExternalData_15[[#Headers],[20]])</f>
        <v>0</v>
      </c>
      <c r="Y295" s="10">
        <f>SUMIFS(IsQList,IsIList,Table_ExternalData_15[[#This Row],[item_key]],IsITypeList,Table_ExternalData_15[[#This Row],[IType]],IsDList,Table_ExternalData_15[[#Headers],[21]])</f>
        <v>0</v>
      </c>
      <c r="Z295" s="10">
        <f>SUMIFS(IsQList,IsIList,Table_ExternalData_15[[#This Row],[item_key]],IsITypeList,Table_ExternalData_15[[#This Row],[IType]],IsDList,Table_ExternalData_15[[#Headers],[22]])</f>
        <v>0</v>
      </c>
      <c r="AA295" s="10">
        <f>SUMIFS(IsQList,IsIList,Table_ExternalData_15[[#This Row],[item_key]],IsITypeList,Table_ExternalData_15[[#This Row],[IType]],IsDList,Table_ExternalData_15[[#Headers],[23]])</f>
        <v>0</v>
      </c>
      <c r="AB295" s="10">
        <f>SUMIFS(IsQList,IsIList,Table_ExternalData_15[[#This Row],[item_key]],IsITypeList,Table_ExternalData_15[[#This Row],[IType]],IsDList,Table_ExternalData_15[[#Headers],[24]])</f>
        <v>0</v>
      </c>
      <c r="AC295" s="10">
        <f>SUMIFS(IsQList,IsIList,Table_ExternalData_15[[#This Row],[item_key]],IsITypeList,Table_ExternalData_15[[#This Row],[IType]],IsDList,Table_ExternalData_15[[#Headers],[25]])</f>
        <v>0</v>
      </c>
      <c r="AD295" s="10">
        <f>SUMIFS(IsQList,IsIList,Table_ExternalData_15[[#This Row],[item_key]],IsITypeList,Table_ExternalData_15[[#This Row],[IType]],IsDList,Table_ExternalData_15[[#Headers],[26]])</f>
        <v>0</v>
      </c>
      <c r="AE295" s="10">
        <f>SUMIFS(IsQList,IsIList,Table_ExternalData_15[[#This Row],[item_key]],IsITypeList,Table_ExternalData_15[[#This Row],[IType]],IsDList,Table_ExternalData_15[[#Headers],[27]])</f>
        <v>0</v>
      </c>
      <c r="AF295" s="10">
        <f>SUMIFS(IsQList,IsIList,Table_ExternalData_15[[#This Row],[item_key]],IsITypeList,Table_ExternalData_15[[#This Row],[IType]],IsDList,Table_ExternalData_15[[#Headers],[28]])</f>
        <v>0</v>
      </c>
      <c r="AG295" s="10">
        <f>SUMIFS(IsQList,IsIList,Table_ExternalData_15[[#This Row],[item_key]],IsITypeList,Table_ExternalData_15[[#This Row],[IType]],IsDList,Table_ExternalData_15[[#Headers],[29]])</f>
        <v>0</v>
      </c>
      <c r="AH295" s="10">
        <f>SUMIFS(IsQList,IsIList,Table_ExternalData_15[[#This Row],[item_key]],IsITypeList,Table_ExternalData_15[[#This Row],[IType]],IsDList,Table_ExternalData_15[[#Headers],[30]])</f>
        <v>0</v>
      </c>
      <c r="AI295" s="10">
        <f>SUMIFS(IsQList,IsIList,Table_ExternalData_15[[#This Row],[item_key]],IsITypeList,Table_ExternalData_15[[#This Row],[IType]],IsDList,Table_ExternalData_15[[#Headers],[31]])</f>
        <v>0</v>
      </c>
      <c r="AJ295" s="10">
        <f>SUM(Table_ExternalData_15[[#This Row],[1]:[31]])</f>
        <v>0</v>
      </c>
    </row>
    <row r="296" spans="1:36">
      <c r="A296" s="1" t="s">
        <v>891</v>
      </c>
      <c r="B296" s="1" t="s">
        <v>1427</v>
      </c>
      <c r="C296" s="1" t="s">
        <v>1412</v>
      </c>
      <c r="D296" s="11" t="s">
        <v>72</v>
      </c>
      <c r="E296" s="10">
        <f>SUMIFS(IsQList,IsIList,Table_ExternalData_15[[#This Row],[item_key]],IsITypeList,Table_ExternalData_15[[#This Row],[IType]],IsDList,Table_ExternalData_15[[#Headers],[1]])</f>
        <v>0</v>
      </c>
      <c r="F296" s="10">
        <f>SUMIFS(IsQList,IsIList,Table_ExternalData_15[[#This Row],[item_key]],IsITypeList,Table_ExternalData_15[[#This Row],[IType]],IsDList,Table_ExternalData_15[[#Headers],[2]])</f>
        <v>0</v>
      </c>
      <c r="G296" s="10">
        <f>SUMIFS(IsQList,IsIList,Table_ExternalData_15[[#This Row],[item_key]],IsITypeList,Table_ExternalData_15[[#This Row],[IType]],IsDList,Table_ExternalData_15[[#Headers],[3]])</f>
        <v>0</v>
      </c>
      <c r="H296" s="10">
        <f>SUMIFS(IsQList,IsIList,Table_ExternalData_15[[#This Row],[item_key]],IsITypeList,Table_ExternalData_15[[#This Row],[IType]],IsDList,Table_ExternalData_15[[#Headers],[4]])</f>
        <v>0</v>
      </c>
      <c r="I296" s="10">
        <f>SUMIFS(IsQList,IsIList,Table_ExternalData_15[[#This Row],[item_key]],IsITypeList,Table_ExternalData_15[[#This Row],[IType]],IsDList,Table_ExternalData_15[[#Headers],[5]])</f>
        <v>0</v>
      </c>
      <c r="J296" s="10">
        <f>SUMIFS(IsQList,IsIList,Table_ExternalData_15[[#This Row],[item_key]],IsITypeList,Table_ExternalData_15[[#This Row],[IType]],IsDList,Table_ExternalData_15[[#Headers],[6]])</f>
        <v>0</v>
      </c>
      <c r="K296" s="10">
        <f>SUMIFS(IsQList,IsIList,Table_ExternalData_15[[#This Row],[item_key]],IsITypeList,Table_ExternalData_15[[#This Row],[IType]],IsDList,Table_ExternalData_15[[#Headers],[7]])</f>
        <v>0</v>
      </c>
      <c r="L296" s="10">
        <f>SUMIFS(IsQList,IsIList,Table_ExternalData_15[[#This Row],[item_key]],IsITypeList,Table_ExternalData_15[[#This Row],[IType]],IsDList,Table_ExternalData_15[[#Headers],[8]])</f>
        <v>0</v>
      </c>
      <c r="M296" s="10">
        <f>SUMIFS(IsQList,IsIList,Table_ExternalData_15[[#This Row],[item_key]],IsITypeList,Table_ExternalData_15[[#This Row],[IType]],IsDList,Table_ExternalData_15[[#Headers],[9]])</f>
        <v>0</v>
      </c>
      <c r="N296" s="10">
        <f>SUMIFS(IsQList,IsIList,Table_ExternalData_15[[#This Row],[item_key]],IsITypeList,Table_ExternalData_15[[#This Row],[IType]],IsDList,Table_ExternalData_15[[#Headers],[10]])</f>
        <v>0</v>
      </c>
      <c r="O296" s="10">
        <f>SUMIFS(IsQList,IsIList,Table_ExternalData_15[[#This Row],[item_key]],IsITypeList,Table_ExternalData_15[[#This Row],[IType]],IsDList,Table_ExternalData_15[[#Headers],[11]])</f>
        <v>0</v>
      </c>
      <c r="P296" s="10">
        <f>SUMIFS(IsQList,IsIList,Table_ExternalData_15[[#This Row],[item_key]],IsITypeList,Table_ExternalData_15[[#This Row],[IType]],IsDList,Table_ExternalData_15[[#Headers],[12]])</f>
        <v>0</v>
      </c>
      <c r="Q296" s="10">
        <f>SUMIFS(IsQList,IsIList,Table_ExternalData_15[[#This Row],[item_key]],IsITypeList,Table_ExternalData_15[[#This Row],[IType]],IsDList,Table_ExternalData_15[[#Headers],[13]])</f>
        <v>0</v>
      </c>
      <c r="R296" s="10">
        <f>SUMIFS(IsQList,IsIList,Table_ExternalData_15[[#This Row],[item_key]],IsITypeList,Table_ExternalData_15[[#This Row],[IType]],IsDList,Table_ExternalData_15[[#Headers],[14]])</f>
        <v>0</v>
      </c>
      <c r="S296" s="10">
        <f>SUMIFS(IsQList,IsIList,Table_ExternalData_15[[#This Row],[item_key]],IsITypeList,Table_ExternalData_15[[#This Row],[IType]],IsDList,Table_ExternalData_15[[#Headers],[15]])</f>
        <v>0</v>
      </c>
      <c r="T296" s="10">
        <f>SUMIFS(IsQList,IsIList,Table_ExternalData_15[[#This Row],[item_key]],IsITypeList,Table_ExternalData_15[[#This Row],[IType]],IsDList,Table_ExternalData_15[[#Headers],[16]])</f>
        <v>0</v>
      </c>
      <c r="U296" s="10">
        <f>SUMIFS(IsQList,IsIList,Table_ExternalData_15[[#This Row],[item_key]],IsITypeList,Table_ExternalData_15[[#This Row],[IType]],IsDList,Table_ExternalData_15[[#Headers],[17]])</f>
        <v>0</v>
      </c>
      <c r="V296" s="10">
        <f>SUMIFS(IsQList,IsIList,Table_ExternalData_15[[#This Row],[item_key]],IsITypeList,Table_ExternalData_15[[#This Row],[IType]],IsDList,Table_ExternalData_15[[#Headers],[18]])</f>
        <v>0</v>
      </c>
      <c r="W296" s="10">
        <f>SUMIFS(IsQList,IsIList,Table_ExternalData_15[[#This Row],[item_key]],IsITypeList,Table_ExternalData_15[[#This Row],[IType]],IsDList,Table_ExternalData_15[[#Headers],[19]])</f>
        <v>0</v>
      </c>
      <c r="X296" s="10">
        <f>SUMIFS(IsQList,IsIList,Table_ExternalData_15[[#This Row],[item_key]],IsITypeList,Table_ExternalData_15[[#This Row],[IType]],IsDList,Table_ExternalData_15[[#Headers],[20]])</f>
        <v>0</v>
      </c>
      <c r="Y296" s="10">
        <f>SUMIFS(IsQList,IsIList,Table_ExternalData_15[[#This Row],[item_key]],IsITypeList,Table_ExternalData_15[[#This Row],[IType]],IsDList,Table_ExternalData_15[[#Headers],[21]])</f>
        <v>0</v>
      </c>
      <c r="Z296" s="10">
        <f>SUMIFS(IsQList,IsIList,Table_ExternalData_15[[#This Row],[item_key]],IsITypeList,Table_ExternalData_15[[#This Row],[IType]],IsDList,Table_ExternalData_15[[#Headers],[22]])</f>
        <v>0</v>
      </c>
      <c r="AA296" s="10">
        <f>SUMIFS(IsQList,IsIList,Table_ExternalData_15[[#This Row],[item_key]],IsITypeList,Table_ExternalData_15[[#This Row],[IType]],IsDList,Table_ExternalData_15[[#Headers],[23]])</f>
        <v>0</v>
      </c>
      <c r="AB296" s="10">
        <f>SUMIFS(IsQList,IsIList,Table_ExternalData_15[[#This Row],[item_key]],IsITypeList,Table_ExternalData_15[[#This Row],[IType]],IsDList,Table_ExternalData_15[[#Headers],[24]])</f>
        <v>0</v>
      </c>
      <c r="AC296" s="10">
        <f>SUMIFS(IsQList,IsIList,Table_ExternalData_15[[#This Row],[item_key]],IsITypeList,Table_ExternalData_15[[#This Row],[IType]],IsDList,Table_ExternalData_15[[#Headers],[25]])</f>
        <v>0</v>
      </c>
      <c r="AD296" s="10">
        <f>SUMIFS(IsQList,IsIList,Table_ExternalData_15[[#This Row],[item_key]],IsITypeList,Table_ExternalData_15[[#This Row],[IType]],IsDList,Table_ExternalData_15[[#Headers],[26]])</f>
        <v>0</v>
      </c>
      <c r="AE296" s="10">
        <f>SUMIFS(IsQList,IsIList,Table_ExternalData_15[[#This Row],[item_key]],IsITypeList,Table_ExternalData_15[[#This Row],[IType]],IsDList,Table_ExternalData_15[[#Headers],[27]])</f>
        <v>0</v>
      </c>
      <c r="AF296" s="10">
        <f>SUMIFS(IsQList,IsIList,Table_ExternalData_15[[#This Row],[item_key]],IsITypeList,Table_ExternalData_15[[#This Row],[IType]],IsDList,Table_ExternalData_15[[#Headers],[28]])</f>
        <v>0</v>
      </c>
      <c r="AG296" s="10">
        <f>SUMIFS(IsQList,IsIList,Table_ExternalData_15[[#This Row],[item_key]],IsITypeList,Table_ExternalData_15[[#This Row],[IType]],IsDList,Table_ExternalData_15[[#Headers],[29]])</f>
        <v>0</v>
      </c>
      <c r="AH296" s="10">
        <f>SUMIFS(IsQList,IsIList,Table_ExternalData_15[[#This Row],[item_key]],IsITypeList,Table_ExternalData_15[[#This Row],[IType]],IsDList,Table_ExternalData_15[[#Headers],[30]])</f>
        <v>0</v>
      </c>
      <c r="AI296" s="10">
        <f>SUMIFS(IsQList,IsIList,Table_ExternalData_15[[#This Row],[item_key]],IsITypeList,Table_ExternalData_15[[#This Row],[IType]],IsDList,Table_ExternalData_15[[#Headers],[31]])</f>
        <v>0</v>
      </c>
      <c r="AJ296" s="10">
        <f>SUM(Table_ExternalData_15[[#This Row],[1]:[31]])</f>
        <v>0</v>
      </c>
    </row>
    <row r="297" spans="1:36">
      <c r="A297" s="1" t="s">
        <v>902</v>
      </c>
      <c r="B297" s="1" t="s">
        <v>2759</v>
      </c>
      <c r="C297" s="1" t="s">
        <v>2760</v>
      </c>
      <c r="D297" s="11" t="s">
        <v>72</v>
      </c>
      <c r="E297" s="10">
        <f>SUMIFS(IsQList,IsIList,Table_ExternalData_15[[#This Row],[item_key]],IsITypeList,Table_ExternalData_15[[#This Row],[IType]],IsDList,Table_ExternalData_15[[#Headers],[1]])</f>
        <v>0</v>
      </c>
      <c r="F297" s="10">
        <f>SUMIFS(IsQList,IsIList,Table_ExternalData_15[[#This Row],[item_key]],IsITypeList,Table_ExternalData_15[[#This Row],[IType]],IsDList,Table_ExternalData_15[[#Headers],[2]])</f>
        <v>0</v>
      </c>
      <c r="G297" s="10">
        <f>SUMIFS(IsQList,IsIList,Table_ExternalData_15[[#This Row],[item_key]],IsITypeList,Table_ExternalData_15[[#This Row],[IType]],IsDList,Table_ExternalData_15[[#Headers],[3]])</f>
        <v>0</v>
      </c>
      <c r="H297" s="10">
        <f>SUMIFS(IsQList,IsIList,Table_ExternalData_15[[#This Row],[item_key]],IsITypeList,Table_ExternalData_15[[#This Row],[IType]],IsDList,Table_ExternalData_15[[#Headers],[4]])</f>
        <v>0</v>
      </c>
      <c r="I297" s="10">
        <f>SUMIFS(IsQList,IsIList,Table_ExternalData_15[[#This Row],[item_key]],IsITypeList,Table_ExternalData_15[[#This Row],[IType]],IsDList,Table_ExternalData_15[[#Headers],[5]])</f>
        <v>0</v>
      </c>
      <c r="J297" s="10">
        <f>SUMIFS(IsQList,IsIList,Table_ExternalData_15[[#This Row],[item_key]],IsITypeList,Table_ExternalData_15[[#This Row],[IType]],IsDList,Table_ExternalData_15[[#Headers],[6]])</f>
        <v>0</v>
      </c>
      <c r="K297" s="10">
        <f>SUMIFS(IsQList,IsIList,Table_ExternalData_15[[#This Row],[item_key]],IsITypeList,Table_ExternalData_15[[#This Row],[IType]],IsDList,Table_ExternalData_15[[#Headers],[7]])</f>
        <v>0</v>
      </c>
      <c r="L297" s="10">
        <f>SUMIFS(IsQList,IsIList,Table_ExternalData_15[[#This Row],[item_key]],IsITypeList,Table_ExternalData_15[[#This Row],[IType]],IsDList,Table_ExternalData_15[[#Headers],[8]])</f>
        <v>0</v>
      </c>
      <c r="M297" s="10">
        <f>SUMIFS(IsQList,IsIList,Table_ExternalData_15[[#This Row],[item_key]],IsITypeList,Table_ExternalData_15[[#This Row],[IType]],IsDList,Table_ExternalData_15[[#Headers],[9]])</f>
        <v>0</v>
      </c>
      <c r="N297" s="10">
        <f>SUMIFS(IsQList,IsIList,Table_ExternalData_15[[#This Row],[item_key]],IsITypeList,Table_ExternalData_15[[#This Row],[IType]],IsDList,Table_ExternalData_15[[#Headers],[10]])</f>
        <v>0</v>
      </c>
      <c r="O297" s="10">
        <f>SUMIFS(IsQList,IsIList,Table_ExternalData_15[[#This Row],[item_key]],IsITypeList,Table_ExternalData_15[[#This Row],[IType]],IsDList,Table_ExternalData_15[[#Headers],[11]])</f>
        <v>0</v>
      </c>
      <c r="P297" s="10">
        <f>SUMIFS(IsQList,IsIList,Table_ExternalData_15[[#This Row],[item_key]],IsITypeList,Table_ExternalData_15[[#This Row],[IType]],IsDList,Table_ExternalData_15[[#Headers],[12]])</f>
        <v>0</v>
      </c>
      <c r="Q297" s="10">
        <f>SUMIFS(IsQList,IsIList,Table_ExternalData_15[[#This Row],[item_key]],IsITypeList,Table_ExternalData_15[[#This Row],[IType]],IsDList,Table_ExternalData_15[[#Headers],[13]])</f>
        <v>0</v>
      </c>
      <c r="R297" s="10">
        <f>SUMIFS(IsQList,IsIList,Table_ExternalData_15[[#This Row],[item_key]],IsITypeList,Table_ExternalData_15[[#This Row],[IType]],IsDList,Table_ExternalData_15[[#Headers],[14]])</f>
        <v>0</v>
      </c>
      <c r="S297" s="10">
        <f>SUMIFS(IsQList,IsIList,Table_ExternalData_15[[#This Row],[item_key]],IsITypeList,Table_ExternalData_15[[#This Row],[IType]],IsDList,Table_ExternalData_15[[#Headers],[15]])</f>
        <v>0</v>
      </c>
      <c r="T297" s="10">
        <f>SUMIFS(IsQList,IsIList,Table_ExternalData_15[[#This Row],[item_key]],IsITypeList,Table_ExternalData_15[[#This Row],[IType]],IsDList,Table_ExternalData_15[[#Headers],[16]])</f>
        <v>0</v>
      </c>
      <c r="U297" s="10">
        <f>SUMIFS(IsQList,IsIList,Table_ExternalData_15[[#This Row],[item_key]],IsITypeList,Table_ExternalData_15[[#This Row],[IType]],IsDList,Table_ExternalData_15[[#Headers],[17]])</f>
        <v>0</v>
      </c>
      <c r="V297" s="10">
        <f>SUMIFS(IsQList,IsIList,Table_ExternalData_15[[#This Row],[item_key]],IsITypeList,Table_ExternalData_15[[#This Row],[IType]],IsDList,Table_ExternalData_15[[#Headers],[18]])</f>
        <v>0</v>
      </c>
      <c r="W297" s="10">
        <f>SUMIFS(IsQList,IsIList,Table_ExternalData_15[[#This Row],[item_key]],IsITypeList,Table_ExternalData_15[[#This Row],[IType]],IsDList,Table_ExternalData_15[[#Headers],[19]])</f>
        <v>0</v>
      </c>
      <c r="X297" s="10">
        <f>SUMIFS(IsQList,IsIList,Table_ExternalData_15[[#This Row],[item_key]],IsITypeList,Table_ExternalData_15[[#This Row],[IType]],IsDList,Table_ExternalData_15[[#Headers],[20]])</f>
        <v>0</v>
      </c>
      <c r="Y297" s="10">
        <f>SUMIFS(IsQList,IsIList,Table_ExternalData_15[[#This Row],[item_key]],IsITypeList,Table_ExternalData_15[[#This Row],[IType]],IsDList,Table_ExternalData_15[[#Headers],[21]])</f>
        <v>0</v>
      </c>
      <c r="Z297" s="10">
        <f>SUMIFS(IsQList,IsIList,Table_ExternalData_15[[#This Row],[item_key]],IsITypeList,Table_ExternalData_15[[#This Row],[IType]],IsDList,Table_ExternalData_15[[#Headers],[22]])</f>
        <v>0</v>
      </c>
      <c r="AA297" s="10">
        <f>SUMIFS(IsQList,IsIList,Table_ExternalData_15[[#This Row],[item_key]],IsITypeList,Table_ExternalData_15[[#This Row],[IType]],IsDList,Table_ExternalData_15[[#Headers],[23]])</f>
        <v>0</v>
      </c>
      <c r="AB297" s="10">
        <f>SUMIFS(IsQList,IsIList,Table_ExternalData_15[[#This Row],[item_key]],IsITypeList,Table_ExternalData_15[[#This Row],[IType]],IsDList,Table_ExternalData_15[[#Headers],[24]])</f>
        <v>50</v>
      </c>
      <c r="AC297" s="10">
        <f>SUMIFS(IsQList,IsIList,Table_ExternalData_15[[#This Row],[item_key]],IsITypeList,Table_ExternalData_15[[#This Row],[IType]],IsDList,Table_ExternalData_15[[#Headers],[25]])</f>
        <v>0</v>
      </c>
      <c r="AD297" s="10">
        <f>SUMIFS(IsQList,IsIList,Table_ExternalData_15[[#This Row],[item_key]],IsITypeList,Table_ExternalData_15[[#This Row],[IType]],IsDList,Table_ExternalData_15[[#Headers],[26]])</f>
        <v>0</v>
      </c>
      <c r="AE297" s="10">
        <f>SUMIFS(IsQList,IsIList,Table_ExternalData_15[[#This Row],[item_key]],IsITypeList,Table_ExternalData_15[[#This Row],[IType]],IsDList,Table_ExternalData_15[[#Headers],[27]])</f>
        <v>0</v>
      </c>
      <c r="AF297" s="10">
        <f>SUMIFS(IsQList,IsIList,Table_ExternalData_15[[#This Row],[item_key]],IsITypeList,Table_ExternalData_15[[#This Row],[IType]],IsDList,Table_ExternalData_15[[#Headers],[28]])</f>
        <v>0</v>
      </c>
      <c r="AG297" s="10">
        <f>SUMIFS(IsQList,IsIList,Table_ExternalData_15[[#This Row],[item_key]],IsITypeList,Table_ExternalData_15[[#This Row],[IType]],IsDList,Table_ExternalData_15[[#Headers],[29]])</f>
        <v>0</v>
      </c>
      <c r="AH297" s="10">
        <f>SUMIFS(IsQList,IsIList,Table_ExternalData_15[[#This Row],[item_key]],IsITypeList,Table_ExternalData_15[[#This Row],[IType]],IsDList,Table_ExternalData_15[[#Headers],[30]])</f>
        <v>200</v>
      </c>
      <c r="AI297" s="10">
        <f>SUMIFS(IsQList,IsIList,Table_ExternalData_15[[#This Row],[item_key]],IsITypeList,Table_ExternalData_15[[#This Row],[IType]],IsDList,Table_ExternalData_15[[#Headers],[31]])</f>
        <v>0</v>
      </c>
      <c r="AJ297" s="10">
        <f>SUM(Table_ExternalData_15[[#This Row],[1]:[31]])</f>
        <v>250</v>
      </c>
    </row>
    <row r="298" spans="1:36">
      <c r="A298" s="1" t="s">
        <v>908</v>
      </c>
      <c r="B298" s="1" t="s">
        <v>2761</v>
      </c>
      <c r="C298" s="1" t="s">
        <v>2762</v>
      </c>
      <c r="D298" s="11" t="s">
        <v>72</v>
      </c>
      <c r="E298" s="10">
        <f>SUMIFS(IsQList,IsIList,Table_ExternalData_15[[#This Row],[item_key]],IsITypeList,Table_ExternalData_15[[#This Row],[IType]],IsDList,Table_ExternalData_15[[#Headers],[1]])</f>
        <v>0</v>
      </c>
      <c r="F298" s="10">
        <f>SUMIFS(IsQList,IsIList,Table_ExternalData_15[[#This Row],[item_key]],IsITypeList,Table_ExternalData_15[[#This Row],[IType]],IsDList,Table_ExternalData_15[[#Headers],[2]])</f>
        <v>0</v>
      </c>
      <c r="G298" s="10">
        <f>SUMIFS(IsQList,IsIList,Table_ExternalData_15[[#This Row],[item_key]],IsITypeList,Table_ExternalData_15[[#This Row],[IType]],IsDList,Table_ExternalData_15[[#Headers],[3]])</f>
        <v>0</v>
      </c>
      <c r="H298" s="10">
        <f>SUMIFS(IsQList,IsIList,Table_ExternalData_15[[#This Row],[item_key]],IsITypeList,Table_ExternalData_15[[#This Row],[IType]],IsDList,Table_ExternalData_15[[#Headers],[4]])</f>
        <v>0</v>
      </c>
      <c r="I298" s="10">
        <f>SUMIFS(IsQList,IsIList,Table_ExternalData_15[[#This Row],[item_key]],IsITypeList,Table_ExternalData_15[[#This Row],[IType]],IsDList,Table_ExternalData_15[[#Headers],[5]])</f>
        <v>0</v>
      </c>
      <c r="J298" s="10">
        <f>SUMIFS(IsQList,IsIList,Table_ExternalData_15[[#This Row],[item_key]],IsITypeList,Table_ExternalData_15[[#This Row],[IType]],IsDList,Table_ExternalData_15[[#Headers],[6]])</f>
        <v>0</v>
      </c>
      <c r="K298" s="10">
        <f>SUMIFS(IsQList,IsIList,Table_ExternalData_15[[#This Row],[item_key]],IsITypeList,Table_ExternalData_15[[#This Row],[IType]],IsDList,Table_ExternalData_15[[#Headers],[7]])</f>
        <v>0</v>
      </c>
      <c r="L298" s="10">
        <f>SUMIFS(IsQList,IsIList,Table_ExternalData_15[[#This Row],[item_key]],IsITypeList,Table_ExternalData_15[[#This Row],[IType]],IsDList,Table_ExternalData_15[[#Headers],[8]])</f>
        <v>0</v>
      </c>
      <c r="M298" s="10">
        <f>SUMIFS(IsQList,IsIList,Table_ExternalData_15[[#This Row],[item_key]],IsITypeList,Table_ExternalData_15[[#This Row],[IType]],IsDList,Table_ExternalData_15[[#Headers],[9]])</f>
        <v>0</v>
      </c>
      <c r="N298" s="10">
        <f>SUMIFS(IsQList,IsIList,Table_ExternalData_15[[#This Row],[item_key]],IsITypeList,Table_ExternalData_15[[#This Row],[IType]],IsDList,Table_ExternalData_15[[#Headers],[10]])</f>
        <v>0</v>
      </c>
      <c r="O298" s="10">
        <f>SUMIFS(IsQList,IsIList,Table_ExternalData_15[[#This Row],[item_key]],IsITypeList,Table_ExternalData_15[[#This Row],[IType]],IsDList,Table_ExternalData_15[[#Headers],[11]])</f>
        <v>0</v>
      </c>
      <c r="P298" s="10">
        <f>SUMIFS(IsQList,IsIList,Table_ExternalData_15[[#This Row],[item_key]],IsITypeList,Table_ExternalData_15[[#This Row],[IType]],IsDList,Table_ExternalData_15[[#Headers],[12]])</f>
        <v>0</v>
      </c>
      <c r="Q298" s="10">
        <f>SUMIFS(IsQList,IsIList,Table_ExternalData_15[[#This Row],[item_key]],IsITypeList,Table_ExternalData_15[[#This Row],[IType]],IsDList,Table_ExternalData_15[[#Headers],[13]])</f>
        <v>0</v>
      </c>
      <c r="R298" s="10">
        <f>SUMIFS(IsQList,IsIList,Table_ExternalData_15[[#This Row],[item_key]],IsITypeList,Table_ExternalData_15[[#This Row],[IType]],IsDList,Table_ExternalData_15[[#Headers],[14]])</f>
        <v>0</v>
      </c>
      <c r="S298" s="10">
        <f>SUMIFS(IsQList,IsIList,Table_ExternalData_15[[#This Row],[item_key]],IsITypeList,Table_ExternalData_15[[#This Row],[IType]],IsDList,Table_ExternalData_15[[#Headers],[15]])</f>
        <v>0</v>
      </c>
      <c r="T298" s="10">
        <f>SUMIFS(IsQList,IsIList,Table_ExternalData_15[[#This Row],[item_key]],IsITypeList,Table_ExternalData_15[[#This Row],[IType]],IsDList,Table_ExternalData_15[[#Headers],[16]])</f>
        <v>2</v>
      </c>
      <c r="U298" s="10">
        <f>SUMIFS(IsQList,IsIList,Table_ExternalData_15[[#This Row],[item_key]],IsITypeList,Table_ExternalData_15[[#This Row],[IType]],IsDList,Table_ExternalData_15[[#Headers],[17]])</f>
        <v>0</v>
      </c>
      <c r="V298" s="10">
        <f>SUMIFS(IsQList,IsIList,Table_ExternalData_15[[#This Row],[item_key]],IsITypeList,Table_ExternalData_15[[#This Row],[IType]],IsDList,Table_ExternalData_15[[#Headers],[18]])</f>
        <v>0</v>
      </c>
      <c r="W298" s="10">
        <f>SUMIFS(IsQList,IsIList,Table_ExternalData_15[[#This Row],[item_key]],IsITypeList,Table_ExternalData_15[[#This Row],[IType]],IsDList,Table_ExternalData_15[[#Headers],[19]])</f>
        <v>0</v>
      </c>
      <c r="X298" s="10">
        <f>SUMIFS(IsQList,IsIList,Table_ExternalData_15[[#This Row],[item_key]],IsITypeList,Table_ExternalData_15[[#This Row],[IType]],IsDList,Table_ExternalData_15[[#Headers],[20]])</f>
        <v>0</v>
      </c>
      <c r="Y298" s="10">
        <f>SUMIFS(IsQList,IsIList,Table_ExternalData_15[[#This Row],[item_key]],IsITypeList,Table_ExternalData_15[[#This Row],[IType]],IsDList,Table_ExternalData_15[[#Headers],[21]])</f>
        <v>0</v>
      </c>
      <c r="Z298" s="10">
        <f>SUMIFS(IsQList,IsIList,Table_ExternalData_15[[#This Row],[item_key]],IsITypeList,Table_ExternalData_15[[#This Row],[IType]],IsDList,Table_ExternalData_15[[#Headers],[22]])</f>
        <v>0</v>
      </c>
      <c r="AA298" s="10">
        <f>SUMIFS(IsQList,IsIList,Table_ExternalData_15[[#This Row],[item_key]],IsITypeList,Table_ExternalData_15[[#This Row],[IType]],IsDList,Table_ExternalData_15[[#Headers],[23]])</f>
        <v>0</v>
      </c>
      <c r="AB298" s="10">
        <f>SUMIFS(IsQList,IsIList,Table_ExternalData_15[[#This Row],[item_key]],IsITypeList,Table_ExternalData_15[[#This Row],[IType]],IsDList,Table_ExternalData_15[[#Headers],[24]])</f>
        <v>0</v>
      </c>
      <c r="AC298" s="10">
        <f>SUMIFS(IsQList,IsIList,Table_ExternalData_15[[#This Row],[item_key]],IsITypeList,Table_ExternalData_15[[#This Row],[IType]],IsDList,Table_ExternalData_15[[#Headers],[25]])</f>
        <v>0</v>
      </c>
      <c r="AD298" s="10">
        <f>SUMIFS(IsQList,IsIList,Table_ExternalData_15[[#This Row],[item_key]],IsITypeList,Table_ExternalData_15[[#This Row],[IType]],IsDList,Table_ExternalData_15[[#Headers],[26]])</f>
        <v>0</v>
      </c>
      <c r="AE298" s="10">
        <f>SUMIFS(IsQList,IsIList,Table_ExternalData_15[[#This Row],[item_key]],IsITypeList,Table_ExternalData_15[[#This Row],[IType]],IsDList,Table_ExternalData_15[[#Headers],[27]])</f>
        <v>0</v>
      </c>
      <c r="AF298" s="10">
        <f>SUMIFS(IsQList,IsIList,Table_ExternalData_15[[#This Row],[item_key]],IsITypeList,Table_ExternalData_15[[#This Row],[IType]],IsDList,Table_ExternalData_15[[#Headers],[28]])</f>
        <v>0</v>
      </c>
      <c r="AG298" s="10">
        <f>SUMIFS(IsQList,IsIList,Table_ExternalData_15[[#This Row],[item_key]],IsITypeList,Table_ExternalData_15[[#This Row],[IType]],IsDList,Table_ExternalData_15[[#Headers],[29]])</f>
        <v>0</v>
      </c>
      <c r="AH298" s="10">
        <f>SUMIFS(IsQList,IsIList,Table_ExternalData_15[[#This Row],[item_key]],IsITypeList,Table_ExternalData_15[[#This Row],[IType]],IsDList,Table_ExternalData_15[[#Headers],[30]])</f>
        <v>4</v>
      </c>
      <c r="AI298" s="10">
        <f>SUMIFS(IsQList,IsIList,Table_ExternalData_15[[#This Row],[item_key]],IsITypeList,Table_ExternalData_15[[#This Row],[IType]],IsDList,Table_ExternalData_15[[#Headers],[31]])</f>
        <v>0</v>
      </c>
      <c r="AJ298" s="10">
        <f>SUM(Table_ExternalData_15[[#This Row],[1]:[31]])</f>
        <v>6</v>
      </c>
    </row>
    <row r="299" spans="1:36">
      <c r="A299" s="1" t="s">
        <v>943</v>
      </c>
      <c r="B299" s="1" t="s">
        <v>1430</v>
      </c>
      <c r="C299" s="1" t="s">
        <v>1431</v>
      </c>
      <c r="D299" s="11" t="s">
        <v>72</v>
      </c>
      <c r="E299" s="10">
        <f>SUMIFS(IsQList,IsIList,Table_ExternalData_15[[#This Row],[item_key]],IsITypeList,Table_ExternalData_15[[#This Row],[IType]],IsDList,Table_ExternalData_15[[#Headers],[1]])</f>
        <v>0</v>
      </c>
      <c r="F299" s="10">
        <f>SUMIFS(IsQList,IsIList,Table_ExternalData_15[[#This Row],[item_key]],IsITypeList,Table_ExternalData_15[[#This Row],[IType]],IsDList,Table_ExternalData_15[[#Headers],[2]])</f>
        <v>0</v>
      </c>
      <c r="G299" s="10">
        <f>SUMIFS(IsQList,IsIList,Table_ExternalData_15[[#This Row],[item_key]],IsITypeList,Table_ExternalData_15[[#This Row],[IType]],IsDList,Table_ExternalData_15[[#Headers],[3]])</f>
        <v>0</v>
      </c>
      <c r="H299" s="10">
        <f>SUMIFS(IsQList,IsIList,Table_ExternalData_15[[#This Row],[item_key]],IsITypeList,Table_ExternalData_15[[#This Row],[IType]],IsDList,Table_ExternalData_15[[#Headers],[4]])</f>
        <v>0</v>
      </c>
      <c r="I299" s="10">
        <f>SUMIFS(IsQList,IsIList,Table_ExternalData_15[[#This Row],[item_key]],IsITypeList,Table_ExternalData_15[[#This Row],[IType]],IsDList,Table_ExternalData_15[[#Headers],[5]])</f>
        <v>0</v>
      </c>
      <c r="J299" s="10">
        <f>SUMIFS(IsQList,IsIList,Table_ExternalData_15[[#This Row],[item_key]],IsITypeList,Table_ExternalData_15[[#This Row],[IType]],IsDList,Table_ExternalData_15[[#Headers],[6]])</f>
        <v>0</v>
      </c>
      <c r="K299" s="10">
        <f>SUMIFS(IsQList,IsIList,Table_ExternalData_15[[#This Row],[item_key]],IsITypeList,Table_ExternalData_15[[#This Row],[IType]],IsDList,Table_ExternalData_15[[#Headers],[7]])</f>
        <v>0</v>
      </c>
      <c r="L299" s="10">
        <f>SUMIFS(IsQList,IsIList,Table_ExternalData_15[[#This Row],[item_key]],IsITypeList,Table_ExternalData_15[[#This Row],[IType]],IsDList,Table_ExternalData_15[[#Headers],[8]])</f>
        <v>0</v>
      </c>
      <c r="M299" s="10">
        <f>SUMIFS(IsQList,IsIList,Table_ExternalData_15[[#This Row],[item_key]],IsITypeList,Table_ExternalData_15[[#This Row],[IType]],IsDList,Table_ExternalData_15[[#Headers],[9]])</f>
        <v>0</v>
      </c>
      <c r="N299" s="10">
        <f>SUMIFS(IsQList,IsIList,Table_ExternalData_15[[#This Row],[item_key]],IsITypeList,Table_ExternalData_15[[#This Row],[IType]],IsDList,Table_ExternalData_15[[#Headers],[10]])</f>
        <v>0</v>
      </c>
      <c r="O299" s="10">
        <f>SUMIFS(IsQList,IsIList,Table_ExternalData_15[[#This Row],[item_key]],IsITypeList,Table_ExternalData_15[[#This Row],[IType]],IsDList,Table_ExternalData_15[[#Headers],[11]])</f>
        <v>0</v>
      </c>
      <c r="P299" s="10">
        <f>SUMIFS(IsQList,IsIList,Table_ExternalData_15[[#This Row],[item_key]],IsITypeList,Table_ExternalData_15[[#This Row],[IType]],IsDList,Table_ExternalData_15[[#Headers],[12]])</f>
        <v>0</v>
      </c>
      <c r="Q299" s="10">
        <f>SUMIFS(IsQList,IsIList,Table_ExternalData_15[[#This Row],[item_key]],IsITypeList,Table_ExternalData_15[[#This Row],[IType]],IsDList,Table_ExternalData_15[[#Headers],[13]])</f>
        <v>0</v>
      </c>
      <c r="R299" s="10">
        <f>SUMIFS(IsQList,IsIList,Table_ExternalData_15[[#This Row],[item_key]],IsITypeList,Table_ExternalData_15[[#This Row],[IType]],IsDList,Table_ExternalData_15[[#Headers],[14]])</f>
        <v>0</v>
      </c>
      <c r="S299" s="10">
        <f>SUMIFS(IsQList,IsIList,Table_ExternalData_15[[#This Row],[item_key]],IsITypeList,Table_ExternalData_15[[#This Row],[IType]],IsDList,Table_ExternalData_15[[#Headers],[15]])</f>
        <v>0</v>
      </c>
      <c r="T299" s="10">
        <f>SUMIFS(IsQList,IsIList,Table_ExternalData_15[[#This Row],[item_key]],IsITypeList,Table_ExternalData_15[[#This Row],[IType]],IsDList,Table_ExternalData_15[[#Headers],[16]])</f>
        <v>0</v>
      </c>
      <c r="U299" s="10">
        <f>SUMIFS(IsQList,IsIList,Table_ExternalData_15[[#This Row],[item_key]],IsITypeList,Table_ExternalData_15[[#This Row],[IType]],IsDList,Table_ExternalData_15[[#Headers],[17]])</f>
        <v>0</v>
      </c>
      <c r="V299" s="10">
        <f>SUMIFS(IsQList,IsIList,Table_ExternalData_15[[#This Row],[item_key]],IsITypeList,Table_ExternalData_15[[#This Row],[IType]],IsDList,Table_ExternalData_15[[#Headers],[18]])</f>
        <v>0</v>
      </c>
      <c r="W299" s="10">
        <f>SUMIFS(IsQList,IsIList,Table_ExternalData_15[[#This Row],[item_key]],IsITypeList,Table_ExternalData_15[[#This Row],[IType]],IsDList,Table_ExternalData_15[[#Headers],[19]])</f>
        <v>0</v>
      </c>
      <c r="X299" s="10">
        <f>SUMIFS(IsQList,IsIList,Table_ExternalData_15[[#This Row],[item_key]],IsITypeList,Table_ExternalData_15[[#This Row],[IType]],IsDList,Table_ExternalData_15[[#Headers],[20]])</f>
        <v>0</v>
      </c>
      <c r="Y299" s="10">
        <f>SUMIFS(IsQList,IsIList,Table_ExternalData_15[[#This Row],[item_key]],IsITypeList,Table_ExternalData_15[[#This Row],[IType]],IsDList,Table_ExternalData_15[[#Headers],[21]])</f>
        <v>0</v>
      </c>
      <c r="Z299" s="10">
        <f>SUMIFS(IsQList,IsIList,Table_ExternalData_15[[#This Row],[item_key]],IsITypeList,Table_ExternalData_15[[#This Row],[IType]],IsDList,Table_ExternalData_15[[#Headers],[22]])</f>
        <v>0</v>
      </c>
      <c r="AA299" s="10">
        <f>SUMIFS(IsQList,IsIList,Table_ExternalData_15[[#This Row],[item_key]],IsITypeList,Table_ExternalData_15[[#This Row],[IType]],IsDList,Table_ExternalData_15[[#Headers],[23]])</f>
        <v>0</v>
      </c>
      <c r="AB299" s="10">
        <f>SUMIFS(IsQList,IsIList,Table_ExternalData_15[[#This Row],[item_key]],IsITypeList,Table_ExternalData_15[[#This Row],[IType]],IsDList,Table_ExternalData_15[[#Headers],[24]])</f>
        <v>0</v>
      </c>
      <c r="AC299" s="10">
        <f>SUMIFS(IsQList,IsIList,Table_ExternalData_15[[#This Row],[item_key]],IsITypeList,Table_ExternalData_15[[#This Row],[IType]],IsDList,Table_ExternalData_15[[#Headers],[25]])</f>
        <v>0</v>
      </c>
      <c r="AD299" s="10">
        <f>SUMIFS(IsQList,IsIList,Table_ExternalData_15[[#This Row],[item_key]],IsITypeList,Table_ExternalData_15[[#This Row],[IType]],IsDList,Table_ExternalData_15[[#Headers],[26]])</f>
        <v>0</v>
      </c>
      <c r="AE299" s="10">
        <f>SUMIFS(IsQList,IsIList,Table_ExternalData_15[[#This Row],[item_key]],IsITypeList,Table_ExternalData_15[[#This Row],[IType]],IsDList,Table_ExternalData_15[[#Headers],[27]])</f>
        <v>0</v>
      </c>
      <c r="AF299" s="10">
        <f>SUMIFS(IsQList,IsIList,Table_ExternalData_15[[#This Row],[item_key]],IsITypeList,Table_ExternalData_15[[#This Row],[IType]],IsDList,Table_ExternalData_15[[#Headers],[28]])</f>
        <v>0</v>
      </c>
      <c r="AG299" s="10">
        <f>SUMIFS(IsQList,IsIList,Table_ExternalData_15[[#This Row],[item_key]],IsITypeList,Table_ExternalData_15[[#This Row],[IType]],IsDList,Table_ExternalData_15[[#Headers],[29]])</f>
        <v>0</v>
      </c>
      <c r="AH299" s="10">
        <f>SUMIFS(IsQList,IsIList,Table_ExternalData_15[[#This Row],[item_key]],IsITypeList,Table_ExternalData_15[[#This Row],[IType]],IsDList,Table_ExternalData_15[[#Headers],[30]])</f>
        <v>0</v>
      </c>
      <c r="AI299" s="10">
        <f>SUMIFS(IsQList,IsIList,Table_ExternalData_15[[#This Row],[item_key]],IsITypeList,Table_ExternalData_15[[#This Row],[IType]],IsDList,Table_ExternalData_15[[#Headers],[31]])</f>
        <v>0</v>
      </c>
      <c r="AJ299" s="10">
        <f>SUM(Table_ExternalData_15[[#This Row],[1]:[31]])</f>
        <v>0</v>
      </c>
    </row>
    <row r="300" spans="1:36">
      <c r="A300" s="1" t="s">
        <v>944</v>
      </c>
      <c r="B300" s="1" t="s">
        <v>1432</v>
      </c>
      <c r="C300" s="1" t="s">
        <v>1350</v>
      </c>
      <c r="D300" s="11" t="s">
        <v>72</v>
      </c>
      <c r="E300" s="10">
        <f>SUMIFS(IsQList,IsIList,Table_ExternalData_15[[#This Row],[item_key]],IsITypeList,Table_ExternalData_15[[#This Row],[IType]],IsDList,Table_ExternalData_15[[#Headers],[1]])</f>
        <v>0</v>
      </c>
      <c r="F300" s="10">
        <f>SUMIFS(IsQList,IsIList,Table_ExternalData_15[[#This Row],[item_key]],IsITypeList,Table_ExternalData_15[[#This Row],[IType]],IsDList,Table_ExternalData_15[[#Headers],[2]])</f>
        <v>0</v>
      </c>
      <c r="G300" s="10">
        <f>SUMIFS(IsQList,IsIList,Table_ExternalData_15[[#This Row],[item_key]],IsITypeList,Table_ExternalData_15[[#This Row],[IType]],IsDList,Table_ExternalData_15[[#Headers],[3]])</f>
        <v>0</v>
      </c>
      <c r="H300" s="10">
        <f>SUMIFS(IsQList,IsIList,Table_ExternalData_15[[#This Row],[item_key]],IsITypeList,Table_ExternalData_15[[#This Row],[IType]],IsDList,Table_ExternalData_15[[#Headers],[4]])</f>
        <v>0</v>
      </c>
      <c r="I300" s="10">
        <f>SUMIFS(IsQList,IsIList,Table_ExternalData_15[[#This Row],[item_key]],IsITypeList,Table_ExternalData_15[[#This Row],[IType]],IsDList,Table_ExternalData_15[[#Headers],[5]])</f>
        <v>0</v>
      </c>
      <c r="J300" s="10">
        <f>SUMIFS(IsQList,IsIList,Table_ExternalData_15[[#This Row],[item_key]],IsITypeList,Table_ExternalData_15[[#This Row],[IType]],IsDList,Table_ExternalData_15[[#Headers],[6]])</f>
        <v>0</v>
      </c>
      <c r="K300" s="10">
        <f>SUMIFS(IsQList,IsIList,Table_ExternalData_15[[#This Row],[item_key]],IsITypeList,Table_ExternalData_15[[#This Row],[IType]],IsDList,Table_ExternalData_15[[#Headers],[7]])</f>
        <v>0</v>
      </c>
      <c r="L300" s="10">
        <f>SUMIFS(IsQList,IsIList,Table_ExternalData_15[[#This Row],[item_key]],IsITypeList,Table_ExternalData_15[[#This Row],[IType]],IsDList,Table_ExternalData_15[[#Headers],[8]])</f>
        <v>0</v>
      </c>
      <c r="M300" s="10">
        <f>SUMIFS(IsQList,IsIList,Table_ExternalData_15[[#This Row],[item_key]],IsITypeList,Table_ExternalData_15[[#This Row],[IType]],IsDList,Table_ExternalData_15[[#Headers],[9]])</f>
        <v>0</v>
      </c>
      <c r="N300" s="10">
        <f>SUMIFS(IsQList,IsIList,Table_ExternalData_15[[#This Row],[item_key]],IsITypeList,Table_ExternalData_15[[#This Row],[IType]],IsDList,Table_ExternalData_15[[#Headers],[10]])</f>
        <v>0</v>
      </c>
      <c r="O300" s="10">
        <f>SUMIFS(IsQList,IsIList,Table_ExternalData_15[[#This Row],[item_key]],IsITypeList,Table_ExternalData_15[[#This Row],[IType]],IsDList,Table_ExternalData_15[[#Headers],[11]])</f>
        <v>0</v>
      </c>
      <c r="P300" s="10">
        <f>SUMIFS(IsQList,IsIList,Table_ExternalData_15[[#This Row],[item_key]],IsITypeList,Table_ExternalData_15[[#This Row],[IType]],IsDList,Table_ExternalData_15[[#Headers],[12]])</f>
        <v>0</v>
      </c>
      <c r="Q300" s="10">
        <f>SUMIFS(IsQList,IsIList,Table_ExternalData_15[[#This Row],[item_key]],IsITypeList,Table_ExternalData_15[[#This Row],[IType]],IsDList,Table_ExternalData_15[[#Headers],[13]])</f>
        <v>0</v>
      </c>
      <c r="R300" s="10">
        <f>SUMIFS(IsQList,IsIList,Table_ExternalData_15[[#This Row],[item_key]],IsITypeList,Table_ExternalData_15[[#This Row],[IType]],IsDList,Table_ExternalData_15[[#Headers],[14]])</f>
        <v>0</v>
      </c>
      <c r="S300" s="10">
        <f>SUMIFS(IsQList,IsIList,Table_ExternalData_15[[#This Row],[item_key]],IsITypeList,Table_ExternalData_15[[#This Row],[IType]],IsDList,Table_ExternalData_15[[#Headers],[15]])</f>
        <v>0</v>
      </c>
      <c r="T300" s="10">
        <f>SUMIFS(IsQList,IsIList,Table_ExternalData_15[[#This Row],[item_key]],IsITypeList,Table_ExternalData_15[[#This Row],[IType]],IsDList,Table_ExternalData_15[[#Headers],[16]])</f>
        <v>0</v>
      </c>
      <c r="U300" s="10">
        <f>SUMIFS(IsQList,IsIList,Table_ExternalData_15[[#This Row],[item_key]],IsITypeList,Table_ExternalData_15[[#This Row],[IType]],IsDList,Table_ExternalData_15[[#Headers],[17]])</f>
        <v>0</v>
      </c>
      <c r="V300" s="10">
        <f>SUMIFS(IsQList,IsIList,Table_ExternalData_15[[#This Row],[item_key]],IsITypeList,Table_ExternalData_15[[#This Row],[IType]],IsDList,Table_ExternalData_15[[#Headers],[18]])</f>
        <v>0</v>
      </c>
      <c r="W300" s="10">
        <f>SUMIFS(IsQList,IsIList,Table_ExternalData_15[[#This Row],[item_key]],IsITypeList,Table_ExternalData_15[[#This Row],[IType]],IsDList,Table_ExternalData_15[[#Headers],[19]])</f>
        <v>0</v>
      </c>
      <c r="X300" s="10">
        <f>SUMIFS(IsQList,IsIList,Table_ExternalData_15[[#This Row],[item_key]],IsITypeList,Table_ExternalData_15[[#This Row],[IType]],IsDList,Table_ExternalData_15[[#Headers],[20]])</f>
        <v>0</v>
      </c>
      <c r="Y300" s="10">
        <f>SUMIFS(IsQList,IsIList,Table_ExternalData_15[[#This Row],[item_key]],IsITypeList,Table_ExternalData_15[[#This Row],[IType]],IsDList,Table_ExternalData_15[[#Headers],[21]])</f>
        <v>0</v>
      </c>
      <c r="Z300" s="10">
        <f>SUMIFS(IsQList,IsIList,Table_ExternalData_15[[#This Row],[item_key]],IsITypeList,Table_ExternalData_15[[#This Row],[IType]],IsDList,Table_ExternalData_15[[#Headers],[22]])</f>
        <v>0</v>
      </c>
      <c r="AA300" s="10">
        <f>SUMIFS(IsQList,IsIList,Table_ExternalData_15[[#This Row],[item_key]],IsITypeList,Table_ExternalData_15[[#This Row],[IType]],IsDList,Table_ExternalData_15[[#Headers],[23]])</f>
        <v>0</v>
      </c>
      <c r="AB300" s="10">
        <f>SUMIFS(IsQList,IsIList,Table_ExternalData_15[[#This Row],[item_key]],IsITypeList,Table_ExternalData_15[[#This Row],[IType]],IsDList,Table_ExternalData_15[[#Headers],[24]])</f>
        <v>0</v>
      </c>
      <c r="AC300" s="10">
        <f>SUMIFS(IsQList,IsIList,Table_ExternalData_15[[#This Row],[item_key]],IsITypeList,Table_ExternalData_15[[#This Row],[IType]],IsDList,Table_ExternalData_15[[#Headers],[25]])</f>
        <v>0</v>
      </c>
      <c r="AD300" s="10">
        <f>SUMIFS(IsQList,IsIList,Table_ExternalData_15[[#This Row],[item_key]],IsITypeList,Table_ExternalData_15[[#This Row],[IType]],IsDList,Table_ExternalData_15[[#Headers],[26]])</f>
        <v>0</v>
      </c>
      <c r="AE300" s="10">
        <f>SUMIFS(IsQList,IsIList,Table_ExternalData_15[[#This Row],[item_key]],IsITypeList,Table_ExternalData_15[[#This Row],[IType]],IsDList,Table_ExternalData_15[[#Headers],[27]])</f>
        <v>0</v>
      </c>
      <c r="AF300" s="10">
        <f>SUMIFS(IsQList,IsIList,Table_ExternalData_15[[#This Row],[item_key]],IsITypeList,Table_ExternalData_15[[#This Row],[IType]],IsDList,Table_ExternalData_15[[#Headers],[28]])</f>
        <v>0</v>
      </c>
      <c r="AG300" s="10">
        <f>SUMIFS(IsQList,IsIList,Table_ExternalData_15[[#This Row],[item_key]],IsITypeList,Table_ExternalData_15[[#This Row],[IType]],IsDList,Table_ExternalData_15[[#Headers],[29]])</f>
        <v>0</v>
      </c>
      <c r="AH300" s="10">
        <f>SUMIFS(IsQList,IsIList,Table_ExternalData_15[[#This Row],[item_key]],IsITypeList,Table_ExternalData_15[[#This Row],[IType]],IsDList,Table_ExternalData_15[[#Headers],[30]])</f>
        <v>5</v>
      </c>
      <c r="AI300" s="10">
        <f>SUMIFS(IsQList,IsIList,Table_ExternalData_15[[#This Row],[item_key]],IsITypeList,Table_ExternalData_15[[#This Row],[IType]],IsDList,Table_ExternalData_15[[#Headers],[31]])</f>
        <v>0</v>
      </c>
      <c r="AJ300" s="10">
        <f>SUM(Table_ExternalData_15[[#This Row],[1]:[31]])</f>
        <v>5</v>
      </c>
    </row>
    <row r="301" spans="1:36">
      <c r="A301" s="1" t="s">
        <v>945</v>
      </c>
      <c r="B301" s="1" t="s">
        <v>1433</v>
      </c>
      <c r="C301" s="1" t="s">
        <v>1434</v>
      </c>
      <c r="D301" s="11" t="s">
        <v>72</v>
      </c>
      <c r="E301" s="10">
        <f>SUMIFS(IsQList,IsIList,Table_ExternalData_15[[#This Row],[item_key]],IsITypeList,Table_ExternalData_15[[#This Row],[IType]],IsDList,Table_ExternalData_15[[#Headers],[1]])</f>
        <v>0</v>
      </c>
      <c r="F301" s="10">
        <f>SUMIFS(IsQList,IsIList,Table_ExternalData_15[[#This Row],[item_key]],IsITypeList,Table_ExternalData_15[[#This Row],[IType]],IsDList,Table_ExternalData_15[[#Headers],[2]])</f>
        <v>0</v>
      </c>
      <c r="G301" s="10">
        <f>SUMIFS(IsQList,IsIList,Table_ExternalData_15[[#This Row],[item_key]],IsITypeList,Table_ExternalData_15[[#This Row],[IType]],IsDList,Table_ExternalData_15[[#Headers],[3]])</f>
        <v>0</v>
      </c>
      <c r="H301" s="10">
        <f>SUMIFS(IsQList,IsIList,Table_ExternalData_15[[#This Row],[item_key]],IsITypeList,Table_ExternalData_15[[#This Row],[IType]],IsDList,Table_ExternalData_15[[#Headers],[4]])</f>
        <v>0</v>
      </c>
      <c r="I301" s="10">
        <f>SUMIFS(IsQList,IsIList,Table_ExternalData_15[[#This Row],[item_key]],IsITypeList,Table_ExternalData_15[[#This Row],[IType]],IsDList,Table_ExternalData_15[[#Headers],[5]])</f>
        <v>0</v>
      </c>
      <c r="J301" s="10">
        <f>SUMIFS(IsQList,IsIList,Table_ExternalData_15[[#This Row],[item_key]],IsITypeList,Table_ExternalData_15[[#This Row],[IType]],IsDList,Table_ExternalData_15[[#Headers],[6]])</f>
        <v>0</v>
      </c>
      <c r="K301" s="10">
        <f>SUMIFS(IsQList,IsIList,Table_ExternalData_15[[#This Row],[item_key]],IsITypeList,Table_ExternalData_15[[#This Row],[IType]],IsDList,Table_ExternalData_15[[#Headers],[7]])</f>
        <v>0</v>
      </c>
      <c r="L301" s="10">
        <f>SUMIFS(IsQList,IsIList,Table_ExternalData_15[[#This Row],[item_key]],IsITypeList,Table_ExternalData_15[[#This Row],[IType]],IsDList,Table_ExternalData_15[[#Headers],[8]])</f>
        <v>0</v>
      </c>
      <c r="M301" s="10">
        <f>SUMIFS(IsQList,IsIList,Table_ExternalData_15[[#This Row],[item_key]],IsITypeList,Table_ExternalData_15[[#This Row],[IType]],IsDList,Table_ExternalData_15[[#Headers],[9]])</f>
        <v>0</v>
      </c>
      <c r="N301" s="10">
        <f>SUMIFS(IsQList,IsIList,Table_ExternalData_15[[#This Row],[item_key]],IsITypeList,Table_ExternalData_15[[#This Row],[IType]],IsDList,Table_ExternalData_15[[#Headers],[10]])</f>
        <v>0</v>
      </c>
      <c r="O301" s="10">
        <f>SUMIFS(IsQList,IsIList,Table_ExternalData_15[[#This Row],[item_key]],IsITypeList,Table_ExternalData_15[[#This Row],[IType]],IsDList,Table_ExternalData_15[[#Headers],[11]])</f>
        <v>0</v>
      </c>
      <c r="P301" s="10">
        <f>SUMIFS(IsQList,IsIList,Table_ExternalData_15[[#This Row],[item_key]],IsITypeList,Table_ExternalData_15[[#This Row],[IType]],IsDList,Table_ExternalData_15[[#Headers],[12]])</f>
        <v>0</v>
      </c>
      <c r="Q301" s="10">
        <f>SUMIFS(IsQList,IsIList,Table_ExternalData_15[[#This Row],[item_key]],IsITypeList,Table_ExternalData_15[[#This Row],[IType]],IsDList,Table_ExternalData_15[[#Headers],[13]])</f>
        <v>0</v>
      </c>
      <c r="R301" s="10">
        <f>SUMIFS(IsQList,IsIList,Table_ExternalData_15[[#This Row],[item_key]],IsITypeList,Table_ExternalData_15[[#This Row],[IType]],IsDList,Table_ExternalData_15[[#Headers],[14]])</f>
        <v>0</v>
      </c>
      <c r="S301" s="10">
        <f>SUMIFS(IsQList,IsIList,Table_ExternalData_15[[#This Row],[item_key]],IsITypeList,Table_ExternalData_15[[#This Row],[IType]],IsDList,Table_ExternalData_15[[#Headers],[15]])</f>
        <v>0</v>
      </c>
      <c r="T301" s="10">
        <f>SUMIFS(IsQList,IsIList,Table_ExternalData_15[[#This Row],[item_key]],IsITypeList,Table_ExternalData_15[[#This Row],[IType]],IsDList,Table_ExternalData_15[[#Headers],[16]])</f>
        <v>0</v>
      </c>
      <c r="U301" s="10">
        <f>SUMIFS(IsQList,IsIList,Table_ExternalData_15[[#This Row],[item_key]],IsITypeList,Table_ExternalData_15[[#This Row],[IType]],IsDList,Table_ExternalData_15[[#Headers],[17]])</f>
        <v>0</v>
      </c>
      <c r="V301" s="10">
        <f>SUMIFS(IsQList,IsIList,Table_ExternalData_15[[#This Row],[item_key]],IsITypeList,Table_ExternalData_15[[#This Row],[IType]],IsDList,Table_ExternalData_15[[#Headers],[18]])</f>
        <v>0</v>
      </c>
      <c r="W301" s="10">
        <f>SUMIFS(IsQList,IsIList,Table_ExternalData_15[[#This Row],[item_key]],IsITypeList,Table_ExternalData_15[[#This Row],[IType]],IsDList,Table_ExternalData_15[[#Headers],[19]])</f>
        <v>0</v>
      </c>
      <c r="X301" s="10">
        <f>SUMIFS(IsQList,IsIList,Table_ExternalData_15[[#This Row],[item_key]],IsITypeList,Table_ExternalData_15[[#This Row],[IType]],IsDList,Table_ExternalData_15[[#Headers],[20]])</f>
        <v>0</v>
      </c>
      <c r="Y301" s="10">
        <f>SUMIFS(IsQList,IsIList,Table_ExternalData_15[[#This Row],[item_key]],IsITypeList,Table_ExternalData_15[[#This Row],[IType]],IsDList,Table_ExternalData_15[[#Headers],[21]])</f>
        <v>0</v>
      </c>
      <c r="Z301" s="10">
        <f>SUMIFS(IsQList,IsIList,Table_ExternalData_15[[#This Row],[item_key]],IsITypeList,Table_ExternalData_15[[#This Row],[IType]],IsDList,Table_ExternalData_15[[#Headers],[22]])</f>
        <v>0</v>
      </c>
      <c r="AA301" s="10">
        <f>SUMIFS(IsQList,IsIList,Table_ExternalData_15[[#This Row],[item_key]],IsITypeList,Table_ExternalData_15[[#This Row],[IType]],IsDList,Table_ExternalData_15[[#Headers],[23]])</f>
        <v>0</v>
      </c>
      <c r="AB301" s="10">
        <f>SUMIFS(IsQList,IsIList,Table_ExternalData_15[[#This Row],[item_key]],IsITypeList,Table_ExternalData_15[[#This Row],[IType]],IsDList,Table_ExternalData_15[[#Headers],[24]])</f>
        <v>0</v>
      </c>
      <c r="AC301" s="10">
        <f>SUMIFS(IsQList,IsIList,Table_ExternalData_15[[#This Row],[item_key]],IsITypeList,Table_ExternalData_15[[#This Row],[IType]],IsDList,Table_ExternalData_15[[#Headers],[25]])</f>
        <v>0</v>
      </c>
      <c r="AD301" s="10">
        <f>SUMIFS(IsQList,IsIList,Table_ExternalData_15[[#This Row],[item_key]],IsITypeList,Table_ExternalData_15[[#This Row],[IType]],IsDList,Table_ExternalData_15[[#Headers],[26]])</f>
        <v>0</v>
      </c>
      <c r="AE301" s="10">
        <f>SUMIFS(IsQList,IsIList,Table_ExternalData_15[[#This Row],[item_key]],IsITypeList,Table_ExternalData_15[[#This Row],[IType]],IsDList,Table_ExternalData_15[[#Headers],[27]])</f>
        <v>0</v>
      </c>
      <c r="AF301" s="10">
        <f>SUMIFS(IsQList,IsIList,Table_ExternalData_15[[#This Row],[item_key]],IsITypeList,Table_ExternalData_15[[#This Row],[IType]],IsDList,Table_ExternalData_15[[#Headers],[28]])</f>
        <v>0</v>
      </c>
      <c r="AG301" s="10">
        <f>SUMIFS(IsQList,IsIList,Table_ExternalData_15[[#This Row],[item_key]],IsITypeList,Table_ExternalData_15[[#This Row],[IType]],IsDList,Table_ExternalData_15[[#Headers],[29]])</f>
        <v>0</v>
      </c>
      <c r="AH301" s="10">
        <f>SUMIFS(IsQList,IsIList,Table_ExternalData_15[[#This Row],[item_key]],IsITypeList,Table_ExternalData_15[[#This Row],[IType]],IsDList,Table_ExternalData_15[[#Headers],[30]])</f>
        <v>20</v>
      </c>
      <c r="AI301" s="10">
        <f>SUMIFS(IsQList,IsIList,Table_ExternalData_15[[#This Row],[item_key]],IsITypeList,Table_ExternalData_15[[#This Row],[IType]],IsDList,Table_ExternalData_15[[#Headers],[31]])</f>
        <v>0</v>
      </c>
      <c r="AJ301" s="10">
        <f>SUM(Table_ExternalData_15[[#This Row],[1]:[31]])</f>
        <v>20</v>
      </c>
    </row>
    <row r="302" spans="1:36">
      <c r="A302" s="1" t="s">
        <v>946</v>
      </c>
      <c r="B302" s="1" t="s">
        <v>1435</v>
      </c>
      <c r="C302" s="1" t="s">
        <v>1436</v>
      </c>
      <c r="D302" s="11" t="s">
        <v>72</v>
      </c>
      <c r="E302" s="10">
        <f>SUMIFS(IsQList,IsIList,Table_ExternalData_15[[#This Row],[item_key]],IsITypeList,Table_ExternalData_15[[#This Row],[IType]],IsDList,Table_ExternalData_15[[#Headers],[1]])</f>
        <v>0</v>
      </c>
      <c r="F302" s="10">
        <f>SUMIFS(IsQList,IsIList,Table_ExternalData_15[[#This Row],[item_key]],IsITypeList,Table_ExternalData_15[[#This Row],[IType]],IsDList,Table_ExternalData_15[[#Headers],[2]])</f>
        <v>0</v>
      </c>
      <c r="G302" s="10">
        <f>SUMIFS(IsQList,IsIList,Table_ExternalData_15[[#This Row],[item_key]],IsITypeList,Table_ExternalData_15[[#This Row],[IType]],IsDList,Table_ExternalData_15[[#Headers],[3]])</f>
        <v>0</v>
      </c>
      <c r="H302" s="10">
        <f>SUMIFS(IsQList,IsIList,Table_ExternalData_15[[#This Row],[item_key]],IsITypeList,Table_ExternalData_15[[#This Row],[IType]],IsDList,Table_ExternalData_15[[#Headers],[4]])</f>
        <v>0</v>
      </c>
      <c r="I302" s="10">
        <f>SUMIFS(IsQList,IsIList,Table_ExternalData_15[[#This Row],[item_key]],IsITypeList,Table_ExternalData_15[[#This Row],[IType]],IsDList,Table_ExternalData_15[[#Headers],[5]])</f>
        <v>0</v>
      </c>
      <c r="J302" s="10">
        <f>SUMIFS(IsQList,IsIList,Table_ExternalData_15[[#This Row],[item_key]],IsITypeList,Table_ExternalData_15[[#This Row],[IType]],IsDList,Table_ExternalData_15[[#Headers],[6]])</f>
        <v>0</v>
      </c>
      <c r="K302" s="10">
        <f>SUMIFS(IsQList,IsIList,Table_ExternalData_15[[#This Row],[item_key]],IsITypeList,Table_ExternalData_15[[#This Row],[IType]],IsDList,Table_ExternalData_15[[#Headers],[7]])</f>
        <v>0</v>
      </c>
      <c r="L302" s="10">
        <f>SUMIFS(IsQList,IsIList,Table_ExternalData_15[[#This Row],[item_key]],IsITypeList,Table_ExternalData_15[[#This Row],[IType]],IsDList,Table_ExternalData_15[[#Headers],[8]])</f>
        <v>0</v>
      </c>
      <c r="M302" s="10">
        <f>SUMIFS(IsQList,IsIList,Table_ExternalData_15[[#This Row],[item_key]],IsITypeList,Table_ExternalData_15[[#This Row],[IType]],IsDList,Table_ExternalData_15[[#Headers],[9]])</f>
        <v>0</v>
      </c>
      <c r="N302" s="10">
        <f>SUMIFS(IsQList,IsIList,Table_ExternalData_15[[#This Row],[item_key]],IsITypeList,Table_ExternalData_15[[#This Row],[IType]],IsDList,Table_ExternalData_15[[#Headers],[10]])</f>
        <v>10</v>
      </c>
      <c r="O302" s="10">
        <f>SUMIFS(IsQList,IsIList,Table_ExternalData_15[[#This Row],[item_key]],IsITypeList,Table_ExternalData_15[[#This Row],[IType]],IsDList,Table_ExternalData_15[[#Headers],[11]])</f>
        <v>0</v>
      </c>
      <c r="P302" s="10">
        <f>SUMIFS(IsQList,IsIList,Table_ExternalData_15[[#This Row],[item_key]],IsITypeList,Table_ExternalData_15[[#This Row],[IType]],IsDList,Table_ExternalData_15[[#Headers],[12]])</f>
        <v>0</v>
      </c>
      <c r="Q302" s="10">
        <f>SUMIFS(IsQList,IsIList,Table_ExternalData_15[[#This Row],[item_key]],IsITypeList,Table_ExternalData_15[[#This Row],[IType]],IsDList,Table_ExternalData_15[[#Headers],[13]])</f>
        <v>0</v>
      </c>
      <c r="R302" s="10">
        <f>SUMIFS(IsQList,IsIList,Table_ExternalData_15[[#This Row],[item_key]],IsITypeList,Table_ExternalData_15[[#This Row],[IType]],IsDList,Table_ExternalData_15[[#Headers],[14]])</f>
        <v>0</v>
      </c>
      <c r="S302" s="10">
        <f>SUMIFS(IsQList,IsIList,Table_ExternalData_15[[#This Row],[item_key]],IsITypeList,Table_ExternalData_15[[#This Row],[IType]],IsDList,Table_ExternalData_15[[#Headers],[15]])</f>
        <v>0</v>
      </c>
      <c r="T302" s="10">
        <f>SUMIFS(IsQList,IsIList,Table_ExternalData_15[[#This Row],[item_key]],IsITypeList,Table_ExternalData_15[[#This Row],[IType]],IsDList,Table_ExternalData_15[[#Headers],[16]])</f>
        <v>0</v>
      </c>
      <c r="U302" s="10">
        <f>SUMIFS(IsQList,IsIList,Table_ExternalData_15[[#This Row],[item_key]],IsITypeList,Table_ExternalData_15[[#This Row],[IType]],IsDList,Table_ExternalData_15[[#Headers],[17]])</f>
        <v>0</v>
      </c>
      <c r="V302" s="10">
        <f>SUMIFS(IsQList,IsIList,Table_ExternalData_15[[#This Row],[item_key]],IsITypeList,Table_ExternalData_15[[#This Row],[IType]],IsDList,Table_ExternalData_15[[#Headers],[18]])</f>
        <v>0</v>
      </c>
      <c r="W302" s="10">
        <f>SUMIFS(IsQList,IsIList,Table_ExternalData_15[[#This Row],[item_key]],IsITypeList,Table_ExternalData_15[[#This Row],[IType]],IsDList,Table_ExternalData_15[[#Headers],[19]])</f>
        <v>0</v>
      </c>
      <c r="X302" s="10">
        <f>SUMIFS(IsQList,IsIList,Table_ExternalData_15[[#This Row],[item_key]],IsITypeList,Table_ExternalData_15[[#This Row],[IType]],IsDList,Table_ExternalData_15[[#Headers],[20]])</f>
        <v>0</v>
      </c>
      <c r="Y302" s="10">
        <f>SUMIFS(IsQList,IsIList,Table_ExternalData_15[[#This Row],[item_key]],IsITypeList,Table_ExternalData_15[[#This Row],[IType]],IsDList,Table_ExternalData_15[[#Headers],[21]])</f>
        <v>0</v>
      </c>
      <c r="Z302" s="10">
        <f>SUMIFS(IsQList,IsIList,Table_ExternalData_15[[#This Row],[item_key]],IsITypeList,Table_ExternalData_15[[#This Row],[IType]],IsDList,Table_ExternalData_15[[#Headers],[22]])</f>
        <v>0</v>
      </c>
      <c r="AA302" s="10">
        <f>SUMIFS(IsQList,IsIList,Table_ExternalData_15[[#This Row],[item_key]],IsITypeList,Table_ExternalData_15[[#This Row],[IType]],IsDList,Table_ExternalData_15[[#Headers],[23]])</f>
        <v>0</v>
      </c>
      <c r="AB302" s="10">
        <f>SUMIFS(IsQList,IsIList,Table_ExternalData_15[[#This Row],[item_key]],IsITypeList,Table_ExternalData_15[[#This Row],[IType]],IsDList,Table_ExternalData_15[[#Headers],[24]])</f>
        <v>0</v>
      </c>
      <c r="AC302" s="10">
        <f>SUMIFS(IsQList,IsIList,Table_ExternalData_15[[#This Row],[item_key]],IsITypeList,Table_ExternalData_15[[#This Row],[IType]],IsDList,Table_ExternalData_15[[#Headers],[25]])</f>
        <v>0</v>
      </c>
      <c r="AD302" s="10">
        <f>SUMIFS(IsQList,IsIList,Table_ExternalData_15[[#This Row],[item_key]],IsITypeList,Table_ExternalData_15[[#This Row],[IType]],IsDList,Table_ExternalData_15[[#Headers],[26]])</f>
        <v>0</v>
      </c>
      <c r="AE302" s="10">
        <f>SUMIFS(IsQList,IsIList,Table_ExternalData_15[[#This Row],[item_key]],IsITypeList,Table_ExternalData_15[[#This Row],[IType]],IsDList,Table_ExternalData_15[[#Headers],[27]])</f>
        <v>0</v>
      </c>
      <c r="AF302" s="10">
        <f>SUMIFS(IsQList,IsIList,Table_ExternalData_15[[#This Row],[item_key]],IsITypeList,Table_ExternalData_15[[#This Row],[IType]],IsDList,Table_ExternalData_15[[#Headers],[28]])</f>
        <v>0</v>
      </c>
      <c r="AG302" s="10">
        <f>SUMIFS(IsQList,IsIList,Table_ExternalData_15[[#This Row],[item_key]],IsITypeList,Table_ExternalData_15[[#This Row],[IType]],IsDList,Table_ExternalData_15[[#Headers],[29]])</f>
        <v>0</v>
      </c>
      <c r="AH302" s="10">
        <f>SUMIFS(IsQList,IsIList,Table_ExternalData_15[[#This Row],[item_key]],IsITypeList,Table_ExternalData_15[[#This Row],[IType]],IsDList,Table_ExternalData_15[[#Headers],[30]])</f>
        <v>0</v>
      </c>
      <c r="AI302" s="10">
        <f>SUMIFS(IsQList,IsIList,Table_ExternalData_15[[#This Row],[item_key]],IsITypeList,Table_ExternalData_15[[#This Row],[IType]],IsDList,Table_ExternalData_15[[#Headers],[31]])</f>
        <v>0</v>
      </c>
      <c r="AJ302" s="10">
        <f>SUM(Table_ExternalData_15[[#This Row],[1]:[31]])</f>
        <v>10</v>
      </c>
    </row>
    <row r="303" spans="1:36">
      <c r="A303" s="1" t="s">
        <v>947</v>
      </c>
      <c r="B303" s="1" t="s">
        <v>1437</v>
      </c>
      <c r="C303" s="1" t="s">
        <v>1438</v>
      </c>
      <c r="D303" s="11" t="s">
        <v>72</v>
      </c>
      <c r="E303" s="10">
        <f>SUMIFS(IsQList,IsIList,Table_ExternalData_15[[#This Row],[item_key]],IsITypeList,Table_ExternalData_15[[#This Row],[IType]],IsDList,Table_ExternalData_15[[#Headers],[1]])</f>
        <v>0</v>
      </c>
      <c r="F303" s="10">
        <f>SUMIFS(IsQList,IsIList,Table_ExternalData_15[[#This Row],[item_key]],IsITypeList,Table_ExternalData_15[[#This Row],[IType]],IsDList,Table_ExternalData_15[[#Headers],[2]])</f>
        <v>0</v>
      </c>
      <c r="G303" s="10">
        <f>SUMIFS(IsQList,IsIList,Table_ExternalData_15[[#This Row],[item_key]],IsITypeList,Table_ExternalData_15[[#This Row],[IType]],IsDList,Table_ExternalData_15[[#Headers],[3]])</f>
        <v>0</v>
      </c>
      <c r="H303" s="10">
        <f>SUMIFS(IsQList,IsIList,Table_ExternalData_15[[#This Row],[item_key]],IsITypeList,Table_ExternalData_15[[#This Row],[IType]],IsDList,Table_ExternalData_15[[#Headers],[4]])</f>
        <v>0</v>
      </c>
      <c r="I303" s="10">
        <f>SUMIFS(IsQList,IsIList,Table_ExternalData_15[[#This Row],[item_key]],IsITypeList,Table_ExternalData_15[[#This Row],[IType]],IsDList,Table_ExternalData_15[[#Headers],[5]])</f>
        <v>0</v>
      </c>
      <c r="J303" s="10">
        <f>SUMIFS(IsQList,IsIList,Table_ExternalData_15[[#This Row],[item_key]],IsITypeList,Table_ExternalData_15[[#This Row],[IType]],IsDList,Table_ExternalData_15[[#Headers],[6]])</f>
        <v>0</v>
      </c>
      <c r="K303" s="10">
        <f>SUMIFS(IsQList,IsIList,Table_ExternalData_15[[#This Row],[item_key]],IsITypeList,Table_ExternalData_15[[#This Row],[IType]],IsDList,Table_ExternalData_15[[#Headers],[7]])</f>
        <v>0</v>
      </c>
      <c r="L303" s="10">
        <f>SUMIFS(IsQList,IsIList,Table_ExternalData_15[[#This Row],[item_key]],IsITypeList,Table_ExternalData_15[[#This Row],[IType]],IsDList,Table_ExternalData_15[[#Headers],[8]])</f>
        <v>0</v>
      </c>
      <c r="M303" s="10">
        <f>SUMIFS(IsQList,IsIList,Table_ExternalData_15[[#This Row],[item_key]],IsITypeList,Table_ExternalData_15[[#This Row],[IType]],IsDList,Table_ExternalData_15[[#Headers],[9]])</f>
        <v>0</v>
      </c>
      <c r="N303" s="10">
        <f>SUMIFS(IsQList,IsIList,Table_ExternalData_15[[#This Row],[item_key]],IsITypeList,Table_ExternalData_15[[#This Row],[IType]],IsDList,Table_ExternalData_15[[#Headers],[10]])</f>
        <v>8</v>
      </c>
      <c r="O303" s="10">
        <f>SUMIFS(IsQList,IsIList,Table_ExternalData_15[[#This Row],[item_key]],IsITypeList,Table_ExternalData_15[[#This Row],[IType]],IsDList,Table_ExternalData_15[[#Headers],[11]])</f>
        <v>0</v>
      </c>
      <c r="P303" s="10">
        <f>SUMIFS(IsQList,IsIList,Table_ExternalData_15[[#This Row],[item_key]],IsITypeList,Table_ExternalData_15[[#This Row],[IType]],IsDList,Table_ExternalData_15[[#Headers],[12]])</f>
        <v>0</v>
      </c>
      <c r="Q303" s="10">
        <f>SUMIFS(IsQList,IsIList,Table_ExternalData_15[[#This Row],[item_key]],IsITypeList,Table_ExternalData_15[[#This Row],[IType]],IsDList,Table_ExternalData_15[[#Headers],[13]])</f>
        <v>0</v>
      </c>
      <c r="R303" s="10">
        <f>SUMIFS(IsQList,IsIList,Table_ExternalData_15[[#This Row],[item_key]],IsITypeList,Table_ExternalData_15[[#This Row],[IType]],IsDList,Table_ExternalData_15[[#Headers],[14]])</f>
        <v>0</v>
      </c>
      <c r="S303" s="10">
        <f>SUMIFS(IsQList,IsIList,Table_ExternalData_15[[#This Row],[item_key]],IsITypeList,Table_ExternalData_15[[#This Row],[IType]],IsDList,Table_ExternalData_15[[#Headers],[15]])</f>
        <v>0</v>
      </c>
      <c r="T303" s="10">
        <f>SUMIFS(IsQList,IsIList,Table_ExternalData_15[[#This Row],[item_key]],IsITypeList,Table_ExternalData_15[[#This Row],[IType]],IsDList,Table_ExternalData_15[[#Headers],[16]])</f>
        <v>0</v>
      </c>
      <c r="U303" s="10">
        <f>SUMIFS(IsQList,IsIList,Table_ExternalData_15[[#This Row],[item_key]],IsITypeList,Table_ExternalData_15[[#This Row],[IType]],IsDList,Table_ExternalData_15[[#Headers],[17]])</f>
        <v>0</v>
      </c>
      <c r="V303" s="10">
        <f>SUMIFS(IsQList,IsIList,Table_ExternalData_15[[#This Row],[item_key]],IsITypeList,Table_ExternalData_15[[#This Row],[IType]],IsDList,Table_ExternalData_15[[#Headers],[18]])</f>
        <v>0</v>
      </c>
      <c r="W303" s="10">
        <f>SUMIFS(IsQList,IsIList,Table_ExternalData_15[[#This Row],[item_key]],IsITypeList,Table_ExternalData_15[[#This Row],[IType]],IsDList,Table_ExternalData_15[[#Headers],[19]])</f>
        <v>0</v>
      </c>
      <c r="X303" s="10">
        <f>SUMIFS(IsQList,IsIList,Table_ExternalData_15[[#This Row],[item_key]],IsITypeList,Table_ExternalData_15[[#This Row],[IType]],IsDList,Table_ExternalData_15[[#Headers],[20]])</f>
        <v>0</v>
      </c>
      <c r="Y303" s="10">
        <f>SUMIFS(IsQList,IsIList,Table_ExternalData_15[[#This Row],[item_key]],IsITypeList,Table_ExternalData_15[[#This Row],[IType]],IsDList,Table_ExternalData_15[[#Headers],[21]])</f>
        <v>0</v>
      </c>
      <c r="Z303" s="10">
        <f>SUMIFS(IsQList,IsIList,Table_ExternalData_15[[#This Row],[item_key]],IsITypeList,Table_ExternalData_15[[#This Row],[IType]],IsDList,Table_ExternalData_15[[#Headers],[22]])</f>
        <v>0</v>
      </c>
      <c r="AA303" s="10">
        <f>SUMIFS(IsQList,IsIList,Table_ExternalData_15[[#This Row],[item_key]],IsITypeList,Table_ExternalData_15[[#This Row],[IType]],IsDList,Table_ExternalData_15[[#Headers],[23]])</f>
        <v>0</v>
      </c>
      <c r="AB303" s="10">
        <f>SUMIFS(IsQList,IsIList,Table_ExternalData_15[[#This Row],[item_key]],IsITypeList,Table_ExternalData_15[[#This Row],[IType]],IsDList,Table_ExternalData_15[[#Headers],[24]])</f>
        <v>0</v>
      </c>
      <c r="AC303" s="10">
        <f>SUMIFS(IsQList,IsIList,Table_ExternalData_15[[#This Row],[item_key]],IsITypeList,Table_ExternalData_15[[#This Row],[IType]],IsDList,Table_ExternalData_15[[#Headers],[25]])</f>
        <v>0</v>
      </c>
      <c r="AD303" s="10">
        <f>SUMIFS(IsQList,IsIList,Table_ExternalData_15[[#This Row],[item_key]],IsITypeList,Table_ExternalData_15[[#This Row],[IType]],IsDList,Table_ExternalData_15[[#Headers],[26]])</f>
        <v>0</v>
      </c>
      <c r="AE303" s="10">
        <f>SUMIFS(IsQList,IsIList,Table_ExternalData_15[[#This Row],[item_key]],IsITypeList,Table_ExternalData_15[[#This Row],[IType]],IsDList,Table_ExternalData_15[[#Headers],[27]])</f>
        <v>0</v>
      </c>
      <c r="AF303" s="10">
        <f>SUMIFS(IsQList,IsIList,Table_ExternalData_15[[#This Row],[item_key]],IsITypeList,Table_ExternalData_15[[#This Row],[IType]],IsDList,Table_ExternalData_15[[#Headers],[28]])</f>
        <v>0</v>
      </c>
      <c r="AG303" s="10">
        <f>SUMIFS(IsQList,IsIList,Table_ExternalData_15[[#This Row],[item_key]],IsITypeList,Table_ExternalData_15[[#This Row],[IType]],IsDList,Table_ExternalData_15[[#Headers],[29]])</f>
        <v>0</v>
      </c>
      <c r="AH303" s="10">
        <f>SUMIFS(IsQList,IsIList,Table_ExternalData_15[[#This Row],[item_key]],IsITypeList,Table_ExternalData_15[[#This Row],[IType]],IsDList,Table_ExternalData_15[[#Headers],[30]])</f>
        <v>1</v>
      </c>
      <c r="AI303" s="10">
        <f>SUMIFS(IsQList,IsIList,Table_ExternalData_15[[#This Row],[item_key]],IsITypeList,Table_ExternalData_15[[#This Row],[IType]],IsDList,Table_ExternalData_15[[#Headers],[31]])</f>
        <v>0</v>
      </c>
      <c r="AJ303" s="10">
        <f>SUM(Table_ExternalData_15[[#This Row],[1]:[31]])</f>
        <v>9</v>
      </c>
    </row>
    <row r="304" spans="1:36">
      <c r="A304" s="1" t="s">
        <v>949</v>
      </c>
      <c r="B304" s="1" t="s">
        <v>1441</v>
      </c>
      <c r="C304" s="1" t="s">
        <v>1442</v>
      </c>
      <c r="D304" s="11" t="s">
        <v>72</v>
      </c>
      <c r="E304" s="10">
        <f>SUMIFS(IsQList,IsIList,Table_ExternalData_15[[#This Row],[item_key]],IsITypeList,Table_ExternalData_15[[#This Row],[IType]],IsDList,Table_ExternalData_15[[#Headers],[1]])</f>
        <v>0</v>
      </c>
      <c r="F304" s="10">
        <f>SUMIFS(IsQList,IsIList,Table_ExternalData_15[[#This Row],[item_key]],IsITypeList,Table_ExternalData_15[[#This Row],[IType]],IsDList,Table_ExternalData_15[[#Headers],[2]])</f>
        <v>0</v>
      </c>
      <c r="G304" s="10">
        <f>SUMIFS(IsQList,IsIList,Table_ExternalData_15[[#This Row],[item_key]],IsITypeList,Table_ExternalData_15[[#This Row],[IType]],IsDList,Table_ExternalData_15[[#Headers],[3]])</f>
        <v>0</v>
      </c>
      <c r="H304" s="10">
        <f>SUMIFS(IsQList,IsIList,Table_ExternalData_15[[#This Row],[item_key]],IsITypeList,Table_ExternalData_15[[#This Row],[IType]],IsDList,Table_ExternalData_15[[#Headers],[4]])</f>
        <v>0</v>
      </c>
      <c r="I304" s="10">
        <f>SUMIFS(IsQList,IsIList,Table_ExternalData_15[[#This Row],[item_key]],IsITypeList,Table_ExternalData_15[[#This Row],[IType]],IsDList,Table_ExternalData_15[[#Headers],[5]])</f>
        <v>0</v>
      </c>
      <c r="J304" s="10">
        <f>SUMIFS(IsQList,IsIList,Table_ExternalData_15[[#This Row],[item_key]],IsITypeList,Table_ExternalData_15[[#This Row],[IType]],IsDList,Table_ExternalData_15[[#Headers],[6]])</f>
        <v>25</v>
      </c>
      <c r="K304" s="10">
        <f>SUMIFS(IsQList,IsIList,Table_ExternalData_15[[#This Row],[item_key]],IsITypeList,Table_ExternalData_15[[#This Row],[IType]],IsDList,Table_ExternalData_15[[#Headers],[7]])</f>
        <v>0</v>
      </c>
      <c r="L304" s="10">
        <f>SUMIFS(IsQList,IsIList,Table_ExternalData_15[[#This Row],[item_key]],IsITypeList,Table_ExternalData_15[[#This Row],[IType]],IsDList,Table_ExternalData_15[[#Headers],[8]])</f>
        <v>0</v>
      </c>
      <c r="M304" s="10">
        <f>SUMIFS(IsQList,IsIList,Table_ExternalData_15[[#This Row],[item_key]],IsITypeList,Table_ExternalData_15[[#This Row],[IType]],IsDList,Table_ExternalData_15[[#Headers],[9]])</f>
        <v>0</v>
      </c>
      <c r="N304" s="10">
        <f>SUMIFS(IsQList,IsIList,Table_ExternalData_15[[#This Row],[item_key]],IsITypeList,Table_ExternalData_15[[#This Row],[IType]],IsDList,Table_ExternalData_15[[#Headers],[10]])</f>
        <v>0</v>
      </c>
      <c r="O304" s="10">
        <f>SUMIFS(IsQList,IsIList,Table_ExternalData_15[[#This Row],[item_key]],IsITypeList,Table_ExternalData_15[[#This Row],[IType]],IsDList,Table_ExternalData_15[[#Headers],[11]])</f>
        <v>0</v>
      </c>
      <c r="P304" s="10">
        <f>SUMIFS(IsQList,IsIList,Table_ExternalData_15[[#This Row],[item_key]],IsITypeList,Table_ExternalData_15[[#This Row],[IType]],IsDList,Table_ExternalData_15[[#Headers],[12]])</f>
        <v>0</v>
      </c>
      <c r="Q304" s="10">
        <f>SUMIFS(IsQList,IsIList,Table_ExternalData_15[[#This Row],[item_key]],IsITypeList,Table_ExternalData_15[[#This Row],[IType]],IsDList,Table_ExternalData_15[[#Headers],[13]])</f>
        <v>0</v>
      </c>
      <c r="R304" s="10">
        <f>SUMIFS(IsQList,IsIList,Table_ExternalData_15[[#This Row],[item_key]],IsITypeList,Table_ExternalData_15[[#This Row],[IType]],IsDList,Table_ExternalData_15[[#Headers],[14]])</f>
        <v>0</v>
      </c>
      <c r="S304" s="10">
        <f>SUMIFS(IsQList,IsIList,Table_ExternalData_15[[#This Row],[item_key]],IsITypeList,Table_ExternalData_15[[#This Row],[IType]],IsDList,Table_ExternalData_15[[#Headers],[15]])</f>
        <v>0</v>
      </c>
      <c r="T304" s="10">
        <f>SUMIFS(IsQList,IsIList,Table_ExternalData_15[[#This Row],[item_key]],IsITypeList,Table_ExternalData_15[[#This Row],[IType]],IsDList,Table_ExternalData_15[[#Headers],[16]])</f>
        <v>0</v>
      </c>
      <c r="U304" s="10">
        <f>SUMIFS(IsQList,IsIList,Table_ExternalData_15[[#This Row],[item_key]],IsITypeList,Table_ExternalData_15[[#This Row],[IType]],IsDList,Table_ExternalData_15[[#Headers],[17]])</f>
        <v>0</v>
      </c>
      <c r="V304" s="10">
        <f>SUMIFS(IsQList,IsIList,Table_ExternalData_15[[#This Row],[item_key]],IsITypeList,Table_ExternalData_15[[#This Row],[IType]],IsDList,Table_ExternalData_15[[#Headers],[18]])</f>
        <v>0</v>
      </c>
      <c r="W304" s="10">
        <f>SUMIFS(IsQList,IsIList,Table_ExternalData_15[[#This Row],[item_key]],IsITypeList,Table_ExternalData_15[[#This Row],[IType]],IsDList,Table_ExternalData_15[[#Headers],[19]])</f>
        <v>0</v>
      </c>
      <c r="X304" s="10">
        <f>SUMIFS(IsQList,IsIList,Table_ExternalData_15[[#This Row],[item_key]],IsITypeList,Table_ExternalData_15[[#This Row],[IType]],IsDList,Table_ExternalData_15[[#Headers],[20]])</f>
        <v>0</v>
      </c>
      <c r="Y304" s="10">
        <f>SUMIFS(IsQList,IsIList,Table_ExternalData_15[[#This Row],[item_key]],IsITypeList,Table_ExternalData_15[[#This Row],[IType]],IsDList,Table_ExternalData_15[[#Headers],[21]])</f>
        <v>0</v>
      </c>
      <c r="Z304" s="10">
        <f>SUMIFS(IsQList,IsIList,Table_ExternalData_15[[#This Row],[item_key]],IsITypeList,Table_ExternalData_15[[#This Row],[IType]],IsDList,Table_ExternalData_15[[#Headers],[22]])</f>
        <v>0</v>
      </c>
      <c r="AA304" s="10">
        <f>SUMIFS(IsQList,IsIList,Table_ExternalData_15[[#This Row],[item_key]],IsITypeList,Table_ExternalData_15[[#This Row],[IType]],IsDList,Table_ExternalData_15[[#Headers],[23]])</f>
        <v>0</v>
      </c>
      <c r="AB304" s="10">
        <f>SUMIFS(IsQList,IsIList,Table_ExternalData_15[[#This Row],[item_key]],IsITypeList,Table_ExternalData_15[[#This Row],[IType]],IsDList,Table_ExternalData_15[[#Headers],[24]])</f>
        <v>0</v>
      </c>
      <c r="AC304" s="10">
        <f>SUMIFS(IsQList,IsIList,Table_ExternalData_15[[#This Row],[item_key]],IsITypeList,Table_ExternalData_15[[#This Row],[IType]],IsDList,Table_ExternalData_15[[#Headers],[25]])</f>
        <v>0</v>
      </c>
      <c r="AD304" s="10">
        <f>SUMIFS(IsQList,IsIList,Table_ExternalData_15[[#This Row],[item_key]],IsITypeList,Table_ExternalData_15[[#This Row],[IType]],IsDList,Table_ExternalData_15[[#Headers],[26]])</f>
        <v>0</v>
      </c>
      <c r="AE304" s="10">
        <f>SUMIFS(IsQList,IsIList,Table_ExternalData_15[[#This Row],[item_key]],IsITypeList,Table_ExternalData_15[[#This Row],[IType]],IsDList,Table_ExternalData_15[[#Headers],[27]])</f>
        <v>0</v>
      </c>
      <c r="AF304" s="10">
        <f>SUMIFS(IsQList,IsIList,Table_ExternalData_15[[#This Row],[item_key]],IsITypeList,Table_ExternalData_15[[#This Row],[IType]],IsDList,Table_ExternalData_15[[#Headers],[28]])</f>
        <v>0</v>
      </c>
      <c r="AG304" s="10">
        <f>SUMIFS(IsQList,IsIList,Table_ExternalData_15[[#This Row],[item_key]],IsITypeList,Table_ExternalData_15[[#This Row],[IType]],IsDList,Table_ExternalData_15[[#Headers],[29]])</f>
        <v>0</v>
      </c>
      <c r="AH304" s="10">
        <f>SUMIFS(IsQList,IsIList,Table_ExternalData_15[[#This Row],[item_key]],IsITypeList,Table_ExternalData_15[[#This Row],[IType]],IsDList,Table_ExternalData_15[[#Headers],[30]])</f>
        <v>0</v>
      </c>
      <c r="AI304" s="10">
        <f>SUMIFS(IsQList,IsIList,Table_ExternalData_15[[#This Row],[item_key]],IsITypeList,Table_ExternalData_15[[#This Row],[IType]],IsDList,Table_ExternalData_15[[#Headers],[31]])</f>
        <v>0</v>
      </c>
      <c r="AJ304" s="10">
        <f>SUM(Table_ExternalData_15[[#This Row],[1]:[31]])</f>
        <v>25</v>
      </c>
    </row>
    <row r="305" spans="1:36">
      <c r="A305" s="1" t="s">
        <v>950</v>
      </c>
      <c r="B305" s="1" t="s">
        <v>1443</v>
      </c>
      <c r="C305" s="1" t="s">
        <v>1444</v>
      </c>
      <c r="D305" s="11" t="s">
        <v>72</v>
      </c>
      <c r="E305" s="10">
        <f>SUMIFS(IsQList,IsIList,Table_ExternalData_15[[#This Row],[item_key]],IsITypeList,Table_ExternalData_15[[#This Row],[IType]],IsDList,Table_ExternalData_15[[#Headers],[1]])</f>
        <v>0</v>
      </c>
      <c r="F305" s="10">
        <f>SUMIFS(IsQList,IsIList,Table_ExternalData_15[[#This Row],[item_key]],IsITypeList,Table_ExternalData_15[[#This Row],[IType]],IsDList,Table_ExternalData_15[[#Headers],[2]])</f>
        <v>0</v>
      </c>
      <c r="G305" s="10">
        <f>SUMIFS(IsQList,IsIList,Table_ExternalData_15[[#This Row],[item_key]],IsITypeList,Table_ExternalData_15[[#This Row],[IType]],IsDList,Table_ExternalData_15[[#Headers],[3]])</f>
        <v>0</v>
      </c>
      <c r="H305" s="10">
        <f>SUMIFS(IsQList,IsIList,Table_ExternalData_15[[#This Row],[item_key]],IsITypeList,Table_ExternalData_15[[#This Row],[IType]],IsDList,Table_ExternalData_15[[#Headers],[4]])</f>
        <v>0</v>
      </c>
      <c r="I305" s="10">
        <f>SUMIFS(IsQList,IsIList,Table_ExternalData_15[[#This Row],[item_key]],IsITypeList,Table_ExternalData_15[[#This Row],[IType]],IsDList,Table_ExternalData_15[[#Headers],[5]])</f>
        <v>0</v>
      </c>
      <c r="J305" s="10">
        <f>SUMIFS(IsQList,IsIList,Table_ExternalData_15[[#This Row],[item_key]],IsITypeList,Table_ExternalData_15[[#This Row],[IType]],IsDList,Table_ExternalData_15[[#Headers],[6]])</f>
        <v>25</v>
      </c>
      <c r="K305" s="10">
        <f>SUMIFS(IsQList,IsIList,Table_ExternalData_15[[#This Row],[item_key]],IsITypeList,Table_ExternalData_15[[#This Row],[IType]],IsDList,Table_ExternalData_15[[#Headers],[7]])</f>
        <v>0</v>
      </c>
      <c r="L305" s="10">
        <f>SUMIFS(IsQList,IsIList,Table_ExternalData_15[[#This Row],[item_key]],IsITypeList,Table_ExternalData_15[[#This Row],[IType]],IsDList,Table_ExternalData_15[[#Headers],[8]])</f>
        <v>0</v>
      </c>
      <c r="M305" s="10">
        <f>SUMIFS(IsQList,IsIList,Table_ExternalData_15[[#This Row],[item_key]],IsITypeList,Table_ExternalData_15[[#This Row],[IType]],IsDList,Table_ExternalData_15[[#Headers],[9]])</f>
        <v>0</v>
      </c>
      <c r="N305" s="10">
        <f>SUMIFS(IsQList,IsIList,Table_ExternalData_15[[#This Row],[item_key]],IsITypeList,Table_ExternalData_15[[#This Row],[IType]],IsDList,Table_ExternalData_15[[#Headers],[10]])</f>
        <v>0</v>
      </c>
      <c r="O305" s="10">
        <f>SUMIFS(IsQList,IsIList,Table_ExternalData_15[[#This Row],[item_key]],IsITypeList,Table_ExternalData_15[[#This Row],[IType]],IsDList,Table_ExternalData_15[[#Headers],[11]])</f>
        <v>0</v>
      </c>
      <c r="P305" s="10">
        <f>SUMIFS(IsQList,IsIList,Table_ExternalData_15[[#This Row],[item_key]],IsITypeList,Table_ExternalData_15[[#This Row],[IType]],IsDList,Table_ExternalData_15[[#Headers],[12]])</f>
        <v>0</v>
      </c>
      <c r="Q305" s="10">
        <f>SUMIFS(IsQList,IsIList,Table_ExternalData_15[[#This Row],[item_key]],IsITypeList,Table_ExternalData_15[[#This Row],[IType]],IsDList,Table_ExternalData_15[[#Headers],[13]])</f>
        <v>0</v>
      </c>
      <c r="R305" s="10">
        <f>SUMIFS(IsQList,IsIList,Table_ExternalData_15[[#This Row],[item_key]],IsITypeList,Table_ExternalData_15[[#This Row],[IType]],IsDList,Table_ExternalData_15[[#Headers],[14]])</f>
        <v>0</v>
      </c>
      <c r="S305" s="10">
        <f>SUMIFS(IsQList,IsIList,Table_ExternalData_15[[#This Row],[item_key]],IsITypeList,Table_ExternalData_15[[#This Row],[IType]],IsDList,Table_ExternalData_15[[#Headers],[15]])</f>
        <v>0</v>
      </c>
      <c r="T305" s="10">
        <f>SUMIFS(IsQList,IsIList,Table_ExternalData_15[[#This Row],[item_key]],IsITypeList,Table_ExternalData_15[[#This Row],[IType]],IsDList,Table_ExternalData_15[[#Headers],[16]])</f>
        <v>0</v>
      </c>
      <c r="U305" s="10">
        <f>SUMIFS(IsQList,IsIList,Table_ExternalData_15[[#This Row],[item_key]],IsITypeList,Table_ExternalData_15[[#This Row],[IType]],IsDList,Table_ExternalData_15[[#Headers],[17]])</f>
        <v>0</v>
      </c>
      <c r="V305" s="10">
        <f>SUMIFS(IsQList,IsIList,Table_ExternalData_15[[#This Row],[item_key]],IsITypeList,Table_ExternalData_15[[#This Row],[IType]],IsDList,Table_ExternalData_15[[#Headers],[18]])</f>
        <v>0</v>
      </c>
      <c r="W305" s="10">
        <f>SUMIFS(IsQList,IsIList,Table_ExternalData_15[[#This Row],[item_key]],IsITypeList,Table_ExternalData_15[[#This Row],[IType]],IsDList,Table_ExternalData_15[[#Headers],[19]])</f>
        <v>0</v>
      </c>
      <c r="X305" s="10">
        <f>SUMIFS(IsQList,IsIList,Table_ExternalData_15[[#This Row],[item_key]],IsITypeList,Table_ExternalData_15[[#This Row],[IType]],IsDList,Table_ExternalData_15[[#Headers],[20]])</f>
        <v>0</v>
      </c>
      <c r="Y305" s="10">
        <f>SUMIFS(IsQList,IsIList,Table_ExternalData_15[[#This Row],[item_key]],IsITypeList,Table_ExternalData_15[[#This Row],[IType]],IsDList,Table_ExternalData_15[[#Headers],[21]])</f>
        <v>0</v>
      </c>
      <c r="Z305" s="10">
        <f>SUMIFS(IsQList,IsIList,Table_ExternalData_15[[#This Row],[item_key]],IsITypeList,Table_ExternalData_15[[#This Row],[IType]],IsDList,Table_ExternalData_15[[#Headers],[22]])</f>
        <v>0</v>
      </c>
      <c r="AA305" s="10">
        <f>SUMIFS(IsQList,IsIList,Table_ExternalData_15[[#This Row],[item_key]],IsITypeList,Table_ExternalData_15[[#This Row],[IType]],IsDList,Table_ExternalData_15[[#Headers],[23]])</f>
        <v>0</v>
      </c>
      <c r="AB305" s="10">
        <f>SUMIFS(IsQList,IsIList,Table_ExternalData_15[[#This Row],[item_key]],IsITypeList,Table_ExternalData_15[[#This Row],[IType]],IsDList,Table_ExternalData_15[[#Headers],[24]])</f>
        <v>0</v>
      </c>
      <c r="AC305" s="10">
        <f>SUMIFS(IsQList,IsIList,Table_ExternalData_15[[#This Row],[item_key]],IsITypeList,Table_ExternalData_15[[#This Row],[IType]],IsDList,Table_ExternalData_15[[#Headers],[25]])</f>
        <v>0</v>
      </c>
      <c r="AD305" s="10">
        <f>SUMIFS(IsQList,IsIList,Table_ExternalData_15[[#This Row],[item_key]],IsITypeList,Table_ExternalData_15[[#This Row],[IType]],IsDList,Table_ExternalData_15[[#Headers],[26]])</f>
        <v>0</v>
      </c>
      <c r="AE305" s="10">
        <f>SUMIFS(IsQList,IsIList,Table_ExternalData_15[[#This Row],[item_key]],IsITypeList,Table_ExternalData_15[[#This Row],[IType]],IsDList,Table_ExternalData_15[[#Headers],[27]])</f>
        <v>0</v>
      </c>
      <c r="AF305" s="10">
        <f>SUMIFS(IsQList,IsIList,Table_ExternalData_15[[#This Row],[item_key]],IsITypeList,Table_ExternalData_15[[#This Row],[IType]],IsDList,Table_ExternalData_15[[#Headers],[28]])</f>
        <v>0</v>
      </c>
      <c r="AG305" s="10">
        <f>SUMIFS(IsQList,IsIList,Table_ExternalData_15[[#This Row],[item_key]],IsITypeList,Table_ExternalData_15[[#This Row],[IType]],IsDList,Table_ExternalData_15[[#Headers],[29]])</f>
        <v>0</v>
      </c>
      <c r="AH305" s="10">
        <f>SUMIFS(IsQList,IsIList,Table_ExternalData_15[[#This Row],[item_key]],IsITypeList,Table_ExternalData_15[[#This Row],[IType]],IsDList,Table_ExternalData_15[[#Headers],[30]])</f>
        <v>0</v>
      </c>
      <c r="AI305" s="10">
        <f>SUMIFS(IsQList,IsIList,Table_ExternalData_15[[#This Row],[item_key]],IsITypeList,Table_ExternalData_15[[#This Row],[IType]],IsDList,Table_ExternalData_15[[#Headers],[31]])</f>
        <v>0</v>
      </c>
      <c r="AJ305" s="10">
        <f>SUM(Table_ExternalData_15[[#This Row],[1]:[31]])</f>
        <v>25</v>
      </c>
    </row>
    <row r="306" spans="1:36">
      <c r="A306" s="1" t="s">
        <v>951</v>
      </c>
      <c r="B306" s="1" t="s">
        <v>1445</v>
      </c>
      <c r="C306" s="1" t="s">
        <v>1446</v>
      </c>
      <c r="D306" s="11" t="s">
        <v>72</v>
      </c>
      <c r="E306" s="10">
        <f>SUMIFS(IsQList,IsIList,Table_ExternalData_15[[#This Row],[item_key]],IsITypeList,Table_ExternalData_15[[#This Row],[IType]],IsDList,Table_ExternalData_15[[#Headers],[1]])</f>
        <v>0</v>
      </c>
      <c r="F306" s="10">
        <f>SUMIFS(IsQList,IsIList,Table_ExternalData_15[[#This Row],[item_key]],IsITypeList,Table_ExternalData_15[[#This Row],[IType]],IsDList,Table_ExternalData_15[[#Headers],[2]])</f>
        <v>0</v>
      </c>
      <c r="G306" s="10">
        <f>SUMIFS(IsQList,IsIList,Table_ExternalData_15[[#This Row],[item_key]],IsITypeList,Table_ExternalData_15[[#This Row],[IType]],IsDList,Table_ExternalData_15[[#Headers],[3]])</f>
        <v>0</v>
      </c>
      <c r="H306" s="10">
        <f>SUMIFS(IsQList,IsIList,Table_ExternalData_15[[#This Row],[item_key]],IsITypeList,Table_ExternalData_15[[#This Row],[IType]],IsDList,Table_ExternalData_15[[#Headers],[4]])</f>
        <v>0</v>
      </c>
      <c r="I306" s="10">
        <f>SUMIFS(IsQList,IsIList,Table_ExternalData_15[[#This Row],[item_key]],IsITypeList,Table_ExternalData_15[[#This Row],[IType]],IsDList,Table_ExternalData_15[[#Headers],[5]])</f>
        <v>0</v>
      </c>
      <c r="J306" s="10">
        <f>SUMIFS(IsQList,IsIList,Table_ExternalData_15[[#This Row],[item_key]],IsITypeList,Table_ExternalData_15[[#This Row],[IType]],IsDList,Table_ExternalData_15[[#Headers],[6]])</f>
        <v>25</v>
      </c>
      <c r="K306" s="10">
        <f>SUMIFS(IsQList,IsIList,Table_ExternalData_15[[#This Row],[item_key]],IsITypeList,Table_ExternalData_15[[#This Row],[IType]],IsDList,Table_ExternalData_15[[#Headers],[7]])</f>
        <v>0</v>
      </c>
      <c r="L306" s="10">
        <f>SUMIFS(IsQList,IsIList,Table_ExternalData_15[[#This Row],[item_key]],IsITypeList,Table_ExternalData_15[[#This Row],[IType]],IsDList,Table_ExternalData_15[[#Headers],[8]])</f>
        <v>0</v>
      </c>
      <c r="M306" s="10">
        <f>SUMIFS(IsQList,IsIList,Table_ExternalData_15[[#This Row],[item_key]],IsITypeList,Table_ExternalData_15[[#This Row],[IType]],IsDList,Table_ExternalData_15[[#Headers],[9]])</f>
        <v>0</v>
      </c>
      <c r="N306" s="10">
        <f>SUMIFS(IsQList,IsIList,Table_ExternalData_15[[#This Row],[item_key]],IsITypeList,Table_ExternalData_15[[#This Row],[IType]],IsDList,Table_ExternalData_15[[#Headers],[10]])</f>
        <v>0</v>
      </c>
      <c r="O306" s="10">
        <f>SUMIFS(IsQList,IsIList,Table_ExternalData_15[[#This Row],[item_key]],IsITypeList,Table_ExternalData_15[[#This Row],[IType]],IsDList,Table_ExternalData_15[[#Headers],[11]])</f>
        <v>0</v>
      </c>
      <c r="P306" s="10">
        <f>SUMIFS(IsQList,IsIList,Table_ExternalData_15[[#This Row],[item_key]],IsITypeList,Table_ExternalData_15[[#This Row],[IType]],IsDList,Table_ExternalData_15[[#Headers],[12]])</f>
        <v>0</v>
      </c>
      <c r="Q306" s="10">
        <f>SUMIFS(IsQList,IsIList,Table_ExternalData_15[[#This Row],[item_key]],IsITypeList,Table_ExternalData_15[[#This Row],[IType]],IsDList,Table_ExternalData_15[[#Headers],[13]])</f>
        <v>0</v>
      </c>
      <c r="R306" s="10">
        <f>SUMIFS(IsQList,IsIList,Table_ExternalData_15[[#This Row],[item_key]],IsITypeList,Table_ExternalData_15[[#This Row],[IType]],IsDList,Table_ExternalData_15[[#Headers],[14]])</f>
        <v>0</v>
      </c>
      <c r="S306" s="10">
        <f>SUMIFS(IsQList,IsIList,Table_ExternalData_15[[#This Row],[item_key]],IsITypeList,Table_ExternalData_15[[#This Row],[IType]],IsDList,Table_ExternalData_15[[#Headers],[15]])</f>
        <v>0</v>
      </c>
      <c r="T306" s="10">
        <f>SUMIFS(IsQList,IsIList,Table_ExternalData_15[[#This Row],[item_key]],IsITypeList,Table_ExternalData_15[[#This Row],[IType]],IsDList,Table_ExternalData_15[[#Headers],[16]])</f>
        <v>0</v>
      </c>
      <c r="U306" s="10">
        <f>SUMIFS(IsQList,IsIList,Table_ExternalData_15[[#This Row],[item_key]],IsITypeList,Table_ExternalData_15[[#This Row],[IType]],IsDList,Table_ExternalData_15[[#Headers],[17]])</f>
        <v>0</v>
      </c>
      <c r="V306" s="10">
        <f>SUMIFS(IsQList,IsIList,Table_ExternalData_15[[#This Row],[item_key]],IsITypeList,Table_ExternalData_15[[#This Row],[IType]],IsDList,Table_ExternalData_15[[#Headers],[18]])</f>
        <v>0</v>
      </c>
      <c r="W306" s="10">
        <f>SUMIFS(IsQList,IsIList,Table_ExternalData_15[[#This Row],[item_key]],IsITypeList,Table_ExternalData_15[[#This Row],[IType]],IsDList,Table_ExternalData_15[[#Headers],[19]])</f>
        <v>0</v>
      </c>
      <c r="X306" s="10">
        <f>SUMIFS(IsQList,IsIList,Table_ExternalData_15[[#This Row],[item_key]],IsITypeList,Table_ExternalData_15[[#This Row],[IType]],IsDList,Table_ExternalData_15[[#Headers],[20]])</f>
        <v>0</v>
      </c>
      <c r="Y306" s="10">
        <f>SUMIFS(IsQList,IsIList,Table_ExternalData_15[[#This Row],[item_key]],IsITypeList,Table_ExternalData_15[[#This Row],[IType]],IsDList,Table_ExternalData_15[[#Headers],[21]])</f>
        <v>0</v>
      </c>
      <c r="Z306" s="10">
        <f>SUMIFS(IsQList,IsIList,Table_ExternalData_15[[#This Row],[item_key]],IsITypeList,Table_ExternalData_15[[#This Row],[IType]],IsDList,Table_ExternalData_15[[#Headers],[22]])</f>
        <v>0</v>
      </c>
      <c r="AA306" s="10">
        <f>SUMIFS(IsQList,IsIList,Table_ExternalData_15[[#This Row],[item_key]],IsITypeList,Table_ExternalData_15[[#This Row],[IType]],IsDList,Table_ExternalData_15[[#Headers],[23]])</f>
        <v>0</v>
      </c>
      <c r="AB306" s="10">
        <f>SUMIFS(IsQList,IsIList,Table_ExternalData_15[[#This Row],[item_key]],IsITypeList,Table_ExternalData_15[[#This Row],[IType]],IsDList,Table_ExternalData_15[[#Headers],[24]])</f>
        <v>0</v>
      </c>
      <c r="AC306" s="10">
        <f>SUMIFS(IsQList,IsIList,Table_ExternalData_15[[#This Row],[item_key]],IsITypeList,Table_ExternalData_15[[#This Row],[IType]],IsDList,Table_ExternalData_15[[#Headers],[25]])</f>
        <v>0</v>
      </c>
      <c r="AD306" s="10">
        <f>SUMIFS(IsQList,IsIList,Table_ExternalData_15[[#This Row],[item_key]],IsITypeList,Table_ExternalData_15[[#This Row],[IType]],IsDList,Table_ExternalData_15[[#Headers],[26]])</f>
        <v>0</v>
      </c>
      <c r="AE306" s="10">
        <f>SUMIFS(IsQList,IsIList,Table_ExternalData_15[[#This Row],[item_key]],IsITypeList,Table_ExternalData_15[[#This Row],[IType]],IsDList,Table_ExternalData_15[[#Headers],[27]])</f>
        <v>0</v>
      </c>
      <c r="AF306" s="10">
        <f>SUMIFS(IsQList,IsIList,Table_ExternalData_15[[#This Row],[item_key]],IsITypeList,Table_ExternalData_15[[#This Row],[IType]],IsDList,Table_ExternalData_15[[#Headers],[28]])</f>
        <v>0</v>
      </c>
      <c r="AG306" s="10">
        <f>SUMIFS(IsQList,IsIList,Table_ExternalData_15[[#This Row],[item_key]],IsITypeList,Table_ExternalData_15[[#This Row],[IType]],IsDList,Table_ExternalData_15[[#Headers],[29]])</f>
        <v>0</v>
      </c>
      <c r="AH306" s="10">
        <f>SUMIFS(IsQList,IsIList,Table_ExternalData_15[[#This Row],[item_key]],IsITypeList,Table_ExternalData_15[[#This Row],[IType]],IsDList,Table_ExternalData_15[[#Headers],[30]])</f>
        <v>0</v>
      </c>
      <c r="AI306" s="10">
        <f>SUMIFS(IsQList,IsIList,Table_ExternalData_15[[#This Row],[item_key]],IsITypeList,Table_ExternalData_15[[#This Row],[IType]],IsDList,Table_ExternalData_15[[#Headers],[31]])</f>
        <v>0</v>
      </c>
      <c r="AJ306" s="10">
        <f>SUM(Table_ExternalData_15[[#This Row],[1]:[31]])</f>
        <v>25</v>
      </c>
    </row>
    <row r="307" spans="1:36">
      <c r="A307" s="1" t="s">
        <v>953</v>
      </c>
      <c r="B307" s="1" t="s">
        <v>2414</v>
      </c>
      <c r="C307" s="1" t="s">
        <v>2415</v>
      </c>
      <c r="D307" s="11" t="s">
        <v>72</v>
      </c>
      <c r="E307" s="10">
        <f>SUMIFS(IsQList,IsIList,Table_ExternalData_15[[#This Row],[item_key]],IsITypeList,Table_ExternalData_15[[#This Row],[IType]],IsDList,Table_ExternalData_15[[#Headers],[1]])</f>
        <v>0</v>
      </c>
      <c r="F307" s="10">
        <f>SUMIFS(IsQList,IsIList,Table_ExternalData_15[[#This Row],[item_key]],IsITypeList,Table_ExternalData_15[[#This Row],[IType]],IsDList,Table_ExternalData_15[[#Headers],[2]])</f>
        <v>0</v>
      </c>
      <c r="G307" s="10">
        <f>SUMIFS(IsQList,IsIList,Table_ExternalData_15[[#This Row],[item_key]],IsITypeList,Table_ExternalData_15[[#This Row],[IType]],IsDList,Table_ExternalData_15[[#Headers],[3]])</f>
        <v>0</v>
      </c>
      <c r="H307" s="10">
        <f>SUMIFS(IsQList,IsIList,Table_ExternalData_15[[#This Row],[item_key]],IsITypeList,Table_ExternalData_15[[#This Row],[IType]],IsDList,Table_ExternalData_15[[#Headers],[4]])</f>
        <v>0</v>
      </c>
      <c r="I307" s="10">
        <f>SUMIFS(IsQList,IsIList,Table_ExternalData_15[[#This Row],[item_key]],IsITypeList,Table_ExternalData_15[[#This Row],[IType]],IsDList,Table_ExternalData_15[[#Headers],[5]])</f>
        <v>0</v>
      </c>
      <c r="J307" s="10">
        <f>SUMIFS(IsQList,IsIList,Table_ExternalData_15[[#This Row],[item_key]],IsITypeList,Table_ExternalData_15[[#This Row],[IType]],IsDList,Table_ExternalData_15[[#Headers],[6]])</f>
        <v>284</v>
      </c>
      <c r="K307" s="10">
        <f>SUMIFS(IsQList,IsIList,Table_ExternalData_15[[#This Row],[item_key]],IsITypeList,Table_ExternalData_15[[#This Row],[IType]],IsDList,Table_ExternalData_15[[#Headers],[7]])</f>
        <v>0</v>
      </c>
      <c r="L307" s="10">
        <f>SUMIFS(IsQList,IsIList,Table_ExternalData_15[[#This Row],[item_key]],IsITypeList,Table_ExternalData_15[[#This Row],[IType]],IsDList,Table_ExternalData_15[[#Headers],[8]])</f>
        <v>2750</v>
      </c>
      <c r="M307" s="10">
        <f>SUMIFS(IsQList,IsIList,Table_ExternalData_15[[#This Row],[item_key]],IsITypeList,Table_ExternalData_15[[#This Row],[IType]],IsDList,Table_ExternalData_15[[#Headers],[9]])</f>
        <v>0</v>
      </c>
      <c r="N307" s="10">
        <f>SUMIFS(IsQList,IsIList,Table_ExternalData_15[[#This Row],[item_key]],IsITypeList,Table_ExternalData_15[[#This Row],[IType]],IsDList,Table_ExternalData_15[[#Headers],[10]])</f>
        <v>3000</v>
      </c>
      <c r="O307" s="10">
        <f>SUMIFS(IsQList,IsIList,Table_ExternalData_15[[#This Row],[item_key]],IsITypeList,Table_ExternalData_15[[#This Row],[IType]],IsDList,Table_ExternalData_15[[#Headers],[11]])</f>
        <v>2109</v>
      </c>
      <c r="P307" s="10">
        <f>SUMIFS(IsQList,IsIList,Table_ExternalData_15[[#This Row],[item_key]],IsITypeList,Table_ExternalData_15[[#This Row],[IType]],IsDList,Table_ExternalData_15[[#Headers],[12]])</f>
        <v>0</v>
      </c>
      <c r="Q307" s="10">
        <f>SUMIFS(IsQList,IsIList,Table_ExternalData_15[[#This Row],[item_key]],IsITypeList,Table_ExternalData_15[[#This Row],[IType]],IsDList,Table_ExternalData_15[[#Headers],[13]])</f>
        <v>0</v>
      </c>
      <c r="R307" s="10">
        <f>SUMIFS(IsQList,IsIList,Table_ExternalData_15[[#This Row],[item_key]],IsITypeList,Table_ExternalData_15[[#This Row],[IType]],IsDList,Table_ExternalData_15[[#Headers],[14]])</f>
        <v>0</v>
      </c>
      <c r="S307" s="10">
        <f>SUMIFS(IsQList,IsIList,Table_ExternalData_15[[#This Row],[item_key]],IsITypeList,Table_ExternalData_15[[#This Row],[IType]],IsDList,Table_ExternalData_15[[#Headers],[15]])</f>
        <v>0</v>
      </c>
      <c r="T307" s="10">
        <f>SUMIFS(IsQList,IsIList,Table_ExternalData_15[[#This Row],[item_key]],IsITypeList,Table_ExternalData_15[[#This Row],[IType]],IsDList,Table_ExternalData_15[[#Headers],[16]])</f>
        <v>0</v>
      </c>
      <c r="U307" s="10">
        <f>SUMIFS(IsQList,IsIList,Table_ExternalData_15[[#This Row],[item_key]],IsITypeList,Table_ExternalData_15[[#This Row],[IType]],IsDList,Table_ExternalData_15[[#Headers],[17]])</f>
        <v>0</v>
      </c>
      <c r="V307" s="10">
        <f>SUMIFS(IsQList,IsIList,Table_ExternalData_15[[#This Row],[item_key]],IsITypeList,Table_ExternalData_15[[#This Row],[IType]],IsDList,Table_ExternalData_15[[#Headers],[18]])</f>
        <v>0</v>
      </c>
      <c r="W307" s="10">
        <f>SUMIFS(IsQList,IsIList,Table_ExternalData_15[[#This Row],[item_key]],IsITypeList,Table_ExternalData_15[[#This Row],[IType]],IsDList,Table_ExternalData_15[[#Headers],[19]])</f>
        <v>0</v>
      </c>
      <c r="X307" s="10">
        <f>SUMIFS(IsQList,IsIList,Table_ExternalData_15[[#This Row],[item_key]],IsITypeList,Table_ExternalData_15[[#This Row],[IType]],IsDList,Table_ExternalData_15[[#Headers],[20]])</f>
        <v>0</v>
      </c>
      <c r="Y307" s="10">
        <f>SUMIFS(IsQList,IsIList,Table_ExternalData_15[[#This Row],[item_key]],IsITypeList,Table_ExternalData_15[[#This Row],[IType]],IsDList,Table_ExternalData_15[[#Headers],[21]])</f>
        <v>0</v>
      </c>
      <c r="Z307" s="10">
        <f>SUMIFS(IsQList,IsIList,Table_ExternalData_15[[#This Row],[item_key]],IsITypeList,Table_ExternalData_15[[#This Row],[IType]],IsDList,Table_ExternalData_15[[#Headers],[22]])</f>
        <v>0</v>
      </c>
      <c r="AA307" s="10">
        <f>SUMIFS(IsQList,IsIList,Table_ExternalData_15[[#This Row],[item_key]],IsITypeList,Table_ExternalData_15[[#This Row],[IType]],IsDList,Table_ExternalData_15[[#Headers],[23]])</f>
        <v>0</v>
      </c>
      <c r="AB307" s="10">
        <f>SUMIFS(IsQList,IsIList,Table_ExternalData_15[[#This Row],[item_key]],IsITypeList,Table_ExternalData_15[[#This Row],[IType]],IsDList,Table_ExternalData_15[[#Headers],[24]])</f>
        <v>0</v>
      </c>
      <c r="AC307" s="10">
        <f>SUMIFS(IsQList,IsIList,Table_ExternalData_15[[#This Row],[item_key]],IsITypeList,Table_ExternalData_15[[#This Row],[IType]],IsDList,Table_ExternalData_15[[#Headers],[25]])</f>
        <v>0</v>
      </c>
      <c r="AD307" s="10">
        <f>SUMIFS(IsQList,IsIList,Table_ExternalData_15[[#This Row],[item_key]],IsITypeList,Table_ExternalData_15[[#This Row],[IType]],IsDList,Table_ExternalData_15[[#Headers],[26]])</f>
        <v>0</v>
      </c>
      <c r="AE307" s="10">
        <f>SUMIFS(IsQList,IsIList,Table_ExternalData_15[[#This Row],[item_key]],IsITypeList,Table_ExternalData_15[[#This Row],[IType]],IsDList,Table_ExternalData_15[[#Headers],[27]])</f>
        <v>0</v>
      </c>
      <c r="AF307" s="10">
        <f>SUMIFS(IsQList,IsIList,Table_ExternalData_15[[#This Row],[item_key]],IsITypeList,Table_ExternalData_15[[#This Row],[IType]],IsDList,Table_ExternalData_15[[#Headers],[28]])</f>
        <v>0</v>
      </c>
      <c r="AG307" s="10">
        <f>SUMIFS(IsQList,IsIList,Table_ExternalData_15[[#This Row],[item_key]],IsITypeList,Table_ExternalData_15[[#This Row],[IType]],IsDList,Table_ExternalData_15[[#Headers],[29]])</f>
        <v>3000</v>
      </c>
      <c r="AH307" s="10">
        <f>SUMIFS(IsQList,IsIList,Table_ExternalData_15[[#This Row],[item_key]],IsITypeList,Table_ExternalData_15[[#This Row],[IType]],IsDList,Table_ExternalData_15[[#Headers],[30]])</f>
        <v>2880</v>
      </c>
      <c r="AI307" s="10">
        <f>SUMIFS(IsQList,IsIList,Table_ExternalData_15[[#This Row],[item_key]],IsITypeList,Table_ExternalData_15[[#This Row],[IType]],IsDList,Table_ExternalData_15[[#Headers],[31]])</f>
        <v>0</v>
      </c>
      <c r="AJ307" s="10">
        <f>SUM(Table_ExternalData_15[[#This Row],[1]:[31]])</f>
        <v>14023</v>
      </c>
    </row>
    <row r="308" spans="1:36">
      <c r="A308" s="1" t="s">
        <v>954</v>
      </c>
      <c r="B308" s="1" t="s">
        <v>1449</v>
      </c>
      <c r="C308" s="1" t="s">
        <v>1450</v>
      </c>
      <c r="D308" s="11" t="s">
        <v>72</v>
      </c>
      <c r="E308" s="10">
        <f>SUMIFS(IsQList,IsIList,Table_ExternalData_15[[#This Row],[item_key]],IsITypeList,Table_ExternalData_15[[#This Row],[IType]],IsDList,Table_ExternalData_15[[#Headers],[1]])</f>
        <v>0</v>
      </c>
      <c r="F308" s="10">
        <f>SUMIFS(IsQList,IsIList,Table_ExternalData_15[[#This Row],[item_key]],IsITypeList,Table_ExternalData_15[[#This Row],[IType]],IsDList,Table_ExternalData_15[[#Headers],[2]])</f>
        <v>0</v>
      </c>
      <c r="G308" s="10">
        <f>SUMIFS(IsQList,IsIList,Table_ExternalData_15[[#This Row],[item_key]],IsITypeList,Table_ExternalData_15[[#This Row],[IType]],IsDList,Table_ExternalData_15[[#Headers],[3]])</f>
        <v>0</v>
      </c>
      <c r="H308" s="10">
        <f>SUMIFS(IsQList,IsIList,Table_ExternalData_15[[#This Row],[item_key]],IsITypeList,Table_ExternalData_15[[#This Row],[IType]],IsDList,Table_ExternalData_15[[#Headers],[4]])</f>
        <v>0</v>
      </c>
      <c r="I308" s="10">
        <f>SUMIFS(IsQList,IsIList,Table_ExternalData_15[[#This Row],[item_key]],IsITypeList,Table_ExternalData_15[[#This Row],[IType]],IsDList,Table_ExternalData_15[[#Headers],[5]])</f>
        <v>0</v>
      </c>
      <c r="J308" s="10">
        <f>SUMIFS(IsQList,IsIList,Table_ExternalData_15[[#This Row],[item_key]],IsITypeList,Table_ExternalData_15[[#This Row],[IType]],IsDList,Table_ExternalData_15[[#Headers],[6]])</f>
        <v>0</v>
      </c>
      <c r="K308" s="10">
        <f>SUMIFS(IsQList,IsIList,Table_ExternalData_15[[#This Row],[item_key]],IsITypeList,Table_ExternalData_15[[#This Row],[IType]],IsDList,Table_ExternalData_15[[#Headers],[7]])</f>
        <v>0</v>
      </c>
      <c r="L308" s="10">
        <f>SUMIFS(IsQList,IsIList,Table_ExternalData_15[[#This Row],[item_key]],IsITypeList,Table_ExternalData_15[[#This Row],[IType]],IsDList,Table_ExternalData_15[[#Headers],[8]])</f>
        <v>0</v>
      </c>
      <c r="M308" s="10">
        <f>SUMIFS(IsQList,IsIList,Table_ExternalData_15[[#This Row],[item_key]],IsITypeList,Table_ExternalData_15[[#This Row],[IType]],IsDList,Table_ExternalData_15[[#Headers],[9]])</f>
        <v>0</v>
      </c>
      <c r="N308" s="10">
        <f>SUMIFS(IsQList,IsIList,Table_ExternalData_15[[#This Row],[item_key]],IsITypeList,Table_ExternalData_15[[#This Row],[IType]],IsDList,Table_ExternalData_15[[#Headers],[10]])</f>
        <v>0</v>
      </c>
      <c r="O308" s="10">
        <f>SUMIFS(IsQList,IsIList,Table_ExternalData_15[[#This Row],[item_key]],IsITypeList,Table_ExternalData_15[[#This Row],[IType]],IsDList,Table_ExternalData_15[[#Headers],[11]])</f>
        <v>0</v>
      </c>
      <c r="P308" s="10">
        <f>SUMIFS(IsQList,IsIList,Table_ExternalData_15[[#This Row],[item_key]],IsITypeList,Table_ExternalData_15[[#This Row],[IType]],IsDList,Table_ExternalData_15[[#Headers],[12]])</f>
        <v>0</v>
      </c>
      <c r="Q308" s="10">
        <f>SUMIFS(IsQList,IsIList,Table_ExternalData_15[[#This Row],[item_key]],IsITypeList,Table_ExternalData_15[[#This Row],[IType]],IsDList,Table_ExternalData_15[[#Headers],[13]])</f>
        <v>0</v>
      </c>
      <c r="R308" s="10">
        <f>SUMIFS(IsQList,IsIList,Table_ExternalData_15[[#This Row],[item_key]],IsITypeList,Table_ExternalData_15[[#This Row],[IType]],IsDList,Table_ExternalData_15[[#Headers],[14]])</f>
        <v>0</v>
      </c>
      <c r="S308" s="10">
        <f>SUMIFS(IsQList,IsIList,Table_ExternalData_15[[#This Row],[item_key]],IsITypeList,Table_ExternalData_15[[#This Row],[IType]],IsDList,Table_ExternalData_15[[#Headers],[15]])</f>
        <v>0</v>
      </c>
      <c r="T308" s="10">
        <f>SUMIFS(IsQList,IsIList,Table_ExternalData_15[[#This Row],[item_key]],IsITypeList,Table_ExternalData_15[[#This Row],[IType]],IsDList,Table_ExternalData_15[[#Headers],[16]])</f>
        <v>0</v>
      </c>
      <c r="U308" s="10">
        <f>SUMIFS(IsQList,IsIList,Table_ExternalData_15[[#This Row],[item_key]],IsITypeList,Table_ExternalData_15[[#This Row],[IType]],IsDList,Table_ExternalData_15[[#Headers],[17]])</f>
        <v>0</v>
      </c>
      <c r="V308" s="10">
        <f>SUMIFS(IsQList,IsIList,Table_ExternalData_15[[#This Row],[item_key]],IsITypeList,Table_ExternalData_15[[#This Row],[IType]],IsDList,Table_ExternalData_15[[#Headers],[18]])</f>
        <v>0</v>
      </c>
      <c r="W308" s="10">
        <f>SUMIFS(IsQList,IsIList,Table_ExternalData_15[[#This Row],[item_key]],IsITypeList,Table_ExternalData_15[[#This Row],[IType]],IsDList,Table_ExternalData_15[[#Headers],[19]])</f>
        <v>0</v>
      </c>
      <c r="X308" s="10">
        <f>SUMIFS(IsQList,IsIList,Table_ExternalData_15[[#This Row],[item_key]],IsITypeList,Table_ExternalData_15[[#This Row],[IType]],IsDList,Table_ExternalData_15[[#Headers],[20]])</f>
        <v>0</v>
      </c>
      <c r="Y308" s="10">
        <f>SUMIFS(IsQList,IsIList,Table_ExternalData_15[[#This Row],[item_key]],IsITypeList,Table_ExternalData_15[[#This Row],[IType]],IsDList,Table_ExternalData_15[[#Headers],[21]])</f>
        <v>0</v>
      </c>
      <c r="Z308" s="10">
        <f>SUMIFS(IsQList,IsIList,Table_ExternalData_15[[#This Row],[item_key]],IsITypeList,Table_ExternalData_15[[#This Row],[IType]],IsDList,Table_ExternalData_15[[#Headers],[22]])</f>
        <v>0</v>
      </c>
      <c r="AA308" s="10">
        <f>SUMIFS(IsQList,IsIList,Table_ExternalData_15[[#This Row],[item_key]],IsITypeList,Table_ExternalData_15[[#This Row],[IType]],IsDList,Table_ExternalData_15[[#Headers],[23]])</f>
        <v>0</v>
      </c>
      <c r="AB308" s="10">
        <f>SUMIFS(IsQList,IsIList,Table_ExternalData_15[[#This Row],[item_key]],IsITypeList,Table_ExternalData_15[[#This Row],[IType]],IsDList,Table_ExternalData_15[[#Headers],[24]])</f>
        <v>0</v>
      </c>
      <c r="AC308" s="10">
        <f>SUMIFS(IsQList,IsIList,Table_ExternalData_15[[#This Row],[item_key]],IsITypeList,Table_ExternalData_15[[#This Row],[IType]],IsDList,Table_ExternalData_15[[#Headers],[25]])</f>
        <v>0</v>
      </c>
      <c r="AD308" s="10">
        <f>SUMIFS(IsQList,IsIList,Table_ExternalData_15[[#This Row],[item_key]],IsITypeList,Table_ExternalData_15[[#This Row],[IType]],IsDList,Table_ExternalData_15[[#Headers],[26]])</f>
        <v>0</v>
      </c>
      <c r="AE308" s="10">
        <f>SUMIFS(IsQList,IsIList,Table_ExternalData_15[[#This Row],[item_key]],IsITypeList,Table_ExternalData_15[[#This Row],[IType]],IsDList,Table_ExternalData_15[[#Headers],[27]])</f>
        <v>0</v>
      </c>
      <c r="AF308" s="10">
        <f>SUMIFS(IsQList,IsIList,Table_ExternalData_15[[#This Row],[item_key]],IsITypeList,Table_ExternalData_15[[#This Row],[IType]],IsDList,Table_ExternalData_15[[#Headers],[28]])</f>
        <v>0</v>
      </c>
      <c r="AG308" s="10">
        <f>SUMIFS(IsQList,IsIList,Table_ExternalData_15[[#This Row],[item_key]],IsITypeList,Table_ExternalData_15[[#This Row],[IType]],IsDList,Table_ExternalData_15[[#Headers],[29]])</f>
        <v>0</v>
      </c>
      <c r="AH308" s="10">
        <f>SUMIFS(IsQList,IsIList,Table_ExternalData_15[[#This Row],[item_key]],IsITypeList,Table_ExternalData_15[[#This Row],[IType]],IsDList,Table_ExternalData_15[[#Headers],[30]])</f>
        <v>0</v>
      </c>
      <c r="AI308" s="10">
        <f>SUMIFS(IsQList,IsIList,Table_ExternalData_15[[#This Row],[item_key]],IsITypeList,Table_ExternalData_15[[#This Row],[IType]],IsDList,Table_ExternalData_15[[#Headers],[31]])</f>
        <v>0</v>
      </c>
      <c r="AJ308" s="10">
        <f>SUM(Table_ExternalData_15[[#This Row],[1]:[31]])</f>
        <v>0</v>
      </c>
    </row>
    <row r="309" spans="1:36">
      <c r="A309" s="1" t="s">
        <v>955</v>
      </c>
      <c r="B309" s="1" t="s">
        <v>1451</v>
      </c>
      <c r="C309" s="1" t="s">
        <v>1452</v>
      </c>
      <c r="D309" s="11" t="s">
        <v>72</v>
      </c>
      <c r="E309" s="10">
        <f>SUMIFS(IsQList,IsIList,Table_ExternalData_15[[#This Row],[item_key]],IsITypeList,Table_ExternalData_15[[#This Row],[IType]],IsDList,Table_ExternalData_15[[#Headers],[1]])</f>
        <v>0</v>
      </c>
      <c r="F309" s="10">
        <f>SUMIFS(IsQList,IsIList,Table_ExternalData_15[[#This Row],[item_key]],IsITypeList,Table_ExternalData_15[[#This Row],[IType]],IsDList,Table_ExternalData_15[[#Headers],[2]])</f>
        <v>0</v>
      </c>
      <c r="G309" s="10">
        <f>SUMIFS(IsQList,IsIList,Table_ExternalData_15[[#This Row],[item_key]],IsITypeList,Table_ExternalData_15[[#This Row],[IType]],IsDList,Table_ExternalData_15[[#Headers],[3]])</f>
        <v>0</v>
      </c>
      <c r="H309" s="10">
        <f>SUMIFS(IsQList,IsIList,Table_ExternalData_15[[#This Row],[item_key]],IsITypeList,Table_ExternalData_15[[#This Row],[IType]],IsDList,Table_ExternalData_15[[#Headers],[4]])</f>
        <v>0</v>
      </c>
      <c r="I309" s="10">
        <f>SUMIFS(IsQList,IsIList,Table_ExternalData_15[[#This Row],[item_key]],IsITypeList,Table_ExternalData_15[[#This Row],[IType]],IsDList,Table_ExternalData_15[[#Headers],[5]])</f>
        <v>0</v>
      </c>
      <c r="J309" s="10">
        <f>SUMIFS(IsQList,IsIList,Table_ExternalData_15[[#This Row],[item_key]],IsITypeList,Table_ExternalData_15[[#This Row],[IType]],IsDList,Table_ExternalData_15[[#Headers],[6]])</f>
        <v>20</v>
      </c>
      <c r="K309" s="10">
        <f>SUMIFS(IsQList,IsIList,Table_ExternalData_15[[#This Row],[item_key]],IsITypeList,Table_ExternalData_15[[#This Row],[IType]],IsDList,Table_ExternalData_15[[#Headers],[7]])</f>
        <v>0</v>
      </c>
      <c r="L309" s="10">
        <f>SUMIFS(IsQList,IsIList,Table_ExternalData_15[[#This Row],[item_key]],IsITypeList,Table_ExternalData_15[[#This Row],[IType]],IsDList,Table_ExternalData_15[[#Headers],[8]])</f>
        <v>0</v>
      </c>
      <c r="M309" s="10">
        <f>SUMIFS(IsQList,IsIList,Table_ExternalData_15[[#This Row],[item_key]],IsITypeList,Table_ExternalData_15[[#This Row],[IType]],IsDList,Table_ExternalData_15[[#Headers],[9]])</f>
        <v>0</v>
      </c>
      <c r="N309" s="10">
        <f>SUMIFS(IsQList,IsIList,Table_ExternalData_15[[#This Row],[item_key]],IsITypeList,Table_ExternalData_15[[#This Row],[IType]],IsDList,Table_ExternalData_15[[#Headers],[10]])</f>
        <v>0</v>
      </c>
      <c r="O309" s="10">
        <f>SUMIFS(IsQList,IsIList,Table_ExternalData_15[[#This Row],[item_key]],IsITypeList,Table_ExternalData_15[[#This Row],[IType]],IsDList,Table_ExternalData_15[[#Headers],[11]])</f>
        <v>0</v>
      </c>
      <c r="P309" s="10">
        <f>SUMIFS(IsQList,IsIList,Table_ExternalData_15[[#This Row],[item_key]],IsITypeList,Table_ExternalData_15[[#This Row],[IType]],IsDList,Table_ExternalData_15[[#Headers],[12]])</f>
        <v>0</v>
      </c>
      <c r="Q309" s="10">
        <f>SUMIFS(IsQList,IsIList,Table_ExternalData_15[[#This Row],[item_key]],IsITypeList,Table_ExternalData_15[[#This Row],[IType]],IsDList,Table_ExternalData_15[[#Headers],[13]])</f>
        <v>0</v>
      </c>
      <c r="R309" s="10">
        <f>SUMIFS(IsQList,IsIList,Table_ExternalData_15[[#This Row],[item_key]],IsITypeList,Table_ExternalData_15[[#This Row],[IType]],IsDList,Table_ExternalData_15[[#Headers],[14]])</f>
        <v>0</v>
      </c>
      <c r="S309" s="10">
        <f>SUMIFS(IsQList,IsIList,Table_ExternalData_15[[#This Row],[item_key]],IsITypeList,Table_ExternalData_15[[#This Row],[IType]],IsDList,Table_ExternalData_15[[#Headers],[15]])</f>
        <v>0</v>
      </c>
      <c r="T309" s="10">
        <f>SUMIFS(IsQList,IsIList,Table_ExternalData_15[[#This Row],[item_key]],IsITypeList,Table_ExternalData_15[[#This Row],[IType]],IsDList,Table_ExternalData_15[[#Headers],[16]])</f>
        <v>0</v>
      </c>
      <c r="U309" s="10">
        <f>SUMIFS(IsQList,IsIList,Table_ExternalData_15[[#This Row],[item_key]],IsITypeList,Table_ExternalData_15[[#This Row],[IType]],IsDList,Table_ExternalData_15[[#Headers],[17]])</f>
        <v>0</v>
      </c>
      <c r="V309" s="10">
        <f>SUMIFS(IsQList,IsIList,Table_ExternalData_15[[#This Row],[item_key]],IsITypeList,Table_ExternalData_15[[#This Row],[IType]],IsDList,Table_ExternalData_15[[#Headers],[18]])</f>
        <v>0</v>
      </c>
      <c r="W309" s="10">
        <f>SUMIFS(IsQList,IsIList,Table_ExternalData_15[[#This Row],[item_key]],IsITypeList,Table_ExternalData_15[[#This Row],[IType]],IsDList,Table_ExternalData_15[[#Headers],[19]])</f>
        <v>0</v>
      </c>
      <c r="X309" s="10">
        <f>SUMIFS(IsQList,IsIList,Table_ExternalData_15[[#This Row],[item_key]],IsITypeList,Table_ExternalData_15[[#This Row],[IType]],IsDList,Table_ExternalData_15[[#Headers],[20]])</f>
        <v>0</v>
      </c>
      <c r="Y309" s="10">
        <f>SUMIFS(IsQList,IsIList,Table_ExternalData_15[[#This Row],[item_key]],IsITypeList,Table_ExternalData_15[[#This Row],[IType]],IsDList,Table_ExternalData_15[[#Headers],[21]])</f>
        <v>0</v>
      </c>
      <c r="Z309" s="10">
        <f>SUMIFS(IsQList,IsIList,Table_ExternalData_15[[#This Row],[item_key]],IsITypeList,Table_ExternalData_15[[#This Row],[IType]],IsDList,Table_ExternalData_15[[#Headers],[22]])</f>
        <v>0</v>
      </c>
      <c r="AA309" s="10">
        <f>SUMIFS(IsQList,IsIList,Table_ExternalData_15[[#This Row],[item_key]],IsITypeList,Table_ExternalData_15[[#This Row],[IType]],IsDList,Table_ExternalData_15[[#Headers],[23]])</f>
        <v>0</v>
      </c>
      <c r="AB309" s="10">
        <f>SUMIFS(IsQList,IsIList,Table_ExternalData_15[[#This Row],[item_key]],IsITypeList,Table_ExternalData_15[[#This Row],[IType]],IsDList,Table_ExternalData_15[[#Headers],[24]])</f>
        <v>0</v>
      </c>
      <c r="AC309" s="10">
        <f>SUMIFS(IsQList,IsIList,Table_ExternalData_15[[#This Row],[item_key]],IsITypeList,Table_ExternalData_15[[#This Row],[IType]],IsDList,Table_ExternalData_15[[#Headers],[25]])</f>
        <v>0</v>
      </c>
      <c r="AD309" s="10">
        <f>SUMIFS(IsQList,IsIList,Table_ExternalData_15[[#This Row],[item_key]],IsITypeList,Table_ExternalData_15[[#This Row],[IType]],IsDList,Table_ExternalData_15[[#Headers],[26]])</f>
        <v>0</v>
      </c>
      <c r="AE309" s="10">
        <f>SUMIFS(IsQList,IsIList,Table_ExternalData_15[[#This Row],[item_key]],IsITypeList,Table_ExternalData_15[[#This Row],[IType]],IsDList,Table_ExternalData_15[[#Headers],[27]])</f>
        <v>0</v>
      </c>
      <c r="AF309" s="10">
        <f>SUMIFS(IsQList,IsIList,Table_ExternalData_15[[#This Row],[item_key]],IsITypeList,Table_ExternalData_15[[#This Row],[IType]],IsDList,Table_ExternalData_15[[#Headers],[28]])</f>
        <v>0</v>
      </c>
      <c r="AG309" s="10">
        <f>SUMIFS(IsQList,IsIList,Table_ExternalData_15[[#This Row],[item_key]],IsITypeList,Table_ExternalData_15[[#This Row],[IType]],IsDList,Table_ExternalData_15[[#Headers],[29]])</f>
        <v>0</v>
      </c>
      <c r="AH309" s="10">
        <f>SUMIFS(IsQList,IsIList,Table_ExternalData_15[[#This Row],[item_key]],IsITypeList,Table_ExternalData_15[[#This Row],[IType]],IsDList,Table_ExternalData_15[[#Headers],[30]])</f>
        <v>0</v>
      </c>
      <c r="AI309" s="10">
        <f>SUMIFS(IsQList,IsIList,Table_ExternalData_15[[#This Row],[item_key]],IsITypeList,Table_ExternalData_15[[#This Row],[IType]],IsDList,Table_ExternalData_15[[#Headers],[31]])</f>
        <v>0</v>
      </c>
      <c r="AJ309" s="10">
        <f>SUM(Table_ExternalData_15[[#This Row],[1]:[31]])</f>
        <v>20</v>
      </c>
    </row>
    <row r="310" spans="1:36">
      <c r="A310" s="1" t="s">
        <v>957</v>
      </c>
      <c r="B310" s="1" t="s">
        <v>1455</v>
      </c>
      <c r="C310" s="1" t="s">
        <v>1456</v>
      </c>
      <c r="D310" s="11" t="s">
        <v>72</v>
      </c>
      <c r="E310" s="10">
        <f>SUMIFS(IsQList,IsIList,Table_ExternalData_15[[#This Row],[item_key]],IsITypeList,Table_ExternalData_15[[#This Row],[IType]],IsDList,Table_ExternalData_15[[#Headers],[1]])</f>
        <v>0</v>
      </c>
      <c r="F310" s="10">
        <f>SUMIFS(IsQList,IsIList,Table_ExternalData_15[[#This Row],[item_key]],IsITypeList,Table_ExternalData_15[[#This Row],[IType]],IsDList,Table_ExternalData_15[[#Headers],[2]])</f>
        <v>0</v>
      </c>
      <c r="G310" s="10">
        <f>SUMIFS(IsQList,IsIList,Table_ExternalData_15[[#This Row],[item_key]],IsITypeList,Table_ExternalData_15[[#This Row],[IType]],IsDList,Table_ExternalData_15[[#Headers],[3]])</f>
        <v>0</v>
      </c>
      <c r="H310" s="10">
        <f>SUMIFS(IsQList,IsIList,Table_ExternalData_15[[#This Row],[item_key]],IsITypeList,Table_ExternalData_15[[#This Row],[IType]],IsDList,Table_ExternalData_15[[#Headers],[4]])</f>
        <v>0</v>
      </c>
      <c r="I310" s="10">
        <f>SUMIFS(IsQList,IsIList,Table_ExternalData_15[[#This Row],[item_key]],IsITypeList,Table_ExternalData_15[[#This Row],[IType]],IsDList,Table_ExternalData_15[[#Headers],[5]])</f>
        <v>0</v>
      </c>
      <c r="J310" s="10">
        <f>SUMIFS(IsQList,IsIList,Table_ExternalData_15[[#This Row],[item_key]],IsITypeList,Table_ExternalData_15[[#This Row],[IType]],IsDList,Table_ExternalData_15[[#Headers],[6]])</f>
        <v>0</v>
      </c>
      <c r="K310" s="10">
        <f>SUMIFS(IsQList,IsIList,Table_ExternalData_15[[#This Row],[item_key]],IsITypeList,Table_ExternalData_15[[#This Row],[IType]],IsDList,Table_ExternalData_15[[#Headers],[7]])</f>
        <v>0</v>
      </c>
      <c r="L310" s="10">
        <f>SUMIFS(IsQList,IsIList,Table_ExternalData_15[[#This Row],[item_key]],IsITypeList,Table_ExternalData_15[[#This Row],[IType]],IsDList,Table_ExternalData_15[[#Headers],[8]])</f>
        <v>0</v>
      </c>
      <c r="M310" s="10">
        <f>SUMIFS(IsQList,IsIList,Table_ExternalData_15[[#This Row],[item_key]],IsITypeList,Table_ExternalData_15[[#This Row],[IType]],IsDList,Table_ExternalData_15[[#Headers],[9]])</f>
        <v>0</v>
      </c>
      <c r="N310" s="10">
        <f>SUMIFS(IsQList,IsIList,Table_ExternalData_15[[#This Row],[item_key]],IsITypeList,Table_ExternalData_15[[#This Row],[IType]],IsDList,Table_ExternalData_15[[#Headers],[10]])</f>
        <v>0</v>
      </c>
      <c r="O310" s="10">
        <f>SUMIFS(IsQList,IsIList,Table_ExternalData_15[[#This Row],[item_key]],IsITypeList,Table_ExternalData_15[[#This Row],[IType]],IsDList,Table_ExternalData_15[[#Headers],[11]])</f>
        <v>0</v>
      </c>
      <c r="P310" s="10">
        <f>SUMIFS(IsQList,IsIList,Table_ExternalData_15[[#This Row],[item_key]],IsITypeList,Table_ExternalData_15[[#This Row],[IType]],IsDList,Table_ExternalData_15[[#Headers],[12]])</f>
        <v>0</v>
      </c>
      <c r="Q310" s="10">
        <f>SUMIFS(IsQList,IsIList,Table_ExternalData_15[[#This Row],[item_key]],IsITypeList,Table_ExternalData_15[[#This Row],[IType]],IsDList,Table_ExternalData_15[[#Headers],[13]])</f>
        <v>0</v>
      </c>
      <c r="R310" s="10">
        <f>SUMIFS(IsQList,IsIList,Table_ExternalData_15[[#This Row],[item_key]],IsITypeList,Table_ExternalData_15[[#This Row],[IType]],IsDList,Table_ExternalData_15[[#Headers],[14]])</f>
        <v>0</v>
      </c>
      <c r="S310" s="10">
        <f>SUMIFS(IsQList,IsIList,Table_ExternalData_15[[#This Row],[item_key]],IsITypeList,Table_ExternalData_15[[#This Row],[IType]],IsDList,Table_ExternalData_15[[#Headers],[15]])</f>
        <v>0</v>
      </c>
      <c r="T310" s="10">
        <f>SUMIFS(IsQList,IsIList,Table_ExternalData_15[[#This Row],[item_key]],IsITypeList,Table_ExternalData_15[[#This Row],[IType]],IsDList,Table_ExternalData_15[[#Headers],[16]])</f>
        <v>0</v>
      </c>
      <c r="U310" s="10">
        <f>SUMIFS(IsQList,IsIList,Table_ExternalData_15[[#This Row],[item_key]],IsITypeList,Table_ExternalData_15[[#This Row],[IType]],IsDList,Table_ExternalData_15[[#Headers],[17]])</f>
        <v>0</v>
      </c>
      <c r="V310" s="10">
        <f>SUMIFS(IsQList,IsIList,Table_ExternalData_15[[#This Row],[item_key]],IsITypeList,Table_ExternalData_15[[#This Row],[IType]],IsDList,Table_ExternalData_15[[#Headers],[18]])</f>
        <v>0</v>
      </c>
      <c r="W310" s="10">
        <f>SUMIFS(IsQList,IsIList,Table_ExternalData_15[[#This Row],[item_key]],IsITypeList,Table_ExternalData_15[[#This Row],[IType]],IsDList,Table_ExternalData_15[[#Headers],[19]])</f>
        <v>0</v>
      </c>
      <c r="X310" s="10">
        <f>SUMIFS(IsQList,IsIList,Table_ExternalData_15[[#This Row],[item_key]],IsITypeList,Table_ExternalData_15[[#This Row],[IType]],IsDList,Table_ExternalData_15[[#Headers],[20]])</f>
        <v>0</v>
      </c>
      <c r="Y310" s="10">
        <f>SUMIFS(IsQList,IsIList,Table_ExternalData_15[[#This Row],[item_key]],IsITypeList,Table_ExternalData_15[[#This Row],[IType]],IsDList,Table_ExternalData_15[[#Headers],[21]])</f>
        <v>0</v>
      </c>
      <c r="Z310" s="10">
        <f>SUMIFS(IsQList,IsIList,Table_ExternalData_15[[#This Row],[item_key]],IsITypeList,Table_ExternalData_15[[#This Row],[IType]],IsDList,Table_ExternalData_15[[#Headers],[22]])</f>
        <v>0</v>
      </c>
      <c r="AA310" s="10">
        <f>SUMIFS(IsQList,IsIList,Table_ExternalData_15[[#This Row],[item_key]],IsITypeList,Table_ExternalData_15[[#This Row],[IType]],IsDList,Table_ExternalData_15[[#Headers],[23]])</f>
        <v>0</v>
      </c>
      <c r="AB310" s="10">
        <f>SUMIFS(IsQList,IsIList,Table_ExternalData_15[[#This Row],[item_key]],IsITypeList,Table_ExternalData_15[[#This Row],[IType]],IsDList,Table_ExternalData_15[[#Headers],[24]])</f>
        <v>0</v>
      </c>
      <c r="AC310" s="10">
        <f>SUMIFS(IsQList,IsIList,Table_ExternalData_15[[#This Row],[item_key]],IsITypeList,Table_ExternalData_15[[#This Row],[IType]],IsDList,Table_ExternalData_15[[#Headers],[25]])</f>
        <v>0</v>
      </c>
      <c r="AD310" s="10">
        <f>SUMIFS(IsQList,IsIList,Table_ExternalData_15[[#This Row],[item_key]],IsITypeList,Table_ExternalData_15[[#This Row],[IType]],IsDList,Table_ExternalData_15[[#Headers],[26]])</f>
        <v>0</v>
      </c>
      <c r="AE310" s="10">
        <f>SUMIFS(IsQList,IsIList,Table_ExternalData_15[[#This Row],[item_key]],IsITypeList,Table_ExternalData_15[[#This Row],[IType]],IsDList,Table_ExternalData_15[[#Headers],[27]])</f>
        <v>0</v>
      </c>
      <c r="AF310" s="10">
        <f>SUMIFS(IsQList,IsIList,Table_ExternalData_15[[#This Row],[item_key]],IsITypeList,Table_ExternalData_15[[#This Row],[IType]],IsDList,Table_ExternalData_15[[#Headers],[28]])</f>
        <v>0</v>
      </c>
      <c r="AG310" s="10">
        <f>SUMIFS(IsQList,IsIList,Table_ExternalData_15[[#This Row],[item_key]],IsITypeList,Table_ExternalData_15[[#This Row],[IType]],IsDList,Table_ExternalData_15[[#Headers],[29]])</f>
        <v>0</v>
      </c>
      <c r="AH310" s="10">
        <f>SUMIFS(IsQList,IsIList,Table_ExternalData_15[[#This Row],[item_key]],IsITypeList,Table_ExternalData_15[[#This Row],[IType]],IsDList,Table_ExternalData_15[[#Headers],[30]])</f>
        <v>0</v>
      </c>
      <c r="AI310" s="10">
        <f>SUMIFS(IsQList,IsIList,Table_ExternalData_15[[#This Row],[item_key]],IsITypeList,Table_ExternalData_15[[#This Row],[IType]],IsDList,Table_ExternalData_15[[#Headers],[31]])</f>
        <v>0</v>
      </c>
      <c r="AJ310" s="10">
        <f>SUM(Table_ExternalData_15[[#This Row],[1]:[31]])</f>
        <v>0</v>
      </c>
    </row>
    <row r="311" spans="1:36">
      <c r="A311" s="1" t="s">
        <v>960</v>
      </c>
      <c r="B311" s="1" t="s">
        <v>1461</v>
      </c>
      <c r="C311" s="1" t="s">
        <v>1376</v>
      </c>
      <c r="D311" s="11" t="s">
        <v>72</v>
      </c>
      <c r="E311" s="10">
        <f>SUMIFS(IsQList,IsIList,Table_ExternalData_15[[#This Row],[item_key]],IsITypeList,Table_ExternalData_15[[#This Row],[IType]],IsDList,Table_ExternalData_15[[#Headers],[1]])</f>
        <v>0</v>
      </c>
      <c r="F311" s="10">
        <f>SUMIFS(IsQList,IsIList,Table_ExternalData_15[[#This Row],[item_key]],IsITypeList,Table_ExternalData_15[[#This Row],[IType]],IsDList,Table_ExternalData_15[[#Headers],[2]])</f>
        <v>0</v>
      </c>
      <c r="G311" s="10">
        <f>SUMIFS(IsQList,IsIList,Table_ExternalData_15[[#This Row],[item_key]],IsITypeList,Table_ExternalData_15[[#This Row],[IType]],IsDList,Table_ExternalData_15[[#Headers],[3]])</f>
        <v>0</v>
      </c>
      <c r="H311" s="10">
        <f>SUMIFS(IsQList,IsIList,Table_ExternalData_15[[#This Row],[item_key]],IsITypeList,Table_ExternalData_15[[#This Row],[IType]],IsDList,Table_ExternalData_15[[#Headers],[4]])</f>
        <v>0</v>
      </c>
      <c r="I311" s="10">
        <f>SUMIFS(IsQList,IsIList,Table_ExternalData_15[[#This Row],[item_key]],IsITypeList,Table_ExternalData_15[[#This Row],[IType]],IsDList,Table_ExternalData_15[[#Headers],[5]])</f>
        <v>0</v>
      </c>
      <c r="J311" s="10">
        <f>SUMIFS(IsQList,IsIList,Table_ExternalData_15[[#This Row],[item_key]],IsITypeList,Table_ExternalData_15[[#This Row],[IType]],IsDList,Table_ExternalData_15[[#Headers],[6]])</f>
        <v>0</v>
      </c>
      <c r="K311" s="10">
        <f>SUMIFS(IsQList,IsIList,Table_ExternalData_15[[#This Row],[item_key]],IsITypeList,Table_ExternalData_15[[#This Row],[IType]],IsDList,Table_ExternalData_15[[#Headers],[7]])</f>
        <v>0</v>
      </c>
      <c r="L311" s="10">
        <f>SUMIFS(IsQList,IsIList,Table_ExternalData_15[[#This Row],[item_key]],IsITypeList,Table_ExternalData_15[[#This Row],[IType]],IsDList,Table_ExternalData_15[[#Headers],[8]])</f>
        <v>0</v>
      </c>
      <c r="M311" s="10">
        <f>SUMIFS(IsQList,IsIList,Table_ExternalData_15[[#This Row],[item_key]],IsITypeList,Table_ExternalData_15[[#This Row],[IType]],IsDList,Table_ExternalData_15[[#Headers],[9]])</f>
        <v>0</v>
      </c>
      <c r="N311" s="10">
        <f>SUMIFS(IsQList,IsIList,Table_ExternalData_15[[#This Row],[item_key]],IsITypeList,Table_ExternalData_15[[#This Row],[IType]],IsDList,Table_ExternalData_15[[#Headers],[10]])</f>
        <v>0</v>
      </c>
      <c r="O311" s="10">
        <f>SUMIFS(IsQList,IsIList,Table_ExternalData_15[[#This Row],[item_key]],IsITypeList,Table_ExternalData_15[[#This Row],[IType]],IsDList,Table_ExternalData_15[[#Headers],[11]])</f>
        <v>0</v>
      </c>
      <c r="P311" s="10">
        <f>SUMIFS(IsQList,IsIList,Table_ExternalData_15[[#This Row],[item_key]],IsITypeList,Table_ExternalData_15[[#This Row],[IType]],IsDList,Table_ExternalData_15[[#Headers],[12]])</f>
        <v>0</v>
      </c>
      <c r="Q311" s="10">
        <f>SUMIFS(IsQList,IsIList,Table_ExternalData_15[[#This Row],[item_key]],IsITypeList,Table_ExternalData_15[[#This Row],[IType]],IsDList,Table_ExternalData_15[[#Headers],[13]])</f>
        <v>0</v>
      </c>
      <c r="R311" s="10">
        <f>SUMIFS(IsQList,IsIList,Table_ExternalData_15[[#This Row],[item_key]],IsITypeList,Table_ExternalData_15[[#This Row],[IType]],IsDList,Table_ExternalData_15[[#Headers],[14]])</f>
        <v>0</v>
      </c>
      <c r="S311" s="10">
        <f>SUMIFS(IsQList,IsIList,Table_ExternalData_15[[#This Row],[item_key]],IsITypeList,Table_ExternalData_15[[#This Row],[IType]],IsDList,Table_ExternalData_15[[#Headers],[15]])</f>
        <v>0</v>
      </c>
      <c r="T311" s="10">
        <f>SUMIFS(IsQList,IsIList,Table_ExternalData_15[[#This Row],[item_key]],IsITypeList,Table_ExternalData_15[[#This Row],[IType]],IsDList,Table_ExternalData_15[[#Headers],[16]])</f>
        <v>100</v>
      </c>
      <c r="U311" s="10">
        <f>SUMIFS(IsQList,IsIList,Table_ExternalData_15[[#This Row],[item_key]],IsITypeList,Table_ExternalData_15[[#This Row],[IType]],IsDList,Table_ExternalData_15[[#Headers],[17]])</f>
        <v>0</v>
      </c>
      <c r="V311" s="10">
        <f>SUMIFS(IsQList,IsIList,Table_ExternalData_15[[#This Row],[item_key]],IsITypeList,Table_ExternalData_15[[#This Row],[IType]],IsDList,Table_ExternalData_15[[#Headers],[18]])</f>
        <v>0</v>
      </c>
      <c r="W311" s="10">
        <f>SUMIFS(IsQList,IsIList,Table_ExternalData_15[[#This Row],[item_key]],IsITypeList,Table_ExternalData_15[[#This Row],[IType]],IsDList,Table_ExternalData_15[[#Headers],[19]])</f>
        <v>0</v>
      </c>
      <c r="X311" s="10">
        <f>SUMIFS(IsQList,IsIList,Table_ExternalData_15[[#This Row],[item_key]],IsITypeList,Table_ExternalData_15[[#This Row],[IType]],IsDList,Table_ExternalData_15[[#Headers],[20]])</f>
        <v>0</v>
      </c>
      <c r="Y311" s="10">
        <f>SUMIFS(IsQList,IsIList,Table_ExternalData_15[[#This Row],[item_key]],IsITypeList,Table_ExternalData_15[[#This Row],[IType]],IsDList,Table_ExternalData_15[[#Headers],[21]])</f>
        <v>0</v>
      </c>
      <c r="Z311" s="10">
        <f>SUMIFS(IsQList,IsIList,Table_ExternalData_15[[#This Row],[item_key]],IsITypeList,Table_ExternalData_15[[#This Row],[IType]],IsDList,Table_ExternalData_15[[#Headers],[22]])</f>
        <v>0</v>
      </c>
      <c r="AA311" s="10">
        <f>SUMIFS(IsQList,IsIList,Table_ExternalData_15[[#This Row],[item_key]],IsITypeList,Table_ExternalData_15[[#This Row],[IType]],IsDList,Table_ExternalData_15[[#Headers],[23]])</f>
        <v>0</v>
      </c>
      <c r="AB311" s="10">
        <f>SUMIFS(IsQList,IsIList,Table_ExternalData_15[[#This Row],[item_key]],IsITypeList,Table_ExternalData_15[[#This Row],[IType]],IsDList,Table_ExternalData_15[[#Headers],[24]])</f>
        <v>0</v>
      </c>
      <c r="AC311" s="10">
        <f>SUMIFS(IsQList,IsIList,Table_ExternalData_15[[#This Row],[item_key]],IsITypeList,Table_ExternalData_15[[#This Row],[IType]],IsDList,Table_ExternalData_15[[#Headers],[25]])</f>
        <v>0</v>
      </c>
      <c r="AD311" s="10">
        <f>SUMIFS(IsQList,IsIList,Table_ExternalData_15[[#This Row],[item_key]],IsITypeList,Table_ExternalData_15[[#This Row],[IType]],IsDList,Table_ExternalData_15[[#Headers],[26]])</f>
        <v>0</v>
      </c>
      <c r="AE311" s="10">
        <f>SUMIFS(IsQList,IsIList,Table_ExternalData_15[[#This Row],[item_key]],IsITypeList,Table_ExternalData_15[[#This Row],[IType]],IsDList,Table_ExternalData_15[[#Headers],[27]])</f>
        <v>0</v>
      </c>
      <c r="AF311" s="10">
        <f>SUMIFS(IsQList,IsIList,Table_ExternalData_15[[#This Row],[item_key]],IsITypeList,Table_ExternalData_15[[#This Row],[IType]],IsDList,Table_ExternalData_15[[#Headers],[28]])</f>
        <v>0</v>
      </c>
      <c r="AG311" s="10">
        <f>SUMIFS(IsQList,IsIList,Table_ExternalData_15[[#This Row],[item_key]],IsITypeList,Table_ExternalData_15[[#This Row],[IType]],IsDList,Table_ExternalData_15[[#Headers],[29]])</f>
        <v>0</v>
      </c>
      <c r="AH311" s="10">
        <f>SUMIFS(IsQList,IsIList,Table_ExternalData_15[[#This Row],[item_key]],IsITypeList,Table_ExternalData_15[[#This Row],[IType]],IsDList,Table_ExternalData_15[[#Headers],[30]])</f>
        <v>0</v>
      </c>
      <c r="AI311" s="10">
        <f>SUMIFS(IsQList,IsIList,Table_ExternalData_15[[#This Row],[item_key]],IsITypeList,Table_ExternalData_15[[#This Row],[IType]],IsDList,Table_ExternalData_15[[#Headers],[31]])</f>
        <v>0</v>
      </c>
      <c r="AJ311" s="10">
        <f>SUM(Table_ExternalData_15[[#This Row],[1]:[31]])</f>
        <v>100</v>
      </c>
    </row>
    <row r="312" spans="1:36">
      <c r="A312" s="1" t="s">
        <v>961</v>
      </c>
      <c r="B312" s="1" t="s">
        <v>1462</v>
      </c>
      <c r="C312" s="1" t="s">
        <v>1463</v>
      </c>
      <c r="D312" s="11" t="s">
        <v>72</v>
      </c>
      <c r="E312" s="10">
        <f>SUMIFS(IsQList,IsIList,Table_ExternalData_15[[#This Row],[item_key]],IsITypeList,Table_ExternalData_15[[#This Row],[IType]],IsDList,Table_ExternalData_15[[#Headers],[1]])</f>
        <v>0</v>
      </c>
      <c r="F312" s="10">
        <f>SUMIFS(IsQList,IsIList,Table_ExternalData_15[[#This Row],[item_key]],IsITypeList,Table_ExternalData_15[[#This Row],[IType]],IsDList,Table_ExternalData_15[[#Headers],[2]])</f>
        <v>0</v>
      </c>
      <c r="G312" s="10">
        <f>SUMIFS(IsQList,IsIList,Table_ExternalData_15[[#This Row],[item_key]],IsITypeList,Table_ExternalData_15[[#This Row],[IType]],IsDList,Table_ExternalData_15[[#Headers],[3]])</f>
        <v>0</v>
      </c>
      <c r="H312" s="10">
        <f>SUMIFS(IsQList,IsIList,Table_ExternalData_15[[#This Row],[item_key]],IsITypeList,Table_ExternalData_15[[#This Row],[IType]],IsDList,Table_ExternalData_15[[#Headers],[4]])</f>
        <v>0</v>
      </c>
      <c r="I312" s="10">
        <f>SUMIFS(IsQList,IsIList,Table_ExternalData_15[[#This Row],[item_key]],IsITypeList,Table_ExternalData_15[[#This Row],[IType]],IsDList,Table_ExternalData_15[[#Headers],[5]])</f>
        <v>0</v>
      </c>
      <c r="J312" s="10">
        <f>SUMIFS(IsQList,IsIList,Table_ExternalData_15[[#This Row],[item_key]],IsITypeList,Table_ExternalData_15[[#This Row],[IType]],IsDList,Table_ExternalData_15[[#Headers],[6]])</f>
        <v>0</v>
      </c>
      <c r="K312" s="10">
        <f>SUMIFS(IsQList,IsIList,Table_ExternalData_15[[#This Row],[item_key]],IsITypeList,Table_ExternalData_15[[#This Row],[IType]],IsDList,Table_ExternalData_15[[#Headers],[7]])</f>
        <v>0</v>
      </c>
      <c r="L312" s="10">
        <f>SUMIFS(IsQList,IsIList,Table_ExternalData_15[[#This Row],[item_key]],IsITypeList,Table_ExternalData_15[[#This Row],[IType]],IsDList,Table_ExternalData_15[[#Headers],[8]])</f>
        <v>0</v>
      </c>
      <c r="M312" s="10">
        <f>SUMIFS(IsQList,IsIList,Table_ExternalData_15[[#This Row],[item_key]],IsITypeList,Table_ExternalData_15[[#This Row],[IType]],IsDList,Table_ExternalData_15[[#Headers],[9]])</f>
        <v>0</v>
      </c>
      <c r="N312" s="10">
        <f>SUMIFS(IsQList,IsIList,Table_ExternalData_15[[#This Row],[item_key]],IsITypeList,Table_ExternalData_15[[#This Row],[IType]],IsDList,Table_ExternalData_15[[#Headers],[10]])</f>
        <v>0</v>
      </c>
      <c r="O312" s="10">
        <f>SUMIFS(IsQList,IsIList,Table_ExternalData_15[[#This Row],[item_key]],IsITypeList,Table_ExternalData_15[[#This Row],[IType]],IsDList,Table_ExternalData_15[[#Headers],[11]])</f>
        <v>0</v>
      </c>
      <c r="P312" s="10">
        <f>SUMIFS(IsQList,IsIList,Table_ExternalData_15[[#This Row],[item_key]],IsITypeList,Table_ExternalData_15[[#This Row],[IType]],IsDList,Table_ExternalData_15[[#Headers],[12]])</f>
        <v>0</v>
      </c>
      <c r="Q312" s="10">
        <f>SUMIFS(IsQList,IsIList,Table_ExternalData_15[[#This Row],[item_key]],IsITypeList,Table_ExternalData_15[[#This Row],[IType]],IsDList,Table_ExternalData_15[[#Headers],[13]])</f>
        <v>0</v>
      </c>
      <c r="R312" s="10">
        <f>SUMIFS(IsQList,IsIList,Table_ExternalData_15[[#This Row],[item_key]],IsITypeList,Table_ExternalData_15[[#This Row],[IType]],IsDList,Table_ExternalData_15[[#Headers],[14]])</f>
        <v>0</v>
      </c>
      <c r="S312" s="10">
        <f>SUMIFS(IsQList,IsIList,Table_ExternalData_15[[#This Row],[item_key]],IsITypeList,Table_ExternalData_15[[#This Row],[IType]],IsDList,Table_ExternalData_15[[#Headers],[15]])</f>
        <v>0</v>
      </c>
      <c r="T312" s="10">
        <f>SUMIFS(IsQList,IsIList,Table_ExternalData_15[[#This Row],[item_key]],IsITypeList,Table_ExternalData_15[[#This Row],[IType]],IsDList,Table_ExternalData_15[[#Headers],[16]])</f>
        <v>50</v>
      </c>
      <c r="U312" s="10">
        <f>SUMIFS(IsQList,IsIList,Table_ExternalData_15[[#This Row],[item_key]],IsITypeList,Table_ExternalData_15[[#This Row],[IType]],IsDList,Table_ExternalData_15[[#Headers],[17]])</f>
        <v>0</v>
      </c>
      <c r="V312" s="10">
        <f>SUMIFS(IsQList,IsIList,Table_ExternalData_15[[#This Row],[item_key]],IsITypeList,Table_ExternalData_15[[#This Row],[IType]],IsDList,Table_ExternalData_15[[#Headers],[18]])</f>
        <v>0</v>
      </c>
      <c r="W312" s="10">
        <f>SUMIFS(IsQList,IsIList,Table_ExternalData_15[[#This Row],[item_key]],IsITypeList,Table_ExternalData_15[[#This Row],[IType]],IsDList,Table_ExternalData_15[[#Headers],[19]])</f>
        <v>0</v>
      </c>
      <c r="X312" s="10">
        <f>SUMIFS(IsQList,IsIList,Table_ExternalData_15[[#This Row],[item_key]],IsITypeList,Table_ExternalData_15[[#This Row],[IType]],IsDList,Table_ExternalData_15[[#Headers],[20]])</f>
        <v>0</v>
      </c>
      <c r="Y312" s="10">
        <f>SUMIFS(IsQList,IsIList,Table_ExternalData_15[[#This Row],[item_key]],IsITypeList,Table_ExternalData_15[[#This Row],[IType]],IsDList,Table_ExternalData_15[[#Headers],[21]])</f>
        <v>0</v>
      </c>
      <c r="Z312" s="10">
        <f>SUMIFS(IsQList,IsIList,Table_ExternalData_15[[#This Row],[item_key]],IsITypeList,Table_ExternalData_15[[#This Row],[IType]],IsDList,Table_ExternalData_15[[#Headers],[22]])</f>
        <v>0</v>
      </c>
      <c r="AA312" s="10">
        <f>SUMIFS(IsQList,IsIList,Table_ExternalData_15[[#This Row],[item_key]],IsITypeList,Table_ExternalData_15[[#This Row],[IType]],IsDList,Table_ExternalData_15[[#Headers],[23]])</f>
        <v>0</v>
      </c>
      <c r="AB312" s="10">
        <f>SUMIFS(IsQList,IsIList,Table_ExternalData_15[[#This Row],[item_key]],IsITypeList,Table_ExternalData_15[[#This Row],[IType]],IsDList,Table_ExternalData_15[[#Headers],[24]])</f>
        <v>0</v>
      </c>
      <c r="AC312" s="10">
        <f>SUMIFS(IsQList,IsIList,Table_ExternalData_15[[#This Row],[item_key]],IsITypeList,Table_ExternalData_15[[#This Row],[IType]],IsDList,Table_ExternalData_15[[#Headers],[25]])</f>
        <v>0</v>
      </c>
      <c r="AD312" s="10">
        <f>SUMIFS(IsQList,IsIList,Table_ExternalData_15[[#This Row],[item_key]],IsITypeList,Table_ExternalData_15[[#This Row],[IType]],IsDList,Table_ExternalData_15[[#Headers],[26]])</f>
        <v>0</v>
      </c>
      <c r="AE312" s="10">
        <f>SUMIFS(IsQList,IsIList,Table_ExternalData_15[[#This Row],[item_key]],IsITypeList,Table_ExternalData_15[[#This Row],[IType]],IsDList,Table_ExternalData_15[[#Headers],[27]])</f>
        <v>0</v>
      </c>
      <c r="AF312" s="10">
        <f>SUMIFS(IsQList,IsIList,Table_ExternalData_15[[#This Row],[item_key]],IsITypeList,Table_ExternalData_15[[#This Row],[IType]],IsDList,Table_ExternalData_15[[#Headers],[28]])</f>
        <v>0</v>
      </c>
      <c r="AG312" s="10">
        <f>SUMIFS(IsQList,IsIList,Table_ExternalData_15[[#This Row],[item_key]],IsITypeList,Table_ExternalData_15[[#This Row],[IType]],IsDList,Table_ExternalData_15[[#Headers],[29]])</f>
        <v>0</v>
      </c>
      <c r="AH312" s="10">
        <f>SUMIFS(IsQList,IsIList,Table_ExternalData_15[[#This Row],[item_key]],IsITypeList,Table_ExternalData_15[[#This Row],[IType]],IsDList,Table_ExternalData_15[[#Headers],[30]])</f>
        <v>50</v>
      </c>
      <c r="AI312" s="10">
        <f>SUMIFS(IsQList,IsIList,Table_ExternalData_15[[#This Row],[item_key]],IsITypeList,Table_ExternalData_15[[#This Row],[IType]],IsDList,Table_ExternalData_15[[#Headers],[31]])</f>
        <v>0</v>
      </c>
      <c r="AJ312" s="10">
        <f>SUM(Table_ExternalData_15[[#This Row],[1]:[31]])</f>
        <v>100</v>
      </c>
    </row>
    <row r="313" spans="1:36">
      <c r="A313" s="1" t="s">
        <v>963</v>
      </c>
      <c r="B313" s="1" t="s">
        <v>1466</v>
      </c>
      <c r="C313" s="1" t="s">
        <v>1467</v>
      </c>
      <c r="D313" s="11" t="s">
        <v>72</v>
      </c>
      <c r="E313" s="10">
        <f>SUMIFS(IsQList,IsIList,Table_ExternalData_15[[#This Row],[item_key]],IsITypeList,Table_ExternalData_15[[#This Row],[IType]],IsDList,Table_ExternalData_15[[#Headers],[1]])</f>
        <v>0</v>
      </c>
      <c r="F313" s="10">
        <f>SUMIFS(IsQList,IsIList,Table_ExternalData_15[[#This Row],[item_key]],IsITypeList,Table_ExternalData_15[[#This Row],[IType]],IsDList,Table_ExternalData_15[[#Headers],[2]])</f>
        <v>0</v>
      </c>
      <c r="G313" s="10">
        <f>SUMIFS(IsQList,IsIList,Table_ExternalData_15[[#This Row],[item_key]],IsITypeList,Table_ExternalData_15[[#This Row],[IType]],IsDList,Table_ExternalData_15[[#Headers],[3]])</f>
        <v>0</v>
      </c>
      <c r="H313" s="10">
        <f>SUMIFS(IsQList,IsIList,Table_ExternalData_15[[#This Row],[item_key]],IsITypeList,Table_ExternalData_15[[#This Row],[IType]],IsDList,Table_ExternalData_15[[#Headers],[4]])</f>
        <v>0</v>
      </c>
      <c r="I313" s="10">
        <f>SUMIFS(IsQList,IsIList,Table_ExternalData_15[[#This Row],[item_key]],IsITypeList,Table_ExternalData_15[[#This Row],[IType]],IsDList,Table_ExternalData_15[[#Headers],[5]])</f>
        <v>0</v>
      </c>
      <c r="J313" s="10">
        <f>SUMIFS(IsQList,IsIList,Table_ExternalData_15[[#This Row],[item_key]],IsITypeList,Table_ExternalData_15[[#This Row],[IType]],IsDList,Table_ExternalData_15[[#Headers],[6]])</f>
        <v>0</v>
      </c>
      <c r="K313" s="10">
        <f>SUMIFS(IsQList,IsIList,Table_ExternalData_15[[#This Row],[item_key]],IsITypeList,Table_ExternalData_15[[#This Row],[IType]],IsDList,Table_ExternalData_15[[#Headers],[7]])</f>
        <v>0</v>
      </c>
      <c r="L313" s="10">
        <f>SUMIFS(IsQList,IsIList,Table_ExternalData_15[[#This Row],[item_key]],IsITypeList,Table_ExternalData_15[[#This Row],[IType]],IsDList,Table_ExternalData_15[[#Headers],[8]])</f>
        <v>0</v>
      </c>
      <c r="M313" s="10">
        <f>SUMIFS(IsQList,IsIList,Table_ExternalData_15[[#This Row],[item_key]],IsITypeList,Table_ExternalData_15[[#This Row],[IType]],IsDList,Table_ExternalData_15[[#Headers],[9]])</f>
        <v>0</v>
      </c>
      <c r="N313" s="10">
        <f>SUMIFS(IsQList,IsIList,Table_ExternalData_15[[#This Row],[item_key]],IsITypeList,Table_ExternalData_15[[#This Row],[IType]],IsDList,Table_ExternalData_15[[#Headers],[10]])</f>
        <v>0</v>
      </c>
      <c r="O313" s="10">
        <f>SUMIFS(IsQList,IsIList,Table_ExternalData_15[[#This Row],[item_key]],IsITypeList,Table_ExternalData_15[[#This Row],[IType]],IsDList,Table_ExternalData_15[[#Headers],[11]])</f>
        <v>0</v>
      </c>
      <c r="P313" s="10">
        <f>SUMIFS(IsQList,IsIList,Table_ExternalData_15[[#This Row],[item_key]],IsITypeList,Table_ExternalData_15[[#This Row],[IType]],IsDList,Table_ExternalData_15[[#Headers],[12]])</f>
        <v>0</v>
      </c>
      <c r="Q313" s="10">
        <f>SUMIFS(IsQList,IsIList,Table_ExternalData_15[[#This Row],[item_key]],IsITypeList,Table_ExternalData_15[[#This Row],[IType]],IsDList,Table_ExternalData_15[[#Headers],[13]])</f>
        <v>0</v>
      </c>
      <c r="R313" s="10">
        <f>SUMIFS(IsQList,IsIList,Table_ExternalData_15[[#This Row],[item_key]],IsITypeList,Table_ExternalData_15[[#This Row],[IType]],IsDList,Table_ExternalData_15[[#Headers],[14]])</f>
        <v>0</v>
      </c>
      <c r="S313" s="10">
        <f>SUMIFS(IsQList,IsIList,Table_ExternalData_15[[#This Row],[item_key]],IsITypeList,Table_ExternalData_15[[#This Row],[IType]],IsDList,Table_ExternalData_15[[#Headers],[15]])</f>
        <v>0</v>
      </c>
      <c r="T313" s="10">
        <f>SUMIFS(IsQList,IsIList,Table_ExternalData_15[[#This Row],[item_key]],IsITypeList,Table_ExternalData_15[[#This Row],[IType]],IsDList,Table_ExternalData_15[[#Headers],[16]])</f>
        <v>0</v>
      </c>
      <c r="U313" s="10">
        <f>SUMIFS(IsQList,IsIList,Table_ExternalData_15[[#This Row],[item_key]],IsITypeList,Table_ExternalData_15[[#This Row],[IType]],IsDList,Table_ExternalData_15[[#Headers],[17]])</f>
        <v>0</v>
      </c>
      <c r="V313" s="10">
        <f>SUMIFS(IsQList,IsIList,Table_ExternalData_15[[#This Row],[item_key]],IsITypeList,Table_ExternalData_15[[#This Row],[IType]],IsDList,Table_ExternalData_15[[#Headers],[18]])</f>
        <v>0</v>
      </c>
      <c r="W313" s="10">
        <f>SUMIFS(IsQList,IsIList,Table_ExternalData_15[[#This Row],[item_key]],IsITypeList,Table_ExternalData_15[[#This Row],[IType]],IsDList,Table_ExternalData_15[[#Headers],[19]])</f>
        <v>0</v>
      </c>
      <c r="X313" s="10">
        <f>SUMIFS(IsQList,IsIList,Table_ExternalData_15[[#This Row],[item_key]],IsITypeList,Table_ExternalData_15[[#This Row],[IType]],IsDList,Table_ExternalData_15[[#Headers],[20]])</f>
        <v>0</v>
      </c>
      <c r="Y313" s="10">
        <f>SUMIFS(IsQList,IsIList,Table_ExternalData_15[[#This Row],[item_key]],IsITypeList,Table_ExternalData_15[[#This Row],[IType]],IsDList,Table_ExternalData_15[[#Headers],[21]])</f>
        <v>0</v>
      </c>
      <c r="Z313" s="10">
        <f>SUMIFS(IsQList,IsIList,Table_ExternalData_15[[#This Row],[item_key]],IsITypeList,Table_ExternalData_15[[#This Row],[IType]],IsDList,Table_ExternalData_15[[#Headers],[22]])</f>
        <v>0</v>
      </c>
      <c r="AA313" s="10">
        <f>SUMIFS(IsQList,IsIList,Table_ExternalData_15[[#This Row],[item_key]],IsITypeList,Table_ExternalData_15[[#This Row],[IType]],IsDList,Table_ExternalData_15[[#Headers],[23]])</f>
        <v>0</v>
      </c>
      <c r="AB313" s="10">
        <f>SUMIFS(IsQList,IsIList,Table_ExternalData_15[[#This Row],[item_key]],IsITypeList,Table_ExternalData_15[[#This Row],[IType]],IsDList,Table_ExternalData_15[[#Headers],[24]])</f>
        <v>0</v>
      </c>
      <c r="AC313" s="10">
        <f>SUMIFS(IsQList,IsIList,Table_ExternalData_15[[#This Row],[item_key]],IsITypeList,Table_ExternalData_15[[#This Row],[IType]],IsDList,Table_ExternalData_15[[#Headers],[25]])</f>
        <v>0</v>
      </c>
      <c r="AD313" s="10">
        <f>SUMIFS(IsQList,IsIList,Table_ExternalData_15[[#This Row],[item_key]],IsITypeList,Table_ExternalData_15[[#This Row],[IType]],IsDList,Table_ExternalData_15[[#Headers],[26]])</f>
        <v>0</v>
      </c>
      <c r="AE313" s="10">
        <f>SUMIFS(IsQList,IsIList,Table_ExternalData_15[[#This Row],[item_key]],IsITypeList,Table_ExternalData_15[[#This Row],[IType]],IsDList,Table_ExternalData_15[[#Headers],[27]])</f>
        <v>0</v>
      </c>
      <c r="AF313" s="10">
        <f>SUMIFS(IsQList,IsIList,Table_ExternalData_15[[#This Row],[item_key]],IsITypeList,Table_ExternalData_15[[#This Row],[IType]],IsDList,Table_ExternalData_15[[#Headers],[28]])</f>
        <v>0</v>
      </c>
      <c r="AG313" s="10">
        <f>SUMIFS(IsQList,IsIList,Table_ExternalData_15[[#This Row],[item_key]],IsITypeList,Table_ExternalData_15[[#This Row],[IType]],IsDList,Table_ExternalData_15[[#Headers],[29]])</f>
        <v>0</v>
      </c>
      <c r="AH313" s="10">
        <f>SUMIFS(IsQList,IsIList,Table_ExternalData_15[[#This Row],[item_key]],IsITypeList,Table_ExternalData_15[[#This Row],[IType]],IsDList,Table_ExternalData_15[[#Headers],[30]])</f>
        <v>0</v>
      </c>
      <c r="AI313" s="10">
        <f>SUMIFS(IsQList,IsIList,Table_ExternalData_15[[#This Row],[item_key]],IsITypeList,Table_ExternalData_15[[#This Row],[IType]],IsDList,Table_ExternalData_15[[#Headers],[31]])</f>
        <v>0</v>
      </c>
      <c r="AJ313" s="10">
        <f>SUM(Table_ExternalData_15[[#This Row],[1]:[31]])</f>
        <v>0</v>
      </c>
    </row>
    <row r="314" spans="1:36">
      <c r="A314" s="1" t="s">
        <v>964</v>
      </c>
      <c r="B314" s="1" t="s">
        <v>1468</v>
      </c>
      <c r="C314" s="1" t="s">
        <v>1469</v>
      </c>
      <c r="D314" s="11" t="s">
        <v>72</v>
      </c>
      <c r="E314" s="10">
        <f>SUMIFS(IsQList,IsIList,Table_ExternalData_15[[#This Row],[item_key]],IsITypeList,Table_ExternalData_15[[#This Row],[IType]],IsDList,Table_ExternalData_15[[#Headers],[1]])</f>
        <v>0</v>
      </c>
      <c r="F314" s="10">
        <f>SUMIFS(IsQList,IsIList,Table_ExternalData_15[[#This Row],[item_key]],IsITypeList,Table_ExternalData_15[[#This Row],[IType]],IsDList,Table_ExternalData_15[[#Headers],[2]])</f>
        <v>0</v>
      </c>
      <c r="G314" s="10">
        <f>SUMIFS(IsQList,IsIList,Table_ExternalData_15[[#This Row],[item_key]],IsITypeList,Table_ExternalData_15[[#This Row],[IType]],IsDList,Table_ExternalData_15[[#Headers],[3]])</f>
        <v>0</v>
      </c>
      <c r="H314" s="10">
        <f>SUMIFS(IsQList,IsIList,Table_ExternalData_15[[#This Row],[item_key]],IsITypeList,Table_ExternalData_15[[#This Row],[IType]],IsDList,Table_ExternalData_15[[#Headers],[4]])</f>
        <v>0</v>
      </c>
      <c r="I314" s="10">
        <f>SUMIFS(IsQList,IsIList,Table_ExternalData_15[[#This Row],[item_key]],IsITypeList,Table_ExternalData_15[[#This Row],[IType]],IsDList,Table_ExternalData_15[[#Headers],[5]])</f>
        <v>0</v>
      </c>
      <c r="J314" s="10">
        <f>SUMIFS(IsQList,IsIList,Table_ExternalData_15[[#This Row],[item_key]],IsITypeList,Table_ExternalData_15[[#This Row],[IType]],IsDList,Table_ExternalData_15[[#Headers],[6]])</f>
        <v>50</v>
      </c>
      <c r="K314" s="10">
        <f>SUMIFS(IsQList,IsIList,Table_ExternalData_15[[#This Row],[item_key]],IsITypeList,Table_ExternalData_15[[#This Row],[IType]],IsDList,Table_ExternalData_15[[#Headers],[7]])</f>
        <v>0</v>
      </c>
      <c r="L314" s="10">
        <f>SUMIFS(IsQList,IsIList,Table_ExternalData_15[[#This Row],[item_key]],IsITypeList,Table_ExternalData_15[[#This Row],[IType]],IsDList,Table_ExternalData_15[[#Headers],[8]])</f>
        <v>0</v>
      </c>
      <c r="M314" s="10">
        <f>SUMIFS(IsQList,IsIList,Table_ExternalData_15[[#This Row],[item_key]],IsITypeList,Table_ExternalData_15[[#This Row],[IType]],IsDList,Table_ExternalData_15[[#Headers],[9]])</f>
        <v>0</v>
      </c>
      <c r="N314" s="10">
        <f>SUMIFS(IsQList,IsIList,Table_ExternalData_15[[#This Row],[item_key]],IsITypeList,Table_ExternalData_15[[#This Row],[IType]],IsDList,Table_ExternalData_15[[#Headers],[10]])</f>
        <v>0</v>
      </c>
      <c r="O314" s="10">
        <f>SUMIFS(IsQList,IsIList,Table_ExternalData_15[[#This Row],[item_key]],IsITypeList,Table_ExternalData_15[[#This Row],[IType]],IsDList,Table_ExternalData_15[[#Headers],[11]])</f>
        <v>0</v>
      </c>
      <c r="P314" s="10">
        <f>SUMIFS(IsQList,IsIList,Table_ExternalData_15[[#This Row],[item_key]],IsITypeList,Table_ExternalData_15[[#This Row],[IType]],IsDList,Table_ExternalData_15[[#Headers],[12]])</f>
        <v>0</v>
      </c>
      <c r="Q314" s="10">
        <f>SUMIFS(IsQList,IsIList,Table_ExternalData_15[[#This Row],[item_key]],IsITypeList,Table_ExternalData_15[[#This Row],[IType]],IsDList,Table_ExternalData_15[[#Headers],[13]])</f>
        <v>0</v>
      </c>
      <c r="R314" s="10">
        <f>SUMIFS(IsQList,IsIList,Table_ExternalData_15[[#This Row],[item_key]],IsITypeList,Table_ExternalData_15[[#This Row],[IType]],IsDList,Table_ExternalData_15[[#Headers],[14]])</f>
        <v>0</v>
      </c>
      <c r="S314" s="10">
        <f>SUMIFS(IsQList,IsIList,Table_ExternalData_15[[#This Row],[item_key]],IsITypeList,Table_ExternalData_15[[#This Row],[IType]],IsDList,Table_ExternalData_15[[#Headers],[15]])</f>
        <v>0</v>
      </c>
      <c r="T314" s="10">
        <f>SUMIFS(IsQList,IsIList,Table_ExternalData_15[[#This Row],[item_key]],IsITypeList,Table_ExternalData_15[[#This Row],[IType]],IsDList,Table_ExternalData_15[[#Headers],[16]])</f>
        <v>0</v>
      </c>
      <c r="U314" s="10">
        <f>SUMIFS(IsQList,IsIList,Table_ExternalData_15[[#This Row],[item_key]],IsITypeList,Table_ExternalData_15[[#This Row],[IType]],IsDList,Table_ExternalData_15[[#Headers],[17]])</f>
        <v>0</v>
      </c>
      <c r="V314" s="10">
        <f>SUMIFS(IsQList,IsIList,Table_ExternalData_15[[#This Row],[item_key]],IsITypeList,Table_ExternalData_15[[#This Row],[IType]],IsDList,Table_ExternalData_15[[#Headers],[18]])</f>
        <v>0</v>
      </c>
      <c r="W314" s="10">
        <f>SUMIFS(IsQList,IsIList,Table_ExternalData_15[[#This Row],[item_key]],IsITypeList,Table_ExternalData_15[[#This Row],[IType]],IsDList,Table_ExternalData_15[[#Headers],[19]])</f>
        <v>0</v>
      </c>
      <c r="X314" s="10">
        <f>SUMIFS(IsQList,IsIList,Table_ExternalData_15[[#This Row],[item_key]],IsITypeList,Table_ExternalData_15[[#This Row],[IType]],IsDList,Table_ExternalData_15[[#Headers],[20]])</f>
        <v>0</v>
      </c>
      <c r="Y314" s="10">
        <f>SUMIFS(IsQList,IsIList,Table_ExternalData_15[[#This Row],[item_key]],IsITypeList,Table_ExternalData_15[[#This Row],[IType]],IsDList,Table_ExternalData_15[[#Headers],[21]])</f>
        <v>0</v>
      </c>
      <c r="Z314" s="10">
        <f>SUMIFS(IsQList,IsIList,Table_ExternalData_15[[#This Row],[item_key]],IsITypeList,Table_ExternalData_15[[#This Row],[IType]],IsDList,Table_ExternalData_15[[#Headers],[22]])</f>
        <v>0</v>
      </c>
      <c r="AA314" s="10">
        <f>SUMIFS(IsQList,IsIList,Table_ExternalData_15[[#This Row],[item_key]],IsITypeList,Table_ExternalData_15[[#This Row],[IType]],IsDList,Table_ExternalData_15[[#Headers],[23]])</f>
        <v>0</v>
      </c>
      <c r="AB314" s="10">
        <f>SUMIFS(IsQList,IsIList,Table_ExternalData_15[[#This Row],[item_key]],IsITypeList,Table_ExternalData_15[[#This Row],[IType]],IsDList,Table_ExternalData_15[[#Headers],[24]])</f>
        <v>0</v>
      </c>
      <c r="AC314" s="10">
        <f>SUMIFS(IsQList,IsIList,Table_ExternalData_15[[#This Row],[item_key]],IsITypeList,Table_ExternalData_15[[#This Row],[IType]],IsDList,Table_ExternalData_15[[#Headers],[25]])</f>
        <v>0</v>
      </c>
      <c r="AD314" s="10">
        <f>SUMIFS(IsQList,IsIList,Table_ExternalData_15[[#This Row],[item_key]],IsITypeList,Table_ExternalData_15[[#This Row],[IType]],IsDList,Table_ExternalData_15[[#Headers],[26]])</f>
        <v>0</v>
      </c>
      <c r="AE314" s="10">
        <f>SUMIFS(IsQList,IsIList,Table_ExternalData_15[[#This Row],[item_key]],IsITypeList,Table_ExternalData_15[[#This Row],[IType]],IsDList,Table_ExternalData_15[[#Headers],[27]])</f>
        <v>0</v>
      </c>
      <c r="AF314" s="10">
        <f>SUMIFS(IsQList,IsIList,Table_ExternalData_15[[#This Row],[item_key]],IsITypeList,Table_ExternalData_15[[#This Row],[IType]],IsDList,Table_ExternalData_15[[#Headers],[28]])</f>
        <v>0</v>
      </c>
      <c r="AG314" s="10">
        <f>SUMIFS(IsQList,IsIList,Table_ExternalData_15[[#This Row],[item_key]],IsITypeList,Table_ExternalData_15[[#This Row],[IType]],IsDList,Table_ExternalData_15[[#Headers],[29]])</f>
        <v>0</v>
      </c>
      <c r="AH314" s="10">
        <f>SUMIFS(IsQList,IsIList,Table_ExternalData_15[[#This Row],[item_key]],IsITypeList,Table_ExternalData_15[[#This Row],[IType]],IsDList,Table_ExternalData_15[[#Headers],[30]])</f>
        <v>0</v>
      </c>
      <c r="AI314" s="10">
        <f>SUMIFS(IsQList,IsIList,Table_ExternalData_15[[#This Row],[item_key]],IsITypeList,Table_ExternalData_15[[#This Row],[IType]],IsDList,Table_ExternalData_15[[#Headers],[31]])</f>
        <v>0</v>
      </c>
      <c r="AJ314" s="10">
        <f>SUM(Table_ExternalData_15[[#This Row],[1]:[31]])</f>
        <v>50</v>
      </c>
    </row>
    <row r="315" spans="1:36">
      <c r="A315" s="1" t="s">
        <v>965</v>
      </c>
      <c r="B315" s="1" t="s">
        <v>1470</v>
      </c>
      <c r="C315" s="1" t="s">
        <v>1471</v>
      </c>
      <c r="D315" s="11" t="s">
        <v>72</v>
      </c>
      <c r="E315" s="10">
        <f>SUMIFS(IsQList,IsIList,Table_ExternalData_15[[#This Row],[item_key]],IsITypeList,Table_ExternalData_15[[#This Row],[IType]],IsDList,Table_ExternalData_15[[#Headers],[1]])</f>
        <v>0</v>
      </c>
      <c r="F315" s="10">
        <f>SUMIFS(IsQList,IsIList,Table_ExternalData_15[[#This Row],[item_key]],IsITypeList,Table_ExternalData_15[[#This Row],[IType]],IsDList,Table_ExternalData_15[[#Headers],[2]])</f>
        <v>0</v>
      </c>
      <c r="G315" s="10">
        <f>SUMIFS(IsQList,IsIList,Table_ExternalData_15[[#This Row],[item_key]],IsITypeList,Table_ExternalData_15[[#This Row],[IType]],IsDList,Table_ExternalData_15[[#Headers],[3]])</f>
        <v>0</v>
      </c>
      <c r="H315" s="10">
        <f>SUMIFS(IsQList,IsIList,Table_ExternalData_15[[#This Row],[item_key]],IsITypeList,Table_ExternalData_15[[#This Row],[IType]],IsDList,Table_ExternalData_15[[#Headers],[4]])</f>
        <v>0</v>
      </c>
      <c r="I315" s="10">
        <f>SUMIFS(IsQList,IsIList,Table_ExternalData_15[[#This Row],[item_key]],IsITypeList,Table_ExternalData_15[[#This Row],[IType]],IsDList,Table_ExternalData_15[[#Headers],[5]])</f>
        <v>0</v>
      </c>
      <c r="J315" s="10">
        <f>SUMIFS(IsQList,IsIList,Table_ExternalData_15[[#This Row],[item_key]],IsITypeList,Table_ExternalData_15[[#This Row],[IType]],IsDList,Table_ExternalData_15[[#Headers],[6]])</f>
        <v>100</v>
      </c>
      <c r="K315" s="10">
        <f>SUMIFS(IsQList,IsIList,Table_ExternalData_15[[#This Row],[item_key]],IsITypeList,Table_ExternalData_15[[#This Row],[IType]],IsDList,Table_ExternalData_15[[#Headers],[7]])</f>
        <v>0</v>
      </c>
      <c r="L315" s="10">
        <f>SUMIFS(IsQList,IsIList,Table_ExternalData_15[[#This Row],[item_key]],IsITypeList,Table_ExternalData_15[[#This Row],[IType]],IsDList,Table_ExternalData_15[[#Headers],[8]])</f>
        <v>0</v>
      </c>
      <c r="M315" s="10">
        <f>SUMIFS(IsQList,IsIList,Table_ExternalData_15[[#This Row],[item_key]],IsITypeList,Table_ExternalData_15[[#This Row],[IType]],IsDList,Table_ExternalData_15[[#Headers],[9]])</f>
        <v>0</v>
      </c>
      <c r="N315" s="10">
        <f>SUMIFS(IsQList,IsIList,Table_ExternalData_15[[#This Row],[item_key]],IsITypeList,Table_ExternalData_15[[#This Row],[IType]],IsDList,Table_ExternalData_15[[#Headers],[10]])</f>
        <v>30</v>
      </c>
      <c r="O315" s="10">
        <f>SUMIFS(IsQList,IsIList,Table_ExternalData_15[[#This Row],[item_key]],IsITypeList,Table_ExternalData_15[[#This Row],[IType]],IsDList,Table_ExternalData_15[[#Headers],[11]])</f>
        <v>0</v>
      </c>
      <c r="P315" s="10">
        <f>SUMIFS(IsQList,IsIList,Table_ExternalData_15[[#This Row],[item_key]],IsITypeList,Table_ExternalData_15[[#This Row],[IType]],IsDList,Table_ExternalData_15[[#Headers],[12]])</f>
        <v>0</v>
      </c>
      <c r="Q315" s="10">
        <f>SUMIFS(IsQList,IsIList,Table_ExternalData_15[[#This Row],[item_key]],IsITypeList,Table_ExternalData_15[[#This Row],[IType]],IsDList,Table_ExternalData_15[[#Headers],[13]])</f>
        <v>0</v>
      </c>
      <c r="R315" s="10">
        <f>SUMIFS(IsQList,IsIList,Table_ExternalData_15[[#This Row],[item_key]],IsITypeList,Table_ExternalData_15[[#This Row],[IType]],IsDList,Table_ExternalData_15[[#Headers],[14]])</f>
        <v>0</v>
      </c>
      <c r="S315" s="10">
        <f>SUMIFS(IsQList,IsIList,Table_ExternalData_15[[#This Row],[item_key]],IsITypeList,Table_ExternalData_15[[#This Row],[IType]],IsDList,Table_ExternalData_15[[#Headers],[15]])</f>
        <v>0</v>
      </c>
      <c r="T315" s="10">
        <f>SUMIFS(IsQList,IsIList,Table_ExternalData_15[[#This Row],[item_key]],IsITypeList,Table_ExternalData_15[[#This Row],[IType]],IsDList,Table_ExternalData_15[[#Headers],[16]])</f>
        <v>0</v>
      </c>
      <c r="U315" s="10">
        <f>SUMIFS(IsQList,IsIList,Table_ExternalData_15[[#This Row],[item_key]],IsITypeList,Table_ExternalData_15[[#This Row],[IType]],IsDList,Table_ExternalData_15[[#Headers],[17]])</f>
        <v>0</v>
      </c>
      <c r="V315" s="10">
        <f>SUMIFS(IsQList,IsIList,Table_ExternalData_15[[#This Row],[item_key]],IsITypeList,Table_ExternalData_15[[#This Row],[IType]],IsDList,Table_ExternalData_15[[#Headers],[18]])</f>
        <v>0</v>
      </c>
      <c r="W315" s="10">
        <f>SUMIFS(IsQList,IsIList,Table_ExternalData_15[[#This Row],[item_key]],IsITypeList,Table_ExternalData_15[[#This Row],[IType]],IsDList,Table_ExternalData_15[[#Headers],[19]])</f>
        <v>0</v>
      </c>
      <c r="X315" s="10">
        <f>SUMIFS(IsQList,IsIList,Table_ExternalData_15[[#This Row],[item_key]],IsITypeList,Table_ExternalData_15[[#This Row],[IType]],IsDList,Table_ExternalData_15[[#Headers],[20]])</f>
        <v>0</v>
      </c>
      <c r="Y315" s="10">
        <f>SUMIFS(IsQList,IsIList,Table_ExternalData_15[[#This Row],[item_key]],IsITypeList,Table_ExternalData_15[[#This Row],[IType]],IsDList,Table_ExternalData_15[[#Headers],[21]])</f>
        <v>0</v>
      </c>
      <c r="Z315" s="10">
        <f>SUMIFS(IsQList,IsIList,Table_ExternalData_15[[#This Row],[item_key]],IsITypeList,Table_ExternalData_15[[#This Row],[IType]],IsDList,Table_ExternalData_15[[#Headers],[22]])</f>
        <v>0</v>
      </c>
      <c r="AA315" s="10">
        <f>SUMIFS(IsQList,IsIList,Table_ExternalData_15[[#This Row],[item_key]],IsITypeList,Table_ExternalData_15[[#This Row],[IType]],IsDList,Table_ExternalData_15[[#Headers],[23]])</f>
        <v>0</v>
      </c>
      <c r="AB315" s="10">
        <f>SUMIFS(IsQList,IsIList,Table_ExternalData_15[[#This Row],[item_key]],IsITypeList,Table_ExternalData_15[[#This Row],[IType]],IsDList,Table_ExternalData_15[[#Headers],[24]])</f>
        <v>0</v>
      </c>
      <c r="AC315" s="10">
        <f>SUMIFS(IsQList,IsIList,Table_ExternalData_15[[#This Row],[item_key]],IsITypeList,Table_ExternalData_15[[#This Row],[IType]],IsDList,Table_ExternalData_15[[#Headers],[25]])</f>
        <v>0</v>
      </c>
      <c r="AD315" s="10">
        <f>SUMIFS(IsQList,IsIList,Table_ExternalData_15[[#This Row],[item_key]],IsITypeList,Table_ExternalData_15[[#This Row],[IType]],IsDList,Table_ExternalData_15[[#Headers],[26]])</f>
        <v>0</v>
      </c>
      <c r="AE315" s="10">
        <f>SUMIFS(IsQList,IsIList,Table_ExternalData_15[[#This Row],[item_key]],IsITypeList,Table_ExternalData_15[[#This Row],[IType]],IsDList,Table_ExternalData_15[[#Headers],[27]])</f>
        <v>0</v>
      </c>
      <c r="AF315" s="10">
        <f>SUMIFS(IsQList,IsIList,Table_ExternalData_15[[#This Row],[item_key]],IsITypeList,Table_ExternalData_15[[#This Row],[IType]],IsDList,Table_ExternalData_15[[#Headers],[28]])</f>
        <v>0</v>
      </c>
      <c r="AG315" s="10">
        <f>SUMIFS(IsQList,IsIList,Table_ExternalData_15[[#This Row],[item_key]],IsITypeList,Table_ExternalData_15[[#This Row],[IType]],IsDList,Table_ExternalData_15[[#Headers],[29]])</f>
        <v>0</v>
      </c>
      <c r="AH315" s="10">
        <f>SUMIFS(IsQList,IsIList,Table_ExternalData_15[[#This Row],[item_key]],IsITypeList,Table_ExternalData_15[[#This Row],[IType]],IsDList,Table_ExternalData_15[[#Headers],[30]])</f>
        <v>50</v>
      </c>
      <c r="AI315" s="10">
        <f>SUMIFS(IsQList,IsIList,Table_ExternalData_15[[#This Row],[item_key]],IsITypeList,Table_ExternalData_15[[#This Row],[IType]],IsDList,Table_ExternalData_15[[#Headers],[31]])</f>
        <v>0</v>
      </c>
      <c r="AJ315" s="10">
        <f>SUM(Table_ExternalData_15[[#This Row],[1]:[31]])</f>
        <v>180</v>
      </c>
    </row>
    <row r="316" spans="1:36">
      <c r="A316" s="1" t="s">
        <v>966</v>
      </c>
      <c r="B316" s="1" t="s">
        <v>1472</v>
      </c>
      <c r="C316" s="1" t="s">
        <v>1473</v>
      </c>
      <c r="D316" s="11" t="s">
        <v>72</v>
      </c>
      <c r="E316" s="10">
        <f>SUMIFS(IsQList,IsIList,Table_ExternalData_15[[#This Row],[item_key]],IsITypeList,Table_ExternalData_15[[#This Row],[IType]],IsDList,Table_ExternalData_15[[#Headers],[1]])</f>
        <v>0</v>
      </c>
      <c r="F316" s="10">
        <f>SUMIFS(IsQList,IsIList,Table_ExternalData_15[[#This Row],[item_key]],IsITypeList,Table_ExternalData_15[[#This Row],[IType]],IsDList,Table_ExternalData_15[[#Headers],[2]])</f>
        <v>0</v>
      </c>
      <c r="G316" s="10">
        <f>SUMIFS(IsQList,IsIList,Table_ExternalData_15[[#This Row],[item_key]],IsITypeList,Table_ExternalData_15[[#This Row],[IType]],IsDList,Table_ExternalData_15[[#Headers],[3]])</f>
        <v>0</v>
      </c>
      <c r="H316" s="10">
        <f>SUMIFS(IsQList,IsIList,Table_ExternalData_15[[#This Row],[item_key]],IsITypeList,Table_ExternalData_15[[#This Row],[IType]],IsDList,Table_ExternalData_15[[#Headers],[4]])</f>
        <v>0</v>
      </c>
      <c r="I316" s="10">
        <f>SUMIFS(IsQList,IsIList,Table_ExternalData_15[[#This Row],[item_key]],IsITypeList,Table_ExternalData_15[[#This Row],[IType]],IsDList,Table_ExternalData_15[[#Headers],[5]])</f>
        <v>0</v>
      </c>
      <c r="J316" s="10">
        <f>SUMIFS(IsQList,IsIList,Table_ExternalData_15[[#This Row],[item_key]],IsITypeList,Table_ExternalData_15[[#This Row],[IType]],IsDList,Table_ExternalData_15[[#Headers],[6]])</f>
        <v>0</v>
      </c>
      <c r="K316" s="10">
        <f>SUMIFS(IsQList,IsIList,Table_ExternalData_15[[#This Row],[item_key]],IsITypeList,Table_ExternalData_15[[#This Row],[IType]],IsDList,Table_ExternalData_15[[#Headers],[7]])</f>
        <v>0</v>
      </c>
      <c r="L316" s="10">
        <f>SUMIFS(IsQList,IsIList,Table_ExternalData_15[[#This Row],[item_key]],IsITypeList,Table_ExternalData_15[[#This Row],[IType]],IsDList,Table_ExternalData_15[[#Headers],[8]])</f>
        <v>0</v>
      </c>
      <c r="M316" s="10">
        <f>SUMIFS(IsQList,IsIList,Table_ExternalData_15[[#This Row],[item_key]],IsITypeList,Table_ExternalData_15[[#This Row],[IType]],IsDList,Table_ExternalData_15[[#Headers],[9]])</f>
        <v>0</v>
      </c>
      <c r="N316" s="10">
        <f>SUMIFS(IsQList,IsIList,Table_ExternalData_15[[#This Row],[item_key]],IsITypeList,Table_ExternalData_15[[#This Row],[IType]],IsDList,Table_ExternalData_15[[#Headers],[10]])</f>
        <v>0</v>
      </c>
      <c r="O316" s="10">
        <f>SUMIFS(IsQList,IsIList,Table_ExternalData_15[[#This Row],[item_key]],IsITypeList,Table_ExternalData_15[[#This Row],[IType]],IsDList,Table_ExternalData_15[[#Headers],[11]])</f>
        <v>0</v>
      </c>
      <c r="P316" s="10">
        <f>SUMIFS(IsQList,IsIList,Table_ExternalData_15[[#This Row],[item_key]],IsITypeList,Table_ExternalData_15[[#This Row],[IType]],IsDList,Table_ExternalData_15[[#Headers],[12]])</f>
        <v>0</v>
      </c>
      <c r="Q316" s="10">
        <f>SUMIFS(IsQList,IsIList,Table_ExternalData_15[[#This Row],[item_key]],IsITypeList,Table_ExternalData_15[[#This Row],[IType]],IsDList,Table_ExternalData_15[[#Headers],[13]])</f>
        <v>0</v>
      </c>
      <c r="R316" s="10">
        <f>SUMIFS(IsQList,IsIList,Table_ExternalData_15[[#This Row],[item_key]],IsITypeList,Table_ExternalData_15[[#This Row],[IType]],IsDList,Table_ExternalData_15[[#Headers],[14]])</f>
        <v>0</v>
      </c>
      <c r="S316" s="10">
        <f>SUMIFS(IsQList,IsIList,Table_ExternalData_15[[#This Row],[item_key]],IsITypeList,Table_ExternalData_15[[#This Row],[IType]],IsDList,Table_ExternalData_15[[#Headers],[15]])</f>
        <v>0</v>
      </c>
      <c r="T316" s="10">
        <f>SUMIFS(IsQList,IsIList,Table_ExternalData_15[[#This Row],[item_key]],IsITypeList,Table_ExternalData_15[[#This Row],[IType]],IsDList,Table_ExternalData_15[[#Headers],[16]])</f>
        <v>0</v>
      </c>
      <c r="U316" s="10">
        <f>SUMIFS(IsQList,IsIList,Table_ExternalData_15[[#This Row],[item_key]],IsITypeList,Table_ExternalData_15[[#This Row],[IType]],IsDList,Table_ExternalData_15[[#Headers],[17]])</f>
        <v>0</v>
      </c>
      <c r="V316" s="10">
        <f>SUMIFS(IsQList,IsIList,Table_ExternalData_15[[#This Row],[item_key]],IsITypeList,Table_ExternalData_15[[#This Row],[IType]],IsDList,Table_ExternalData_15[[#Headers],[18]])</f>
        <v>0</v>
      </c>
      <c r="W316" s="10">
        <f>SUMIFS(IsQList,IsIList,Table_ExternalData_15[[#This Row],[item_key]],IsITypeList,Table_ExternalData_15[[#This Row],[IType]],IsDList,Table_ExternalData_15[[#Headers],[19]])</f>
        <v>0</v>
      </c>
      <c r="X316" s="10">
        <f>SUMIFS(IsQList,IsIList,Table_ExternalData_15[[#This Row],[item_key]],IsITypeList,Table_ExternalData_15[[#This Row],[IType]],IsDList,Table_ExternalData_15[[#Headers],[20]])</f>
        <v>0</v>
      </c>
      <c r="Y316" s="10">
        <f>SUMIFS(IsQList,IsIList,Table_ExternalData_15[[#This Row],[item_key]],IsITypeList,Table_ExternalData_15[[#This Row],[IType]],IsDList,Table_ExternalData_15[[#Headers],[21]])</f>
        <v>0</v>
      </c>
      <c r="Z316" s="10">
        <f>SUMIFS(IsQList,IsIList,Table_ExternalData_15[[#This Row],[item_key]],IsITypeList,Table_ExternalData_15[[#This Row],[IType]],IsDList,Table_ExternalData_15[[#Headers],[22]])</f>
        <v>0</v>
      </c>
      <c r="AA316" s="10">
        <f>SUMIFS(IsQList,IsIList,Table_ExternalData_15[[#This Row],[item_key]],IsITypeList,Table_ExternalData_15[[#This Row],[IType]],IsDList,Table_ExternalData_15[[#Headers],[23]])</f>
        <v>0</v>
      </c>
      <c r="AB316" s="10">
        <f>SUMIFS(IsQList,IsIList,Table_ExternalData_15[[#This Row],[item_key]],IsITypeList,Table_ExternalData_15[[#This Row],[IType]],IsDList,Table_ExternalData_15[[#Headers],[24]])</f>
        <v>0</v>
      </c>
      <c r="AC316" s="10">
        <f>SUMIFS(IsQList,IsIList,Table_ExternalData_15[[#This Row],[item_key]],IsITypeList,Table_ExternalData_15[[#This Row],[IType]],IsDList,Table_ExternalData_15[[#Headers],[25]])</f>
        <v>0</v>
      </c>
      <c r="AD316" s="10">
        <f>SUMIFS(IsQList,IsIList,Table_ExternalData_15[[#This Row],[item_key]],IsITypeList,Table_ExternalData_15[[#This Row],[IType]],IsDList,Table_ExternalData_15[[#Headers],[26]])</f>
        <v>0</v>
      </c>
      <c r="AE316" s="10">
        <f>SUMIFS(IsQList,IsIList,Table_ExternalData_15[[#This Row],[item_key]],IsITypeList,Table_ExternalData_15[[#This Row],[IType]],IsDList,Table_ExternalData_15[[#Headers],[27]])</f>
        <v>0</v>
      </c>
      <c r="AF316" s="10">
        <f>SUMIFS(IsQList,IsIList,Table_ExternalData_15[[#This Row],[item_key]],IsITypeList,Table_ExternalData_15[[#This Row],[IType]],IsDList,Table_ExternalData_15[[#Headers],[28]])</f>
        <v>0</v>
      </c>
      <c r="AG316" s="10">
        <f>SUMIFS(IsQList,IsIList,Table_ExternalData_15[[#This Row],[item_key]],IsITypeList,Table_ExternalData_15[[#This Row],[IType]],IsDList,Table_ExternalData_15[[#Headers],[29]])</f>
        <v>0</v>
      </c>
      <c r="AH316" s="10">
        <f>SUMIFS(IsQList,IsIList,Table_ExternalData_15[[#This Row],[item_key]],IsITypeList,Table_ExternalData_15[[#This Row],[IType]],IsDList,Table_ExternalData_15[[#Headers],[30]])</f>
        <v>0</v>
      </c>
      <c r="AI316" s="10">
        <f>SUMIFS(IsQList,IsIList,Table_ExternalData_15[[#This Row],[item_key]],IsITypeList,Table_ExternalData_15[[#This Row],[IType]],IsDList,Table_ExternalData_15[[#Headers],[31]])</f>
        <v>0</v>
      </c>
      <c r="AJ316" s="10">
        <f>SUM(Table_ExternalData_15[[#This Row],[1]:[31]])</f>
        <v>0</v>
      </c>
    </row>
    <row r="317" spans="1:36">
      <c r="A317" s="1" t="s">
        <v>972</v>
      </c>
      <c r="B317" s="1" t="s">
        <v>1480</v>
      </c>
      <c r="C317" s="1" t="s">
        <v>1481</v>
      </c>
      <c r="D317" s="11" t="s">
        <v>72</v>
      </c>
      <c r="E317" s="10">
        <f>SUMIFS(IsQList,IsIList,Table_ExternalData_15[[#This Row],[item_key]],IsITypeList,Table_ExternalData_15[[#This Row],[IType]],IsDList,Table_ExternalData_15[[#Headers],[1]])</f>
        <v>0</v>
      </c>
      <c r="F317" s="10">
        <f>SUMIFS(IsQList,IsIList,Table_ExternalData_15[[#This Row],[item_key]],IsITypeList,Table_ExternalData_15[[#This Row],[IType]],IsDList,Table_ExternalData_15[[#Headers],[2]])</f>
        <v>0</v>
      </c>
      <c r="G317" s="10">
        <f>SUMIFS(IsQList,IsIList,Table_ExternalData_15[[#This Row],[item_key]],IsITypeList,Table_ExternalData_15[[#This Row],[IType]],IsDList,Table_ExternalData_15[[#Headers],[3]])</f>
        <v>0</v>
      </c>
      <c r="H317" s="10">
        <f>SUMIFS(IsQList,IsIList,Table_ExternalData_15[[#This Row],[item_key]],IsITypeList,Table_ExternalData_15[[#This Row],[IType]],IsDList,Table_ExternalData_15[[#Headers],[4]])</f>
        <v>0</v>
      </c>
      <c r="I317" s="10">
        <f>SUMIFS(IsQList,IsIList,Table_ExternalData_15[[#This Row],[item_key]],IsITypeList,Table_ExternalData_15[[#This Row],[IType]],IsDList,Table_ExternalData_15[[#Headers],[5]])</f>
        <v>0</v>
      </c>
      <c r="J317" s="10">
        <f>SUMIFS(IsQList,IsIList,Table_ExternalData_15[[#This Row],[item_key]],IsITypeList,Table_ExternalData_15[[#This Row],[IType]],IsDList,Table_ExternalData_15[[#Headers],[6]])</f>
        <v>50</v>
      </c>
      <c r="K317" s="10">
        <f>SUMIFS(IsQList,IsIList,Table_ExternalData_15[[#This Row],[item_key]],IsITypeList,Table_ExternalData_15[[#This Row],[IType]],IsDList,Table_ExternalData_15[[#Headers],[7]])</f>
        <v>0</v>
      </c>
      <c r="L317" s="10">
        <f>SUMIFS(IsQList,IsIList,Table_ExternalData_15[[#This Row],[item_key]],IsITypeList,Table_ExternalData_15[[#This Row],[IType]],IsDList,Table_ExternalData_15[[#Headers],[8]])</f>
        <v>0</v>
      </c>
      <c r="M317" s="10">
        <f>SUMIFS(IsQList,IsIList,Table_ExternalData_15[[#This Row],[item_key]],IsITypeList,Table_ExternalData_15[[#This Row],[IType]],IsDList,Table_ExternalData_15[[#Headers],[9]])</f>
        <v>0</v>
      </c>
      <c r="N317" s="10">
        <f>SUMIFS(IsQList,IsIList,Table_ExternalData_15[[#This Row],[item_key]],IsITypeList,Table_ExternalData_15[[#This Row],[IType]],IsDList,Table_ExternalData_15[[#Headers],[10]])</f>
        <v>0</v>
      </c>
      <c r="O317" s="10">
        <f>SUMIFS(IsQList,IsIList,Table_ExternalData_15[[#This Row],[item_key]],IsITypeList,Table_ExternalData_15[[#This Row],[IType]],IsDList,Table_ExternalData_15[[#Headers],[11]])</f>
        <v>0</v>
      </c>
      <c r="P317" s="10">
        <f>SUMIFS(IsQList,IsIList,Table_ExternalData_15[[#This Row],[item_key]],IsITypeList,Table_ExternalData_15[[#This Row],[IType]],IsDList,Table_ExternalData_15[[#Headers],[12]])</f>
        <v>0</v>
      </c>
      <c r="Q317" s="10">
        <f>SUMIFS(IsQList,IsIList,Table_ExternalData_15[[#This Row],[item_key]],IsITypeList,Table_ExternalData_15[[#This Row],[IType]],IsDList,Table_ExternalData_15[[#Headers],[13]])</f>
        <v>0</v>
      </c>
      <c r="R317" s="10">
        <f>SUMIFS(IsQList,IsIList,Table_ExternalData_15[[#This Row],[item_key]],IsITypeList,Table_ExternalData_15[[#This Row],[IType]],IsDList,Table_ExternalData_15[[#Headers],[14]])</f>
        <v>0</v>
      </c>
      <c r="S317" s="10">
        <f>SUMIFS(IsQList,IsIList,Table_ExternalData_15[[#This Row],[item_key]],IsITypeList,Table_ExternalData_15[[#This Row],[IType]],IsDList,Table_ExternalData_15[[#Headers],[15]])</f>
        <v>0</v>
      </c>
      <c r="T317" s="10">
        <f>SUMIFS(IsQList,IsIList,Table_ExternalData_15[[#This Row],[item_key]],IsITypeList,Table_ExternalData_15[[#This Row],[IType]],IsDList,Table_ExternalData_15[[#Headers],[16]])</f>
        <v>0</v>
      </c>
      <c r="U317" s="10">
        <f>SUMIFS(IsQList,IsIList,Table_ExternalData_15[[#This Row],[item_key]],IsITypeList,Table_ExternalData_15[[#This Row],[IType]],IsDList,Table_ExternalData_15[[#Headers],[17]])</f>
        <v>0</v>
      </c>
      <c r="V317" s="10">
        <f>SUMIFS(IsQList,IsIList,Table_ExternalData_15[[#This Row],[item_key]],IsITypeList,Table_ExternalData_15[[#This Row],[IType]],IsDList,Table_ExternalData_15[[#Headers],[18]])</f>
        <v>0</v>
      </c>
      <c r="W317" s="10">
        <f>SUMIFS(IsQList,IsIList,Table_ExternalData_15[[#This Row],[item_key]],IsITypeList,Table_ExternalData_15[[#This Row],[IType]],IsDList,Table_ExternalData_15[[#Headers],[19]])</f>
        <v>0</v>
      </c>
      <c r="X317" s="10">
        <f>SUMIFS(IsQList,IsIList,Table_ExternalData_15[[#This Row],[item_key]],IsITypeList,Table_ExternalData_15[[#This Row],[IType]],IsDList,Table_ExternalData_15[[#Headers],[20]])</f>
        <v>0</v>
      </c>
      <c r="Y317" s="10">
        <f>SUMIFS(IsQList,IsIList,Table_ExternalData_15[[#This Row],[item_key]],IsITypeList,Table_ExternalData_15[[#This Row],[IType]],IsDList,Table_ExternalData_15[[#Headers],[21]])</f>
        <v>0</v>
      </c>
      <c r="Z317" s="10">
        <f>SUMIFS(IsQList,IsIList,Table_ExternalData_15[[#This Row],[item_key]],IsITypeList,Table_ExternalData_15[[#This Row],[IType]],IsDList,Table_ExternalData_15[[#Headers],[22]])</f>
        <v>0</v>
      </c>
      <c r="AA317" s="10">
        <f>SUMIFS(IsQList,IsIList,Table_ExternalData_15[[#This Row],[item_key]],IsITypeList,Table_ExternalData_15[[#This Row],[IType]],IsDList,Table_ExternalData_15[[#Headers],[23]])</f>
        <v>0</v>
      </c>
      <c r="AB317" s="10">
        <f>SUMIFS(IsQList,IsIList,Table_ExternalData_15[[#This Row],[item_key]],IsITypeList,Table_ExternalData_15[[#This Row],[IType]],IsDList,Table_ExternalData_15[[#Headers],[24]])</f>
        <v>0</v>
      </c>
      <c r="AC317" s="10">
        <f>SUMIFS(IsQList,IsIList,Table_ExternalData_15[[#This Row],[item_key]],IsITypeList,Table_ExternalData_15[[#This Row],[IType]],IsDList,Table_ExternalData_15[[#Headers],[25]])</f>
        <v>0</v>
      </c>
      <c r="AD317" s="10">
        <f>SUMIFS(IsQList,IsIList,Table_ExternalData_15[[#This Row],[item_key]],IsITypeList,Table_ExternalData_15[[#This Row],[IType]],IsDList,Table_ExternalData_15[[#Headers],[26]])</f>
        <v>0</v>
      </c>
      <c r="AE317" s="10">
        <f>SUMIFS(IsQList,IsIList,Table_ExternalData_15[[#This Row],[item_key]],IsITypeList,Table_ExternalData_15[[#This Row],[IType]],IsDList,Table_ExternalData_15[[#Headers],[27]])</f>
        <v>0</v>
      </c>
      <c r="AF317" s="10">
        <f>SUMIFS(IsQList,IsIList,Table_ExternalData_15[[#This Row],[item_key]],IsITypeList,Table_ExternalData_15[[#This Row],[IType]],IsDList,Table_ExternalData_15[[#Headers],[28]])</f>
        <v>0</v>
      </c>
      <c r="AG317" s="10">
        <f>SUMIFS(IsQList,IsIList,Table_ExternalData_15[[#This Row],[item_key]],IsITypeList,Table_ExternalData_15[[#This Row],[IType]],IsDList,Table_ExternalData_15[[#Headers],[29]])</f>
        <v>0</v>
      </c>
      <c r="AH317" s="10">
        <f>SUMIFS(IsQList,IsIList,Table_ExternalData_15[[#This Row],[item_key]],IsITypeList,Table_ExternalData_15[[#This Row],[IType]],IsDList,Table_ExternalData_15[[#Headers],[30]])</f>
        <v>50</v>
      </c>
      <c r="AI317" s="10">
        <f>SUMIFS(IsQList,IsIList,Table_ExternalData_15[[#This Row],[item_key]],IsITypeList,Table_ExternalData_15[[#This Row],[IType]],IsDList,Table_ExternalData_15[[#Headers],[31]])</f>
        <v>0</v>
      </c>
      <c r="AJ317" s="10">
        <f>SUM(Table_ExternalData_15[[#This Row],[1]:[31]])</f>
        <v>100</v>
      </c>
    </row>
    <row r="318" spans="1:36">
      <c r="A318" s="1" t="s">
        <v>974</v>
      </c>
      <c r="B318" s="1" t="s">
        <v>1482</v>
      </c>
      <c r="C318" s="1" t="s">
        <v>1483</v>
      </c>
      <c r="D318" s="11" t="s">
        <v>72</v>
      </c>
      <c r="E318" s="10">
        <f>SUMIFS(IsQList,IsIList,Table_ExternalData_15[[#This Row],[item_key]],IsITypeList,Table_ExternalData_15[[#This Row],[IType]],IsDList,Table_ExternalData_15[[#Headers],[1]])</f>
        <v>0</v>
      </c>
      <c r="F318" s="10">
        <f>SUMIFS(IsQList,IsIList,Table_ExternalData_15[[#This Row],[item_key]],IsITypeList,Table_ExternalData_15[[#This Row],[IType]],IsDList,Table_ExternalData_15[[#Headers],[2]])</f>
        <v>0</v>
      </c>
      <c r="G318" s="10">
        <f>SUMIFS(IsQList,IsIList,Table_ExternalData_15[[#This Row],[item_key]],IsITypeList,Table_ExternalData_15[[#This Row],[IType]],IsDList,Table_ExternalData_15[[#Headers],[3]])</f>
        <v>0</v>
      </c>
      <c r="H318" s="10">
        <f>SUMIFS(IsQList,IsIList,Table_ExternalData_15[[#This Row],[item_key]],IsITypeList,Table_ExternalData_15[[#This Row],[IType]],IsDList,Table_ExternalData_15[[#Headers],[4]])</f>
        <v>0</v>
      </c>
      <c r="I318" s="10">
        <f>SUMIFS(IsQList,IsIList,Table_ExternalData_15[[#This Row],[item_key]],IsITypeList,Table_ExternalData_15[[#This Row],[IType]],IsDList,Table_ExternalData_15[[#Headers],[5]])</f>
        <v>0</v>
      </c>
      <c r="J318" s="10">
        <f>SUMIFS(IsQList,IsIList,Table_ExternalData_15[[#This Row],[item_key]],IsITypeList,Table_ExternalData_15[[#This Row],[IType]],IsDList,Table_ExternalData_15[[#Headers],[6]])</f>
        <v>600</v>
      </c>
      <c r="K318" s="10">
        <f>SUMIFS(IsQList,IsIList,Table_ExternalData_15[[#This Row],[item_key]],IsITypeList,Table_ExternalData_15[[#This Row],[IType]],IsDList,Table_ExternalData_15[[#Headers],[7]])</f>
        <v>0</v>
      </c>
      <c r="L318" s="10">
        <f>SUMIFS(IsQList,IsIList,Table_ExternalData_15[[#This Row],[item_key]],IsITypeList,Table_ExternalData_15[[#This Row],[IType]],IsDList,Table_ExternalData_15[[#Headers],[8]])</f>
        <v>0</v>
      </c>
      <c r="M318" s="10">
        <f>SUMIFS(IsQList,IsIList,Table_ExternalData_15[[#This Row],[item_key]],IsITypeList,Table_ExternalData_15[[#This Row],[IType]],IsDList,Table_ExternalData_15[[#Headers],[9]])</f>
        <v>0</v>
      </c>
      <c r="N318" s="10">
        <f>SUMIFS(IsQList,IsIList,Table_ExternalData_15[[#This Row],[item_key]],IsITypeList,Table_ExternalData_15[[#This Row],[IType]],IsDList,Table_ExternalData_15[[#Headers],[10]])</f>
        <v>0</v>
      </c>
      <c r="O318" s="10">
        <f>SUMIFS(IsQList,IsIList,Table_ExternalData_15[[#This Row],[item_key]],IsITypeList,Table_ExternalData_15[[#This Row],[IType]],IsDList,Table_ExternalData_15[[#Headers],[11]])</f>
        <v>0</v>
      </c>
      <c r="P318" s="10">
        <f>SUMIFS(IsQList,IsIList,Table_ExternalData_15[[#This Row],[item_key]],IsITypeList,Table_ExternalData_15[[#This Row],[IType]],IsDList,Table_ExternalData_15[[#Headers],[12]])</f>
        <v>0</v>
      </c>
      <c r="Q318" s="10">
        <f>SUMIFS(IsQList,IsIList,Table_ExternalData_15[[#This Row],[item_key]],IsITypeList,Table_ExternalData_15[[#This Row],[IType]],IsDList,Table_ExternalData_15[[#Headers],[13]])</f>
        <v>0</v>
      </c>
      <c r="R318" s="10">
        <f>SUMIFS(IsQList,IsIList,Table_ExternalData_15[[#This Row],[item_key]],IsITypeList,Table_ExternalData_15[[#This Row],[IType]],IsDList,Table_ExternalData_15[[#Headers],[14]])</f>
        <v>0</v>
      </c>
      <c r="S318" s="10">
        <f>SUMIFS(IsQList,IsIList,Table_ExternalData_15[[#This Row],[item_key]],IsITypeList,Table_ExternalData_15[[#This Row],[IType]],IsDList,Table_ExternalData_15[[#Headers],[15]])</f>
        <v>0</v>
      </c>
      <c r="T318" s="10">
        <f>SUMIFS(IsQList,IsIList,Table_ExternalData_15[[#This Row],[item_key]],IsITypeList,Table_ExternalData_15[[#This Row],[IType]],IsDList,Table_ExternalData_15[[#Headers],[16]])</f>
        <v>0</v>
      </c>
      <c r="U318" s="10">
        <f>SUMIFS(IsQList,IsIList,Table_ExternalData_15[[#This Row],[item_key]],IsITypeList,Table_ExternalData_15[[#This Row],[IType]],IsDList,Table_ExternalData_15[[#Headers],[17]])</f>
        <v>0</v>
      </c>
      <c r="V318" s="10">
        <f>SUMIFS(IsQList,IsIList,Table_ExternalData_15[[#This Row],[item_key]],IsITypeList,Table_ExternalData_15[[#This Row],[IType]],IsDList,Table_ExternalData_15[[#Headers],[18]])</f>
        <v>0</v>
      </c>
      <c r="W318" s="10">
        <f>SUMIFS(IsQList,IsIList,Table_ExternalData_15[[#This Row],[item_key]],IsITypeList,Table_ExternalData_15[[#This Row],[IType]],IsDList,Table_ExternalData_15[[#Headers],[19]])</f>
        <v>0</v>
      </c>
      <c r="X318" s="10">
        <f>SUMIFS(IsQList,IsIList,Table_ExternalData_15[[#This Row],[item_key]],IsITypeList,Table_ExternalData_15[[#This Row],[IType]],IsDList,Table_ExternalData_15[[#Headers],[20]])</f>
        <v>0</v>
      </c>
      <c r="Y318" s="10">
        <f>SUMIFS(IsQList,IsIList,Table_ExternalData_15[[#This Row],[item_key]],IsITypeList,Table_ExternalData_15[[#This Row],[IType]],IsDList,Table_ExternalData_15[[#Headers],[21]])</f>
        <v>0</v>
      </c>
      <c r="Z318" s="10">
        <f>SUMIFS(IsQList,IsIList,Table_ExternalData_15[[#This Row],[item_key]],IsITypeList,Table_ExternalData_15[[#This Row],[IType]],IsDList,Table_ExternalData_15[[#Headers],[22]])</f>
        <v>0</v>
      </c>
      <c r="AA318" s="10">
        <f>SUMIFS(IsQList,IsIList,Table_ExternalData_15[[#This Row],[item_key]],IsITypeList,Table_ExternalData_15[[#This Row],[IType]],IsDList,Table_ExternalData_15[[#Headers],[23]])</f>
        <v>0</v>
      </c>
      <c r="AB318" s="10">
        <f>SUMIFS(IsQList,IsIList,Table_ExternalData_15[[#This Row],[item_key]],IsITypeList,Table_ExternalData_15[[#This Row],[IType]],IsDList,Table_ExternalData_15[[#Headers],[24]])</f>
        <v>0</v>
      </c>
      <c r="AC318" s="10">
        <f>SUMIFS(IsQList,IsIList,Table_ExternalData_15[[#This Row],[item_key]],IsITypeList,Table_ExternalData_15[[#This Row],[IType]],IsDList,Table_ExternalData_15[[#Headers],[25]])</f>
        <v>0</v>
      </c>
      <c r="AD318" s="10">
        <f>SUMIFS(IsQList,IsIList,Table_ExternalData_15[[#This Row],[item_key]],IsITypeList,Table_ExternalData_15[[#This Row],[IType]],IsDList,Table_ExternalData_15[[#Headers],[26]])</f>
        <v>0</v>
      </c>
      <c r="AE318" s="10">
        <f>SUMIFS(IsQList,IsIList,Table_ExternalData_15[[#This Row],[item_key]],IsITypeList,Table_ExternalData_15[[#This Row],[IType]],IsDList,Table_ExternalData_15[[#Headers],[27]])</f>
        <v>0</v>
      </c>
      <c r="AF318" s="10">
        <f>SUMIFS(IsQList,IsIList,Table_ExternalData_15[[#This Row],[item_key]],IsITypeList,Table_ExternalData_15[[#This Row],[IType]],IsDList,Table_ExternalData_15[[#Headers],[28]])</f>
        <v>0</v>
      </c>
      <c r="AG318" s="10">
        <f>SUMIFS(IsQList,IsIList,Table_ExternalData_15[[#This Row],[item_key]],IsITypeList,Table_ExternalData_15[[#This Row],[IType]],IsDList,Table_ExternalData_15[[#Headers],[29]])</f>
        <v>0</v>
      </c>
      <c r="AH318" s="10">
        <f>SUMIFS(IsQList,IsIList,Table_ExternalData_15[[#This Row],[item_key]],IsITypeList,Table_ExternalData_15[[#This Row],[IType]],IsDList,Table_ExternalData_15[[#Headers],[30]])</f>
        <v>70</v>
      </c>
      <c r="AI318" s="10">
        <f>SUMIFS(IsQList,IsIList,Table_ExternalData_15[[#This Row],[item_key]],IsITypeList,Table_ExternalData_15[[#This Row],[IType]],IsDList,Table_ExternalData_15[[#Headers],[31]])</f>
        <v>0</v>
      </c>
      <c r="AJ318" s="10">
        <f>SUM(Table_ExternalData_15[[#This Row],[1]:[31]])</f>
        <v>670</v>
      </c>
    </row>
    <row r="319" spans="1:36">
      <c r="A319" s="1" t="s">
        <v>2162</v>
      </c>
      <c r="B319" s="1" t="s">
        <v>2765</v>
      </c>
      <c r="C319" s="1" t="s">
        <v>2766</v>
      </c>
      <c r="D319" s="11" t="s">
        <v>72</v>
      </c>
      <c r="E319" s="10">
        <f>SUMIFS(IsQList,IsIList,Table_ExternalData_15[[#This Row],[item_key]],IsITypeList,Table_ExternalData_15[[#This Row],[IType]],IsDList,Table_ExternalData_15[[#Headers],[1]])</f>
        <v>0</v>
      </c>
      <c r="F319" s="10">
        <f>SUMIFS(IsQList,IsIList,Table_ExternalData_15[[#This Row],[item_key]],IsITypeList,Table_ExternalData_15[[#This Row],[IType]],IsDList,Table_ExternalData_15[[#Headers],[2]])</f>
        <v>0</v>
      </c>
      <c r="G319" s="10">
        <f>SUMIFS(IsQList,IsIList,Table_ExternalData_15[[#This Row],[item_key]],IsITypeList,Table_ExternalData_15[[#This Row],[IType]],IsDList,Table_ExternalData_15[[#Headers],[3]])</f>
        <v>0</v>
      </c>
      <c r="H319" s="10">
        <f>SUMIFS(IsQList,IsIList,Table_ExternalData_15[[#This Row],[item_key]],IsITypeList,Table_ExternalData_15[[#This Row],[IType]],IsDList,Table_ExternalData_15[[#Headers],[4]])</f>
        <v>0</v>
      </c>
      <c r="I319" s="10">
        <f>SUMIFS(IsQList,IsIList,Table_ExternalData_15[[#This Row],[item_key]],IsITypeList,Table_ExternalData_15[[#This Row],[IType]],IsDList,Table_ExternalData_15[[#Headers],[5]])</f>
        <v>0</v>
      </c>
      <c r="J319" s="10">
        <f>SUMIFS(IsQList,IsIList,Table_ExternalData_15[[#This Row],[item_key]],IsITypeList,Table_ExternalData_15[[#This Row],[IType]],IsDList,Table_ExternalData_15[[#Headers],[6]])</f>
        <v>0</v>
      </c>
      <c r="K319" s="10">
        <f>SUMIFS(IsQList,IsIList,Table_ExternalData_15[[#This Row],[item_key]],IsITypeList,Table_ExternalData_15[[#This Row],[IType]],IsDList,Table_ExternalData_15[[#Headers],[7]])</f>
        <v>0</v>
      </c>
      <c r="L319" s="10">
        <f>SUMIFS(IsQList,IsIList,Table_ExternalData_15[[#This Row],[item_key]],IsITypeList,Table_ExternalData_15[[#This Row],[IType]],IsDList,Table_ExternalData_15[[#Headers],[8]])</f>
        <v>0</v>
      </c>
      <c r="M319" s="10">
        <f>SUMIFS(IsQList,IsIList,Table_ExternalData_15[[#This Row],[item_key]],IsITypeList,Table_ExternalData_15[[#This Row],[IType]],IsDList,Table_ExternalData_15[[#Headers],[9]])</f>
        <v>0</v>
      </c>
      <c r="N319" s="10">
        <f>SUMIFS(IsQList,IsIList,Table_ExternalData_15[[#This Row],[item_key]],IsITypeList,Table_ExternalData_15[[#This Row],[IType]],IsDList,Table_ExternalData_15[[#Headers],[10]])</f>
        <v>0</v>
      </c>
      <c r="O319" s="10">
        <f>SUMIFS(IsQList,IsIList,Table_ExternalData_15[[#This Row],[item_key]],IsITypeList,Table_ExternalData_15[[#This Row],[IType]],IsDList,Table_ExternalData_15[[#Headers],[11]])</f>
        <v>0</v>
      </c>
      <c r="P319" s="10">
        <f>SUMIFS(IsQList,IsIList,Table_ExternalData_15[[#This Row],[item_key]],IsITypeList,Table_ExternalData_15[[#This Row],[IType]],IsDList,Table_ExternalData_15[[#Headers],[12]])</f>
        <v>0</v>
      </c>
      <c r="Q319" s="10">
        <f>SUMIFS(IsQList,IsIList,Table_ExternalData_15[[#This Row],[item_key]],IsITypeList,Table_ExternalData_15[[#This Row],[IType]],IsDList,Table_ExternalData_15[[#Headers],[13]])</f>
        <v>0</v>
      </c>
      <c r="R319" s="10">
        <f>SUMIFS(IsQList,IsIList,Table_ExternalData_15[[#This Row],[item_key]],IsITypeList,Table_ExternalData_15[[#This Row],[IType]],IsDList,Table_ExternalData_15[[#Headers],[14]])</f>
        <v>0</v>
      </c>
      <c r="S319" s="10">
        <f>SUMIFS(IsQList,IsIList,Table_ExternalData_15[[#This Row],[item_key]],IsITypeList,Table_ExternalData_15[[#This Row],[IType]],IsDList,Table_ExternalData_15[[#Headers],[15]])</f>
        <v>0</v>
      </c>
      <c r="T319" s="10">
        <f>SUMIFS(IsQList,IsIList,Table_ExternalData_15[[#This Row],[item_key]],IsITypeList,Table_ExternalData_15[[#This Row],[IType]],IsDList,Table_ExternalData_15[[#Headers],[16]])</f>
        <v>0</v>
      </c>
      <c r="U319" s="10">
        <f>SUMIFS(IsQList,IsIList,Table_ExternalData_15[[#This Row],[item_key]],IsITypeList,Table_ExternalData_15[[#This Row],[IType]],IsDList,Table_ExternalData_15[[#Headers],[17]])</f>
        <v>0</v>
      </c>
      <c r="V319" s="10">
        <f>SUMIFS(IsQList,IsIList,Table_ExternalData_15[[#This Row],[item_key]],IsITypeList,Table_ExternalData_15[[#This Row],[IType]],IsDList,Table_ExternalData_15[[#Headers],[18]])</f>
        <v>0</v>
      </c>
      <c r="W319" s="10">
        <f>SUMIFS(IsQList,IsIList,Table_ExternalData_15[[#This Row],[item_key]],IsITypeList,Table_ExternalData_15[[#This Row],[IType]],IsDList,Table_ExternalData_15[[#Headers],[19]])</f>
        <v>0</v>
      </c>
      <c r="X319" s="10">
        <f>SUMIFS(IsQList,IsIList,Table_ExternalData_15[[#This Row],[item_key]],IsITypeList,Table_ExternalData_15[[#This Row],[IType]],IsDList,Table_ExternalData_15[[#Headers],[20]])</f>
        <v>0</v>
      </c>
      <c r="Y319" s="10">
        <f>SUMIFS(IsQList,IsIList,Table_ExternalData_15[[#This Row],[item_key]],IsITypeList,Table_ExternalData_15[[#This Row],[IType]],IsDList,Table_ExternalData_15[[#Headers],[21]])</f>
        <v>0</v>
      </c>
      <c r="Z319" s="10">
        <f>SUMIFS(IsQList,IsIList,Table_ExternalData_15[[#This Row],[item_key]],IsITypeList,Table_ExternalData_15[[#This Row],[IType]],IsDList,Table_ExternalData_15[[#Headers],[22]])</f>
        <v>0</v>
      </c>
      <c r="AA319" s="10">
        <f>SUMIFS(IsQList,IsIList,Table_ExternalData_15[[#This Row],[item_key]],IsITypeList,Table_ExternalData_15[[#This Row],[IType]],IsDList,Table_ExternalData_15[[#Headers],[23]])</f>
        <v>0</v>
      </c>
      <c r="AB319" s="10">
        <f>SUMIFS(IsQList,IsIList,Table_ExternalData_15[[#This Row],[item_key]],IsITypeList,Table_ExternalData_15[[#This Row],[IType]],IsDList,Table_ExternalData_15[[#Headers],[24]])</f>
        <v>55</v>
      </c>
      <c r="AC319" s="10">
        <f>SUMIFS(IsQList,IsIList,Table_ExternalData_15[[#This Row],[item_key]],IsITypeList,Table_ExternalData_15[[#This Row],[IType]],IsDList,Table_ExternalData_15[[#Headers],[25]])</f>
        <v>0</v>
      </c>
      <c r="AD319" s="10">
        <f>SUMIFS(IsQList,IsIList,Table_ExternalData_15[[#This Row],[item_key]],IsITypeList,Table_ExternalData_15[[#This Row],[IType]],IsDList,Table_ExternalData_15[[#Headers],[26]])</f>
        <v>0</v>
      </c>
      <c r="AE319" s="10">
        <f>SUMIFS(IsQList,IsIList,Table_ExternalData_15[[#This Row],[item_key]],IsITypeList,Table_ExternalData_15[[#This Row],[IType]],IsDList,Table_ExternalData_15[[#Headers],[27]])</f>
        <v>0</v>
      </c>
      <c r="AF319" s="10">
        <f>SUMIFS(IsQList,IsIList,Table_ExternalData_15[[#This Row],[item_key]],IsITypeList,Table_ExternalData_15[[#This Row],[IType]],IsDList,Table_ExternalData_15[[#Headers],[28]])</f>
        <v>0</v>
      </c>
      <c r="AG319" s="10">
        <f>SUMIFS(IsQList,IsIList,Table_ExternalData_15[[#This Row],[item_key]],IsITypeList,Table_ExternalData_15[[#This Row],[IType]],IsDList,Table_ExternalData_15[[#Headers],[29]])</f>
        <v>0</v>
      </c>
      <c r="AH319" s="10">
        <f>SUMIFS(IsQList,IsIList,Table_ExternalData_15[[#This Row],[item_key]],IsITypeList,Table_ExternalData_15[[#This Row],[IType]],IsDList,Table_ExternalData_15[[#Headers],[30]])</f>
        <v>0</v>
      </c>
      <c r="AI319" s="10">
        <f>SUMIFS(IsQList,IsIList,Table_ExternalData_15[[#This Row],[item_key]],IsITypeList,Table_ExternalData_15[[#This Row],[IType]],IsDList,Table_ExternalData_15[[#Headers],[31]])</f>
        <v>0</v>
      </c>
      <c r="AJ319" s="10">
        <f>SUM(Table_ExternalData_15[[#This Row],[1]:[31]])</f>
        <v>55</v>
      </c>
    </row>
    <row r="320" spans="1:36">
      <c r="A320" s="1" t="s">
        <v>2164</v>
      </c>
      <c r="B320" s="1" t="s">
        <v>2769</v>
      </c>
      <c r="C320" s="1" t="s">
        <v>2770</v>
      </c>
      <c r="D320" s="11" t="s">
        <v>72</v>
      </c>
      <c r="E320" s="10">
        <f>SUMIFS(IsQList,IsIList,Table_ExternalData_15[[#This Row],[item_key]],IsITypeList,Table_ExternalData_15[[#This Row],[IType]],IsDList,Table_ExternalData_15[[#Headers],[1]])</f>
        <v>0</v>
      </c>
      <c r="F320" s="10">
        <f>SUMIFS(IsQList,IsIList,Table_ExternalData_15[[#This Row],[item_key]],IsITypeList,Table_ExternalData_15[[#This Row],[IType]],IsDList,Table_ExternalData_15[[#Headers],[2]])</f>
        <v>0</v>
      </c>
      <c r="G320" s="10">
        <f>SUMIFS(IsQList,IsIList,Table_ExternalData_15[[#This Row],[item_key]],IsITypeList,Table_ExternalData_15[[#This Row],[IType]],IsDList,Table_ExternalData_15[[#Headers],[3]])</f>
        <v>0</v>
      </c>
      <c r="H320" s="10">
        <f>SUMIFS(IsQList,IsIList,Table_ExternalData_15[[#This Row],[item_key]],IsITypeList,Table_ExternalData_15[[#This Row],[IType]],IsDList,Table_ExternalData_15[[#Headers],[4]])</f>
        <v>0</v>
      </c>
      <c r="I320" s="10">
        <f>SUMIFS(IsQList,IsIList,Table_ExternalData_15[[#This Row],[item_key]],IsITypeList,Table_ExternalData_15[[#This Row],[IType]],IsDList,Table_ExternalData_15[[#Headers],[5]])</f>
        <v>0</v>
      </c>
      <c r="J320" s="10">
        <f>SUMIFS(IsQList,IsIList,Table_ExternalData_15[[#This Row],[item_key]],IsITypeList,Table_ExternalData_15[[#This Row],[IType]],IsDList,Table_ExternalData_15[[#Headers],[6]])</f>
        <v>0</v>
      </c>
      <c r="K320" s="10">
        <f>SUMIFS(IsQList,IsIList,Table_ExternalData_15[[#This Row],[item_key]],IsITypeList,Table_ExternalData_15[[#This Row],[IType]],IsDList,Table_ExternalData_15[[#Headers],[7]])</f>
        <v>0</v>
      </c>
      <c r="L320" s="10">
        <f>SUMIFS(IsQList,IsIList,Table_ExternalData_15[[#This Row],[item_key]],IsITypeList,Table_ExternalData_15[[#This Row],[IType]],IsDList,Table_ExternalData_15[[#Headers],[8]])</f>
        <v>0</v>
      </c>
      <c r="M320" s="10">
        <f>SUMIFS(IsQList,IsIList,Table_ExternalData_15[[#This Row],[item_key]],IsITypeList,Table_ExternalData_15[[#This Row],[IType]],IsDList,Table_ExternalData_15[[#Headers],[9]])</f>
        <v>0</v>
      </c>
      <c r="N320" s="10">
        <f>SUMIFS(IsQList,IsIList,Table_ExternalData_15[[#This Row],[item_key]],IsITypeList,Table_ExternalData_15[[#This Row],[IType]],IsDList,Table_ExternalData_15[[#Headers],[10]])</f>
        <v>10</v>
      </c>
      <c r="O320" s="10">
        <f>SUMIFS(IsQList,IsIList,Table_ExternalData_15[[#This Row],[item_key]],IsITypeList,Table_ExternalData_15[[#This Row],[IType]],IsDList,Table_ExternalData_15[[#Headers],[11]])</f>
        <v>0</v>
      </c>
      <c r="P320" s="10">
        <f>SUMIFS(IsQList,IsIList,Table_ExternalData_15[[#This Row],[item_key]],IsITypeList,Table_ExternalData_15[[#This Row],[IType]],IsDList,Table_ExternalData_15[[#Headers],[12]])</f>
        <v>0</v>
      </c>
      <c r="Q320" s="10">
        <f>SUMIFS(IsQList,IsIList,Table_ExternalData_15[[#This Row],[item_key]],IsITypeList,Table_ExternalData_15[[#This Row],[IType]],IsDList,Table_ExternalData_15[[#Headers],[13]])</f>
        <v>0</v>
      </c>
      <c r="R320" s="10">
        <f>SUMIFS(IsQList,IsIList,Table_ExternalData_15[[#This Row],[item_key]],IsITypeList,Table_ExternalData_15[[#This Row],[IType]],IsDList,Table_ExternalData_15[[#Headers],[14]])</f>
        <v>0</v>
      </c>
      <c r="S320" s="10">
        <f>SUMIFS(IsQList,IsIList,Table_ExternalData_15[[#This Row],[item_key]],IsITypeList,Table_ExternalData_15[[#This Row],[IType]],IsDList,Table_ExternalData_15[[#Headers],[15]])</f>
        <v>0</v>
      </c>
      <c r="T320" s="10">
        <f>SUMIFS(IsQList,IsIList,Table_ExternalData_15[[#This Row],[item_key]],IsITypeList,Table_ExternalData_15[[#This Row],[IType]],IsDList,Table_ExternalData_15[[#Headers],[16]])</f>
        <v>0</v>
      </c>
      <c r="U320" s="10">
        <f>SUMIFS(IsQList,IsIList,Table_ExternalData_15[[#This Row],[item_key]],IsITypeList,Table_ExternalData_15[[#This Row],[IType]],IsDList,Table_ExternalData_15[[#Headers],[17]])</f>
        <v>0</v>
      </c>
      <c r="V320" s="10">
        <f>SUMIFS(IsQList,IsIList,Table_ExternalData_15[[#This Row],[item_key]],IsITypeList,Table_ExternalData_15[[#This Row],[IType]],IsDList,Table_ExternalData_15[[#Headers],[18]])</f>
        <v>0</v>
      </c>
      <c r="W320" s="10">
        <f>SUMIFS(IsQList,IsIList,Table_ExternalData_15[[#This Row],[item_key]],IsITypeList,Table_ExternalData_15[[#This Row],[IType]],IsDList,Table_ExternalData_15[[#Headers],[19]])</f>
        <v>0</v>
      </c>
      <c r="X320" s="10">
        <f>SUMIFS(IsQList,IsIList,Table_ExternalData_15[[#This Row],[item_key]],IsITypeList,Table_ExternalData_15[[#This Row],[IType]],IsDList,Table_ExternalData_15[[#Headers],[20]])</f>
        <v>0</v>
      </c>
      <c r="Y320" s="10">
        <f>SUMIFS(IsQList,IsIList,Table_ExternalData_15[[#This Row],[item_key]],IsITypeList,Table_ExternalData_15[[#This Row],[IType]],IsDList,Table_ExternalData_15[[#Headers],[21]])</f>
        <v>0</v>
      </c>
      <c r="Z320" s="10">
        <f>SUMIFS(IsQList,IsIList,Table_ExternalData_15[[#This Row],[item_key]],IsITypeList,Table_ExternalData_15[[#This Row],[IType]],IsDList,Table_ExternalData_15[[#Headers],[22]])</f>
        <v>0</v>
      </c>
      <c r="AA320" s="10">
        <f>SUMIFS(IsQList,IsIList,Table_ExternalData_15[[#This Row],[item_key]],IsITypeList,Table_ExternalData_15[[#This Row],[IType]],IsDList,Table_ExternalData_15[[#Headers],[23]])</f>
        <v>0</v>
      </c>
      <c r="AB320" s="10">
        <f>SUMIFS(IsQList,IsIList,Table_ExternalData_15[[#This Row],[item_key]],IsITypeList,Table_ExternalData_15[[#This Row],[IType]],IsDList,Table_ExternalData_15[[#Headers],[24]])</f>
        <v>30</v>
      </c>
      <c r="AC320" s="10">
        <f>SUMIFS(IsQList,IsIList,Table_ExternalData_15[[#This Row],[item_key]],IsITypeList,Table_ExternalData_15[[#This Row],[IType]],IsDList,Table_ExternalData_15[[#Headers],[25]])</f>
        <v>0</v>
      </c>
      <c r="AD320" s="10">
        <f>SUMIFS(IsQList,IsIList,Table_ExternalData_15[[#This Row],[item_key]],IsITypeList,Table_ExternalData_15[[#This Row],[IType]],IsDList,Table_ExternalData_15[[#Headers],[26]])</f>
        <v>0</v>
      </c>
      <c r="AE320" s="10">
        <f>SUMIFS(IsQList,IsIList,Table_ExternalData_15[[#This Row],[item_key]],IsITypeList,Table_ExternalData_15[[#This Row],[IType]],IsDList,Table_ExternalData_15[[#Headers],[27]])</f>
        <v>0</v>
      </c>
      <c r="AF320" s="10">
        <f>SUMIFS(IsQList,IsIList,Table_ExternalData_15[[#This Row],[item_key]],IsITypeList,Table_ExternalData_15[[#This Row],[IType]],IsDList,Table_ExternalData_15[[#Headers],[28]])</f>
        <v>0</v>
      </c>
      <c r="AG320" s="10">
        <f>SUMIFS(IsQList,IsIList,Table_ExternalData_15[[#This Row],[item_key]],IsITypeList,Table_ExternalData_15[[#This Row],[IType]],IsDList,Table_ExternalData_15[[#Headers],[29]])</f>
        <v>0</v>
      </c>
      <c r="AH320" s="10">
        <f>SUMIFS(IsQList,IsIList,Table_ExternalData_15[[#This Row],[item_key]],IsITypeList,Table_ExternalData_15[[#This Row],[IType]],IsDList,Table_ExternalData_15[[#Headers],[30]])</f>
        <v>0</v>
      </c>
      <c r="AI320" s="10">
        <f>SUMIFS(IsQList,IsIList,Table_ExternalData_15[[#This Row],[item_key]],IsITypeList,Table_ExternalData_15[[#This Row],[IType]],IsDList,Table_ExternalData_15[[#Headers],[31]])</f>
        <v>0</v>
      </c>
      <c r="AJ320" s="10">
        <f>SUM(Table_ExternalData_15[[#This Row],[1]:[31]])</f>
        <v>40</v>
      </c>
    </row>
    <row r="321" spans="1:36">
      <c r="A321" s="1" t="s">
        <v>5</v>
      </c>
      <c r="B321" s="1" t="s">
        <v>10</v>
      </c>
      <c r="C321" s="1" t="s">
        <v>11</v>
      </c>
      <c r="D321" s="11" t="s">
        <v>72</v>
      </c>
      <c r="E321" s="10">
        <f>SUMIFS(IsQList,IsIList,Table_ExternalData_15[[#This Row],[item_key]],IsITypeList,Table_ExternalData_15[[#This Row],[IType]],IsDList,Table_ExternalData_15[[#Headers],[1]])</f>
        <v>0</v>
      </c>
      <c r="F321" s="10">
        <f>SUMIFS(IsQList,IsIList,Table_ExternalData_15[[#This Row],[item_key]],IsITypeList,Table_ExternalData_15[[#This Row],[IType]],IsDList,Table_ExternalData_15[[#Headers],[2]])</f>
        <v>0</v>
      </c>
      <c r="G321" s="10">
        <f>SUMIFS(IsQList,IsIList,Table_ExternalData_15[[#This Row],[item_key]],IsITypeList,Table_ExternalData_15[[#This Row],[IType]],IsDList,Table_ExternalData_15[[#Headers],[3]])</f>
        <v>0</v>
      </c>
      <c r="H321" s="10">
        <f>SUMIFS(IsQList,IsIList,Table_ExternalData_15[[#This Row],[item_key]],IsITypeList,Table_ExternalData_15[[#This Row],[IType]],IsDList,Table_ExternalData_15[[#Headers],[4]])</f>
        <v>0</v>
      </c>
      <c r="I321" s="10">
        <f>SUMIFS(IsQList,IsIList,Table_ExternalData_15[[#This Row],[item_key]],IsITypeList,Table_ExternalData_15[[#This Row],[IType]],IsDList,Table_ExternalData_15[[#Headers],[5]])</f>
        <v>0</v>
      </c>
      <c r="J321" s="10">
        <f>SUMIFS(IsQList,IsIList,Table_ExternalData_15[[#This Row],[item_key]],IsITypeList,Table_ExternalData_15[[#This Row],[IType]],IsDList,Table_ExternalData_15[[#Headers],[6]])</f>
        <v>0</v>
      </c>
      <c r="K321" s="10">
        <f>SUMIFS(IsQList,IsIList,Table_ExternalData_15[[#This Row],[item_key]],IsITypeList,Table_ExternalData_15[[#This Row],[IType]],IsDList,Table_ExternalData_15[[#Headers],[7]])</f>
        <v>0</v>
      </c>
      <c r="L321" s="10">
        <f>SUMIFS(IsQList,IsIList,Table_ExternalData_15[[#This Row],[item_key]],IsITypeList,Table_ExternalData_15[[#This Row],[IType]],IsDList,Table_ExternalData_15[[#Headers],[8]])</f>
        <v>0</v>
      </c>
      <c r="M321" s="10">
        <f>SUMIFS(IsQList,IsIList,Table_ExternalData_15[[#This Row],[item_key]],IsITypeList,Table_ExternalData_15[[#This Row],[IType]],IsDList,Table_ExternalData_15[[#Headers],[9]])</f>
        <v>0</v>
      </c>
      <c r="N321" s="10">
        <f>SUMIFS(IsQList,IsIList,Table_ExternalData_15[[#This Row],[item_key]],IsITypeList,Table_ExternalData_15[[#This Row],[IType]],IsDList,Table_ExternalData_15[[#Headers],[10]])</f>
        <v>0</v>
      </c>
      <c r="O321" s="10">
        <f>SUMIFS(IsQList,IsIList,Table_ExternalData_15[[#This Row],[item_key]],IsITypeList,Table_ExternalData_15[[#This Row],[IType]],IsDList,Table_ExternalData_15[[#Headers],[11]])</f>
        <v>0</v>
      </c>
      <c r="P321" s="10">
        <f>SUMIFS(IsQList,IsIList,Table_ExternalData_15[[#This Row],[item_key]],IsITypeList,Table_ExternalData_15[[#This Row],[IType]],IsDList,Table_ExternalData_15[[#Headers],[12]])</f>
        <v>0</v>
      </c>
      <c r="Q321" s="10">
        <f>SUMIFS(IsQList,IsIList,Table_ExternalData_15[[#This Row],[item_key]],IsITypeList,Table_ExternalData_15[[#This Row],[IType]],IsDList,Table_ExternalData_15[[#Headers],[13]])</f>
        <v>0</v>
      </c>
      <c r="R321" s="10">
        <f>SUMIFS(IsQList,IsIList,Table_ExternalData_15[[#This Row],[item_key]],IsITypeList,Table_ExternalData_15[[#This Row],[IType]],IsDList,Table_ExternalData_15[[#Headers],[14]])</f>
        <v>0</v>
      </c>
      <c r="S321" s="10">
        <f>SUMIFS(IsQList,IsIList,Table_ExternalData_15[[#This Row],[item_key]],IsITypeList,Table_ExternalData_15[[#This Row],[IType]],IsDList,Table_ExternalData_15[[#Headers],[15]])</f>
        <v>0</v>
      </c>
      <c r="T321" s="10">
        <f>SUMIFS(IsQList,IsIList,Table_ExternalData_15[[#This Row],[item_key]],IsITypeList,Table_ExternalData_15[[#This Row],[IType]],IsDList,Table_ExternalData_15[[#Headers],[16]])</f>
        <v>20</v>
      </c>
      <c r="U321" s="10">
        <f>SUMIFS(IsQList,IsIList,Table_ExternalData_15[[#This Row],[item_key]],IsITypeList,Table_ExternalData_15[[#This Row],[IType]],IsDList,Table_ExternalData_15[[#Headers],[17]])</f>
        <v>0</v>
      </c>
      <c r="V321" s="10">
        <f>SUMIFS(IsQList,IsIList,Table_ExternalData_15[[#This Row],[item_key]],IsITypeList,Table_ExternalData_15[[#This Row],[IType]],IsDList,Table_ExternalData_15[[#Headers],[18]])</f>
        <v>0</v>
      </c>
      <c r="W321" s="10">
        <f>SUMIFS(IsQList,IsIList,Table_ExternalData_15[[#This Row],[item_key]],IsITypeList,Table_ExternalData_15[[#This Row],[IType]],IsDList,Table_ExternalData_15[[#Headers],[19]])</f>
        <v>0</v>
      </c>
      <c r="X321" s="10">
        <f>SUMIFS(IsQList,IsIList,Table_ExternalData_15[[#This Row],[item_key]],IsITypeList,Table_ExternalData_15[[#This Row],[IType]],IsDList,Table_ExternalData_15[[#Headers],[20]])</f>
        <v>0</v>
      </c>
      <c r="Y321" s="10">
        <f>SUMIFS(IsQList,IsIList,Table_ExternalData_15[[#This Row],[item_key]],IsITypeList,Table_ExternalData_15[[#This Row],[IType]],IsDList,Table_ExternalData_15[[#Headers],[21]])</f>
        <v>0</v>
      </c>
      <c r="Z321" s="10">
        <f>SUMIFS(IsQList,IsIList,Table_ExternalData_15[[#This Row],[item_key]],IsITypeList,Table_ExternalData_15[[#This Row],[IType]],IsDList,Table_ExternalData_15[[#Headers],[22]])</f>
        <v>0</v>
      </c>
      <c r="AA321" s="10">
        <f>SUMIFS(IsQList,IsIList,Table_ExternalData_15[[#This Row],[item_key]],IsITypeList,Table_ExternalData_15[[#This Row],[IType]],IsDList,Table_ExternalData_15[[#Headers],[23]])</f>
        <v>0</v>
      </c>
      <c r="AB321" s="10">
        <f>SUMIFS(IsQList,IsIList,Table_ExternalData_15[[#This Row],[item_key]],IsITypeList,Table_ExternalData_15[[#This Row],[IType]],IsDList,Table_ExternalData_15[[#Headers],[24]])</f>
        <v>0</v>
      </c>
      <c r="AC321" s="10">
        <f>SUMIFS(IsQList,IsIList,Table_ExternalData_15[[#This Row],[item_key]],IsITypeList,Table_ExternalData_15[[#This Row],[IType]],IsDList,Table_ExternalData_15[[#Headers],[25]])</f>
        <v>0</v>
      </c>
      <c r="AD321" s="10">
        <f>SUMIFS(IsQList,IsIList,Table_ExternalData_15[[#This Row],[item_key]],IsITypeList,Table_ExternalData_15[[#This Row],[IType]],IsDList,Table_ExternalData_15[[#Headers],[26]])</f>
        <v>0</v>
      </c>
      <c r="AE321" s="10">
        <f>SUMIFS(IsQList,IsIList,Table_ExternalData_15[[#This Row],[item_key]],IsITypeList,Table_ExternalData_15[[#This Row],[IType]],IsDList,Table_ExternalData_15[[#Headers],[27]])</f>
        <v>0</v>
      </c>
      <c r="AF321" s="10">
        <f>SUMIFS(IsQList,IsIList,Table_ExternalData_15[[#This Row],[item_key]],IsITypeList,Table_ExternalData_15[[#This Row],[IType]],IsDList,Table_ExternalData_15[[#Headers],[28]])</f>
        <v>0</v>
      </c>
      <c r="AG321" s="10">
        <f>SUMIFS(IsQList,IsIList,Table_ExternalData_15[[#This Row],[item_key]],IsITypeList,Table_ExternalData_15[[#This Row],[IType]],IsDList,Table_ExternalData_15[[#Headers],[29]])</f>
        <v>0</v>
      </c>
      <c r="AH321" s="10">
        <f>SUMIFS(IsQList,IsIList,Table_ExternalData_15[[#This Row],[item_key]],IsITypeList,Table_ExternalData_15[[#This Row],[IType]],IsDList,Table_ExternalData_15[[#Headers],[30]])</f>
        <v>0</v>
      </c>
      <c r="AI321" s="10">
        <f>SUMIFS(IsQList,IsIList,Table_ExternalData_15[[#This Row],[item_key]],IsITypeList,Table_ExternalData_15[[#This Row],[IType]],IsDList,Table_ExternalData_15[[#Headers],[31]])</f>
        <v>0</v>
      </c>
      <c r="AJ321" s="10">
        <f>SUM(Table_ExternalData_15[[#This Row],[1]:[31]])</f>
        <v>20</v>
      </c>
    </row>
    <row r="322" spans="1:36">
      <c r="A322" s="1" t="s">
        <v>996</v>
      </c>
      <c r="B322" s="1" t="s">
        <v>1487</v>
      </c>
      <c r="C322" s="1" t="s">
        <v>1488</v>
      </c>
      <c r="D322" s="11" t="s">
        <v>72</v>
      </c>
      <c r="E322" s="10">
        <f>SUMIFS(IsQList,IsIList,Table_ExternalData_15[[#This Row],[item_key]],IsITypeList,Table_ExternalData_15[[#This Row],[IType]],IsDList,Table_ExternalData_15[[#Headers],[1]])</f>
        <v>0</v>
      </c>
      <c r="F322" s="10">
        <f>SUMIFS(IsQList,IsIList,Table_ExternalData_15[[#This Row],[item_key]],IsITypeList,Table_ExternalData_15[[#This Row],[IType]],IsDList,Table_ExternalData_15[[#Headers],[2]])</f>
        <v>0</v>
      </c>
      <c r="G322" s="10">
        <f>SUMIFS(IsQList,IsIList,Table_ExternalData_15[[#This Row],[item_key]],IsITypeList,Table_ExternalData_15[[#This Row],[IType]],IsDList,Table_ExternalData_15[[#Headers],[3]])</f>
        <v>0</v>
      </c>
      <c r="H322" s="10">
        <f>SUMIFS(IsQList,IsIList,Table_ExternalData_15[[#This Row],[item_key]],IsITypeList,Table_ExternalData_15[[#This Row],[IType]],IsDList,Table_ExternalData_15[[#Headers],[4]])</f>
        <v>0</v>
      </c>
      <c r="I322" s="10">
        <f>SUMIFS(IsQList,IsIList,Table_ExternalData_15[[#This Row],[item_key]],IsITypeList,Table_ExternalData_15[[#This Row],[IType]],IsDList,Table_ExternalData_15[[#Headers],[5]])</f>
        <v>0</v>
      </c>
      <c r="J322" s="10">
        <f>SUMIFS(IsQList,IsIList,Table_ExternalData_15[[#This Row],[item_key]],IsITypeList,Table_ExternalData_15[[#This Row],[IType]],IsDList,Table_ExternalData_15[[#Headers],[6]])</f>
        <v>0</v>
      </c>
      <c r="K322" s="10">
        <f>SUMIFS(IsQList,IsIList,Table_ExternalData_15[[#This Row],[item_key]],IsITypeList,Table_ExternalData_15[[#This Row],[IType]],IsDList,Table_ExternalData_15[[#Headers],[7]])</f>
        <v>0</v>
      </c>
      <c r="L322" s="10">
        <f>SUMIFS(IsQList,IsIList,Table_ExternalData_15[[#This Row],[item_key]],IsITypeList,Table_ExternalData_15[[#This Row],[IType]],IsDList,Table_ExternalData_15[[#Headers],[8]])</f>
        <v>0</v>
      </c>
      <c r="M322" s="10">
        <f>SUMIFS(IsQList,IsIList,Table_ExternalData_15[[#This Row],[item_key]],IsITypeList,Table_ExternalData_15[[#This Row],[IType]],IsDList,Table_ExternalData_15[[#Headers],[9]])</f>
        <v>0</v>
      </c>
      <c r="N322" s="10">
        <f>SUMIFS(IsQList,IsIList,Table_ExternalData_15[[#This Row],[item_key]],IsITypeList,Table_ExternalData_15[[#This Row],[IType]],IsDList,Table_ExternalData_15[[#Headers],[10]])</f>
        <v>0</v>
      </c>
      <c r="O322" s="10">
        <f>SUMIFS(IsQList,IsIList,Table_ExternalData_15[[#This Row],[item_key]],IsITypeList,Table_ExternalData_15[[#This Row],[IType]],IsDList,Table_ExternalData_15[[#Headers],[11]])</f>
        <v>0</v>
      </c>
      <c r="P322" s="10">
        <f>SUMIFS(IsQList,IsIList,Table_ExternalData_15[[#This Row],[item_key]],IsITypeList,Table_ExternalData_15[[#This Row],[IType]],IsDList,Table_ExternalData_15[[#Headers],[12]])</f>
        <v>0</v>
      </c>
      <c r="Q322" s="10">
        <f>SUMIFS(IsQList,IsIList,Table_ExternalData_15[[#This Row],[item_key]],IsITypeList,Table_ExternalData_15[[#This Row],[IType]],IsDList,Table_ExternalData_15[[#Headers],[13]])</f>
        <v>0</v>
      </c>
      <c r="R322" s="10">
        <f>SUMIFS(IsQList,IsIList,Table_ExternalData_15[[#This Row],[item_key]],IsITypeList,Table_ExternalData_15[[#This Row],[IType]],IsDList,Table_ExternalData_15[[#Headers],[14]])</f>
        <v>0</v>
      </c>
      <c r="S322" s="10">
        <f>SUMIFS(IsQList,IsIList,Table_ExternalData_15[[#This Row],[item_key]],IsITypeList,Table_ExternalData_15[[#This Row],[IType]],IsDList,Table_ExternalData_15[[#Headers],[15]])</f>
        <v>0</v>
      </c>
      <c r="T322" s="10">
        <f>SUMIFS(IsQList,IsIList,Table_ExternalData_15[[#This Row],[item_key]],IsITypeList,Table_ExternalData_15[[#This Row],[IType]],IsDList,Table_ExternalData_15[[#Headers],[16]])</f>
        <v>10</v>
      </c>
      <c r="U322" s="10">
        <f>SUMIFS(IsQList,IsIList,Table_ExternalData_15[[#This Row],[item_key]],IsITypeList,Table_ExternalData_15[[#This Row],[IType]],IsDList,Table_ExternalData_15[[#Headers],[17]])</f>
        <v>0</v>
      </c>
      <c r="V322" s="10">
        <f>SUMIFS(IsQList,IsIList,Table_ExternalData_15[[#This Row],[item_key]],IsITypeList,Table_ExternalData_15[[#This Row],[IType]],IsDList,Table_ExternalData_15[[#Headers],[18]])</f>
        <v>0</v>
      </c>
      <c r="W322" s="10">
        <f>SUMIFS(IsQList,IsIList,Table_ExternalData_15[[#This Row],[item_key]],IsITypeList,Table_ExternalData_15[[#This Row],[IType]],IsDList,Table_ExternalData_15[[#Headers],[19]])</f>
        <v>0</v>
      </c>
      <c r="X322" s="10">
        <f>SUMIFS(IsQList,IsIList,Table_ExternalData_15[[#This Row],[item_key]],IsITypeList,Table_ExternalData_15[[#This Row],[IType]],IsDList,Table_ExternalData_15[[#Headers],[20]])</f>
        <v>0</v>
      </c>
      <c r="Y322" s="10">
        <f>SUMIFS(IsQList,IsIList,Table_ExternalData_15[[#This Row],[item_key]],IsITypeList,Table_ExternalData_15[[#This Row],[IType]],IsDList,Table_ExternalData_15[[#Headers],[21]])</f>
        <v>0</v>
      </c>
      <c r="Z322" s="10">
        <f>SUMIFS(IsQList,IsIList,Table_ExternalData_15[[#This Row],[item_key]],IsITypeList,Table_ExternalData_15[[#This Row],[IType]],IsDList,Table_ExternalData_15[[#Headers],[22]])</f>
        <v>0</v>
      </c>
      <c r="AA322" s="10">
        <f>SUMIFS(IsQList,IsIList,Table_ExternalData_15[[#This Row],[item_key]],IsITypeList,Table_ExternalData_15[[#This Row],[IType]],IsDList,Table_ExternalData_15[[#Headers],[23]])</f>
        <v>0</v>
      </c>
      <c r="AB322" s="10">
        <f>SUMIFS(IsQList,IsIList,Table_ExternalData_15[[#This Row],[item_key]],IsITypeList,Table_ExternalData_15[[#This Row],[IType]],IsDList,Table_ExternalData_15[[#Headers],[24]])</f>
        <v>0</v>
      </c>
      <c r="AC322" s="10">
        <f>SUMIFS(IsQList,IsIList,Table_ExternalData_15[[#This Row],[item_key]],IsITypeList,Table_ExternalData_15[[#This Row],[IType]],IsDList,Table_ExternalData_15[[#Headers],[25]])</f>
        <v>0</v>
      </c>
      <c r="AD322" s="10">
        <f>SUMIFS(IsQList,IsIList,Table_ExternalData_15[[#This Row],[item_key]],IsITypeList,Table_ExternalData_15[[#This Row],[IType]],IsDList,Table_ExternalData_15[[#Headers],[26]])</f>
        <v>0</v>
      </c>
      <c r="AE322" s="10">
        <f>SUMIFS(IsQList,IsIList,Table_ExternalData_15[[#This Row],[item_key]],IsITypeList,Table_ExternalData_15[[#This Row],[IType]],IsDList,Table_ExternalData_15[[#Headers],[27]])</f>
        <v>0</v>
      </c>
      <c r="AF322" s="10">
        <f>SUMIFS(IsQList,IsIList,Table_ExternalData_15[[#This Row],[item_key]],IsITypeList,Table_ExternalData_15[[#This Row],[IType]],IsDList,Table_ExternalData_15[[#Headers],[28]])</f>
        <v>0</v>
      </c>
      <c r="AG322" s="10">
        <f>SUMIFS(IsQList,IsIList,Table_ExternalData_15[[#This Row],[item_key]],IsITypeList,Table_ExternalData_15[[#This Row],[IType]],IsDList,Table_ExternalData_15[[#Headers],[29]])</f>
        <v>0</v>
      </c>
      <c r="AH322" s="10">
        <f>SUMIFS(IsQList,IsIList,Table_ExternalData_15[[#This Row],[item_key]],IsITypeList,Table_ExternalData_15[[#This Row],[IType]],IsDList,Table_ExternalData_15[[#Headers],[30]])</f>
        <v>10</v>
      </c>
      <c r="AI322" s="10">
        <f>SUMIFS(IsQList,IsIList,Table_ExternalData_15[[#This Row],[item_key]],IsITypeList,Table_ExternalData_15[[#This Row],[IType]],IsDList,Table_ExternalData_15[[#Headers],[31]])</f>
        <v>0</v>
      </c>
      <c r="AJ322" s="10">
        <f>SUM(Table_ExternalData_15[[#This Row],[1]:[31]])</f>
        <v>20</v>
      </c>
    </row>
    <row r="323" spans="1:36">
      <c r="A323" s="1" t="s">
        <v>2171</v>
      </c>
      <c r="B323" s="1" t="s">
        <v>2773</v>
      </c>
      <c r="C323" s="1" t="s">
        <v>2774</v>
      </c>
      <c r="D323" s="11" t="s">
        <v>72</v>
      </c>
      <c r="E323" s="10">
        <f>SUMIFS(IsQList,IsIList,Table_ExternalData_15[[#This Row],[item_key]],IsITypeList,Table_ExternalData_15[[#This Row],[IType]],IsDList,Table_ExternalData_15[[#Headers],[1]])</f>
        <v>0</v>
      </c>
      <c r="F323" s="10">
        <f>SUMIFS(IsQList,IsIList,Table_ExternalData_15[[#This Row],[item_key]],IsITypeList,Table_ExternalData_15[[#This Row],[IType]],IsDList,Table_ExternalData_15[[#Headers],[2]])</f>
        <v>0</v>
      </c>
      <c r="G323" s="10">
        <f>SUMIFS(IsQList,IsIList,Table_ExternalData_15[[#This Row],[item_key]],IsITypeList,Table_ExternalData_15[[#This Row],[IType]],IsDList,Table_ExternalData_15[[#Headers],[3]])</f>
        <v>0</v>
      </c>
      <c r="H323" s="10">
        <f>SUMIFS(IsQList,IsIList,Table_ExternalData_15[[#This Row],[item_key]],IsITypeList,Table_ExternalData_15[[#This Row],[IType]],IsDList,Table_ExternalData_15[[#Headers],[4]])</f>
        <v>0</v>
      </c>
      <c r="I323" s="10">
        <f>SUMIFS(IsQList,IsIList,Table_ExternalData_15[[#This Row],[item_key]],IsITypeList,Table_ExternalData_15[[#This Row],[IType]],IsDList,Table_ExternalData_15[[#Headers],[5]])</f>
        <v>0</v>
      </c>
      <c r="J323" s="10">
        <f>SUMIFS(IsQList,IsIList,Table_ExternalData_15[[#This Row],[item_key]],IsITypeList,Table_ExternalData_15[[#This Row],[IType]],IsDList,Table_ExternalData_15[[#Headers],[6]])</f>
        <v>0</v>
      </c>
      <c r="K323" s="10">
        <f>SUMIFS(IsQList,IsIList,Table_ExternalData_15[[#This Row],[item_key]],IsITypeList,Table_ExternalData_15[[#This Row],[IType]],IsDList,Table_ExternalData_15[[#Headers],[7]])</f>
        <v>0</v>
      </c>
      <c r="L323" s="10">
        <f>SUMIFS(IsQList,IsIList,Table_ExternalData_15[[#This Row],[item_key]],IsITypeList,Table_ExternalData_15[[#This Row],[IType]],IsDList,Table_ExternalData_15[[#Headers],[8]])</f>
        <v>0</v>
      </c>
      <c r="M323" s="10">
        <f>SUMIFS(IsQList,IsIList,Table_ExternalData_15[[#This Row],[item_key]],IsITypeList,Table_ExternalData_15[[#This Row],[IType]],IsDList,Table_ExternalData_15[[#Headers],[9]])</f>
        <v>0</v>
      </c>
      <c r="N323" s="10">
        <f>SUMIFS(IsQList,IsIList,Table_ExternalData_15[[#This Row],[item_key]],IsITypeList,Table_ExternalData_15[[#This Row],[IType]],IsDList,Table_ExternalData_15[[#Headers],[10]])</f>
        <v>0</v>
      </c>
      <c r="O323" s="10">
        <f>SUMIFS(IsQList,IsIList,Table_ExternalData_15[[#This Row],[item_key]],IsITypeList,Table_ExternalData_15[[#This Row],[IType]],IsDList,Table_ExternalData_15[[#Headers],[11]])</f>
        <v>0</v>
      </c>
      <c r="P323" s="10">
        <f>SUMIFS(IsQList,IsIList,Table_ExternalData_15[[#This Row],[item_key]],IsITypeList,Table_ExternalData_15[[#This Row],[IType]],IsDList,Table_ExternalData_15[[#Headers],[12]])</f>
        <v>0</v>
      </c>
      <c r="Q323" s="10">
        <f>SUMIFS(IsQList,IsIList,Table_ExternalData_15[[#This Row],[item_key]],IsITypeList,Table_ExternalData_15[[#This Row],[IType]],IsDList,Table_ExternalData_15[[#Headers],[13]])</f>
        <v>0</v>
      </c>
      <c r="R323" s="10">
        <f>SUMIFS(IsQList,IsIList,Table_ExternalData_15[[#This Row],[item_key]],IsITypeList,Table_ExternalData_15[[#This Row],[IType]],IsDList,Table_ExternalData_15[[#Headers],[14]])</f>
        <v>0</v>
      </c>
      <c r="S323" s="10">
        <f>SUMIFS(IsQList,IsIList,Table_ExternalData_15[[#This Row],[item_key]],IsITypeList,Table_ExternalData_15[[#This Row],[IType]],IsDList,Table_ExternalData_15[[#Headers],[15]])</f>
        <v>0</v>
      </c>
      <c r="T323" s="10">
        <f>SUMIFS(IsQList,IsIList,Table_ExternalData_15[[#This Row],[item_key]],IsITypeList,Table_ExternalData_15[[#This Row],[IType]],IsDList,Table_ExternalData_15[[#Headers],[16]])</f>
        <v>10</v>
      </c>
      <c r="U323" s="10">
        <f>SUMIFS(IsQList,IsIList,Table_ExternalData_15[[#This Row],[item_key]],IsITypeList,Table_ExternalData_15[[#This Row],[IType]],IsDList,Table_ExternalData_15[[#Headers],[17]])</f>
        <v>0</v>
      </c>
      <c r="V323" s="10">
        <f>SUMIFS(IsQList,IsIList,Table_ExternalData_15[[#This Row],[item_key]],IsITypeList,Table_ExternalData_15[[#This Row],[IType]],IsDList,Table_ExternalData_15[[#Headers],[18]])</f>
        <v>0</v>
      </c>
      <c r="W323" s="10">
        <f>SUMIFS(IsQList,IsIList,Table_ExternalData_15[[#This Row],[item_key]],IsITypeList,Table_ExternalData_15[[#This Row],[IType]],IsDList,Table_ExternalData_15[[#Headers],[19]])</f>
        <v>0</v>
      </c>
      <c r="X323" s="10">
        <f>SUMIFS(IsQList,IsIList,Table_ExternalData_15[[#This Row],[item_key]],IsITypeList,Table_ExternalData_15[[#This Row],[IType]],IsDList,Table_ExternalData_15[[#Headers],[20]])</f>
        <v>0</v>
      </c>
      <c r="Y323" s="10">
        <f>SUMIFS(IsQList,IsIList,Table_ExternalData_15[[#This Row],[item_key]],IsITypeList,Table_ExternalData_15[[#This Row],[IType]],IsDList,Table_ExternalData_15[[#Headers],[21]])</f>
        <v>0</v>
      </c>
      <c r="Z323" s="10">
        <f>SUMIFS(IsQList,IsIList,Table_ExternalData_15[[#This Row],[item_key]],IsITypeList,Table_ExternalData_15[[#This Row],[IType]],IsDList,Table_ExternalData_15[[#Headers],[22]])</f>
        <v>0</v>
      </c>
      <c r="AA323" s="10">
        <f>SUMIFS(IsQList,IsIList,Table_ExternalData_15[[#This Row],[item_key]],IsITypeList,Table_ExternalData_15[[#This Row],[IType]],IsDList,Table_ExternalData_15[[#Headers],[23]])</f>
        <v>0</v>
      </c>
      <c r="AB323" s="10">
        <f>SUMIFS(IsQList,IsIList,Table_ExternalData_15[[#This Row],[item_key]],IsITypeList,Table_ExternalData_15[[#This Row],[IType]],IsDList,Table_ExternalData_15[[#Headers],[24]])</f>
        <v>0</v>
      </c>
      <c r="AC323" s="10">
        <f>SUMIFS(IsQList,IsIList,Table_ExternalData_15[[#This Row],[item_key]],IsITypeList,Table_ExternalData_15[[#This Row],[IType]],IsDList,Table_ExternalData_15[[#Headers],[25]])</f>
        <v>0</v>
      </c>
      <c r="AD323" s="10">
        <f>SUMIFS(IsQList,IsIList,Table_ExternalData_15[[#This Row],[item_key]],IsITypeList,Table_ExternalData_15[[#This Row],[IType]],IsDList,Table_ExternalData_15[[#Headers],[26]])</f>
        <v>0</v>
      </c>
      <c r="AE323" s="10">
        <f>SUMIFS(IsQList,IsIList,Table_ExternalData_15[[#This Row],[item_key]],IsITypeList,Table_ExternalData_15[[#This Row],[IType]],IsDList,Table_ExternalData_15[[#Headers],[27]])</f>
        <v>0</v>
      </c>
      <c r="AF323" s="10">
        <f>SUMIFS(IsQList,IsIList,Table_ExternalData_15[[#This Row],[item_key]],IsITypeList,Table_ExternalData_15[[#This Row],[IType]],IsDList,Table_ExternalData_15[[#Headers],[28]])</f>
        <v>0</v>
      </c>
      <c r="AG323" s="10">
        <f>SUMIFS(IsQList,IsIList,Table_ExternalData_15[[#This Row],[item_key]],IsITypeList,Table_ExternalData_15[[#This Row],[IType]],IsDList,Table_ExternalData_15[[#Headers],[29]])</f>
        <v>0</v>
      </c>
      <c r="AH323" s="10">
        <f>SUMIFS(IsQList,IsIList,Table_ExternalData_15[[#This Row],[item_key]],IsITypeList,Table_ExternalData_15[[#This Row],[IType]],IsDList,Table_ExternalData_15[[#Headers],[30]])</f>
        <v>0</v>
      </c>
      <c r="AI323" s="10">
        <f>SUMIFS(IsQList,IsIList,Table_ExternalData_15[[#This Row],[item_key]],IsITypeList,Table_ExternalData_15[[#This Row],[IType]],IsDList,Table_ExternalData_15[[#Headers],[31]])</f>
        <v>0</v>
      </c>
      <c r="AJ323" s="10">
        <f>SUM(Table_ExternalData_15[[#This Row],[1]:[31]])</f>
        <v>10</v>
      </c>
    </row>
    <row r="324" spans="1:36">
      <c r="A324" s="1" t="s">
        <v>998</v>
      </c>
      <c r="B324" s="1" t="s">
        <v>1490</v>
      </c>
      <c r="C324" s="1" t="s">
        <v>1491</v>
      </c>
      <c r="D324" s="11" t="s">
        <v>72</v>
      </c>
      <c r="E324" s="10">
        <f>SUMIFS(IsQList,IsIList,Table_ExternalData_15[[#This Row],[item_key]],IsITypeList,Table_ExternalData_15[[#This Row],[IType]],IsDList,Table_ExternalData_15[[#Headers],[1]])</f>
        <v>0</v>
      </c>
      <c r="F324" s="10">
        <f>SUMIFS(IsQList,IsIList,Table_ExternalData_15[[#This Row],[item_key]],IsITypeList,Table_ExternalData_15[[#This Row],[IType]],IsDList,Table_ExternalData_15[[#Headers],[2]])</f>
        <v>0</v>
      </c>
      <c r="G324" s="10">
        <f>SUMIFS(IsQList,IsIList,Table_ExternalData_15[[#This Row],[item_key]],IsITypeList,Table_ExternalData_15[[#This Row],[IType]],IsDList,Table_ExternalData_15[[#Headers],[3]])</f>
        <v>0</v>
      </c>
      <c r="H324" s="10">
        <f>SUMIFS(IsQList,IsIList,Table_ExternalData_15[[#This Row],[item_key]],IsITypeList,Table_ExternalData_15[[#This Row],[IType]],IsDList,Table_ExternalData_15[[#Headers],[4]])</f>
        <v>0</v>
      </c>
      <c r="I324" s="10">
        <f>SUMIFS(IsQList,IsIList,Table_ExternalData_15[[#This Row],[item_key]],IsITypeList,Table_ExternalData_15[[#This Row],[IType]],IsDList,Table_ExternalData_15[[#Headers],[5]])</f>
        <v>0</v>
      </c>
      <c r="J324" s="10">
        <f>SUMIFS(IsQList,IsIList,Table_ExternalData_15[[#This Row],[item_key]],IsITypeList,Table_ExternalData_15[[#This Row],[IType]],IsDList,Table_ExternalData_15[[#Headers],[6]])</f>
        <v>3</v>
      </c>
      <c r="K324" s="10">
        <f>SUMIFS(IsQList,IsIList,Table_ExternalData_15[[#This Row],[item_key]],IsITypeList,Table_ExternalData_15[[#This Row],[IType]],IsDList,Table_ExternalData_15[[#Headers],[7]])</f>
        <v>0</v>
      </c>
      <c r="L324" s="10">
        <f>SUMIFS(IsQList,IsIList,Table_ExternalData_15[[#This Row],[item_key]],IsITypeList,Table_ExternalData_15[[#This Row],[IType]],IsDList,Table_ExternalData_15[[#Headers],[8]])</f>
        <v>0</v>
      </c>
      <c r="M324" s="10">
        <f>SUMIFS(IsQList,IsIList,Table_ExternalData_15[[#This Row],[item_key]],IsITypeList,Table_ExternalData_15[[#This Row],[IType]],IsDList,Table_ExternalData_15[[#Headers],[9]])</f>
        <v>0</v>
      </c>
      <c r="N324" s="10">
        <f>SUMIFS(IsQList,IsIList,Table_ExternalData_15[[#This Row],[item_key]],IsITypeList,Table_ExternalData_15[[#This Row],[IType]],IsDList,Table_ExternalData_15[[#Headers],[10]])</f>
        <v>0</v>
      </c>
      <c r="O324" s="10">
        <f>SUMIFS(IsQList,IsIList,Table_ExternalData_15[[#This Row],[item_key]],IsITypeList,Table_ExternalData_15[[#This Row],[IType]],IsDList,Table_ExternalData_15[[#Headers],[11]])</f>
        <v>0</v>
      </c>
      <c r="P324" s="10">
        <f>SUMIFS(IsQList,IsIList,Table_ExternalData_15[[#This Row],[item_key]],IsITypeList,Table_ExternalData_15[[#This Row],[IType]],IsDList,Table_ExternalData_15[[#Headers],[12]])</f>
        <v>0</v>
      </c>
      <c r="Q324" s="10">
        <f>SUMIFS(IsQList,IsIList,Table_ExternalData_15[[#This Row],[item_key]],IsITypeList,Table_ExternalData_15[[#This Row],[IType]],IsDList,Table_ExternalData_15[[#Headers],[13]])</f>
        <v>0</v>
      </c>
      <c r="R324" s="10">
        <f>SUMIFS(IsQList,IsIList,Table_ExternalData_15[[#This Row],[item_key]],IsITypeList,Table_ExternalData_15[[#This Row],[IType]],IsDList,Table_ExternalData_15[[#Headers],[14]])</f>
        <v>0</v>
      </c>
      <c r="S324" s="10">
        <f>SUMIFS(IsQList,IsIList,Table_ExternalData_15[[#This Row],[item_key]],IsITypeList,Table_ExternalData_15[[#This Row],[IType]],IsDList,Table_ExternalData_15[[#Headers],[15]])</f>
        <v>0</v>
      </c>
      <c r="T324" s="10">
        <f>SUMIFS(IsQList,IsIList,Table_ExternalData_15[[#This Row],[item_key]],IsITypeList,Table_ExternalData_15[[#This Row],[IType]],IsDList,Table_ExternalData_15[[#Headers],[16]])</f>
        <v>0</v>
      </c>
      <c r="U324" s="10">
        <f>SUMIFS(IsQList,IsIList,Table_ExternalData_15[[#This Row],[item_key]],IsITypeList,Table_ExternalData_15[[#This Row],[IType]],IsDList,Table_ExternalData_15[[#Headers],[17]])</f>
        <v>0</v>
      </c>
      <c r="V324" s="10">
        <f>SUMIFS(IsQList,IsIList,Table_ExternalData_15[[#This Row],[item_key]],IsITypeList,Table_ExternalData_15[[#This Row],[IType]],IsDList,Table_ExternalData_15[[#Headers],[18]])</f>
        <v>0</v>
      </c>
      <c r="W324" s="10">
        <f>SUMIFS(IsQList,IsIList,Table_ExternalData_15[[#This Row],[item_key]],IsITypeList,Table_ExternalData_15[[#This Row],[IType]],IsDList,Table_ExternalData_15[[#Headers],[19]])</f>
        <v>0</v>
      </c>
      <c r="X324" s="10">
        <f>SUMIFS(IsQList,IsIList,Table_ExternalData_15[[#This Row],[item_key]],IsITypeList,Table_ExternalData_15[[#This Row],[IType]],IsDList,Table_ExternalData_15[[#Headers],[20]])</f>
        <v>0</v>
      </c>
      <c r="Y324" s="10">
        <f>SUMIFS(IsQList,IsIList,Table_ExternalData_15[[#This Row],[item_key]],IsITypeList,Table_ExternalData_15[[#This Row],[IType]],IsDList,Table_ExternalData_15[[#Headers],[21]])</f>
        <v>0</v>
      </c>
      <c r="Z324" s="10">
        <f>SUMIFS(IsQList,IsIList,Table_ExternalData_15[[#This Row],[item_key]],IsITypeList,Table_ExternalData_15[[#This Row],[IType]],IsDList,Table_ExternalData_15[[#Headers],[22]])</f>
        <v>0</v>
      </c>
      <c r="AA324" s="10">
        <f>SUMIFS(IsQList,IsIList,Table_ExternalData_15[[#This Row],[item_key]],IsITypeList,Table_ExternalData_15[[#This Row],[IType]],IsDList,Table_ExternalData_15[[#Headers],[23]])</f>
        <v>0</v>
      </c>
      <c r="AB324" s="10">
        <f>SUMIFS(IsQList,IsIList,Table_ExternalData_15[[#This Row],[item_key]],IsITypeList,Table_ExternalData_15[[#This Row],[IType]],IsDList,Table_ExternalData_15[[#Headers],[24]])</f>
        <v>0</v>
      </c>
      <c r="AC324" s="10">
        <f>SUMIFS(IsQList,IsIList,Table_ExternalData_15[[#This Row],[item_key]],IsITypeList,Table_ExternalData_15[[#This Row],[IType]],IsDList,Table_ExternalData_15[[#Headers],[25]])</f>
        <v>0</v>
      </c>
      <c r="AD324" s="10">
        <f>SUMIFS(IsQList,IsIList,Table_ExternalData_15[[#This Row],[item_key]],IsITypeList,Table_ExternalData_15[[#This Row],[IType]],IsDList,Table_ExternalData_15[[#Headers],[26]])</f>
        <v>0</v>
      </c>
      <c r="AE324" s="10">
        <f>SUMIFS(IsQList,IsIList,Table_ExternalData_15[[#This Row],[item_key]],IsITypeList,Table_ExternalData_15[[#This Row],[IType]],IsDList,Table_ExternalData_15[[#Headers],[27]])</f>
        <v>0</v>
      </c>
      <c r="AF324" s="10">
        <f>SUMIFS(IsQList,IsIList,Table_ExternalData_15[[#This Row],[item_key]],IsITypeList,Table_ExternalData_15[[#This Row],[IType]],IsDList,Table_ExternalData_15[[#Headers],[28]])</f>
        <v>0</v>
      </c>
      <c r="AG324" s="10">
        <f>SUMIFS(IsQList,IsIList,Table_ExternalData_15[[#This Row],[item_key]],IsITypeList,Table_ExternalData_15[[#This Row],[IType]],IsDList,Table_ExternalData_15[[#Headers],[29]])</f>
        <v>0</v>
      </c>
      <c r="AH324" s="10">
        <f>SUMIFS(IsQList,IsIList,Table_ExternalData_15[[#This Row],[item_key]],IsITypeList,Table_ExternalData_15[[#This Row],[IType]],IsDList,Table_ExternalData_15[[#Headers],[30]])</f>
        <v>0</v>
      </c>
      <c r="AI324" s="10">
        <f>SUMIFS(IsQList,IsIList,Table_ExternalData_15[[#This Row],[item_key]],IsITypeList,Table_ExternalData_15[[#This Row],[IType]],IsDList,Table_ExternalData_15[[#Headers],[31]])</f>
        <v>0</v>
      </c>
      <c r="AJ324" s="10">
        <f>SUM(Table_ExternalData_15[[#This Row],[1]:[31]])</f>
        <v>3</v>
      </c>
    </row>
    <row r="325" spans="1:36">
      <c r="A325" s="1" t="s">
        <v>999</v>
      </c>
      <c r="B325" s="1" t="s">
        <v>1492</v>
      </c>
      <c r="C325" s="1" t="s">
        <v>1270</v>
      </c>
      <c r="D325" s="11" t="s">
        <v>72</v>
      </c>
      <c r="E325" s="10">
        <f>SUMIFS(IsQList,IsIList,Table_ExternalData_15[[#This Row],[item_key]],IsITypeList,Table_ExternalData_15[[#This Row],[IType]],IsDList,Table_ExternalData_15[[#Headers],[1]])</f>
        <v>0</v>
      </c>
      <c r="F325" s="10">
        <f>SUMIFS(IsQList,IsIList,Table_ExternalData_15[[#This Row],[item_key]],IsITypeList,Table_ExternalData_15[[#This Row],[IType]],IsDList,Table_ExternalData_15[[#Headers],[2]])</f>
        <v>0</v>
      </c>
      <c r="G325" s="10">
        <f>SUMIFS(IsQList,IsIList,Table_ExternalData_15[[#This Row],[item_key]],IsITypeList,Table_ExternalData_15[[#This Row],[IType]],IsDList,Table_ExternalData_15[[#Headers],[3]])</f>
        <v>0</v>
      </c>
      <c r="H325" s="10">
        <f>SUMIFS(IsQList,IsIList,Table_ExternalData_15[[#This Row],[item_key]],IsITypeList,Table_ExternalData_15[[#This Row],[IType]],IsDList,Table_ExternalData_15[[#Headers],[4]])</f>
        <v>0</v>
      </c>
      <c r="I325" s="10">
        <f>SUMIFS(IsQList,IsIList,Table_ExternalData_15[[#This Row],[item_key]],IsITypeList,Table_ExternalData_15[[#This Row],[IType]],IsDList,Table_ExternalData_15[[#Headers],[5]])</f>
        <v>0</v>
      </c>
      <c r="J325" s="10">
        <f>SUMIFS(IsQList,IsIList,Table_ExternalData_15[[#This Row],[item_key]],IsITypeList,Table_ExternalData_15[[#This Row],[IType]],IsDList,Table_ExternalData_15[[#Headers],[6]])</f>
        <v>0</v>
      </c>
      <c r="K325" s="10">
        <f>SUMIFS(IsQList,IsIList,Table_ExternalData_15[[#This Row],[item_key]],IsITypeList,Table_ExternalData_15[[#This Row],[IType]],IsDList,Table_ExternalData_15[[#Headers],[7]])</f>
        <v>0</v>
      </c>
      <c r="L325" s="10">
        <f>SUMIFS(IsQList,IsIList,Table_ExternalData_15[[#This Row],[item_key]],IsITypeList,Table_ExternalData_15[[#This Row],[IType]],IsDList,Table_ExternalData_15[[#Headers],[8]])</f>
        <v>0</v>
      </c>
      <c r="M325" s="10">
        <f>SUMIFS(IsQList,IsIList,Table_ExternalData_15[[#This Row],[item_key]],IsITypeList,Table_ExternalData_15[[#This Row],[IType]],IsDList,Table_ExternalData_15[[#Headers],[9]])</f>
        <v>0</v>
      </c>
      <c r="N325" s="10">
        <f>SUMIFS(IsQList,IsIList,Table_ExternalData_15[[#This Row],[item_key]],IsITypeList,Table_ExternalData_15[[#This Row],[IType]],IsDList,Table_ExternalData_15[[#Headers],[10]])</f>
        <v>0</v>
      </c>
      <c r="O325" s="10">
        <f>SUMIFS(IsQList,IsIList,Table_ExternalData_15[[#This Row],[item_key]],IsITypeList,Table_ExternalData_15[[#This Row],[IType]],IsDList,Table_ExternalData_15[[#Headers],[11]])</f>
        <v>0</v>
      </c>
      <c r="P325" s="10">
        <f>SUMIFS(IsQList,IsIList,Table_ExternalData_15[[#This Row],[item_key]],IsITypeList,Table_ExternalData_15[[#This Row],[IType]],IsDList,Table_ExternalData_15[[#Headers],[12]])</f>
        <v>0</v>
      </c>
      <c r="Q325" s="10">
        <f>SUMIFS(IsQList,IsIList,Table_ExternalData_15[[#This Row],[item_key]],IsITypeList,Table_ExternalData_15[[#This Row],[IType]],IsDList,Table_ExternalData_15[[#Headers],[13]])</f>
        <v>0</v>
      </c>
      <c r="R325" s="10">
        <f>SUMIFS(IsQList,IsIList,Table_ExternalData_15[[#This Row],[item_key]],IsITypeList,Table_ExternalData_15[[#This Row],[IType]],IsDList,Table_ExternalData_15[[#Headers],[14]])</f>
        <v>0</v>
      </c>
      <c r="S325" s="10">
        <f>SUMIFS(IsQList,IsIList,Table_ExternalData_15[[#This Row],[item_key]],IsITypeList,Table_ExternalData_15[[#This Row],[IType]],IsDList,Table_ExternalData_15[[#Headers],[15]])</f>
        <v>0</v>
      </c>
      <c r="T325" s="10">
        <f>SUMIFS(IsQList,IsIList,Table_ExternalData_15[[#This Row],[item_key]],IsITypeList,Table_ExternalData_15[[#This Row],[IType]],IsDList,Table_ExternalData_15[[#Headers],[16]])</f>
        <v>20</v>
      </c>
      <c r="U325" s="10">
        <f>SUMIFS(IsQList,IsIList,Table_ExternalData_15[[#This Row],[item_key]],IsITypeList,Table_ExternalData_15[[#This Row],[IType]],IsDList,Table_ExternalData_15[[#Headers],[17]])</f>
        <v>0</v>
      </c>
      <c r="V325" s="10">
        <f>SUMIFS(IsQList,IsIList,Table_ExternalData_15[[#This Row],[item_key]],IsITypeList,Table_ExternalData_15[[#This Row],[IType]],IsDList,Table_ExternalData_15[[#Headers],[18]])</f>
        <v>0</v>
      </c>
      <c r="W325" s="10">
        <f>SUMIFS(IsQList,IsIList,Table_ExternalData_15[[#This Row],[item_key]],IsITypeList,Table_ExternalData_15[[#This Row],[IType]],IsDList,Table_ExternalData_15[[#Headers],[19]])</f>
        <v>0</v>
      </c>
      <c r="X325" s="10">
        <f>SUMIFS(IsQList,IsIList,Table_ExternalData_15[[#This Row],[item_key]],IsITypeList,Table_ExternalData_15[[#This Row],[IType]],IsDList,Table_ExternalData_15[[#Headers],[20]])</f>
        <v>0</v>
      </c>
      <c r="Y325" s="10">
        <f>SUMIFS(IsQList,IsIList,Table_ExternalData_15[[#This Row],[item_key]],IsITypeList,Table_ExternalData_15[[#This Row],[IType]],IsDList,Table_ExternalData_15[[#Headers],[21]])</f>
        <v>0</v>
      </c>
      <c r="Z325" s="10">
        <f>SUMIFS(IsQList,IsIList,Table_ExternalData_15[[#This Row],[item_key]],IsITypeList,Table_ExternalData_15[[#This Row],[IType]],IsDList,Table_ExternalData_15[[#Headers],[22]])</f>
        <v>0</v>
      </c>
      <c r="AA325" s="10">
        <f>SUMIFS(IsQList,IsIList,Table_ExternalData_15[[#This Row],[item_key]],IsITypeList,Table_ExternalData_15[[#This Row],[IType]],IsDList,Table_ExternalData_15[[#Headers],[23]])</f>
        <v>0</v>
      </c>
      <c r="AB325" s="10">
        <f>SUMIFS(IsQList,IsIList,Table_ExternalData_15[[#This Row],[item_key]],IsITypeList,Table_ExternalData_15[[#This Row],[IType]],IsDList,Table_ExternalData_15[[#Headers],[24]])</f>
        <v>0</v>
      </c>
      <c r="AC325" s="10">
        <f>SUMIFS(IsQList,IsIList,Table_ExternalData_15[[#This Row],[item_key]],IsITypeList,Table_ExternalData_15[[#This Row],[IType]],IsDList,Table_ExternalData_15[[#Headers],[25]])</f>
        <v>0</v>
      </c>
      <c r="AD325" s="10">
        <f>SUMIFS(IsQList,IsIList,Table_ExternalData_15[[#This Row],[item_key]],IsITypeList,Table_ExternalData_15[[#This Row],[IType]],IsDList,Table_ExternalData_15[[#Headers],[26]])</f>
        <v>0</v>
      </c>
      <c r="AE325" s="10">
        <f>SUMIFS(IsQList,IsIList,Table_ExternalData_15[[#This Row],[item_key]],IsITypeList,Table_ExternalData_15[[#This Row],[IType]],IsDList,Table_ExternalData_15[[#Headers],[27]])</f>
        <v>0</v>
      </c>
      <c r="AF325" s="10">
        <f>SUMIFS(IsQList,IsIList,Table_ExternalData_15[[#This Row],[item_key]],IsITypeList,Table_ExternalData_15[[#This Row],[IType]],IsDList,Table_ExternalData_15[[#Headers],[28]])</f>
        <v>0</v>
      </c>
      <c r="AG325" s="10">
        <f>SUMIFS(IsQList,IsIList,Table_ExternalData_15[[#This Row],[item_key]],IsITypeList,Table_ExternalData_15[[#This Row],[IType]],IsDList,Table_ExternalData_15[[#Headers],[29]])</f>
        <v>0</v>
      </c>
      <c r="AH325" s="10">
        <f>SUMIFS(IsQList,IsIList,Table_ExternalData_15[[#This Row],[item_key]],IsITypeList,Table_ExternalData_15[[#This Row],[IType]],IsDList,Table_ExternalData_15[[#Headers],[30]])</f>
        <v>0</v>
      </c>
      <c r="AI325" s="10">
        <f>SUMIFS(IsQList,IsIList,Table_ExternalData_15[[#This Row],[item_key]],IsITypeList,Table_ExternalData_15[[#This Row],[IType]],IsDList,Table_ExternalData_15[[#Headers],[31]])</f>
        <v>0</v>
      </c>
      <c r="AJ325" s="10">
        <f>SUM(Table_ExternalData_15[[#This Row],[1]:[31]])</f>
        <v>20</v>
      </c>
    </row>
    <row r="326" spans="1:36">
      <c r="A326" s="1" t="s">
        <v>1000</v>
      </c>
      <c r="B326" s="1" t="s">
        <v>1493</v>
      </c>
      <c r="C326" s="1" t="s">
        <v>1494</v>
      </c>
      <c r="D326" s="11" t="s">
        <v>72</v>
      </c>
      <c r="E326" s="10">
        <f>SUMIFS(IsQList,IsIList,Table_ExternalData_15[[#This Row],[item_key]],IsITypeList,Table_ExternalData_15[[#This Row],[IType]],IsDList,Table_ExternalData_15[[#Headers],[1]])</f>
        <v>0</v>
      </c>
      <c r="F326" s="10">
        <f>SUMIFS(IsQList,IsIList,Table_ExternalData_15[[#This Row],[item_key]],IsITypeList,Table_ExternalData_15[[#This Row],[IType]],IsDList,Table_ExternalData_15[[#Headers],[2]])</f>
        <v>0</v>
      </c>
      <c r="G326" s="10">
        <f>SUMIFS(IsQList,IsIList,Table_ExternalData_15[[#This Row],[item_key]],IsITypeList,Table_ExternalData_15[[#This Row],[IType]],IsDList,Table_ExternalData_15[[#Headers],[3]])</f>
        <v>0</v>
      </c>
      <c r="H326" s="10">
        <f>SUMIFS(IsQList,IsIList,Table_ExternalData_15[[#This Row],[item_key]],IsITypeList,Table_ExternalData_15[[#This Row],[IType]],IsDList,Table_ExternalData_15[[#Headers],[4]])</f>
        <v>0</v>
      </c>
      <c r="I326" s="10">
        <f>SUMIFS(IsQList,IsIList,Table_ExternalData_15[[#This Row],[item_key]],IsITypeList,Table_ExternalData_15[[#This Row],[IType]],IsDList,Table_ExternalData_15[[#Headers],[5]])</f>
        <v>0</v>
      </c>
      <c r="J326" s="10">
        <f>SUMIFS(IsQList,IsIList,Table_ExternalData_15[[#This Row],[item_key]],IsITypeList,Table_ExternalData_15[[#This Row],[IType]],IsDList,Table_ExternalData_15[[#Headers],[6]])</f>
        <v>0</v>
      </c>
      <c r="K326" s="10">
        <f>SUMIFS(IsQList,IsIList,Table_ExternalData_15[[#This Row],[item_key]],IsITypeList,Table_ExternalData_15[[#This Row],[IType]],IsDList,Table_ExternalData_15[[#Headers],[7]])</f>
        <v>0</v>
      </c>
      <c r="L326" s="10">
        <f>SUMIFS(IsQList,IsIList,Table_ExternalData_15[[#This Row],[item_key]],IsITypeList,Table_ExternalData_15[[#This Row],[IType]],IsDList,Table_ExternalData_15[[#Headers],[8]])</f>
        <v>0</v>
      </c>
      <c r="M326" s="10">
        <f>SUMIFS(IsQList,IsIList,Table_ExternalData_15[[#This Row],[item_key]],IsITypeList,Table_ExternalData_15[[#This Row],[IType]],IsDList,Table_ExternalData_15[[#Headers],[9]])</f>
        <v>0</v>
      </c>
      <c r="N326" s="10">
        <f>SUMIFS(IsQList,IsIList,Table_ExternalData_15[[#This Row],[item_key]],IsITypeList,Table_ExternalData_15[[#This Row],[IType]],IsDList,Table_ExternalData_15[[#Headers],[10]])</f>
        <v>0</v>
      </c>
      <c r="O326" s="10">
        <f>SUMIFS(IsQList,IsIList,Table_ExternalData_15[[#This Row],[item_key]],IsITypeList,Table_ExternalData_15[[#This Row],[IType]],IsDList,Table_ExternalData_15[[#Headers],[11]])</f>
        <v>0</v>
      </c>
      <c r="P326" s="10">
        <f>SUMIFS(IsQList,IsIList,Table_ExternalData_15[[#This Row],[item_key]],IsITypeList,Table_ExternalData_15[[#This Row],[IType]],IsDList,Table_ExternalData_15[[#Headers],[12]])</f>
        <v>0</v>
      </c>
      <c r="Q326" s="10">
        <f>SUMIFS(IsQList,IsIList,Table_ExternalData_15[[#This Row],[item_key]],IsITypeList,Table_ExternalData_15[[#This Row],[IType]],IsDList,Table_ExternalData_15[[#Headers],[13]])</f>
        <v>0</v>
      </c>
      <c r="R326" s="10">
        <f>SUMIFS(IsQList,IsIList,Table_ExternalData_15[[#This Row],[item_key]],IsITypeList,Table_ExternalData_15[[#This Row],[IType]],IsDList,Table_ExternalData_15[[#Headers],[14]])</f>
        <v>0</v>
      </c>
      <c r="S326" s="10">
        <f>SUMIFS(IsQList,IsIList,Table_ExternalData_15[[#This Row],[item_key]],IsITypeList,Table_ExternalData_15[[#This Row],[IType]],IsDList,Table_ExternalData_15[[#Headers],[15]])</f>
        <v>0</v>
      </c>
      <c r="T326" s="10">
        <f>SUMIFS(IsQList,IsIList,Table_ExternalData_15[[#This Row],[item_key]],IsITypeList,Table_ExternalData_15[[#This Row],[IType]],IsDList,Table_ExternalData_15[[#Headers],[16]])</f>
        <v>0</v>
      </c>
      <c r="U326" s="10">
        <f>SUMIFS(IsQList,IsIList,Table_ExternalData_15[[#This Row],[item_key]],IsITypeList,Table_ExternalData_15[[#This Row],[IType]],IsDList,Table_ExternalData_15[[#Headers],[17]])</f>
        <v>0</v>
      </c>
      <c r="V326" s="10">
        <f>SUMIFS(IsQList,IsIList,Table_ExternalData_15[[#This Row],[item_key]],IsITypeList,Table_ExternalData_15[[#This Row],[IType]],IsDList,Table_ExternalData_15[[#Headers],[18]])</f>
        <v>0</v>
      </c>
      <c r="W326" s="10">
        <f>SUMIFS(IsQList,IsIList,Table_ExternalData_15[[#This Row],[item_key]],IsITypeList,Table_ExternalData_15[[#This Row],[IType]],IsDList,Table_ExternalData_15[[#Headers],[19]])</f>
        <v>0</v>
      </c>
      <c r="X326" s="10">
        <f>SUMIFS(IsQList,IsIList,Table_ExternalData_15[[#This Row],[item_key]],IsITypeList,Table_ExternalData_15[[#This Row],[IType]],IsDList,Table_ExternalData_15[[#Headers],[20]])</f>
        <v>0</v>
      </c>
      <c r="Y326" s="10">
        <f>SUMIFS(IsQList,IsIList,Table_ExternalData_15[[#This Row],[item_key]],IsITypeList,Table_ExternalData_15[[#This Row],[IType]],IsDList,Table_ExternalData_15[[#Headers],[21]])</f>
        <v>0</v>
      </c>
      <c r="Z326" s="10">
        <f>SUMIFS(IsQList,IsIList,Table_ExternalData_15[[#This Row],[item_key]],IsITypeList,Table_ExternalData_15[[#This Row],[IType]],IsDList,Table_ExternalData_15[[#Headers],[22]])</f>
        <v>0</v>
      </c>
      <c r="AA326" s="10">
        <f>SUMIFS(IsQList,IsIList,Table_ExternalData_15[[#This Row],[item_key]],IsITypeList,Table_ExternalData_15[[#This Row],[IType]],IsDList,Table_ExternalData_15[[#Headers],[23]])</f>
        <v>0</v>
      </c>
      <c r="AB326" s="10">
        <f>SUMIFS(IsQList,IsIList,Table_ExternalData_15[[#This Row],[item_key]],IsITypeList,Table_ExternalData_15[[#This Row],[IType]],IsDList,Table_ExternalData_15[[#Headers],[24]])</f>
        <v>0</v>
      </c>
      <c r="AC326" s="10">
        <f>SUMIFS(IsQList,IsIList,Table_ExternalData_15[[#This Row],[item_key]],IsITypeList,Table_ExternalData_15[[#This Row],[IType]],IsDList,Table_ExternalData_15[[#Headers],[25]])</f>
        <v>0</v>
      </c>
      <c r="AD326" s="10">
        <f>SUMIFS(IsQList,IsIList,Table_ExternalData_15[[#This Row],[item_key]],IsITypeList,Table_ExternalData_15[[#This Row],[IType]],IsDList,Table_ExternalData_15[[#Headers],[26]])</f>
        <v>0</v>
      </c>
      <c r="AE326" s="10">
        <f>SUMIFS(IsQList,IsIList,Table_ExternalData_15[[#This Row],[item_key]],IsITypeList,Table_ExternalData_15[[#This Row],[IType]],IsDList,Table_ExternalData_15[[#Headers],[27]])</f>
        <v>0</v>
      </c>
      <c r="AF326" s="10">
        <f>SUMIFS(IsQList,IsIList,Table_ExternalData_15[[#This Row],[item_key]],IsITypeList,Table_ExternalData_15[[#This Row],[IType]],IsDList,Table_ExternalData_15[[#Headers],[28]])</f>
        <v>0</v>
      </c>
      <c r="AG326" s="10">
        <f>SUMIFS(IsQList,IsIList,Table_ExternalData_15[[#This Row],[item_key]],IsITypeList,Table_ExternalData_15[[#This Row],[IType]],IsDList,Table_ExternalData_15[[#Headers],[29]])</f>
        <v>0</v>
      </c>
      <c r="AH326" s="10">
        <f>SUMIFS(IsQList,IsIList,Table_ExternalData_15[[#This Row],[item_key]],IsITypeList,Table_ExternalData_15[[#This Row],[IType]],IsDList,Table_ExternalData_15[[#Headers],[30]])</f>
        <v>0</v>
      </c>
      <c r="AI326" s="10">
        <f>SUMIFS(IsQList,IsIList,Table_ExternalData_15[[#This Row],[item_key]],IsITypeList,Table_ExternalData_15[[#This Row],[IType]],IsDList,Table_ExternalData_15[[#Headers],[31]])</f>
        <v>0</v>
      </c>
      <c r="AJ326" s="10">
        <f>SUM(Table_ExternalData_15[[#This Row],[1]:[31]])</f>
        <v>0</v>
      </c>
    </row>
    <row r="327" spans="1:36">
      <c r="A327" s="1" t="s">
        <v>1010</v>
      </c>
      <c r="B327" s="1" t="s">
        <v>1495</v>
      </c>
      <c r="C327" s="1" t="s">
        <v>1371</v>
      </c>
      <c r="D327" s="11" t="s">
        <v>72</v>
      </c>
      <c r="E327" s="10">
        <f>SUMIFS(IsQList,IsIList,Table_ExternalData_15[[#This Row],[item_key]],IsITypeList,Table_ExternalData_15[[#This Row],[IType]],IsDList,Table_ExternalData_15[[#Headers],[1]])</f>
        <v>0</v>
      </c>
      <c r="F327" s="10">
        <f>SUMIFS(IsQList,IsIList,Table_ExternalData_15[[#This Row],[item_key]],IsITypeList,Table_ExternalData_15[[#This Row],[IType]],IsDList,Table_ExternalData_15[[#Headers],[2]])</f>
        <v>0</v>
      </c>
      <c r="G327" s="10">
        <f>SUMIFS(IsQList,IsIList,Table_ExternalData_15[[#This Row],[item_key]],IsITypeList,Table_ExternalData_15[[#This Row],[IType]],IsDList,Table_ExternalData_15[[#Headers],[3]])</f>
        <v>0</v>
      </c>
      <c r="H327" s="10">
        <f>SUMIFS(IsQList,IsIList,Table_ExternalData_15[[#This Row],[item_key]],IsITypeList,Table_ExternalData_15[[#This Row],[IType]],IsDList,Table_ExternalData_15[[#Headers],[4]])</f>
        <v>0</v>
      </c>
      <c r="I327" s="10">
        <f>SUMIFS(IsQList,IsIList,Table_ExternalData_15[[#This Row],[item_key]],IsITypeList,Table_ExternalData_15[[#This Row],[IType]],IsDList,Table_ExternalData_15[[#Headers],[5]])</f>
        <v>0</v>
      </c>
      <c r="J327" s="10">
        <f>SUMIFS(IsQList,IsIList,Table_ExternalData_15[[#This Row],[item_key]],IsITypeList,Table_ExternalData_15[[#This Row],[IType]],IsDList,Table_ExternalData_15[[#Headers],[6]])</f>
        <v>15</v>
      </c>
      <c r="K327" s="10">
        <f>SUMIFS(IsQList,IsIList,Table_ExternalData_15[[#This Row],[item_key]],IsITypeList,Table_ExternalData_15[[#This Row],[IType]],IsDList,Table_ExternalData_15[[#Headers],[7]])</f>
        <v>0</v>
      </c>
      <c r="L327" s="10">
        <f>SUMIFS(IsQList,IsIList,Table_ExternalData_15[[#This Row],[item_key]],IsITypeList,Table_ExternalData_15[[#This Row],[IType]],IsDList,Table_ExternalData_15[[#Headers],[8]])</f>
        <v>0</v>
      </c>
      <c r="M327" s="10">
        <f>SUMIFS(IsQList,IsIList,Table_ExternalData_15[[#This Row],[item_key]],IsITypeList,Table_ExternalData_15[[#This Row],[IType]],IsDList,Table_ExternalData_15[[#Headers],[9]])</f>
        <v>0</v>
      </c>
      <c r="N327" s="10">
        <f>SUMIFS(IsQList,IsIList,Table_ExternalData_15[[#This Row],[item_key]],IsITypeList,Table_ExternalData_15[[#This Row],[IType]],IsDList,Table_ExternalData_15[[#Headers],[10]])</f>
        <v>0</v>
      </c>
      <c r="O327" s="10">
        <f>SUMIFS(IsQList,IsIList,Table_ExternalData_15[[#This Row],[item_key]],IsITypeList,Table_ExternalData_15[[#This Row],[IType]],IsDList,Table_ExternalData_15[[#Headers],[11]])</f>
        <v>0</v>
      </c>
      <c r="P327" s="10">
        <f>SUMIFS(IsQList,IsIList,Table_ExternalData_15[[#This Row],[item_key]],IsITypeList,Table_ExternalData_15[[#This Row],[IType]],IsDList,Table_ExternalData_15[[#Headers],[12]])</f>
        <v>0</v>
      </c>
      <c r="Q327" s="10">
        <f>SUMIFS(IsQList,IsIList,Table_ExternalData_15[[#This Row],[item_key]],IsITypeList,Table_ExternalData_15[[#This Row],[IType]],IsDList,Table_ExternalData_15[[#Headers],[13]])</f>
        <v>0</v>
      </c>
      <c r="R327" s="10">
        <f>SUMIFS(IsQList,IsIList,Table_ExternalData_15[[#This Row],[item_key]],IsITypeList,Table_ExternalData_15[[#This Row],[IType]],IsDList,Table_ExternalData_15[[#Headers],[14]])</f>
        <v>0</v>
      </c>
      <c r="S327" s="10">
        <f>SUMIFS(IsQList,IsIList,Table_ExternalData_15[[#This Row],[item_key]],IsITypeList,Table_ExternalData_15[[#This Row],[IType]],IsDList,Table_ExternalData_15[[#Headers],[15]])</f>
        <v>0</v>
      </c>
      <c r="T327" s="10">
        <f>SUMIFS(IsQList,IsIList,Table_ExternalData_15[[#This Row],[item_key]],IsITypeList,Table_ExternalData_15[[#This Row],[IType]],IsDList,Table_ExternalData_15[[#Headers],[16]])</f>
        <v>0</v>
      </c>
      <c r="U327" s="10">
        <f>SUMIFS(IsQList,IsIList,Table_ExternalData_15[[#This Row],[item_key]],IsITypeList,Table_ExternalData_15[[#This Row],[IType]],IsDList,Table_ExternalData_15[[#Headers],[17]])</f>
        <v>0</v>
      </c>
      <c r="V327" s="10">
        <f>SUMIFS(IsQList,IsIList,Table_ExternalData_15[[#This Row],[item_key]],IsITypeList,Table_ExternalData_15[[#This Row],[IType]],IsDList,Table_ExternalData_15[[#Headers],[18]])</f>
        <v>0</v>
      </c>
      <c r="W327" s="10">
        <f>SUMIFS(IsQList,IsIList,Table_ExternalData_15[[#This Row],[item_key]],IsITypeList,Table_ExternalData_15[[#This Row],[IType]],IsDList,Table_ExternalData_15[[#Headers],[19]])</f>
        <v>0</v>
      </c>
      <c r="X327" s="10">
        <f>SUMIFS(IsQList,IsIList,Table_ExternalData_15[[#This Row],[item_key]],IsITypeList,Table_ExternalData_15[[#This Row],[IType]],IsDList,Table_ExternalData_15[[#Headers],[20]])</f>
        <v>0</v>
      </c>
      <c r="Y327" s="10">
        <f>SUMIFS(IsQList,IsIList,Table_ExternalData_15[[#This Row],[item_key]],IsITypeList,Table_ExternalData_15[[#This Row],[IType]],IsDList,Table_ExternalData_15[[#Headers],[21]])</f>
        <v>0</v>
      </c>
      <c r="Z327" s="10">
        <f>SUMIFS(IsQList,IsIList,Table_ExternalData_15[[#This Row],[item_key]],IsITypeList,Table_ExternalData_15[[#This Row],[IType]],IsDList,Table_ExternalData_15[[#Headers],[22]])</f>
        <v>0</v>
      </c>
      <c r="AA327" s="10">
        <f>SUMIFS(IsQList,IsIList,Table_ExternalData_15[[#This Row],[item_key]],IsITypeList,Table_ExternalData_15[[#This Row],[IType]],IsDList,Table_ExternalData_15[[#Headers],[23]])</f>
        <v>0</v>
      </c>
      <c r="AB327" s="10">
        <f>SUMIFS(IsQList,IsIList,Table_ExternalData_15[[#This Row],[item_key]],IsITypeList,Table_ExternalData_15[[#This Row],[IType]],IsDList,Table_ExternalData_15[[#Headers],[24]])</f>
        <v>0</v>
      </c>
      <c r="AC327" s="10">
        <f>SUMIFS(IsQList,IsIList,Table_ExternalData_15[[#This Row],[item_key]],IsITypeList,Table_ExternalData_15[[#This Row],[IType]],IsDList,Table_ExternalData_15[[#Headers],[25]])</f>
        <v>0</v>
      </c>
      <c r="AD327" s="10">
        <f>SUMIFS(IsQList,IsIList,Table_ExternalData_15[[#This Row],[item_key]],IsITypeList,Table_ExternalData_15[[#This Row],[IType]],IsDList,Table_ExternalData_15[[#Headers],[26]])</f>
        <v>0</v>
      </c>
      <c r="AE327" s="10">
        <f>SUMIFS(IsQList,IsIList,Table_ExternalData_15[[#This Row],[item_key]],IsITypeList,Table_ExternalData_15[[#This Row],[IType]],IsDList,Table_ExternalData_15[[#Headers],[27]])</f>
        <v>0</v>
      </c>
      <c r="AF327" s="10">
        <f>SUMIFS(IsQList,IsIList,Table_ExternalData_15[[#This Row],[item_key]],IsITypeList,Table_ExternalData_15[[#This Row],[IType]],IsDList,Table_ExternalData_15[[#Headers],[28]])</f>
        <v>0</v>
      </c>
      <c r="AG327" s="10">
        <f>SUMIFS(IsQList,IsIList,Table_ExternalData_15[[#This Row],[item_key]],IsITypeList,Table_ExternalData_15[[#This Row],[IType]],IsDList,Table_ExternalData_15[[#Headers],[29]])</f>
        <v>0</v>
      </c>
      <c r="AH327" s="10">
        <f>SUMIFS(IsQList,IsIList,Table_ExternalData_15[[#This Row],[item_key]],IsITypeList,Table_ExternalData_15[[#This Row],[IType]],IsDList,Table_ExternalData_15[[#Headers],[30]])</f>
        <v>0</v>
      </c>
      <c r="AI327" s="10">
        <f>SUMIFS(IsQList,IsIList,Table_ExternalData_15[[#This Row],[item_key]],IsITypeList,Table_ExternalData_15[[#This Row],[IType]],IsDList,Table_ExternalData_15[[#Headers],[31]])</f>
        <v>0</v>
      </c>
      <c r="AJ327" s="10">
        <f>SUM(Table_ExternalData_15[[#This Row],[1]:[31]])</f>
        <v>15</v>
      </c>
    </row>
    <row r="328" spans="1:36">
      <c r="A328" s="1" t="s">
        <v>1012</v>
      </c>
      <c r="B328" s="1" t="s">
        <v>2775</v>
      </c>
      <c r="C328" s="1" t="s">
        <v>2776</v>
      </c>
      <c r="D328" s="11" t="s">
        <v>72</v>
      </c>
      <c r="E328" s="10">
        <f>SUMIFS(IsQList,IsIList,Table_ExternalData_15[[#This Row],[item_key]],IsITypeList,Table_ExternalData_15[[#This Row],[IType]],IsDList,Table_ExternalData_15[[#Headers],[1]])</f>
        <v>0</v>
      </c>
      <c r="F328" s="10">
        <f>SUMIFS(IsQList,IsIList,Table_ExternalData_15[[#This Row],[item_key]],IsITypeList,Table_ExternalData_15[[#This Row],[IType]],IsDList,Table_ExternalData_15[[#Headers],[2]])</f>
        <v>0</v>
      </c>
      <c r="G328" s="10">
        <f>SUMIFS(IsQList,IsIList,Table_ExternalData_15[[#This Row],[item_key]],IsITypeList,Table_ExternalData_15[[#This Row],[IType]],IsDList,Table_ExternalData_15[[#Headers],[3]])</f>
        <v>0</v>
      </c>
      <c r="H328" s="10">
        <f>SUMIFS(IsQList,IsIList,Table_ExternalData_15[[#This Row],[item_key]],IsITypeList,Table_ExternalData_15[[#This Row],[IType]],IsDList,Table_ExternalData_15[[#Headers],[4]])</f>
        <v>0</v>
      </c>
      <c r="I328" s="10">
        <f>SUMIFS(IsQList,IsIList,Table_ExternalData_15[[#This Row],[item_key]],IsITypeList,Table_ExternalData_15[[#This Row],[IType]],IsDList,Table_ExternalData_15[[#Headers],[5]])</f>
        <v>0</v>
      </c>
      <c r="J328" s="10">
        <f>SUMIFS(IsQList,IsIList,Table_ExternalData_15[[#This Row],[item_key]],IsITypeList,Table_ExternalData_15[[#This Row],[IType]],IsDList,Table_ExternalData_15[[#Headers],[6]])</f>
        <v>0</v>
      </c>
      <c r="K328" s="10">
        <f>SUMIFS(IsQList,IsIList,Table_ExternalData_15[[#This Row],[item_key]],IsITypeList,Table_ExternalData_15[[#This Row],[IType]],IsDList,Table_ExternalData_15[[#Headers],[7]])</f>
        <v>0</v>
      </c>
      <c r="L328" s="10">
        <f>SUMIFS(IsQList,IsIList,Table_ExternalData_15[[#This Row],[item_key]],IsITypeList,Table_ExternalData_15[[#This Row],[IType]],IsDList,Table_ExternalData_15[[#Headers],[8]])</f>
        <v>0</v>
      </c>
      <c r="M328" s="10">
        <f>SUMIFS(IsQList,IsIList,Table_ExternalData_15[[#This Row],[item_key]],IsITypeList,Table_ExternalData_15[[#This Row],[IType]],IsDList,Table_ExternalData_15[[#Headers],[9]])</f>
        <v>0</v>
      </c>
      <c r="N328" s="10">
        <f>SUMIFS(IsQList,IsIList,Table_ExternalData_15[[#This Row],[item_key]],IsITypeList,Table_ExternalData_15[[#This Row],[IType]],IsDList,Table_ExternalData_15[[#Headers],[10]])</f>
        <v>0</v>
      </c>
      <c r="O328" s="10">
        <f>SUMIFS(IsQList,IsIList,Table_ExternalData_15[[#This Row],[item_key]],IsITypeList,Table_ExternalData_15[[#This Row],[IType]],IsDList,Table_ExternalData_15[[#Headers],[11]])</f>
        <v>0</v>
      </c>
      <c r="P328" s="10">
        <f>SUMIFS(IsQList,IsIList,Table_ExternalData_15[[#This Row],[item_key]],IsITypeList,Table_ExternalData_15[[#This Row],[IType]],IsDList,Table_ExternalData_15[[#Headers],[12]])</f>
        <v>0</v>
      </c>
      <c r="Q328" s="10">
        <f>SUMIFS(IsQList,IsIList,Table_ExternalData_15[[#This Row],[item_key]],IsITypeList,Table_ExternalData_15[[#This Row],[IType]],IsDList,Table_ExternalData_15[[#Headers],[13]])</f>
        <v>0</v>
      </c>
      <c r="R328" s="10">
        <f>SUMIFS(IsQList,IsIList,Table_ExternalData_15[[#This Row],[item_key]],IsITypeList,Table_ExternalData_15[[#This Row],[IType]],IsDList,Table_ExternalData_15[[#Headers],[14]])</f>
        <v>0</v>
      </c>
      <c r="S328" s="10">
        <f>SUMIFS(IsQList,IsIList,Table_ExternalData_15[[#This Row],[item_key]],IsITypeList,Table_ExternalData_15[[#This Row],[IType]],IsDList,Table_ExternalData_15[[#Headers],[15]])</f>
        <v>0</v>
      </c>
      <c r="T328" s="10">
        <f>SUMIFS(IsQList,IsIList,Table_ExternalData_15[[#This Row],[item_key]],IsITypeList,Table_ExternalData_15[[#This Row],[IType]],IsDList,Table_ExternalData_15[[#Headers],[16]])</f>
        <v>0</v>
      </c>
      <c r="U328" s="10">
        <f>SUMIFS(IsQList,IsIList,Table_ExternalData_15[[#This Row],[item_key]],IsITypeList,Table_ExternalData_15[[#This Row],[IType]],IsDList,Table_ExternalData_15[[#Headers],[17]])</f>
        <v>0</v>
      </c>
      <c r="V328" s="10">
        <f>SUMIFS(IsQList,IsIList,Table_ExternalData_15[[#This Row],[item_key]],IsITypeList,Table_ExternalData_15[[#This Row],[IType]],IsDList,Table_ExternalData_15[[#Headers],[18]])</f>
        <v>0</v>
      </c>
      <c r="W328" s="10">
        <f>SUMIFS(IsQList,IsIList,Table_ExternalData_15[[#This Row],[item_key]],IsITypeList,Table_ExternalData_15[[#This Row],[IType]],IsDList,Table_ExternalData_15[[#Headers],[19]])</f>
        <v>0</v>
      </c>
      <c r="X328" s="10">
        <f>SUMIFS(IsQList,IsIList,Table_ExternalData_15[[#This Row],[item_key]],IsITypeList,Table_ExternalData_15[[#This Row],[IType]],IsDList,Table_ExternalData_15[[#Headers],[20]])</f>
        <v>0</v>
      </c>
      <c r="Y328" s="10">
        <f>SUMIFS(IsQList,IsIList,Table_ExternalData_15[[#This Row],[item_key]],IsITypeList,Table_ExternalData_15[[#This Row],[IType]],IsDList,Table_ExternalData_15[[#Headers],[21]])</f>
        <v>0</v>
      </c>
      <c r="Z328" s="10">
        <f>SUMIFS(IsQList,IsIList,Table_ExternalData_15[[#This Row],[item_key]],IsITypeList,Table_ExternalData_15[[#This Row],[IType]],IsDList,Table_ExternalData_15[[#Headers],[22]])</f>
        <v>0</v>
      </c>
      <c r="AA328" s="10">
        <f>SUMIFS(IsQList,IsIList,Table_ExternalData_15[[#This Row],[item_key]],IsITypeList,Table_ExternalData_15[[#This Row],[IType]],IsDList,Table_ExternalData_15[[#Headers],[23]])</f>
        <v>0</v>
      </c>
      <c r="AB328" s="10">
        <f>SUMIFS(IsQList,IsIList,Table_ExternalData_15[[#This Row],[item_key]],IsITypeList,Table_ExternalData_15[[#This Row],[IType]],IsDList,Table_ExternalData_15[[#Headers],[24]])</f>
        <v>0</v>
      </c>
      <c r="AC328" s="10">
        <f>SUMIFS(IsQList,IsIList,Table_ExternalData_15[[#This Row],[item_key]],IsITypeList,Table_ExternalData_15[[#This Row],[IType]],IsDList,Table_ExternalData_15[[#Headers],[25]])</f>
        <v>0</v>
      </c>
      <c r="AD328" s="10">
        <f>SUMIFS(IsQList,IsIList,Table_ExternalData_15[[#This Row],[item_key]],IsITypeList,Table_ExternalData_15[[#This Row],[IType]],IsDList,Table_ExternalData_15[[#Headers],[26]])</f>
        <v>0</v>
      </c>
      <c r="AE328" s="10">
        <f>SUMIFS(IsQList,IsIList,Table_ExternalData_15[[#This Row],[item_key]],IsITypeList,Table_ExternalData_15[[#This Row],[IType]],IsDList,Table_ExternalData_15[[#Headers],[27]])</f>
        <v>0</v>
      </c>
      <c r="AF328" s="10">
        <f>SUMIFS(IsQList,IsIList,Table_ExternalData_15[[#This Row],[item_key]],IsITypeList,Table_ExternalData_15[[#This Row],[IType]],IsDList,Table_ExternalData_15[[#Headers],[28]])</f>
        <v>0</v>
      </c>
      <c r="AG328" s="10">
        <f>SUMIFS(IsQList,IsIList,Table_ExternalData_15[[#This Row],[item_key]],IsITypeList,Table_ExternalData_15[[#This Row],[IType]],IsDList,Table_ExternalData_15[[#Headers],[29]])</f>
        <v>0</v>
      </c>
      <c r="AH328" s="10">
        <f>SUMIFS(IsQList,IsIList,Table_ExternalData_15[[#This Row],[item_key]],IsITypeList,Table_ExternalData_15[[#This Row],[IType]],IsDList,Table_ExternalData_15[[#Headers],[30]])</f>
        <v>0</v>
      </c>
      <c r="AI328" s="10">
        <f>SUMIFS(IsQList,IsIList,Table_ExternalData_15[[#This Row],[item_key]],IsITypeList,Table_ExternalData_15[[#This Row],[IType]],IsDList,Table_ExternalData_15[[#Headers],[31]])</f>
        <v>0</v>
      </c>
      <c r="AJ328" s="10">
        <f>SUM(Table_ExternalData_15[[#This Row],[1]:[31]])</f>
        <v>0</v>
      </c>
    </row>
    <row r="329" spans="1:36">
      <c r="A329" s="1" t="s">
        <v>1013</v>
      </c>
      <c r="B329" s="1" t="s">
        <v>1498</v>
      </c>
      <c r="C329" s="1" t="s">
        <v>1499</v>
      </c>
      <c r="D329" s="11" t="s">
        <v>72</v>
      </c>
      <c r="E329" s="10">
        <f>SUMIFS(IsQList,IsIList,Table_ExternalData_15[[#This Row],[item_key]],IsITypeList,Table_ExternalData_15[[#This Row],[IType]],IsDList,Table_ExternalData_15[[#Headers],[1]])</f>
        <v>0</v>
      </c>
      <c r="F329" s="10">
        <f>SUMIFS(IsQList,IsIList,Table_ExternalData_15[[#This Row],[item_key]],IsITypeList,Table_ExternalData_15[[#This Row],[IType]],IsDList,Table_ExternalData_15[[#Headers],[2]])</f>
        <v>0</v>
      </c>
      <c r="G329" s="10">
        <f>SUMIFS(IsQList,IsIList,Table_ExternalData_15[[#This Row],[item_key]],IsITypeList,Table_ExternalData_15[[#This Row],[IType]],IsDList,Table_ExternalData_15[[#Headers],[3]])</f>
        <v>0</v>
      </c>
      <c r="H329" s="10">
        <f>SUMIFS(IsQList,IsIList,Table_ExternalData_15[[#This Row],[item_key]],IsITypeList,Table_ExternalData_15[[#This Row],[IType]],IsDList,Table_ExternalData_15[[#Headers],[4]])</f>
        <v>0</v>
      </c>
      <c r="I329" s="10">
        <f>SUMIFS(IsQList,IsIList,Table_ExternalData_15[[#This Row],[item_key]],IsITypeList,Table_ExternalData_15[[#This Row],[IType]],IsDList,Table_ExternalData_15[[#Headers],[5]])</f>
        <v>0</v>
      </c>
      <c r="J329" s="10">
        <f>SUMIFS(IsQList,IsIList,Table_ExternalData_15[[#This Row],[item_key]],IsITypeList,Table_ExternalData_15[[#This Row],[IType]],IsDList,Table_ExternalData_15[[#Headers],[6]])</f>
        <v>5</v>
      </c>
      <c r="K329" s="10">
        <f>SUMIFS(IsQList,IsIList,Table_ExternalData_15[[#This Row],[item_key]],IsITypeList,Table_ExternalData_15[[#This Row],[IType]],IsDList,Table_ExternalData_15[[#Headers],[7]])</f>
        <v>0</v>
      </c>
      <c r="L329" s="10">
        <f>SUMIFS(IsQList,IsIList,Table_ExternalData_15[[#This Row],[item_key]],IsITypeList,Table_ExternalData_15[[#This Row],[IType]],IsDList,Table_ExternalData_15[[#Headers],[8]])</f>
        <v>0</v>
      </c>
      <c r="M329" s="10">
        <f>SUMIFS(IsQList,IsIList,Table_ExternalData_15[[#This Row],[item_key]],IsITypeList,Table_ExternalData_15[[#This Row],[IType]],IsDList,Table_ExternalData_15[[#Headers],[9]])</f>
        <v>0</v>
      </c>
      <c r="N329" s="10">
        <f>SUMIFS(IsQList,IsIList,Table_ExternalData_15[[#This Row],[item_key]],IsITypeList,Table_ExternalData_15[[#This Row],[IType]],IsDList,Table_ExternalData_15[[#Headers],[10]])</f>
        <v>0</v>
      </c>
      <c r="O329" s="10">
        <f>SUMIFS(IsQList,IsIList,Table_ExternalData_15[[#This Row],[item_key]],IsITypeList,Table_ExternalData_15[[#This Row],[IType]],IsDList,Table_ExternalData_15[[#Headers],[11]])</f>
        <v>0</v>
      </c>
      <c r="P329" s="10">
        <f>SUMIFS(IsQList,IsIList,Table_ExternalData_15[[#This Row],[item_key]],IsITypeList,Table_ExternalData_15[[#This Row],[IType]],IsDList,Table_ExternalData_15[[#Headers],[12]])</f>
        <v>0</v>
      </c>
      <c r="Q329" s="10">
        <f>SUMIFS(IsQList,IsIList,Table_ExternalData_15[[#This Row],[item_key]],IsITypeList,Table_ExternalData_15[[#This Row],[IType]],IsDList,Table_ExternalData_15[[#Headers],[13]])</f>
        <v>0</v>
      </c>
      <c r="R329" s="10">
        <f>SUMIFS(IsQList,IsIList,Table_ExternalData_15[[#This Row],[item_key]],IsITypeList,Table_ExternalData_15[[#This Row],[IType]],IsDList,Table_ExternalData_15[[#Headers],[14]])</f>
        <v>0</v>
      </c>
      <c r="S329" s="10">
        <f>SUMIFS(IsQList,IsIList,Table_ExternalData_15[[#This Row],[item_key]],IsITypeList,Table_ExternalData_15[[#This Row],[IType]],IsDList,Table_ExternalData_15[[#Headers],[15]])</f>
        <v>0</v>
      </c>
      <c r="T329" s="10">
        <f>SUMIFS(IsQList,IsIList,Table_ExternalData_15[[#This Row],[item_key]],IsITypeList,Table_ExternalData_15[[#This Row],[IType]],IsDList,Table_ExternalData_15[[#Headers],[16]])</f>
        <v>0</v>
      </c>
      <c r="U329" s="10">
        <f>SUMIFS(IsQList,IsIList,Table_ExternalData_15[[#This Row],[item_key]],IsITypeList,Table_ExternalData_15[[#This Row],[IType]],IsDList,Table_ExternalData_15[[#Headers],[17]])</f>
        <v>0</v>
      </c>
      <c r="V329" s="10">
        <f>SUMIFS(IsQList,IsIList,Table_ExternalData_15[[#This Row],[item_key]],IsITypeList,Table_ExternalData_15[[#This Row],[IType]],IsDList,Table_ExternalData_15[[#Headers],[18]])</f>
        <v>0</v>
      </c>
      <c r="W329" s="10">
        <f>SUMIFS(IsQList,IsIList,Table_ExternalData_15[[#This Row],[item_key]],IsITypeList,Table_ExternalData_15[[#This Row],[IType]],IsDList,Table_ExternalData_15[[#Headers],[19]])</f>
        <v>0</v>
      </c>
      <c r="X329" s="10">
        <f>SUMIFS(IsQList,IsIList,Table_ExternalData_15[[#This Row],[item_key]],IsITypeList,Table_ExternalData_15[[#This Row],[IType]],IsDList,Table_ExternalData_15[[#Headers],[20]])</f>
        <v>0</v>
      </c>
      <c r="Y329" s="10">
        <f>SUMIFS(IsQList,IsIList,Table_ExternalData_15[[#This Row],[item_key]],IsITypeList,Table_ExternalData_15[[#This Row],[IType]],IsDList,Table_ExternalData_15[[#Headers],[21]])</f>
        <v>0</v>
      </c>
      <c r="Z329" s="10">
        <f>SUMIFS(IsQList,IsIList,Table_ExternalData_15[[#This Row],[item_key]],IsITypeList,Table_ExternalData_15[[#This Row],[IType]],IsDList,Table_ExternalData_15[[#Headers],[22]])</f>
        <v>0</v>
      </c>
      <c r="AA329" s="10">
        <f>SUMIFS(IsQList,IsIList,Table_ExternalData_15[[#This Row],[item_key]],IsITypeList,Table_ExternalData_15[[#This Row],[IType]],IsDList,Table_ExternalData_15[[#Headers],[23]])</f>
        <v>0</v>
      </c>
      <c r="AB329" s="10">
        <f>SUMIFS(IsQList,IsIList,Table_ExternalData_15[[#This Row],[item_key]],IsITypeList,Table_ExternalData_15[[#This Row],[IType]],IsDList,Table_ExternalData_15[[#Headers],[24]])</f>
        <v>0</v>
      </c>
      <c r="AC329" s="10">
        <f>SUMIFS(IsQList,IsIList,Table_ExternalData_15[[#This Row],[item_key]],IsITypeList,Table_ExternalData_15[[#This Row],[IType]],IsDList,Table_ExternalData_15[[#Headers],[25]])</f>
        <v>0</v>
      </c>
      <c r="AD329" s="10">
        <f>SUMIFS(IsQList,IsIList,Table_ExternalData_15[[#This Row],[item_key]],IsITypeList,Table_ExternalData_15[[#This Row],[IType]],IsDList,Table_ExternalData_15[[#Headers],[26]])</f>
        <v>0</v>
      </c>
      <c r="AE329" s="10">
        <f>SUMIFS(IsQList,IsIList,Table_ExternalData_15[[#This Row],[item_key]],IsITypeList,Table_ExternalData_15[[#This Row],[IType]],IsDList,Table_ExternalData_15[[#Headers],[27]])</f>
        <v>0</v>
      </c>
      <c r="AF329" s="10">
        <f>SUMIFS(IsQList,IsIList,Table_ExternalData_15[[#This Row],[item_key]],IsITypeList,Table_ExternalData_15[[#This Row],[IType]],IsDList,Table_ExternalData_15[[#Headers],[28]])</f>
        <v>0</v>
      </c>
      <c r="AG329" s="10">
        <f>SUMIFS(IsQList,IsIList,Table_ExternalData_15[[#This Row],[item_key]],IsITypeList,Table_ExternalData_15[[#This Row],[IType]],IsDList,Table_ExternalData_15[[#Headers],[29]])</f>
        <v>0</v>
      </c>
      <c r="AH329" s="10">
        <f>SUMIFS(IsQList,IsIList,Table_ExternalData_15[[#This Row],[item_key]],IsITypeList,Table_ExternalData_15[[#This Row],[IType]],IsDList,Table_ExternalData_15[[#Headers],[30]])</f>
        <v>0</v>
      </c>
      <c r="AI329" s="10">
        <f>SUMIFS(IsQList,IsIList,Table_ExternalData_15[[#This Row],[item_key]],IsITypeList,Table_ExternalData_15[[#This Row],[IType]],IsDList,Table_ExternalData_15[[#Headers],[31]])</f>
        <v>0</v>
      </c>
      <c r="AJ329" s="10">
        <f>SUM(Table_ExternalData_15[[#This Row],[1]:[31]])</f>
        <v>5</v>
      </c>
    </row>
    <row r="330" spans="1:36">
      <c r="A330" s="1" t="s">
        <v>1015</v>
      </c>
      <c r="B330" s="1" t="s">
        <v>1502</v>
      </c>
      <c r="C330" s="1" t="s">
        <v>1503</v>
      </c>
      <c r="D330" s="11" t="s">
        <v>72</v>
      </c>
      <c r="E330" s="10">
        <f>SUMIFS(IsQList,IsIList,Table_ExternalData_15[[#This Row],[item_key]],IsITypeList,Table_ExternalData_15[[#This Row],[IType]],IsDList,Table_ExternalData_15[[#Headers],[1]])</f>
        <v>0</v>
      </c>
      <c r="F330" s="10">
        <f>SUMIFS(IsQList,IsIList,Table_ExternalData_15[[#This Row],[item_key]],IsITypeList,Table_ExternalData_15[[#This Row],[IType]],IsDList,Table_ExternalData_15[[#Headers],[2]])</f>
        <v>0</v>
      </c>
      <c r="G330" s="10">
        <f>SUMIFS(IsQList,IsIList,Table_ExternalData_15[[#This Row],[item_key]],IsITypeList,Table_ExternalData_15[[#This Row],[IType]],IsDList,Table_ExternalData_15[[#Headers],[3]])</f>
        <v>0</v>
      </c>
      <c r="H330" s="10">
        <f>SUMIFS(IsQList,IsIList,Table_ExternalData_15[[#This Row],[item_key]],IsITypeList,Table_ExternalData_15[[#This Row],[IType]],IsDList,Table_ExternalData_15[[#Headers],[4]])</f>
        <v>0</v>
      </c>
      <c r="I330" s="10">
        <f>SUMIFS(IsQList,IsIList,Table_ExternalData_15[[#This Row],[item_key]],IsITypeList,Table_ExternalData_15[[#This Row],[IType]],IsDList,Table_ExternalData_15[[#Headers],[5]])</f>
        <v>0</v>
      </c>
      <c r="J330" s="10">
        <f>SUMIFS(IsQList,IsIList,Table_ExternalData_15[[#This Row],[item_key]],IsITypeList,Table_ExternalData_15[[#This Row],[IType]],IsDList,Table_ExternalData_15[[#Headers],[6]])</f>
        <v>0</v>
      </c>
      <c r="K330" s="10">
        <f>SUMIFS(IsQList,IsIList,Table_ExternalData_15[[#This Row],[item_key]],IsITypeList,Table_ExternalData_15[[#This Row],[IType]],IsDList,Table_ExternalData_15[[#Headers],[7]])</f>
        <v>0</v>
      </c>
      <c r="L330" s="10">
        <f>SUMIFS(IsQList,IsIList,Table_ExternalData_15[[#This Row],[item_key]],IsITypeList,Table_ExternalData_15[[#This Row],[IType]],IsDList,Table_ExternalData_15[[#Headers],[8]])</f>
        <v>0</v>
      </c>
      <c r="M330" s="10">
        <f>SUMIFS(IsQList,IsIList,Table_ExternalData_15[[#This Row],[item_key]],IsITypeList,Table_ExternalData_15[[#This Row],[IType]],IsDList,Table_ExternalData_15[[#Headers],[9]])</f>
        <v>0</v>
      </c>
      <c r="N330" s="10">
        <f>SUMIFS(IsQList,IsIList,Table_ExternalData_15[[#This Row],[item_key]],IsITypeList,Table_ExternalData_15[[#This Row],[IType]],IsDList,Table_ExternalData_15[[#Headers],[10]])</f>
        <v>0</v>
      </c>
      <c r="O330" s="10">
        <f>SUMIFS(IsQList,IsIList,Table_ExternalData_15[[#This Row],[item_key]],IsITypeList,Table_ExternalData_15[[#This Row],[IType]],IsDList,Table_ExternalData_15[[#Headers],[11]])</f>
        <v>0</v>
      </c>
      <c r="P330" s="10">
        <f>SUMIFS(IsQList,IsIList,Table_ExternalData_15[[#This Row],[item_key]],IsITypeList,Table_ExternalData_15[[#This Row],[IType]],IsDList,Table_ExternalData_15[[#Headers],[12]])</f>
        <v>0</v>
      </c>
      <c r="Q330" s="10">
        <f>SUMIFS(IsQList,IsIList,Table_ExternalData_15[[#This Row],[item_key]],IsITypeList,Table_ExternalData_15[[#This Row],[IType]],IsDList,Table_ExternalData_15[[#Headers],[13]])</f>
        <v>0</v>
      </c>
      <c r="R330" s="10">
        <f>SUMIFS(IsQList,IsIList,Table_ExternalData_15[[#This Row],[item_key]],IsITypeList,Table_ExternalData_15[[#This Row],[IType]],IsDList,Table_ExternalData_15[[#Headers],[14]])</f>
        <v>0</v>
      </c>
      <c r="S330" s="10">
        <f>SUMIFS(IsQList,IsIList,Table_ExternalData_15[[#This Row],[item_key]],IsITypeList,Table_ExternalData_15[[#This Row],[IType]],IsDList,Table_ExternalData_15[[#Headers],[15]])</f>
        <v>0</v>
      </c>
      <c r="T330" s="10">
        <f>SUMIFS(IsQList,IsIList,Table_ExternalData_15[[#This Row],[item_key]],IsITypeList,Table_ExternalData_15[[#This Row],[IType]],IsDList,Table_ExternalData_15[[#Headers],[16]])</f>
        <v>10</v>
      </c>
      <c r="U330" s="10">
        <f>SUMIFS(IsQList,IsIList,Table_ExternalData_15[[#This Row],[item_key]],IsITypeList,Table_ExternalData_15[[#This Row],[IType]],IsDList,Table_ExternalData_15[[#Headers],[17]])</f>
        <v>0</v>
      </c>
      <c r="V330" s="10">
        <f>SUMIFS(IsQList,IsIList,Table_ExternalData_15[[#This Row],[item_key]],IsITypeList,Table_ExternalData_15[[#This Row],[IType]],IsDList,Table_ExternalData_15[[#Headers],[18]])</f>
        <v>0</v>
      </c>
      <c r="W330" s="10">
        <f>SUMIFS(IsQList,IsIList,Table_ExternalData_15[[#This Row],[item_key]],IsITypeList,Table_ExternalData_15[[#This Row],[IType]],IsDList,Table_ExternalData_15[[#Headers],[19]])</f>
        <v>0</v>
      </c>
      <c r="X330" s="10">
        <f>SUMIFS(IsQList,IsIList,Table_ExternalData_15[[#This Row],[item_key]],IsITypeList,Table_ExternalData_15[[#This Row],[IType]],IsDList,Table_ExternalData_15[[#Headers],[20]])</f>
        <v>0</v>
      </c>
      <c r="Y330" s="10">
        <f>SUMIFS(IsQList,IsIList,Table_ExternalData_15[[#This Row],[item_key]],IsITypeList,Table_ExternalData_15[[#This Row],[IType]],IsDList,Table_ExternalData_15[[#Headers],[21]])</f>
        <v>0</v>
      </c>
      <c r="Z330" s="10">
        <f>SUMIFS(IsQList,IsIList,Table_ExternalData_15[[#This Row],[item_key]],IsITypeList,Table_ExternalData_15[[#This Row],[IType]],IsDList,Table_ExternalData_15[[#Headers],[22]])</f>
        <v>0</v>
      </c>
      <c r="AA330" s="10">
        <f>SUMIFS(IsQList,IsIList,Table_ExternalData_15[[#This Row],[item_key]],IsITypeList,Table_ExternalData_15[[#This Row],[IType]],IsDList,Table_ExternalData_15[[#Headers],[23]])</f>
        <v>0</v>
      </c>
      <c r="AB330" s="10">
        <f>SUMIFS(IsQList,IsIList,Table_ExternalData_15[[#This Row],[item_key]],IsITypeList,Table_ExternalData_15[[#This Row],[IType]],IsDList,Table_ExternalData_15[[#Headers],[24]])</f>
        <v>0</v>
      </c>
      <c r="AC330" s="10">
        <f>SUMIFS(IsQList,IsIList,Table_ExternalData_15[[#This Row],[item_key]],IsITypeList,Table_ExternalData_15[[#This Row],[IType]],IsDList,Table_ExternalData_15[[#Headers],[25]])</f>
        <v>0</v>
      </c>
      <c r="AD330" s="10">
        <f>SUMIFS(IsQList,IsIList,Table_ExternalData_15[[#This Row],[item_key]],IsITypeList,Table_ExternalData_15[[#This Row],[IType]],IsDList,Table_ExternalData_15[[#Headers],[26]])</f>
        <v>0</v>
      </c>
      <c r="AE330" s="10">
        <f>SUMIFS(IsQList,IsIList,Table_ExternalData_15[[#This Row],[item_key]],IsITypeList,Table_ExternalData_15[[#This Row],[IType]],IsDList,Table_ExternalData_15[[#Headers],[27]])</f>
        <v>0</v>
      </c>
      <c r="AF330" s="10">
        <f>SUMIFS(IsQList,IsIList,Table_ExternalData_15[[#This Row],[item_key]],IsITypeList,Table_ExternalData_15[[#This Row],[IType]],IsDList,Table_ExternalData_15[[#Headers],[28]])</f>
        <v>0</v>
      </c>
      <c r="AG330" s="10">
        <f>SUMIFS(IsQList,IsIList,Table_ExternalData_15[[#This Row],[item_key]],IsITypeList,Table_ExternalData_15[[#This Row],[IType]],IsDList,Table_ExternalData_15[[#Headers],[29]])</f>
        <v>0</v>
      </c>
      <c r="AH330" s="10">
        <f>SUMIFS(IsQList,IsIList,Table_ExternalData_15[[#This Row],[item_key]],IsITypeList,Table_ExternalData_15[[#This Row],[IType]],IsDList,Table_ExternalData_15[[#Headers],[30]])</f>
        <v>0</v>
      </c>
      <c r="AI330" s="10">
        <f>SUMIFS(IsQList,IsIList,Table_ExternalData_15[[#This Row],[item_key]],IsITypeList,Table_ExternalData_15[[#This Row],[IType]],IsDList,Table_ExternalData_15[[#Headers],[31]])</f>
        <v>0</v>
      </c>
      <c r="AJ330" s="10">
        <f>SUM(Table_ExternalData_15[[#This Row],[1]:[31]])</f>
        <v>10</v>
      </c>
    </row>
    <row r="331" spans="1:36">
      <c r="A331" s="1" t="s">
        <v>2175</v>
      </c>
      <c r="B331" s="1" t="s">
        <v>2777</v>
      </c>
      <c r="C331" s="1" t="s">
        <v>2502</v>
      </c>
      <c r="D331" s="11" t="s">
        <v>72</v>
      </c>
      <c r="E331" s="10">
        <f>SUMIFS(IsQList,IsIList,Table_ExternalData_15[[#This Row],[item_key]],IsITypeList,Table_ExternalData_15[[#This Row],[IType]],IsDList,Table_ExternalData_15[[#Headers],[1]])</f>
        <v>0</v>
      </c>
      <c r="F331" s="10">
        <f>SUMIFS(IsQList,IsIList,Table_ExternalData_15[[#This Row],[item_key]],IsITypeList,Table_ExternalData_15[[#This Row],[IType]],IsDList,Table_ExternalData_15[[#Headers],[2]])</f>
        <v>0</v>
      </c>
      <c r="G331" s="10">
        <f>SUMIFS(IsQList,IsIList,Table_ExternalData_15[[#This Row],[item_key]],IsITypeList,Table_ExternalData_15[[#This Row],[IType]],IsDList,Table_ExternalData_15[[#Headers],[3]])</f>
        <v>0</v>
      </c>
      <c r="H331" s="10">
        <f>SUMIFS(IsQList,IsIList,Table_ExternalData_15[[#This Row],[item_key]],IsITypeList,Table_ExternalData_15[[#This Row],[IType]],IsDList,Table_ExternalData_15[[#Headers],[4]])</f>
        <v>0</v>
      </c>
      <c r="I331" s="10">
        <f>SUMIFS(IsQList,IsIList,Table_ExternalData_15[[#This Row],[item_key]],IsITypeList,Table_ExternalData_15[[#This Row],[IType]],IsDList,Table_ExternalData_15[[#Headers],[5]])</f>
        <v>0</v>
      </c>
      <c r="J331" s="10">
        <f>SUMIFS(IsQList,IsIList,Table_ExternalData_15[[#This Row],[item_key]],IsITypeList,Table_ExternalData_15[[#This Row],[IType]],IsDList,Table_ExternalData_15[[#Headers],[6]])</f>
        <v>0</v>
      </c>
      <c r="K331" s="10">
        <f>SUMIFS(IsQList,IsIList,Table_ExternalData_15[[#This Row],[item_key]],IsITypeList,Table_ExternalData_15[[#This Row],[IType]],IsDList,Table_ExternalData_15[[#Headers],[7]])</f>
        <v>0</v>
      </c>
      <c r="L331" s="10">
        <f>SUMIFS(IsQList,IsIList,Table_ExternalData_15[[#This Row],[item_key]],IsITypeList,Table_ExternalData_15[[#This Row],[IType]],IsDList,Table_ExternalData_15[[#Headers],[8]])</f>
        <v>0</v>
      </c>
      <c r="M331" s="10">
        <f>SUMIFS(IsQList,IsIList,Table_ExternalData_15[[#This Row],[item_key]],IsITypeList,Table_ExternalData_15[[#This Row],[IType]],IsDList,Table_ExternalData_15[[#Headers],[9]])</f>
        <v>0</v>
      </c>
      <c r="N331" s="10">
        <f>SUMIFS(IsQList,IsIList,Table_ExternalData_15[[#This Row],[item_key]],IsITypeList,Table_ExternalData_15[[#This Row],[IType]],IsDList,Table_ExternalData_15[[#Headers],[10]])</f>
        <v>0</v>
      </c>
      <c r="O331" s="10">
        <f>SUMIFS(IsQList,IsIList,Table_ExternalData_15[[#This Row],[item_key]],IsITypeList,Table_ExternalData_15[[#This Row],[IType]],IsDList,Table_ExternalData_15[[#Headers],[11]])</f>
        <v>0</v>
      </c>
      <c r="P331" s="10">
        <f>SUMIFS(IsQList,IsIList,Table_ExternalData_15[[#This Row],[item_key]],IsITypeList,Table_ExternalData_15[[#This Row],[IType]],IsDList,Table_ExternalData_15[[#Headers],[12]])</f>
        <v>0</v>
      </c>
      <c r="Q331" s="10">
        <f>SUMIFS(IsQList,IsIList,Table_ExternalData_15[[#This Row],[item_key]],IsITypeList,Table_ExternalData_15[[#This Row],[IType]],IsDList,Table_ExternalData_15[[#Headers],[13]])</f>
        <v>0</v>
      </c>
      <c r="R331" s="10">
        <f>SUMIFS(IsQList,IsIList,Table_ExternalData_15[[#This Row],[item_key]],IsITypeList,Table_ExternalData_15[[#This Row],[IType]],IsDList,Table_ExternalData_15[[#Headers],[14]])</f>
        <v>0</v>
      </c>
      <c r="S331" s="10">
        <f>SUMIFS(IsQList,IsIList,Table_ExternalData_15[[#This Row],[item_key]],IsITypeList,Table_ExternalData_15[[#This Row],[IType]],IsDList,Table_ExternalData_15[[#Headers],[15]])</f>
        <v>0</v>
      </c>
      <c r="T331" s="10">
        <f>SUMIFS(IsQList,IsIList,Table_ExternalData_15[[#This Row],[item_key]],IsITypeList,Table_ExternalData_15[[#This Row],[IType]],IsDList,Table_ExternalData_15[[#Headers],[16]])</f>
        <v>0</v>
      </c>
      <c r="U331" s="10">
        <f>SUMIFS(IsQList,IsIList,Table_ExternalData_15[[#This Row],[item_key]],IsITypeList,Table_ExternalData_15[[#This Row],[IType]],IsDList,Table_ExternalData_15[[#Headers],[17]])</f>
        <v>0</v>
      </c>
      <c r="V331" s="10">
        <f>SUMIFS(IsQList,IsIList,Table_ExternalData_15[[#This Row],[item_key]],IsITypeList,Table_ExternalData_15[[#This Row],[IType]],IsDList,Table_ExternalData_15[[#Headers],[18]])</f>
        <v>0</v>
      </c>
      <c r="W331" s="10">
        <f>SUMIFS(IsQList,IsIList,Table_ExternalData_15[[#This Row],[item_key]],IsITypeList,Table_ExternalData_15[[#This Row],[IType]],IsDList,Table_ExternalData_15[[#Headers],[19]])</f>
        <v>0</v>
      </c>
      <c r="X331" s="10">
        <f>SUMIFS(IsQList,IsIList,Table_ExternalData_15[[#This Row],[item_key]],IsITypeList,Table_ExternalData_15[[#This Row],[IType]],IsDList,Table_ExternalData_15[[#Headers],[20]])</f>
        <v>0</v>
      </c>
      <c r="Y331" s="10">
        <f>SUMIFS(IsQList,IsIList,Table_ExternalData_15[[#This Row],[item_key]],IsITypeList,Table_ExternalData_15[[#This Row],[IType]],IsDList,Table_ExternalData_15[[#Headers],[21]])</f>
        <v>0</v>
      </c>
      <c r="Z331" s="10">
        <f>SUMIFS(IsQList,IsIList,Table_ExternalData_15[[#This Row],[item_key]],IsITypeList,Table_ExternalData_15[[#This Row],[IType]],IsDList,Table_ExternalData_15[[#Headers],[22]])</f>
        <v>0</v>
      </c>
      <c r="AA331" s="10">
        <f>SUMIFS(IsQList,IsIList,Table_ExternalData_15[[#This Row],[item_key]],IsITypeList,Table_ExternalData_15[[#This Row],[IType]],IsDList,Table_ExternalData_15[[#Headers],[23]])</f>
        <v>0</v>
      </c>
      <c r="AB331" s="10">
        <f>SUMIFS(IsQList,IsIList,Table_ExternalData_15[[#This Row],[item_key]],IsITypeList,Table_ExternalData_15[[#This Row],[IType]],IsDList,Table_ExternalData_15[[#Headers],[24]])</f>
        <v>0</v>
      </c>
      <c r="AC331" s="10">
        <f>SUMIFS(IsQList,IsIList,Table_ExternalData_15[[#This Row],[item_key]],IsITypeList,Table_ExternalData_15[[#This Row],[IType]],IsDList,Table_ExternalData_15[[#Headers],[25]])</f>
        <v>0</v>
      </c>
      <c r="AD331" s="10">
        <f>SUMIFS(IsQList,IsIList,Table_ExternalData_15[[#This Row],[item_key]],IsITypeList,Table_ExternalData_15[[#This Row],[IType]],IsDList,Table_ExternalData_15[[#Headers],[26]])</f>
        <v>0</v>
      </c>
      <c r="AE331" s="10">
        <f>SUMIFS(IsQList,IsIList,Table_ExternalData_15[[#This Row],[item_key]],IsITypeList,Table_ExternalData_15[[#This Row],[IType]],IsDList,Table_ExternalData_15[[#Headers],[27]])</f>
        <v>0</v>
      </c>
      <c r="AF331" s="10">
        <f>SUMIFS(IsQList,IsIList,Table_ExternalData_15[[#This Row],[item_key]],IsITypeList,Table_ExternalData_15[[#This Row],[IType]],IsDList,Table_ExternalData_15[[#Headers],[28]])</f>
        <v>0</v>
      </c>
      <c r="AG331" s="10">
        <f>SUMIFS(IsQList,IsIList,Table_ExternalData_15[[#This Row],[item_key]],IsITypeList,Table_ExternalData_15[[#This Row],[IType]],IsDList,Table_ExternalData_15[[#Headers],[29]])</f>
        <v>0</v>
      </c>
      <c r="AH331" s="10">
        <f>SUMIFS(IsQList,IsIList,Table_ExternalData_15[[#This Row],[item_key]],IsITypeList,Table_ExternalData_15[[#This Row],[IType]],IsDList,Table_ExternalData_15[[#Headers],[30]])</f>
        <v>10</v>
      </c>
      <c r="AI331" s="10">
        <f>SUMIFS(IsQList,IsIList,Table_ExternalData_15[[#This Row],[item_key]],IsITypeList,Table_ExternalData_15[[#This Row],[IType]],IsDList,Table_ExternalData_15[[#Headers],[31]])</f>
        <v>0</v>
      </c>
      <c r="AJ331" s="10">
        <f>SUM(Table_ExternalData_15[[#This Row],[1]:[31]])</f>
        <v>10</v>
      </c>
    </row>
    <row r="332" spans="1:36">
      <c r="A332" s="1" t="s">
        <v>1021</v>
      </c>
      <c r="B332" s="1" t="s">
        <v>1504</v>
      </c>
      <c r="C332" s="1" t="s">
        <v>1505</v>
      </c>
      <c r="D332" s="11" t="s">
        <v>72</v>
      </c>
      <c r="E332" s="10">
        <f>SUMIFS(IsQList,IsIList,Table_ExternalData_15[[#This Row],[item_key]],IsITypeList,Table_ExternalData_15[[#This Row],[IType]],IsDList,Table_ExternalData_15[[#Headers],[1]])</f>
        <v>0</v>
      </c>
      <c r="F332" s="10">
        <f>SUMIFS(IsQList,IsIList,Table_ExternalData_15[[#This Row],[item_key]],IsITypeList,Table_ExternalData_15[[#This Row],[IType]],IsDList,Table_ExternalData_15[[#Headers],[2]])</f>
        <v>0</v>
      </c>
      <c r="G332" s="10">
        <f>SUMIFS(IsQList,IsIList,Table_ExternalData_15[[#This Row],[item_key]],IsITypeList,Table_ExternalData_15[[#This Row],[IType]],IsDList,Table_ExternalData_15[[#Headers],[3]])</f>
        <v>0</v>
      </c>
      <c r="H332" s="10">
        <f>SUMIFS(IsQList,IsIList,Table_ExternalData_15[[#This Row],[item_key]],IsITypeList,Table_ExternalData_15[[#This Row],[IType]],IsDList,Table_ExternalData_15[[#Headers],[4]])</f>
        <v>0</v>
      </c>
      <c r="I332" s="10">
        <f>SUMIFS(IsQList,IsIList,Table_ExternalData_15[[#This Row],[item_key]],IsITypeList,Table_ExternalData_15[[#This Row],[IType]],IsDList,Table_ExternalData_15[[#Headers],[5]])</f>
        <v>0</v>
      </c>
      <c r="J332" s="10">
        <f>SUMIFS(IsQList,IsIList,Table_ExternalData_15[[#This Row],[item_key]],IsITypeList,Table_ExternalData_15[[#This Row],[IType]],IsDList,Table_ExternalData_15[[#Headers],[6]])</f>
        <v>0</v>
      </c>
      <c r="K332" s="10">
        <f>SUMIFS(IsQList,IsIList,Table_ExternalData_15[[#This Row],[item_key]],IsITypeList,Table_ExternalData_15[[#This Row],[IType]],IsDList,Table_ExternalData_15[[#Headers],[7]])</f>
        <v>0</v>
      </c>
      <c r="L332" s="10">
        <f>SUMIFS(IsQList,IsIList,Table_ExternalData_15[[#This Row],[item_key]],IsITypeList,Table_ExternalData_15[[#This Row],[IType]],IsDList,Table_ExternalData_15[[#Headers],[8]])</f>
        <v>0</v>
      </c>
      <c r="M332" s="10">
        <f>SUMIFS(IsQList,IsIList,Table_ExternalData_15[[#This Row],[item_key]],IsITypeList,Table_ExternalData_15[[#This Row],[IType]],IsDList,Table_ExternalData_15[[#Headers],[9]])</f>
        <v>0</v>
      </c>
      <c r="N332" s="10">
        <f>SUMIFS(IsQList,IsIList,Table_ExternalData_15[[#This Row],[item_key]],IsITypeList,Table_ExternalData_15[[#This Row],[IType]],IsDList,Table_ExternalData_15[[#Headers],[10]])</f>
        <v>0</v>
      </c>
      <c r="O332" s="10">
        <f>SUMIFS(IsQList,IsIList,Table_ExternalData_15[[#This Row],[item_key]],IsITypeList,Table_ExternalData_15[[#This Row],[IType]],IsDList,Table_ExternalData_15[[#Headers],[11]])</f>
        <v>0</v>
      </c>
      <c r="P332" s="10">
        <f>SUMIFS(IsQList,IsIList,Table_ExternalData_15[[#This Row],[item_key]],IsITypeList,Table_ExternalData_15[[#This Row],[IType]],IsDList,Table_ExternalData_15[[#Headers],[12]])</f>
        <v>0</v>
      </c>
      <c r="Q332" s="10">
        <f>SUMIFS(IsQList,IsIList,Table_ExternalData_15[[#This Row],[item_key]],IsITypeList,Table_ExternalData_15[[#This Row],[IType]],IsDList,Table_ExternalData_15[[#Headers],[13]])</f>
        <v>0</v>
      </c>
      <c r="R332" s="10">
        <f>SUMIFS(IsQList,IsIList,Table_ExternalData_15[[#This Row],[item_key]],IsITypeList,Table_ExternalData_15[[#This Row],[IType]],IsDList,Table_ExternalData_15[[#Headers],[14]])</f>
        <v>0</v>
      </c>
      <c r="S332" s="10">
        <f>SUMIFS(IsQList,IsIList,Table_ExternalData_15[[#This Row],[item_key]],IsITypeList,Table_ExternalData_15[[#This Row],[IType]],IsDList,Table_ExternalData_15[[#Headers],[15]])</f>
        <v>0</v>
      </c>
      <c r="T332" s="10">
        <f>SUMIFS(IsQList,IsIList,Table_ExternalData_15[[#This Row],[item_key]],IsITypeList,Table_ExternalData_15[[#This Row],[IType]],IsDList,Table_ExternalData_15[[#Headers],[16]])</f>
        <v>3</v>
      </c>
      <c r="U332" s="10">
        <f>SUMIFS(IsQList,IsIList,Table_ExternalData_15[[#This Row],[item_key]],IsITypeList,Table_ExternalData_15[[#This Row],[IType]],IsDList,Table_ExternalData_15[[#Headers],[17]])</f>
        <v>0</v>
      </c>
      <c r="V332" s="10">
        <f>SUMIFS(IsQList,IsIList,Table_ExternalData_15[[#This Row],[item_key]],IsITypeList,Table_ExternalData_15[[#This Row],[IType]],IsDList,Table_ExternalData_15[[#Headers],[18]])</f>
        <v>0</v>
      </c>
      <c r="W332" s="10">
        <f>SUMIFS(IsQList,IsIList,Table_ExternalData_15[[#This Row],[item_key]],IsITypeList,Table_ExternalData_15[[#This Row],[IType]],IsDList,Table_ExternalData_15[[#Headers],[19]])</f>
        <v>0</v>
      </c>
      <c r="X332" s="10">
        <f>SUMIFS(IsQList,IsIList,Table_ExternalData_15[[#This Row],[item_key]],IsITypeList,Table_ExternalData_15[[#This Row],[IType]],IsDList,Table_ExternalData_15[[#Headers],[20]])</f>
        <v>0</v>
      </c>
      <c r="Y332" s="10">
        <f>SUMIFS(IsQList,IsIList,Table_ExternalData_15[[#This Row],[item_key]],IsITypeList,Table_ExternalData_15[[#This Row],[IType]],IsDList,Table_ExternalData_15[[#Headers],[21]])</f>
        <v>0</v>
      </c>
      <c r="Z332" s="10">
        <f>SUMIFS(IsQList,IsIList,Table_ExternalData_15[[#This Row],[item_key]],IsITypeList,Table_ExternalData_15[[#This Row],[IType]],IsDList,Table_ExternalData_15[[#Headers],[22]])</f>
        <v>0</v>
      </c>
      <c r="AA332" s="10">
        <f>SUMIFS(IsQList,IsIList,Table_ExternalData_15[[#This Row],[item_key]],IsITypeList,Table_ExternalData_15[[#This Row],[IType]],IsDList,Table_ExternalData_15[[#Headers],[23]])</f>
        <v>0</v>
      </c>
      <c r="AB332" s="10">
        <f>SUMIFS(IsQList,IsIList,Table_ExternalData_15[[#This Row],[item_key]],IsITypeList,Table_ExternalData_15[[#This Row],[IType]],IsDList,Table_ExternalData_15[[#Headers],[24]])</f>
        <v>0</v>
      </c>
      <c r="AC332" s="10">
        <f>SUMIFS(IsQList,IsIList,Table_ExternalData_15[[#This Row],[item_key]],IsITypeList,Table_ExternalData_15[[#This Row],[IType]],IsDList,Table_ExternalData_15[[#Headers],[25]])</f>
        <v>0</v>
      </c>
      <c r="AD332" s="10">
        <f>SUMIFS(IsQList,IsIList,Table_ExternalData_15[[#This Row],[item_key]],IsITypeList,Table_ExternalData_15[[#This Row],[IType]],IsDList,Table_ExternalData_15[[#Headers],[26]])</f>
        <v>0</v>
      </c>
      <c r="AE332" s="10">
        <f>SUMIFS(IsQList,IsIList,Table_ExternalData_15[[#This Row],[item_key]],IsITypeList,Table_ExternalData_15[[#This Row],[IType]],IsDList,Table_ExternalData_15[[#Headers],[27]])</f>
        <v>0</v>
      </c>
      <c r="AF332" s="10">
        <f>SUMIFS(IsQList,IsIList,Table_ExternalData_15[[#This Row],[item_key]],IsITypeList,Table_ExternalData_15[[#This Row],[IType]],IsDList,Table_ExternalData_15[[#Headers],[28]])</f>
        <v>0</v>
      </c>
      <c r="AG332" s="10">
        <f>SUMIFS(IsQList,IsIList,Table_ExternalData_15[[#This Row],[item_key]],IsITypeList,Table_ExternalData_15[[#This Row],[IType]],IsDList,Table_ExternalData_15[[#Headers],[29]])</f>
        <v>0</v>
      </c>
      <c r="AH332" s="10">
        <f>SUMIFS(IsQList,IsIList,Table_ExternalData_15[[#This Row],[item_key]],IsITypeList,Table_ExternalData_15[[#This Row],[IType]],IsDList,Table_ExternalData_15[[#Headers],[30]])</f>
        <v>0</v>
      </c>
      <c r="AI332" s="10">
        <f>SUMIFS(IsQList,IsIList,Table_ExternalData_15[[#This Row],[item_key]],IsITypeList,Table_ExternalData_15[[#This Row],[IType]],IsDList,Table_ExternalData_15[[#Headers],[31]])</f>
        <v>0</v>
      </c>
      <c r="AJ332" s="10">
        <f>SUM(Table_ExternalData_15[[#This Row],[1]:[31]])</f>
        <v>3</v>
      </c>
    </row>
    <row r="333" spans="1:36">
      <c r="A333" s="1" t="s">
        <v>2178</v>
      </c>
      <c r="B333" s="1" t="s">
        <v>2780</v>
      </c>
      <c r="C333" s="1" t="s">
        <v>2781</v>
      </c>
      <c r="D333" s="11" t="s">
        <v>72</v>
      </c>
      <c r="E333" s="10">
        <f>SUMIFS(IsQList,IsIList,Table_ExternalData_15[[#This Row],[item_key]],IsITypeList,Table_ExternalData_15[[#This Row],[IType]],IsDList,Table_ExternalData_15[[#Headers],[1]])</f>
        <v>0</v>
      </c>
      <c r="F333" s="10">
        <f>SUMIFS(IsQList,IsIList,Table_ExternalData_15[[#This Row],[item_key]],IsITypeList,Table_ExternalData_15[[#This Row],[IType]],IsDList,Table_ExternalData_15[[#Headers],[2]])</f>
        <v>0</v>
      </c>
      <c r="G333" s="10">
        <f>SUMIFS(IsQList,IsIList,Table_ExternalData_15[[#This Row],[item_key]],IsITypeList,Table_ExternalData_15[[#This Row],[IType]],IsDList,Table_ExternalData_15[[#Headers],[3]])</f>
        <v>0</v>
      </c>
      <c r="H333" s="10">
        <f>SUMIFS(IsQList,IsIList,Table_ExternalData_15[[#This Row],[item_key]],IsITypeList,Table_ExternalData_15[[#This Row],[IType]],IsDList,Table_ExternalData_15[[#Headers],[4]])</f>
        <v>0</v>
      </c>
      <c r="I333" s="10">
        <f>SUMIFS(IsQList,IsIList,Table_ExternalData_15[[#This Row],[item_key]],IsITypeList,Table_ExternalData_15[[#This Row],[IType]],IsDList,Table_ExternalData_15[[#Headers],[5]])</f>
        <v>0</v>
      </c>
      <c r="J333" s="10">
        <f>SUMIFS(IsQList,IsIList,Table_ExternalData_15[[#This Row],[item_key]],IsITypeList,Table_ExternalData_15[[#This Row],[IType]],IsDList,Table_ExternalData_15[[#Headers],[6]])</f>
        <v>0</v>
      </c>
      <c r="K333" s="10">
        <f>SUMIFS(IsQList,IsIList,Table_ExternalData_15[[#This Row],[item_key]],IsITypeList,Table_ExternalData_15[[#This Row],[IType]],IsDList,Table_ExternalData_15[[#Headers],[7]])</f>
        <v>0</v>
      </c>
      <c r="L333" s="10">
        <f>SUMIFS(IsQList,IsIList,Table_ExternalData_15[[#This Row],[item_key]],IsITypeList,Table_ExternalData_15[[#This Row],[IType]],IsDList,Table_ExternalData_15[[#Headers],[8]])</f>
        <v>0</v>
      </c>
      <c r="M333" s="10">
        <f>SUMIFS(IsQList,IsIList,Table_ExternalData_15[[#This Row],[item_key]],IsITypeList,Table_ExternalData_15[[#This Row],[IType]],IsDList,Table_ExternalData_15[[#Headers],[9]])</f>
        <v>0</v>
      </c>
      <c r="N333" s="10">
        <f>SUMIFS(IsQList,IsIList,Table_ExternalData_15[[#This Row],[item_key]],IsITypeList,Table_ExternalData_15[[#This Row],[IType]],IsDList,Table_ExternalData_15[[#Headers],[10]])</f>
        <v>0</v>
      </c>
      <c r="O333" s="10">
        <f>SUMIFS(IsQList,IsIList,Table_ExternalData_15[[#This Row],[item_key]],IsITypeList,Table_ExternalData_15[[#This Row],[IType]],IsDList,Table_ExternalData_15[[#Headers],[11]])</f>
        <v>0</v>
      </c>
      <c r="P333" s="10">
        <f>SUMIFS(IsQList,IsIList,Table_ExternalData_15[[#This Row],[item_key]],IsITypeList,Table_ExternalData_15[[#This Row],[IType]],IsDList,Table_ExternalData_15[[#Headers],[12]])</f>
        <v>0</v>
      </c>
      <c r="Q333" s="10">
        <f>SUMIFS(IsQList,IsIList,Table_ExternalData_15[[#This Row],[item_key]],IsITypeList,Table_ExternalData_15[[#This Row],[IType]],IsDList,Table_ExternalData_15[[#Headers],[13]])</f>
        <v>0</v>
      </c>
      <c r="R333" s="10">
        <f>SUMIFS(IsQList,IsIList,Table_ExternalData_15[[#This Row],[item_key]],IsITypeList,Table_ExternalData_15[[#This Row],[IType]],IsDList,Table_ExternalData_15[[#Headers],[14]])</f>
        <v>0</v>
      </c>
      <c r="S333" s="10">
        <f>SUMIFS(IsQList,IsIList,Table_ExternalData_15[[#This Row],[item_key]],IsITypeList,Table_ExternalData_15[[#This Row],[IType]],IsDList,Table_ExternalData_15[[#Headers],[15]])</f>
        <v>0</v>
      </c>
      <c r="T333" s="10">
        <f>SUMIFS(IsQList,IsIList,Table_ExternalData_15[[#This Row],[item_key]],IsITypeList,Table_ExternalData_15[[#This Row],[IType]],IsDList,Table_ExternalData_15[[#Headers],[16]])</f>
        <v>0</v>
      </c>
      <c r="U333" s="10">
        <f>SUMIFS(IsQList,IsIList,Table_ExternalData_15[[#This Row],[item_key]],IsITypeList,Table_ExternalData_15[[#This Row],[IType]],IsDList,Table_ExternalData_15[[#Headers],[17]])</f>
        <v>0</v>
      </c>
      <c r="V333" s="10">
        <f>SUMIFS(IsQList,IsIList,Table_ExternalData_15[[#This Row],[item_key]],IsITypeList,Table_ExternalData_15[[#This Row],[IType]],IsDList,Table_ExternalData_15[[#Headers],[18]])</f>
        <v>0</v>
      </c>
      <c r="W333" s="10">
        <f>SUMIFS(IsQList,IsIList,Table_ExternalData_15[[#This Row],[item_key]],IsITypeList,Table_ExternalData_15[[#This Row],[IType]],IsDList,Table_ExternalData_15[[#Headers],[19]])</f>
        <v>0</v>
      </c>
      <c r="X333" s="10">
        <f>SUMIFS(IsQList,IsIList,Table_ExternalData_15[[#This Row],[item_key]],IsITypeList,Table_ExternalData_15[[#This Row],[IType]],IsDList,Table_ExternalData_15[[#Headers],[20]])</f>
        <v>0</v>
      </c>
      <c r="Y333" s="10">
        <f>SUMIFS(IsQList,IsIList,Table_ExternalData_15[[#This Row],[item_key]],IsITypeList,Table_ExternalData_15[[#This Row],[IType]],IsDList,Table_ExternalData_15[[#Headers],[21]])</f>
        <v>0</v>
      </c>
      <c r="Z333" s="10">
        <f>SUMIFS(IsQList,IsIList,Table_ExternalData_15[[#This Row],[item_key]],IsITypeList,Table_ExternalData_15[[#This Row],[IType]],IsDList,Table_ExternalData_15[[#Headers],[22]])</f>
        <v>0</v>
      </c>
      <c r="AA333" s="10">
        <f>SUMIFS(IsQList,IsIList,Table_ExternalData_15[[#This Row],[item_key]],IsITypeList,Table_ExternalData_15[[#This Row],[IType]],IsDList,Table_ExternalData_15[[#Headers],[23]])</f>
        <v>0</v>
      </c>
      <c r="AB333" s="10">
        <f>SUMIFS(IsQList,IsIList,Table_ExternalData_15[[#This Row],[item_key]],IsITypeList,Table_ExternalData_15[[#This Row],[IType]],IsDList,Table_ExternalData_15[[#Headers],[24]])</f>
        <v>0</v>
      </c>
      <c r="AC333" s="10">
        <f>SUMIFS(IsQList,IsIList,Table_ExternalData_15[[#This Row],[item_key]],IsITypeList,Table_ExternalData_15[[#This Row],[IType]],IsDList,Table_ExternalData_15[[#Headers],[25]])</f>
        <v>0</v>
      </c>
      <c r="AD333" s="10">
        <f>SUMIFS(IsQList,IsIList,Table_ExternalData_15[[#This Row],[item_key]],IsITypeList,Table_ExternalData_15[[#This Row],[IType]],IsDList,Table_ExternalData_15[[#Headers],[26]])</f>
        <v>0</v>
      </c>
      <c r="AE333" s="10">
        <f>SUMIFS(IsQList,IsIList,Table_ExternalData_15[[#This Row],[item_key]],IsITypeList,Table_ExternalData_15[[#This Row],[IType]],IsDList,Table_ExternalData_15[[#Headers],[27]])</f>
        <v>0</v>
      </c>
      <c r="AF333" s="10">
        <f>SUMIFS(IsQList,IsIList,Table_ExternalData_15[[#This Row],[item_key]],IsITypeList,Table_ExternalData_15[[#This Row],[IType]],IsDList,Table_ExternalData_15[[#Headers],[28]])</f>
        <v>0</v>
      </c>
      <c r="AG333" s="10">
        <f>SUMIFS(IsQList,IsIList,Table_ExternalData_15[[#This Row],[item_key]],IsITypeList,Table_ExternalData_15[[#This Row],[IType]],IsDList,Table_ExternalData_15[[#Headers],[29]])</f>
        <v>0</v>
      </c>
      <c r="AH333" s="10">
        <f>SUMIFS(IsQList,IsIList,Table_ExternalData_15[[#This Row],[item_key]],IsITypeList,Table_ExternalData_15[[#This Row],[IType]],IsDList,Table_ExternalData_15[[#Headers],[30]])</f>
        <v>20</v>
      </c>
      <c r="AI333" s="10">
        <f>SUMIFS(IsQList,IsIList,Table_ExternalData_15[[#This Row],[item_key]],IsITypeList,Table_ExternalData_15[[#This Row],[IType]],IsDList,Table_ExternalData_15[[#Headers],[31]])</f>
        <v>0</v>
      </c>
      <c r="AJ333" s="10">
        <f>SUM(Table_ExternalData_15[[#This Row],[1]:[31]])</f>
        <v>20</v>
      </c>
    </row>
    <row r="334" spans="1:36">
      <c r="A334" s="1" t="s">
        <v>2180</v>
      </c>
      <c r="B334" s="1" t="s">
        <v>2782</v>
      </c>
      <c r="C334" s="1" t="s">
        <v>2783</v>
      </c>
      <c r="D334" s="11" t="s">
        <v>72</v>
      </c>
      <c r="E334" s="10">
        <f>SUMIFS(IsQList,IsIList,Table_ExternalData_15[[#This Row],[item_key]],IsITypeList,Table_ExternalData_15[[#This Row],[IType]],IsDList,Table_ExternalData_15[[#Headers],[1]])</f>
        <v>0</v>
      </c>
      <c r="F334" s="10">
        <f>SUMIFS(IsQList,IsIList,Table_ExternalData_15[[#This Row],[item_key]],IsITypeList,Table_ExternalData_15[[#This Row],[IType]],IsDList,Table_ExternalData_15[[#Headers],[2]])</f>
        <v>0</v>
      </c>
      <c r="G334" s="10">
        <f>SUMIFS(IsQList,IsIList,Table_ExternalData_15[[#This Row],[item_key]],IsITypeList,Table_ExternalData_15[[#This Row],[IType]],IsDList,Table_ExternalData_15[[#Headers],[3]])</f>
        <v>0</v>
      </c>
      <c r="H334" s="10">
        <f>SUMIFS(IsQList,IsIList,Table_ExternalData_15[[#This Row],[item_key]],IsITypeList,Table_ExternalData_15[[#This Row],[IType]],IsDList,Table_ExternalData_15[[#Headers],[4]])</f>
        <v>0</v>
      </c>
      <c r="I334" s="10">
        <f>SUMIFS(IsQList,IsIList,Table_ExternalData_15[[#This Row],[item_key]],IsITypeList,Table_ExternalData_15[[#This Row],[IType]],IsDList,Table_ExternalData_15[[#Headers],[5]])</f>
        <v>0</v>
      </c>
      <c r="J334" s="10">
        <f>SUMIFS(IsQList,IsIList,Table_ExternalData_15[[#This Row],[item_key]],IsITypeList,Table_ExternalData_15[[#This Row],[IType]],IsDList,Table_ExternalData_15[[#Headers],[6]])</f>
        <v>0</v>
      </c>
      <c r="K334" s="10">
        <f>SUMIFS(IsQList,IsIList,Table_ExternalData_15[[#This Row],[item_key]],IsITypeList,Table_ExternalData_15[[#This Row],[IType]],IsDList,Table_ExternalData_15[[#Headers],[7]])</f>
        <v>0</v>
      </c>
      <c r="L334" s="10">
        <f>SUMIFS(IsQList,IsIList,Table_ExternalData_15[[#This Row],[item_key]],IsITypeList,Table_ExternalData_15[[#This Row],[IType]],IsDList,Table_ExternalData_15[[#Headers],[8]])</f>
        <v>0</v>
      </c>
      <c r="M334" s="10">
        <f>SUMIFS(IsQList,IsIList,Table_ExternalData_15[[#This Row],[item_key]],IsITypeList,Table_ExternalData_15[[#This Row],[IType]],IsDList,Table_ExternalData_15[[#Headers],[9]])</f>
        <v>0</v>
      </c>
      <c r="N334" s="10">
        <f>SUMIFS(IsQList,IsIList,Table_ExternalData_15[[#This Row],[item_key]],IsITypeList,Table_ExternalData_15[[#This Row],[IType]],IsDList,Table_ExternalData_15[[#Headers],[10]])</f>
        <v>20</v>
      </c>
      <c r="O334" s="10">
        <f>SUMIFS(IsQList,IsIList,Table_ExternalData_15[[#This Row],[item_key]],IsITypeList,Table_ExternalData_15[[#This Row],[IType]],IsDList,Table_ExternalData_15[[#Headers],[11]])</f>
        <v>0</v>
      </c>
      <c r="P334" s="10">
        <f>SUMIFS(IsQList,IsIList,Table_ExternalData_15[[#This Row],[item_key]],IsITypeList,Table_ExternalData_15[[#This Row],[IType]],IsDList,Table_ExternalData_15[[#Headers],[12]])</f>
        <v>0</v>
      </c>
      <c r="Q334" s="10">
        <f>SUMIFS(IsQList,IsIList,Table_ExternalData_15[[#This Row],[item_key]],IsITypeList,Table_ExternalData_15[[#This Row],[IType]],IsDList,Table_ExternalData_15[[#Headers],[13]])</f>
        <v>0</v>
      </c>
      <c r="R334" s="10">
        <f>SUMIFS(IsQList,IsIList,Table_ExternalData_15[[#This Row],[item_key]],IsITypeList,Table_ExternalData_15[[#This Row],[IType]],IsDList,Table_ExternalData_15[[#Headers],[14]])</f>
        <v>0</v>
      </c>
      <c r="S334" s="10">
        <f>SUMIFS(IsQList,IsIList,Table_ExternalData_15[[#This Row],[item_key]],IsITypeList,Table_ExternalData_15[[#This Row],[IType]],IsDList,Table_ExternalData_15[[#Headers],[15]])</f>
        <v>0</v>
      </c>
      <c r="T334" s="10">
        <f>SUMIFS(IsQList,IsIList,Table_ExternalData_15[[#This Row],[item_key]],IsITypeList,Table_ExternalData_15[[#This Row],[IType]],IsDList,Table_ExternalData_15[[#Headers],[16]])</f>
        <v>0</v>
      </c>
      <c r="U334" s="10">
        <f>SUMIFS(IsQList,IsIList,Table_ExternalData_15[[#This Row],[item_key]],IsITypeList,Table_ExternalData_15[[#This Row],[IType]],IsDList,Table_ExternalData_15[[#Headers],[17]])</f>
        <v>0</v>
      </c>
      <c r="V334" s="10">
        <f>SUMIFS(IsQList,IsIList,Table_ExternalData_15[[#This Row],[item_key]],IsITypeList,Table_ExternalData_15[[#This Row],[IType]],IsDList,Table_ExternalData_15[[#Headers],[18]])</f>
        <v>0</v>
      </c>
      <c r="W334" s="10">
        <f>SUMIFS(IsQList,IsIList,Table_ExternalData_15[[#This Row],[item_key]],IsITypeList,Table_ExternalData_15[[#This Row],[IType]],IsDList,Table_ExternalData_15[[#Headers],[19]])</f>
        <v>0</v>
      </c>
      <c r="X334" s="10">
        <f>SUMIFS(IsQList,IsIList,Table_ExternalData_15[[#This Row],[item_key]],IsITypeList,Table_ExternalData_15[[#This Row],[IType]],IsDList,Table_ExternalData_15[[#Headers],[20]])</f>
        <v>0</v>
      </c>
      <c r="Y334" s="10">
        <f>SUMIFS(IsQList,IsIList,Table_ExternalData_15[[#This Row],[item_key]],IsITypeList,Table_ExternalData_15[[#This Row],[IType]],IsDList,Table_ExternalData_15[[#Headers],[21]])</f>
        <v>0</v>
      </c>
      <c r="Z334" s="10">
        <f>SUMIFS(IsQList,IsIList,Table_ExternalData_15[[#This Row],[item_key]],IsITypeList,Table_ExternalData_15[[#This Row],[IType]],IsDList,Table_ExternalData_15[[#Headers],[22]])</f>
        <v>0</v>
      </c>
      <c r="AA334" s="10">
        <f>SUMIFS(IsQList,IsIList,Table_ExternalData_15[[#This Row],[item_key]],IsITypeList,Table_ExternalData_15[[#This Row],[IType]],IsDList,Table_ExternalData_15[[#Headers],[23]])</f>
        <v>0</v>
      </c>
      <c r="AB334" s="10">
        <f>SUMIFS(IsQList,IsIList,Table_ExternalData_15[[#This Row],[item_key]],IsITypeList,Table_ExternalData_15[[#This Row],[IType]],IsDList,Table_ExternalData_15[[#Headers],[24]])</f>
        <v>0</v>
      </c>
      <c r="AC334" s="10">
        <f>SUMIFS(IsQList,IsIList,Table_ExternalData_15[[#This Row],[item_key]],IsITypeList,Table_ExternalData_15[[#This Row],[IType]],IsDList,Table_ExternalData_15[[#Headers],[25]])</f>
        <v>0</v>
      </c>
      <c r="AD334" s="10">
        <f>SUMIFS(IsQList,IsIList,Table_ExternalData_15[[#This Row],[item_key]],IsITypeList,Table_ExternalData_15[[#This Row],[IType]],IsDList,Table_ExternalData_15[[#Headers],[26]])</f>
        <v>0</v>
      </c>
      <c r="AE334" s="10">
        <f>SUMIFS(IsQList,IsIList,Table_ExternalData_15[[#This Row],[item_key]],IsITypeList,Table_ExternalData_15[[#This Row],[IType]],IsDList,Table_ExternalData_15[[#Headers],[27]])</f>
        <v>0</v>
      </c>
      <c r="AF334" s="10">
        <f>SUMIFS(IsQList,IsIList,Table_ExternalData_15[[#This Row],[item_key]],IsITypeList,Table_ExternalData_15[[#This Row],[IType]],IsDList,Table_ExternalData_15[[#Headers],[28]])</f>
        <v>0</v>
      </c>
      <c r="AG334" s="10">
        <f>SUMIFS(IsQList,IsIList,Table_ExternalData_15[[#This Row],[item_key]],IsITypeList,Table_ExternalData_15[[#This Row],[IType]],IsDList,Table_ExternalData_15[[#Headers],[29]])</f>
        <v>0</v>
      </c>
      <c r="AH334" s="10">
        <f>SUMIFS(IsQList,IsIList,Table_ExternalData_15[[#This Row],[item_key]],IsITypeList,Table_ExternalData_15[[#This Row],[IType]],IsDList,Table_ExternalData_15[[#Headers],[30]])</f>
        <v>0</v>
      </c>
      <c r="AI334" s="10">
        <f>SUMIFS(IsQList,IsIList,Table_ExternalData_15[[#This Row],[item_key]],IsITypeList,Table_ExternalData_15[[#This Row],[IType]],IsDList,Table_ExternalData_15[[#Headers],[31]])</f>
        <v>0</v>
      </c>
      <c r="AJ334" s="10">
        <f>SUM(Table_ExternalData_15[[#This Row],[1]:[31]])</f>
        <v>20</v>
      </c>
    </row>
    <row r="335" spans="1:36">
      <c r="A335" s="1" t="s">
        <v>1026</v>
      </c>
      <c r="B335" s="1" t="s">
        <v>2789</v>
      </c>
      <c r="C335" s="1" t="s">
        <v>2790</v>
      </c>
      <c r="D335" s="11" t="s">
        <v>72</v>
      </c>
      <c r="E335" s="10">
        <f>SUMIFS(IsQList,IsIList,Table_ExternalData_15[[#This Row],[item_key]],IsITypeList,Table_ExternalData_15[[#This Row],[IType]],IsDList,Table_ExternalData_15[[#Headers],[1]])</f>
        <v>0</v>
      </c>
      <c r="F335" s="10">
        <f>SUMIFS(IsQList,IsIList,Table_ExternalData_15[[#This Row],[item_key]],IsITypeList,Table_ExternalData_15[[#This Row],[IType]],IsDList,Table_ExternalData_15[[#Headers],[2]])</f>
        <v>0</v>
      </c>
      <c r="G335" s="10">
        <f>SUMIFS(IsQList,IsIList,Table_ExternalData_15[[#This Row],[item_key]],IsITypeList,Table_ExternalData_15[[#This Row],[IType]],IsDList,Table_ExternalData_15[[#Headers],[3]])</f>
        <v>0</v>
      </c>
      <c r="H335" s="10">
        <f>SUMIFS(IsQList,IsIList,Table_ExternalData_15[[#This Row],[item_key]],IsITypeList,Table_ExternalData_15[[#This Row],[IType]],IsDList,Table_ExternalData_15[[#Headers],[4]])</f>
        <v>0</v>
      </c>
      <c r="I335" s="10">
        <f>SUMIFS(IsQList,IsIList,Table_ExternalData_15[[#This Row],[item_key]],IsITypeList,Table_ExternalData_15[[#This Row],[IType]],IsDList,Table_ExternalData_15[[#Headers],[5]])</f>
        <v>0</v>
      </c>
      <c r="J335" s="10">
        <f>SUMIFS(IsQList,IsIList,Table_ExternalData_15[[#This Row],[item_key]],IsITypeList,Table_ExternalData_15[[#This Row],[IType]],IsDList,Table_ExternalData_15[[#Headers],[6]])</f>
        <v>20</v>
      </c>
      <c r="K335" s="10">
        <f>SUMIFS(IsQList,IsIList,Table_ExternalData_15[[#This Row],[item_key]],IsITypeList,Table_ExternalData_15[[#This Row],[IType]],IsDList,Table_ExternalData_15[[#Headers],[7]])</f>
        <v>0</v>
      </c>
      <c r="L335" s="10">
        <f>SUMIFS(IsQList,IsIList,Table_ExternalData_15[[#This Row],[item_key]],IsITypeList,Table_ExternalData_15[[#This Row],[IType]],IsDList,Table_ExternalData_15[[#Headers],[8]])</f>
        <v>0</v>
      </c>
      <c r="M335" s="10">
        <f>SUMIFS(IsQList,IsIList,Table_ExternalData_15[[#This Row],[item_key]],IsITypeList,Table_ExternalData_15[[#This Row],[IType]],IsDList,Table_ExternalData_15[[#Headers],[9]])</f>
        <v>0</v>
      </c>
      <c r="N335" s="10">
        <f>SUMIFS(IsQList,IsIList,Table_ExternalData_15[[#This Row],[item_key]],IsITypeList,Table_ExternalData_15[[#This Row],[IType]],IsDList,Table_ExternalData_15[[#Headers],[10]])</f>
        <v>0</v>
      </c>
      <c r="O335" s="10">
        <f>SUMIFS(IsQList,IsIList,Table_ExternalData_15[[#This Row],[item_key]],IsITypeList,Table_ExternalData_15[[#This Row],[IType]],IsDList,Table_ExternalData_15[[#Headers],[11]])</f>
        <v>0</v>
      </c>
      <c r="P335" s="10">
        <f>SUMIFS(IsQList,IsIList,Table_ExternalData_15[[#This Row],[item_key]],IsITypeList,Table_ExternalData_15[[#This Row],[IType]],IsDList,Table_ExternalData_15[[#Headers],[12]])</f>
        <v>0</v>
      </c>
      <c r="Q335" s="10">
        <f>SUMIFS(IsQList,IsIList,Table_ExternalData_15[[#This Row],[item_key]],IsITypeList,Table_ExternalData_15[[#This Row],[IType]],IsDList,Table_ExternalData_15[[#Headers],[13]])</f>
        <v>0</v>
      </c>
      <c r="R335" s="10">
        <f>SUMIFS(IsQList,IsIList,Table_ExternalData_15[[#This Row],[item_key]],IsITypeList,Table_ExternalData_15[[#This Row],[IType]],IsDList,Table_ExternalData_15[[#Headers],[14]])</f>
        <v>0</v>
      </c>
      <c r="S335" s="10">
        <f>SUMIFS(IsQList,IsIList,Table_ExternalData_15[[#This Row],[item_key]],IsITypeList,Table_ExternalData_15[[#This Row],[IType]],IsDList,Table_ExternalData_15[[#Headers],[15]])</f>
        <v>0</v>
      </c>
      <c r="T335" s="10">
        <f>SUMIFS(IsQList,IsIList,Table_ExternalData_15[[#This Row],[item_key]],IsITypeList,Table_ExternalData_15[[#This Row],[IType]],IsDList,Table_ExternalData_15[[#Headers],[16]])</f>
        <v>0</v>
      </c>
      <c r="U335" s="10">
        <f>SUMIFS(IsQList,IsIList,Table_ExternalData_15[[#This Row],[item_key]],IsITypeList,Table_ExternalData_15[[#This Row],[IType]],IsDList,Table_ExternalData_15[[#Headers],[17]])</f>
        <v>0</v>
      </c>
      <c r="V335" s="10">
        <f>SUMIFS(IsQList,IsIList,Table_ExternalData_15[[#This Row],[item_key]],IsITypeList,Table_ExternalData_15[[#This Row],[IType]],IsDList,Table_ExternalData_15[[#Headers],[18]])</f>
        <v>0</v>
      </c>
      <c r="W335" s="10">
        <f>SUMIFS(IsQList,IsIList,Table_ExternalData_15[[#This Row],[item_key]],IsITypeList,Table_ExternalData_15[[#This Row],[IType]],IsDList,Table_ExternalData_15[[#Headers],[19]])</f>
        <v>0</v>
      </c>
      <c r="X335" s="10">
        <f>SUMIFS(IsQList,IsIList,Table_ExternalData_15[[#This Row],[item_key]],IsITypeList,Table_ExternalData_15[[#This Row],[IType]],IsDList,Table_ExternalData_15[[#Headers],[20]])</f>
        <v>0</v>
      </c>
      <c r="Y335" s="10">
        <f>SUMIFS(IsQList,IsIList,Table_ExternalData_15[[#This Row],[item_key]],IsITypeList,Table_ExternalData_15[[#This Row],[IType]],IsDList,Table_ExternalData_15[[#Headers],[21]])</f>
        <v>0</v>
      </c>
      <c r="Z335" s="10">
        <f>SUMIFS(IsQList,IsIList,Table_ExternalData_15[[#This Row],[item_key]],IsITypeList,Table_ExternalData_15[[#This Row],[IType]],IsDList,Table_ExternalData_15[[#Headers],[22]])</f>
        <v>0</v>
      </c>
      <c r="AA335" s="10">
        <f>SUMIFS(IsQList,IsIList,Table_ExternalData_15[[#This Row],[item_key]],IsITypeList,Table_ExternalData_15[[#This Row],[IType]],IsDList,Table_ExternalData_15[[#Headers],[23]])</f>
        <v>0</v>
      </c>
      <c r="AB335" s="10">
        <f>SUMIFS(IsQList,IsIList,Table_ExternalData_15[[#This Row],[item_key]],IsITypeList,Table_ExternalData_15[[#This Row],[IType]],IsDList,Table_ExternalData_15[[#Headers],[24]])</f>
        <v>0</v>
      </c>
      <c r="AC335" s="10">
        <f>SUMIFS(IsQList,IsIList,Table_ExternalData_15[[#This Row],[item_key]],IsITypeList,Table_ExternalData_15[[#This Row],[IType]],IsDList,Table_ExternalData_15[[#Headers],[25]])</f>
        <v>0</v>
      </c>
      <c r="AD335" s="10">
        <f>SUMIFS(IsQList,IsIList,Table_ExternalData_15[[#This Row],[item_key]],IsITypeList,Table_ExternalData_15[[#This Row],[IType]],IsDList,Table_ExternalData_15[[#Headers],[26]])</f>
        <v>0</v>
      </c>
      <c r="AE335" s="10">
        <f>SUMIFS(IsQList,IsIList,Table_ExternalData_15[[#This Row],[item_key]],IsITypeList,Table_ExternalData_15[[#This Row],[IType]],IsDList,Table_ExternalData_15[[#Headers],[27]])</f>
        <v>0</v>
      </c>
      <c r="AF335" s="10">
        <f>SUMIFS(IsQList,IsIList,Table_ExternalData_15[[#This Row],[item_key]],IsITypeList,Table_ExternalData_15[[#This Row],[IType]],IsDList,Table_ExternalData_15[[#Headers],[28]])</f>
        <v>0</v>
      </c>
      <c r="AG335" s="10">
        <f>SUMIFS(IsQList,IsIList,Table_ExternalData_15[[#This Row],[item_key]],IsITypeList,Table_ExternalData_15[[#This Row],[IType]],IsDList,Table_ExternalData_15[[#Headers],[29]])</f>
        <v>0</v>
      </c>
      <c r="AH335" s="10">
        <f>SUMIFS(IsQList,IsIList,Table_ExternalData_15[[#This Row],[item_key]],IsITypeList,Table_ExternalData_15[[#This Row],[IType]],IsDList,Table_ExternalData_15[[#Headers],[30]])</f>
        <v>0</v>
      </c>
      <c r="AI335" s="10">
        <f>SUMIFS(IsQList,IsIList,Table_ExternalData_15[[#This Row],[item_key]],IsITypeList,Table_ExternalData_15[[#This Row],[IType]],IsDList,Table_ExternalData_15[[#Headers],[31]])</f>
        <v>0</v>
      </c>
      <c r="AJ335" s="10">
        <f>SUM(Table_ExternalData_15[[#This Row],[1]:[31]])</f>
        <v>20</v>
      </c>
    </row>
    <row r="336" spans="1:36">
      <c r="A336" s="1" t="s">
        <v>1028</v>
      </c>
      <c r="B336" s="1" t="s">
        <v>2362</v>
      </c>
      <c r="C336" s="1" t="s">
        <v>2363</v>
      </c>
      <c r="D336" s="11" t="s">
        <v>72</v>
      </c>
      <c r="E336" s="10">
        <f>SUMIFS(IsQList,IsIList,Table_ExternalData_15[[#This Row],[item_key]],IsITypeList,Table_ExternalData_15[[#This Row],[IType]],IsDList,Table_ExternalData_15[[#Headers],[1]])</f>
        <v>0</v>
      </c>
      <c r="F336" s="10">
        <f>SUMIFS(IsQList,IsIList,Table_ExternalData_15[[#This Row],[item_key]],IsITypeList,Table_ExternalData_15[[#This Row],[IType]],IsDList,Table_ExternalData_15[[#Headers],[2]])</f>
        <v>0</v>
      </c>
      <c r="G336" s="10">
        <f>SUMIFS(IsQList,IsIList,Table_ExternalData_15[[#This Row],[item_key]],IsITypeList,Table_ExternalData_15[[#This Row],[IType]],IsDList,Table_ExternalData_15[[#Headers],[3]])</f>
        <v>0</v>
      </c>
      <c r="H336" s="10">
        <f>SUMIFS(IsQList,IsIList,Table_ExternalData_15[[#This Row],[item_key]],IsITypeList,Table_ExternalData_15[[#This Row],[IType]],IsDList,Table_ExternalData_15[[#Headers],[4]])</f>
        <v>0</v>
      </c>
      <c r="I336" s="10">
        <f>SUMIFS(IsQList,IsIList,Table_ExternalData_15[[#This Row],[item_key]],IsITypeList,Table_ExternalData_15[[#This Row],[IType]],IsDList,Table_ExternalData_15[[#Headers],[5]])</f>
        <v>0</v>
      </c>
      <c r="J336" s="10">
        <f>SUMIFS(IsQList,IsIList,Table_ExternalData_15[[#This Row],[item_key]],IsITypeList,Table_ExternalData_15[[#This Row],[IType]],IsDList,Table_ExternalData_15[[#Headers],[6]])</f>
        <v>0</v>
      </c>
      <c r="K336" s="10">
        <f>SUMIFS(IsQList,IsIList,Table_ExternalData_15[[#This Row],[item_key]],IsITypeList,Table_ExternalData_15[[#This Row],[IType]],IsDList,Table_ExternalData_15[[#Headers],[7]])</f>
        <v>0</v>
      </c>
      <c r="L336" s="10">
        <f>SUMIFS(IsQList,IsIList,Table_ExternalData_15[[#This Row],[item_key]],IsITypeList,Table_ExternalData_15[[#This Row],[IType]],IsDList,Table_ExternalData_15[[#Headers],[8]])</f>
        <v>0</v>
      </c>
      <c r="M336" s="10">
        <f>SUMIFS(IsQList,IsIList,Table_ExternalData_15[[#This Row],[item_key]],IsITypeList,Table_ExternalData_15[[#This Row],[IType]],IsDList,Table_ExternalData_15[[#Headers],[9]])</f>
        <v>0</v>
      </c>
      <c r="N336" s="10">
        <f>SUMIFS(IsQList,IsIList,Table_ExternalData_15[[#This Row],[item_key]],IsITypeList,Table_ExternalData_15[[#This Row],[IType]],IsDList,Table_ExternalData_15[[#Headers],[10]])</f>
        <v>0</v>
      </c>
      <c r="O336" s="10">
        <f>SUMIFS(IsQList,IsIList,Table_ExternalData_15[[#This Row],[item_key]],IsITypeList,Table_ExternalData_15[[#This Row],[IType]],IsDList,Table_ExternalData_15[[#Headers],[11]])</f>
        <v>0</v>
      </c>
      <c r="P336" s="10">
        <f>SUMIFS(IsQList,IsIList,Table_ExternalData_15[[#This Row],[item_key]],IsITypeList,Table_ExternalData_15[[#This Row],[IType]],IsDList,Table_ExternalData_15[[#Headers],[12]])</f>
        <v>0</v>
      </c>
      <c r="Q336" s="10">
        <f>SUMIFS(IsQList,IsIList,Table_ExternalData_15[[#This Row],[item_key]],IsITypeList,Table_ExternalData_15[[#This Row],[IType]],IsDList,Table_ExternalData_15[[#Headers],[13]])</f>
        <v>0</v>
      </c>
      <c r="R336" s="10">
        <f>SUMIFS(IsQList,IsIList,Table_ExternalData_15[[#This Row],[item_key]],IsITypeList,Table_ExternalData_15[[#This Row],[IType]],IsDList,Table_ExternalData_15[[#Headers],[14]])</f>
        <v>0</v>
      </c>
      <c r="S336" s="10">
        <f>SUMIFS(IsQList,IsIList,Table_ExternalData_15[[#This Row],[item_key]],IsITypeList,Table_ExternalData_15[[#This Row],[IType]],IsDList,Table_ExternalData_15[[#Headers],[15]])</f>
        <v>0</v>
      </c>
      <c r="T336" s="10">
        <f>SUMIFS(IsQList,IsIList,Table_ExternalData_15[[#This Row],[item_key]],IsITypeList,Table_ExternalData_15[[#This Row],[IType]],IsDList,Table_ExternalData_15[[#Headers],[16]])</f>
        <v>0</v>
      </c>
      <c r="U336" s="10">
        <f>SUMIFS(IsQList,IsIList,Table_ExternalData_15[[#This Row],[item_key]],IsITypeList,Table_ExternalData_15[[#This Row],[IType]],IsDList,Table_ExternalData_15[[#Headers],[17]])</f>
        <v>0</v>
      </c>
      <c r="V336" s="10">
        <f>SUMIFS(IsQList,IsIList,Table_ExternalData_15[[#This Row],[item_key]],IsITypeList,Table_ExternalData_15[[#This Row],[IType]],IsDList,Table_ExternalData_15[[#Headers],[18]])</f>
        <v>0</v>
      </c>
      <c r="W336" s="10">
        <f>SUMIFS(IsQList,IsIList,Table_ExternalData_15[[#This Row],[item_key]],IsITypeList,Table_ExternalData_15[[#This Row],[IType]],IsDList,Table_ExternalData_15[[#Headers],[19]])</f>
        <v>0</v>
      </c>
      <c r="X336" s="10">
        <f>SUMIFS(IsQList,IsIList,Table_ExternalData_15[[#This Row],[item_key]],IsITypeList,Table_ExternalData_15[[#This Row],[IType]],IsDList,Table_ExternalData_15[[#Headers],[20]])</f>
        <v>0</v>
      </c>
      <c r="Y336" s="10">
        <f>SUMIFS(IsQList,IsIList,Table_ExternalData_15[[#This Row],[item_key]],IsITypeList,Table_ExternalData_15[[#This Row],[IType]],IsDList,Table_ExternalData_15[[#Headers],[21]])</f>
        <v>0</v>
      </c>
      <c r="Z336" s="10">
        <f>SUMIFS(IsQList,IsIList,Table_ExternalData_15[[#This Row],[item_key]],IsITypeList,Table_ExternalData_15[[#This Row],[IType]],IsDList,Table_ExternalData_15[[#Headers],[22]])</f>
        <v>0</v>
      </c>
      <c r="AA336" s="10">
        <f>SUMIFS(IsQList,IsIList,Table_ExternalData_15[[#This Row],[item_key]],IsITypeList,Table_ExternalData_15[[#This Row],[IType]],IsDList,Table_ExternalData_15[[#Headers],[23]])</f>
        <v>0</v>
      </c>
      <c r="AB336" s="10">
        <f>SUMIFS(IsQList,IsIList,Table_ExternalData_15[[#This Row],[item_key]],IsITypeList,Table_ExternalData_15[[#This Row],[IType]],IsDList,Table_ExternalData_15[[#Headers],[24]])</f>
        <v>0</v>
      </c>
      <c r="AC336" s="10">
        <f>SUMIFS(IsQList,IsIList,Table_ExternalData_15[[#This Row],[item_key]],IsITypeList,Table_ExternalData_15[[#This Row],[IType]],IsDList,Table_ExternalData_15[[#Headers],[25]])</f>
        <v>0</v>
      </c>
      <c r="AD336" s="10">
        <f>SUMIFS(IsQList,IsIList,Table_ExternalData_15[[#This Row],[item_key]],IsITypeList,Table_ExternalData_15[[#This Row],[IType]],IsDList,Table_ExternalData_15[[#Headers],[26]])</f>
        <v>0</v>
      </c>
      <c r="AE336" s="10">
        <f>SUMIFS(IsQList,IsIList,Table_ExternalData_15[[#This Row],[item_key]],IsITypeList,Table_ExternalData_15[[#This Row],[IType]],IsDList,Table_ExternalData_15[[#Headers],[27]])</f>
        <v>0</v>
      </c>
      <c r="AF336" s="10">
        <f>SUMIFS(IsQList,IsIList,Table_ExternalData_15[[#This Row],[item_key]],IsITypeList,Table_ExternalData_15[[#This Row],[IType]],IsDList,Table_ExternalData_15[[#Headers],[28]])</f>
        <v>0</v>
      </c>
      <c r="AG336" s="10">
        <f>SUMIFS(IsQList,IsIList,Table_ExternalData_15[[#This Row],[item_key]],IsITypeList,Table_ExternalData_15[[#This Row],[IType]],IsDList,Table_ExternalData_15[[#Headers],[29]])</f>
        <v>0</v>
      </c>
      <c r="AH336" s="10">
        <f>SUMIFS(IsQList,IsIList,Table_ExternalData_15[[#This Row],[item_key]],IsITypeList,Table_ExternalData_15[[#This Row],[IType]],IsDList,Table_ExternalData_15[[#Headers],[30]])</f>
        <v>0</v>
      </c>
      <c r="AI336" s="10">
        <f>SUMIFS(IsQList,IsIList,Table_ExternalData_15[[#This Row],[item_key]],IsITypeList,Table_ExternalData_15[[#This Row],[IType]],IsDList,Table_ExternalData_15[[#Headers],[31]])</f>
        <v>0</v>
      </c>
      <c r="AJ336" s="10">
        <f>SUM(Table_ExternalData_15[[#This Row],[1]:[31]])</f>
        <v>0</v>
      </c>
    </row>
    <row r="337" spans="1:36">
      <c r="A337" s="1" t="s">
        <v>1029</v>
      </c>
      <c r="B337" s="1" t="s">
        <v>2364</v>
      </c>
      <c r="C337" s="1" t="s">
        <v>2365</v>
      </c>
      <c r="D337" s="11" t="s">
        <v>72</v>
      </c>
      <c r="E337" s="10">
        <f>SUMIFS(IsQList,IsIList,Table_ExternalData_15[[#This Row],[item_key]],IsITypeList,Table_ExternalData_15[[#This Row],[IType]],IsDList,Table_ExternalData_15[[#Headers],[1]])</f>
        <v>0</v>
      </c>
      <c r="F337" s="10">
        <f>SUMIFS(IsQList,IsIList,Table_ExternalData_15[[#This Row],[item_key]],IsITypeList,Table_ExternalData_15[[#This Row],[IType]],IsDList,Table_ExternalData_15[[#Headers],[2]])</f>
        <v>1</v>
      </c>
      <c r="G337" s="10">
        <f>SUMIFS(IsQList,IsIList,Table_ExternalData_15[[#This Row],[item_key]],IsITypeList,Table_ExternalData_15[[#This Row],[IType]],IsDList,Table_ExternalData_15[[#Headers],[3]])</f>
        <v>0</v>
      </c>
      <c r="H337" s="10">
        <f>SUMIFS(IsQList,IsIList,Table_ExternalData_15[[#This Row],[item_key]],IsITypeList,Table_ExternalData_15[[#This Row],[IType]],IsDList,Table_ExternalData_15[[#Headers],[4]])</f>
        <v>0</v>
      </c>
      <c r="I337" s="10">
        <f>SUMIFS(IsQList,IsIList,Table_ExternalData_15[[#This Row],[item_key]],IsITypeList,Table_ExternalData_15[[#This Row],[IType]],IsDList,Table_ExternalData_15[[#Headers],[5]])</f>
        <v>0</v>
      </c>
      <c r="J337" s="10">
        <f>SUMIFS(IsQList,IsIList,Table_ExternalData_15[[#This Row],[item_key]],IsITypeList,Table_ExternalData_15[[#This Row],[IType]],IsDList,Table_ExternalData_15[[#Headers],[6]])</f>
        <v>0</v>
      </c>
      <c r="K337" s="10">
        <f>SUMIFS(IsQList,IsIList,Table_ExternalData_15[[#This Row],[item_key]],IsITypeList,Table_ExternalData_15[[#This Row],[IType]],IsDList,Table_ExternalData_15[[#Headers],[7]])</f>
        <v>1</v>
      </c>
      <c r="L337" s="10">
        <f>SUMIFS(IsQList,IsIList,Table_ExternalData_15[[#This Row],[item_key]],IsITypeList,Table_ExternalData_15[[#This Row],[IType]],IsDList,Table_ExternalData_15[[#Headers],[8]])</f>
        <v>0</v>
      </c>
      <c r="M337" s="10">
        <f>SUMIFS(IsQList,IsIList,Table_ExternalData_15[[#This Row],[item_key]],IsITypeList,Table_ExternalData_15[[#This Row],[IType]],IsDList,Table_ExternalData_15[[#Headers],[9]])</f>
        <v>0</v>
      </c>
      <c r="N337" s="10">
        <f>SUMIFS(IsQList,IsIList,Table_ExternalData_15[[#This Row],[item_key]],IsITypeList,Table_ExternalData_15[[#This Row],[IType]],IsDList,Table_ExternalData_15[[#Headers],[10]])</f>
        <v>3</v>
      </c>
      <c r="O337" s="10">
        <f>SUMIFS(IsQList,IsIList,Table_ExternalData_15[[#This Row],[item_key]],IsITypeList,Table_ExternalData_15[[#This Row],[IType]],IsDList,Table_ExternalData_15[[#Headers],[11]])</f>
        <v>0</v>
      </c>
      <c r="P337" s="10">
        <f>SUMIFS(IsQList,IsIList,Table_ExternalData_15[[#This Row],[item_key]],IsITypeList,Table_ExternalData_15[[#This Row],[IType]],IsDList,Table_ExternalData_15[[#Headers],[12]])</f>
        <v>0</v>
      </c>
      <c r="Q337" s="10">
        <f>SUMIFS(IsQList,IsIList,Table_ExternalData_15[[#This Row],[item_key]],IsITypeList,Table_ExternalData_15[[#This Row],[IType]],IsDList,Table_ExternalData_15[[#Headers],[13]])</f>
        <v>0</v>
      </c>
      <c r="R337" s="10">
        <f>SUMIFS(IsQList,IsIList,Table_ExternalData_15[[#This Row],[item_key]],IsITypeList,Table_ExternalData_15[[#This Row],[IType]],IsDList,Table_ExternalData_15[[#Headers],[14]])</f>
        <v>0</v>
      </c>
      <c r="S337" s="10">
        <f>SUMIFS(IsQList,IsIList,Table_ExternalData_15[[#This Row],[item_key]],IsITypeList,Table_ExternalData_15[[#This Row],[IType]],IsDList,Table_ExternalData_15[[#Headers],[15]])</f>
        <v>0</v>
      </c>
      <c r="T337" s="10">
        <f>SUMIFS(IsQList,IsIList,Table_ExternalData_15[[#This Row],[item_key]],IsITypeList,Table_ExternalData_15[[#This Row],[IType]],IsDList,Table_ExternalData_15[[#Headers],[16]])</f>
        <v>0</v>
      </c>
      <c r="U337" s="10">
        <f>SUMIFS(IsQList,IsIList,Table_ExternalData_15[[#This Row],[item_key]],IsITypeList,Table_ExternalData_15[[#This Row],[IType]],IsDList,Table_ExternalData_15[[#Headers],[17]])</f>
        <v>0</v>
      </c>
      <c r="V337" s="10">
        <f>SUMIFS(IsQList,IsIList,Table_ExternalData_15[[#This Row],[item_key]],IsITypeList,Table_ExternalData_15[[#This Row],[IType]],IsDList,Table_ExternalData_15[[#Headers],[18]])</f>
        <v>0</v>
      </c>
      <c r="W337" s="10">
        <f>SUMIFS(IsQList,IsIList,Table_ExternalData_15[[#This Row],[item_key]],IsITypeList,Table_ExternalData_15[[#This Row],[IType]],IsDList,Table_ExternalData_15[[#Headers],[19]])</f>
        <v>0</v>
      </c>
      <c r="X337" s="10">
        <f>SUMIFS(IsQList,IsIList,Table_ExternalData_15[[#This Row],[item_key]],IsITypeList,Table_ExternalData_15[[#This Row],[IType]],IsDList,Table_ExternalData_15[[#Headers],[20]])</f>
        <v>0</v>
      </c>
      <c r="Y337" s="10">
        <f>SUMIFS(IsQList,IsIList,Table_ExternalData_15[[#This Row],[item_key]],IsITypeList,Table_ExternalData_15[[#This Row],[IType]],IsDList,Table_ExternalData_15[[#Headers],[21]])</f>
        <v>0</v>
      </c>
      <c r="Z337" s="10">
        <f>SUMIFS(IsQList,IsIList,Table_ExternalData_15[[#This Row],[item_key]],IsITypeList,Table_ExternalData_15[[#This Row],[IType]],IsDList,Table_ExternalData_15[[#Headers],[22]])</f>
        <v>0</v>
      </c>
      <c r="AA337" s="10">
        <f>SUMIFS(IsQList,IsIList,Table_ExternalData_15[[#This Row],[item_key]],IsITypeList,Table_ExternalData_15[[#This Row],[IType]],IsDList,Table_ExternalData_15[[#Headers],[23]])</f>
        <v>0</v>
      </c>
      <c r="AB337" s="10">
        <f>SUMIFS(IsQList,IsIList,Table_ExternalData_15[[#This Row],[item_key]],IsITypeList,Table_ExternalData_15[[#This Row],[IType]],IsDList,Table_ExternalData_15[[#Headers],[24]])</f>
        <v>0</v>
      </c>
      <c r="AC337" s="10">
        <f>SUMIFS(IsQList,IsIList,Table_ExternalData_15[[#This Row],[item_key]],IsITypeList,Table_ExternalData_15[[#This Row],[IType]],IsDList,Table_ExternalData_15[[#Headers],[25]])</f>
        <v>0</v>
      </c>
      <c r="AD337" s="10">
        <f>SUMIFS(IsQList,IsIList,Table_ExternalData_15[[#This Row],[item_key]],IsITypeList,Table_ExternalData_15[[#This Row],[IType]],IsDList,Table_ExternalData_15[[#Headers],[26]])</f>
        <v>0</v>
      </c>
      <c r="AE337" s="10">
        <f>SUMIFS(IsQList,IsIList,Table_ExternalData_15[[#This Row],[item_key]],IsITypeList,Table_ExternalData_15[[#This Row],[IType]],IsDList,Table_ExternalData_15[[#Headers],[27]])</f>
        <v>0</v>
      </c>
      <c r="AF337" s="10">
        <f>SUMIFS(IsQList,IsIList,Table_ExternalData_15[[#This Row],[item_key]],IsITypeList,Table_ExternalData_15[[#This Row],[IType]],IsDList,Table_ExternalData_15[[#Headers],[28]])</f>
        <v>0</v>
      </c>
      <c r="AG337" s="10">
        <f>SUMIFS(IsQList,IsIList,Table_ExternalData_15[[#This Row],[item_key]],IsITypeList,Table_ExternalData_15[[#This Row],[IType]],IsDList,Table_ExternalData_15[[#Headers],[29]])</f>
        <v>0</v>
      </c>
      <c r="AH337" s="10">
        <f>SUMIFS(IsQList,IsIList,Table_ExternalData_15[[#This Row],[item_key]],IsITypeList,Table_ExternalData_15[[#This Row],[IType]],IsDList,Table_ExternalData_15[[#Headers],[30]])</f>
        <v>0</v>
      </c>
      <c r="AI337" s="10">
        <f>SUMIFS(IsQList,IsIList,Table_ExternalData_15[[#This Row],[item_key]],IsITypeList,Table_ExternalData_15[[#This Row],[IType]],IsDList,Table_ExternalData_15[[#Headers],[31]])</f>
        <v>0</v>
      </c>
      <c r="AJ337" s="10">
        <f>SUM(Table_ExternalData_15[[#This Row],[1]:[31]])</f>
        <v>5</v>
      </c>
    </row>
    <row r="338" spans="1:36">
      <c r="A338" s="1" t="s">
        <v>1031</v>
      </c>
      <c r="B338" s="1" t="s">
        <v>2793</v>
      </c>
      <c r="C338" s="1" t="s">
        <v>2794</v>
      </c>
      <c r="D338" s="11" t="s">
        <v>72</v>
      </c>
      <c r="E338" s="10">
        <f>SUMIFS(IsQList,IsIList,Table_ExternalData_15[[#This Row],[item_key]],IsITypeList,Table_ExternalData_15[[#This Row],[IType]],IsDList,Table_ExternalData_15[[#Headers],[1]])</f>
        <v>0</v>
      </c>
      <c r="F338" s="10">
        <f>SUMIFS(IsQList,IsIList,Table_ExternalData_15[[#This Row],[item_key]],IsITypeList,Table_ExternalData_15[[#This Row],[IType]],IsDList,Table_ExternalData_15[[#Headers],[2]])</f>
        <v>0</v>
      </c>
      <c r="G338" s="10">
        <f>SUMIFS(IsQList,IsIList,Table_ExternalData_15[[#This Row],[item_key]],IsITypeList,Table_ExternalData_15[[#This Row],[IType]],IsDList,Table_ExternalData_15[[#Headers],[3]])</f>
        <v>0</v>
      </c>
      <c r="H338" s="10">
        <f>SUMIFS(IsQList,IsIList,Table_ExternalData_15[[#This Row],[item_key]],IsITypeList,Table_ExternalData_15[[#This Row],[IType]],IsDList,Table_ExternalData_15[[#Headers],[4]])</f>
        <v>0</v>
      </c>
      <c r="I338" s="10">
        <f>SUMIFS(IsQList,IsIList,Table_ExternalData_15[[#This Row],[item_key]],IsITypeList,Table_ExternalData_15[[#This Row],[IType]],IsDList,Table_ExternalData_15[[#Headers],[5]])</f>
        <v>0</v>
      </c>
      <c r="J338" s="10">
        <f>SUMIFS(IsQList,IsIList,Table_ExternalData_15[[#This Row],[item_key]],IsITypeList,Table_ExternalData_15[[#This Row],[IType]],IsDList,Table_ExternalData_15[[#Headers],[6]])</f>
        <v>0</v>
      </c>
      <c r="K338" s="10">
        <f>SUMIFS(IsQList,IsIList,Table_ExternalData_15[[#This Row],[item_key]],IsITypeList,Table_ExternalData_15[[#This Row],[IType]],IsDList,Table_ExternalData_15[[#Headers],[7]])</f>
        <v>0</v>
      </c>
      <c r="L338" s="10">
        <f>SUMIFS(IsQList,IsIList,Table_ExternalData_15[[#This Row],[item_key]],IsITypeList,Table_ExternalData_15[[#This Row],[IType]],IsDList,Table_ExternalData_15[[#Headers],[8]])</f>
        <v>0</v>
      </c>
      <c r="M338" s="10">
        <f>SUMIFS(IsQList,IsIList,Table_ExternalData_15[[#This Row],[item_key]],IsITypeList,Table_ExternalData_15[[#This Row],[IType]],IsDList,Table_ExternalData_15[[#Headers],[9]])</f>
        <v>0</v>
      </c>
      <c r="N338" s="10">
        <f>SUMIFS(IsQList,IsIList,Table_ExternalData_15[[#This Row],[item_key]],IsITypeList,Table_ExternalData_15[[#This Row],[IType]],IsDList,Table_ExternalData_15[[#Headers],[10]])</f>
        <v>0</v>
      </c>
      <c r="O338" s="10">
        <f>SUMIFS(IsQList,IsIList,Table_ExternalData_15[[#This Row],[item_key]],IsITypeList,Table_ExternalData_15[[#This Row],[IType]],IsDList,Table_ExternalData_15[[#Headers],[11]])</f>
        <v>0</v>
      </c>
      <c r="P338" s="10">
        <f>SUMIFS(IsQList,IsIList,Table_ExternalData_15[[#This Row],[item_key]],IsITypeList,Table_ExternalData_15[[#This Row],[IType]],IsDList,Table_ExternalData_15[[#Headers],[12]])</f>
        <v>0</v>
      </c>
      <c r="Q338" s="10">
        <f>SUMIFS(IsQList,IsIList,Table_ExternalData_15[[#This Row],[item_key]],IsITypeList,Table_ExternalData_15[[#This Row],[IType]],IsDList,Table_ExternalData_15[[#Headers],[13]])</f>
        <v>0</v>
      </c>
      <c r="R338" s="10">
        <f>SUMIFS(IsQList,IsIList,Table_ExternalData_15[[#This Row],[item_key]],IsITypeList,Table_ExternalData_15[[#This Row],[IType]],IsDList,Table_ExternalData_15[[#Headers],[14]])</f>
        <v>0</v>
      </c>
      <c r="S338" s="10">
        <f>SUMIFS(IsQList,IsIList,Table_ExternalData_15[[#This Row],[item_key]],IsITypeList,Table_ExternalData_15[[#This Row],[IType]],IsDList,Table_ExternalData_15[[#Headers],[15]])</f>
        <v>0</v>
      </c>
      <c r="T338" s="10">
        <f>SUMIFS(IsQList,IsIList,Table_ExternalData_15[[#This Row],[item_key]],IsITypeList,Table_ExternalData_15[[#This Row],[IType]],IsDList,Table_ExternalData_15[[#Headers],[16]])</f>
        <v>0</v>
      </c>
      <c r="U338" s="10">
        <f>SUMIFS(IsQList,IsIList,Table_ExternalData_15[[#This Row],[item_key]],IsITypeList,Table_ExternalData_15[[#This Row],[IType]],IsDList,Table_ExternalData_15[[#Headers],[17]])</f>
        <v>0</v>
      </c>
      <c r="V338" s="10">
        <f>SUMIFS(IsQList,IsIList,Table_ExternalData_15[[#This Row],[item_key]],IsITypeList,Table_ExternalData_15[[#This Row],[IType]],IsDList,Table_ExternalData_15[[#Headers],[18]])</f>
        <v>0</v>
      </c>
      <c r="W338" s="10">
        <f>SUMIFS(IsQList,IsIList,Table_ExternalData_15[[#This Row],[item_key]],IsITypeList,Table_ExternalData_15[[#This Row],[IType]],IsDList,Table_ExternalData_15[[#Headers],[19]])</f>
        <v>0</v>
      </c>
      <c r="X338" s="10">
        <f>SUMIFS(IsQList,IsIList,Table_ExternalData_15[[#This Row],[item_key]],IsITypeList,Table_ExternalData_15[[#This Row],[IType]],IsDList,Table_ExternalData_15[[#Headers],[20]])</f>
        <v>0</v>
      </c>
      <c r="Y338" s="10">
        <f>SUMIFS(IsQList,IsIList,Table_ExternalData_15[[#This Row],[item_key]],IsITypeList,Table_ExternalData_15[[#This Row],[IType]],IsDList,Table_ExternalData_15[[#Headers],[21]])</f>
        <v>0</v>
      </c>
      <c r="Z338" s="10">
        <f>SUMIFS(IsQList,IsIList,Table_ExternalData_15[[#This Row],[item_key]],IsITypeList,Table_ExternalData_15[[#This Row],[IType]],IsDList,Table_ExternalData_15[[#Headers],[22]])</f>
        <v>0</v>
      </c>
      <c r="AA338" s="10">
        <f>SUMIFS(IsQList,IsIList,Table_ExternalData_15[[#This Row],[item_key]],IsITypeList,Table_ExternalData_15[[#This Row],[IType]],IsDList,Table_ExternalData_15[[#Headers],[23]])</f>
        <v>0</v>
      </c>
      <c r="AB338" s="10">
        <f>SUMIFS(IsQList,IsIList,Table_ExternalData_15[[#This Row],[item_key]],IsITypeList,Table_ExternalData_15[[#This Row],[IType]],IsDList,Table_ExternalData_15[[#Headers],[24]])</f>
        <v>0</v>
      </c>
      <c r="AC338" s="10">
        <f>SUMIFS(IsQList,IsIList,Table_ExternalData_15[[#This Row],[item_key]],IsITypeList,Table_ExternalData_15[[#This Row],[IType]],IsDList,Table_ExternalData_15[[#Headers],[25]])</f>
        <v>0</v>
      </c>
      <c r="AD338" s="10">
        <f>SUMIFS(IsQList,IsIList,Table_ExternalData_15[[#This Row],[item_key]],IsITypeList,Table_ExternalData_15[[#This Row],[IType]],IsDList,Table_ExternalData_15[[#Headers],[26]])</f>
        <v>0</v>
      </c>
      <c r="AE338" s="10">
        <f>SUMIFS(IsQList,IsIList,Table_ExternalData_15[[#This Row],[item_key]],IsITypeList,Table_ExternalData_15[[#This Row],[IType]],IsDList,Table_ExternalData_15[[#Headers],[27]])</f>
        <v>0</v>
      </c>
      <c r="AF338" s="10">
        <f>SUMIFS(IsQList,IsIList,Table_ExternalData_15[[#This Row],[item_key]],IsITypeList,Table_ExternalData_15[[#This Row],[IType]],IsDList,Table_ExternalData_15[[#Headers],[28]])</f>
        <v>0</v>
      </c>
      <c r="AG338" s="10">
        <f>SUMIFS(IsQList,IsIList,Table_ExternalData_15[[#This Row],[item_key]],IsITypeList,Table_ExternalData_15[[#This Row],[IType]],IsDList,Table_ExternalData_15[[#Headers],[29]])</f>
        <v>0</v>
      </c>
      <c r="AH338" s="10">
        <f>SUMIFS(IsQList,IsIList,Table_ExternalData_15[[#This Row],[item_key]],IsITypeList,Table_ExternalData_15[[#This Row],[IType]],IsDList,Table_ExternalData_15[[#Headers],[30]])</f>
        <v>0</v>
      </c>
      <c r="AI338" s="10">
        <f>SUMIFS(IsQList,IsIList,Table_ExternalData_15[[#This Row],[item_key]],IsITypeList,Table_ExternalData_15[[#This Row],[IType]],IsDList,Table_ExternalData_15[[#Headers],[31]])</f>
        <v>0</v>
      </c>
      <c r="AJ338" s="10">
        <f>SUM(Table_ExternalData_15[[#This Row],[1]:[31]])</f>
        <v>0</v>
      </c>
    </row>
    <row r="339" spans="1:36">
      <c r="A339" s="1" t="s">
        <v>1032</v>
      </c>
      <c r="B339" s="1" t="s">
        <v>2795</v>
      </c>
      <c r="C339" s="1" t="s">
        <v>2796</v>
      </c>
      <c r="D339" s="11" t="s">
        <v>72</v>
      </c>
      <c r="E339" s="10">
        <f>SUMIFS(IsQList,IsIList,Table_ExternalData_15[[#This Row],[item_key]],IsITypeList,Table_ExternalData_15[[#This Row],[IType]],IsDList,Table_ExternalData_15[[#Headers],[1]])</f>
        <v>0</v>
      </c>
      <c r="F339" s="10">
        <f>SUMIFS(IsQList,IsIList,Table_ExternalData_15[[#This Row],[item_key]],IsITypeList,Table_ExternalData_15[[#This Row],[IType]],IsDList,Table_ExternalData_15[[#Headers],[2]])</f>
        <v>0</v>
      </c>
      <c r="G339" s="10">
        <f>SUMIFS(IsQList,IsIList,Table_ExternalData_15[[#This Row],[item_key]],IsITypeList,Table_ExternalData_15[[#This Row],[IType]],IsDList,Table_ExternalData_15[[#Headers],[3]])</f>
        <v>0</v>
      </c>
      <c r="H339" s="10">
        <f>SUMIFS(IsQList,IsIList,Table_ExternalData_15[[#This Row],[item_key]],IsITypeList,Table_ExternalData_15[[#This Row],[IType]],IsDList,Table_ExternalData_15[[#Headers],[4]])</f>
        <v>0</v>
      </c>
      <c r="I339" s="10">
        <f>SUMIFS(IsQList,IsIList,Table_ExternalData_15[[#This Row],[item_key]],IsITypeList,Table_ExternalData_15[[#This Row],[IType]],IsDList,Table_ExternalData_15[[#Headers],[5]])</f>
        <v>0</v>
      </c>
      <c r="J339" s="10">
        <f>SUMIFS(IsQList,IsIList,Table_ExternalData_15[[#This Row],[item_key]],IsITypeList,Table_ExternalData_15[[#This Row],[IType]],IsDList,Table_ExternalData_15[[#Headers],[6]])</f>
        <v>0</v>
      </c>
      <c r="K339" s="10">
        <f>SUMIFS(IsQList,IsIList,Table_ExternalData_15[[#This Row],[item_key]],IsITypeList,Table_ExternalData_15[[#This Row],[IType]],IsDList,Table_ExternalData_15[[#Headers],[7]])</f>
        <v>0</v>
      </c>
      <c r="L339" s="10">
        <f>SUMIFS(IsQList,IsIList,Table_ExternalData_15[[#This Row],[item_key]],IsITypeList,Table_ExternalData_15[[#This Row],[IType]],IsDList,Table_ExternalData_15[[#Headers],[8]])</f>
        <v>0</v>
      </c>
      <c r="M339" s="10">
        <f>SUMIFS(IsQList,IsIList,Table_ExternalData_15[[#This Row],[item_key]],IsITypeList,Table_ExternalData_15[[#This Row],[IType]],IsDList,Table_ExternalData_15[[#Headers],[9]])</f>
        <v>0</v>
      </c>
      <c r="N339" s="10">
        <f>SUMIFS(IsQList,IsIList,Table_ExternalData_15[[#This Row],[item_key]],IsITypeList,Table_ExternalData_15[[#This Row],[IType]],IsDList,Table_ExternalData_15[[#Headers],[10]])</f>
        <v>0</v>
      </c>
      <c r="O339" s="10">
        <f>SUMIFS(IsQList,IsIList,Table_ExternalData_15[[#This Row],[item_key]],IsITypeList,Table_ExternalData_15[[#This Row],[IType]],IsDList,Table_ExternalData_15[[#Headers],[11]])</f>
        <v>0</v>
      </c>
      <c r="P339" s="10">
        <f>SUMIFS(IsQList,IsIList,Table_ExternalData_15[[#This Row],[item_key]],IsITypeList,Table_ExternalData_15[[#This Row],[IType]],IsDList,Table_ExternalData_15[[#Headers],[12]])</f>
        <v>0</v>
      </c>
      <c r="Q339" s="10">
        <f>SUMIFS(IsQList,IsIList,Table_ExternalData_15[[#This Row],[item_key]],IsITypeList,Table_ExternalData_15[[#This Row],[IType]],IsDList,Table_ExternalData_15[[#Headers],[13]])</f>
        <v>0</v>
      </c>
      <c r="R339" s="10">
        <f>SUMIFS(IsQList,IsIList,Table_ExternalData_15[[#This Row],[item_key]],IsITypeList,Table_ExternalData_15[[#This Row],[IType]],IsDList,Table_ExternalData_15[[#Headers],[14]])</f>
        <v>0</v>
      </c>
      <c r="S339" s="10">
        <f>SUMIFS(IsQList,IsIList,Table_ExternalData_15[[#This Row],[item_key]],IsITypeList,Table_ExternalData_15[[#This Row],[IType]],IsDList,Table_ExternalData_15[[#Headers],[15]])</f>
        <v>0</v>
      </c>
      <c r="T339" s="10">
        <f>SUMIFS(IsQList,IsIList,Table_ExternalData_15[[#This Row],[item_key]],IsITypeList,Table_ExternalData_15[[#This Row],[IType]],IsDList,Table_ExternalData_15[[#Headers],[16]])</f>
        <v>0</v>
      </c>
      <c r="U339" s="10">
        <f>SUMIFS(IsQList,IsIList,Table_ExternalData_15[[#This Row],[item_key]],IsITypeList,Table_ExternalData_15[[#This Row],[IType]],IsDList,Table_ExternalData_15[[#Headers],[17]])</f>
        <v>0</v>
      </c>
      <c r="V339" s="10">
        <f>SUMIFS(IsQList,IsIList,Table_ExternalData_15[[#This Row],[item_key]],IsITypeList,Table_ExternalData_15[[#This Row],[IType]],IsDList,Table_ExternalData_15[[#Headers],[18]])</f>
        <v>0</v>
      </c>
      <c r="W339" s="10">
        <f>SUMIFS(IsQList,IsIList,Table_ExternalData_15[[#This Row],[item_key]],IsITypeList,Table_ExternalData_15[[#This Row],[IType]],IsDList,Table_ExternalData_15[[#Headers],[19]])</f>
        <v>0</v>
      </c>
      <c r="X339" s="10">
        <f>SUMIFS(IsQList,IsIList,Table_ExternalData_15[[#This Row],[item_key]],IsITypeList,Table_ExternalData_15[[#This Row],[IType]],IsDList,Table_ExternalData_15[[#Headers],[20]])</f>
        <v>0</v>
      </c>
      <c r="Y339" s="10">
        <f>SUMIFS(IsQList,IsIList,Table_ExternalData_15[[#This Row],[item_key]],IsITypeList,Table_ExternalData_15[[#This Row],[IType]],IsDList,Table_ExternalData_15[[#Headers],[21]])</f>
        <v>0</v>
      </c>
      <c r="Z339" s="10">
        <f>SUMIFS(IsQList,IsIList,Table_ExternalData_15[[#This Row],[item_key]],IsITypeList,Table_ExternalData_15[[#This Row],[IType]],IsDList,Table_ExternalData_15[[#Headers],[22]])</f>
        <v>0</v>
      </c>
      <c r="AA339" s="10">
        <f>SUMIFS(IsQList,IsIList,Table_ExternalData_15[[#This Row],[item_key]],IsITypeList,Table_ExternalData_15[[#This Row],[IType]],IsDList,Table_ExternalData_15[[#Headers],[23]])</f>
        <v>0</v>
      </c>
      <c r="AB339" s="10">
        <f>SUMIFS(IsQList,IsIList,Table_ExternalData_15[[#This Row],[item_key]],IsITypeList,Table_ExternalData_15[[#This Row],[IType]],IsDList,Table_ExternalData_15[[#Headers],[24]])</f>
        <v>0</v>
      </c>
      <c r="AC339" s="10">
        <f>SUMIFS(IsQList,IsIList,Table_ExternalData_15[[#This Row],[item_key]],IsITypeList,Table_ExternalData_15[[#This Row],[IType]],IsDList,Table_ExternalData_15[[#Headers],[25]])</f>
        <v>0</v>
      </c>
      <c r="AD339" s="10">
        <f>SUMIFS(IsQList,IsIList,Table_ExternalData_15[[#This Row],[item_key]],IsITypeList,Table_ExternalData_15[[#This Row],[IType]],IsDList,Table_ExternalData_15[[#Headers],[26]])</f>
        <v>0</v>
      </c>
      <c r="AE339" s="10">
        <f>SUMIFS(IsQList,IsIList,Table_ExternalData_15[[#This Row],[item_key]],IsITypeList,Table_ExternalData_15[[#This Row],[IType]],IsDList,Table_ExternalData_15[[#Headers],[27]])</f>
        <v>0</v>
      </c>
      <c r="AF339" s="10">
        <f>SUMIFS(IsQList,IsIList,Table_ExternalData_15[[#This Row],[item_key]],IsITypeList,Table_ExternalData_15[[#This Row],[IType]],IsDList,Table_ExternalData_15[[#Headers],[28]])</f>
        <v>0</v>
      </c>
      <c r="AG339" s="10">
        <f>SUMIFS(IsQList,IsIList,Table_ExternalData_15[[#This Row],[item_key]],IsITypeList,Table_ExternalData_15[[#This Row],[IType]],IsDList,Table_ExternalData_15[[#Headers],[29]])</f>
        <v>0</v>
      </c>
      <c r="AH339" s="10">
        <f>SUMIFS(IsQList,IsIList,Table_ExternalData_15[[#This Row],[item_key]],IsITypeList,Table_ExternalData_15[[#This Row],[IType]],IsDList,Table_ExternalData_15[[#Headers],[30]])</f>
        <v>0</v>
      </c>
      <c r="AI339" s="10">
        <f>SUMIFS(IsQList,IsIList,Table_ExternalData_15[[#This Row],[item_key]],IsITypeList,Table_ExternalData_15[[#This Row],[IType]],IsDList,Table_ExternalData_15[[#Headers],[31]])</f>
        <v>0</v>
      </c>
      <c r="AJ339" s="10">
        <f>SUM(Table_ExternalData_15[[#This Row],[1]:[31]])</f>
        <v>0</v>
      </c>
    </row>
    <row r="340" spans="1:36">
      <c r="A340" s="1" t="s">
        <v>2213</v>
      </c>
      <c r="B340" s="1" t="s">
        <v>2797</v>
      </c>
      <c r="C340" s="1" t="s">
        <v>2798</v>
      </c>
      <c r="D340" s="11" t="s">
        <v>72</v>
      </c>
      <c r="E340" s="10">
        <f>SUMIFS(IsQList,IsIList,Table_ExternalData_15[[#This Row],[item_key]],IsITypeList,Table_ExternalData_15[[#This Row],[IType]],IsDList,Table_ExternalData_15[[#Headers],[1]])</f>
        <v>0</v>
      </c>
      <c r="F340" s="10">
        <f>SUMIFS(IsQList,IsIList,Table_ExternalData_15[[#This Row],[item_key]],IsITypeList,Table_ExternalData_15[[#This Row],[IType]],IsDList,Table_ExternalData_15[[#Headers],[2]])</f>
        <v>0</v>
      </c>
      <c r="G340" s="10">
        <f>SUMIFS(IsQList,IsIList,Table_ExternalData_15[[#This Row],[item_key]],IsITypeList,Table_ExternalData_15[[#This Row],[IType]],IsDList,Table_ExternalData_15[[#Headers],[3]])</f>
        <v>0</v>
      </c>
      <c r="H340" s="10">
        <f>SUMIFS(IsQList,IsIList,Table_ExternalData_15[[#This Row],[item_key]],IsITypeList,Table_ExternalData_15[[#This Row],[IType]],IsDList,Table_ExternalData_15[[#Headers],[4]])</f>
        <v>0</v>
      </c>
      <c r="I340" s="10">
        <f>SUMIFS(IsQList,IsIList,Table_ExternalData_15[[#This Row],[item_key]],IsITypeList,Table_ExternalData_15[[#This Row],[IType]],IsDList,Table_ExternalData_15[[#Headers],[5]])</f>
        <v>0</v>
      </c>
      <c r="J340" s="10">
        <f>SUMIFS(IsQList,IsIList,Table_ExternalData_15[[#This Row],[item_key]],IsITypeList,Table_ExternalData_15[[#This Row],[IType]],IsDList,Table_ExternalData_15[[#Headers],[6]])</f>
        <v>0</v>
      </c>
      <c r="K340" s="10">
        <f>SUMIFS(IsQList,IsIList,Table_ExternalData_15[[#This Row],[item_key]],IsITypeList,Table_ExternalData_15[[#This Row],[IType]],IsDList,Table_ExternalData_15[[#Headers],[7]])</f>
        <v>0</v>
      </c>
      <c r="L340" s="10">
        <f>SUMIFS(IsQList,IsIList,Table_ExternalData_15[[#This Row],[item_key]],IsITypeList,Table_ExternalData_15[[#This Row],[IType]],IsDList,Table_ExternalData_15[[#Headers],[8]])</f>
        <v>0</v>
      </c>
      <c r="M340" s="10">
        <f>SUMIFS(IsQList,IsIList,Table_ExternalData_15[[#This Row],[item_key]],IsITypeList,Table_ExternalData_15[[#This Row],[IType]],IsDList,Table_ExternalData_15[[#Headers],[9]])</f>
        <v>0</v>
      </c>
      <c r="N340" s="10">
        <f>SUMIFS(IsQList,IsIList,Table_ExternalData_15[[#This Row],[item_key]],IsITypeList,Table_ExternalData_15[[#This Row],[IType]],IsDList,Table_ExternalData_15[[#Headers],[10]])</f>
        <v>0</v>
      </c>
      <c r="O340" s="10">
        <f>SUMIFS(IsQList,IsIList,Table_ExternalData_15[[#This Row],[item_key]],IsITypeList,Table_ExternalData_15[[#This Row],[IType]],IsDList,Table_ExternalData_15[[#Headers],[11]])</f>
        <v>0</v>
      </c>
      <c r="P340" s="10">
        <f>SUMIFS(IsQList,IsIList,Table_ExternalData_15[[#This Row],[item_key]],IsITypeList,Table_ExternalData_15[[#This Row],[IType]],IsDList,Table_ExternalData_15[[#Headers],[12]])</f>
        <v>0</v>
      </c>
      <c r="Q340" s="10">
        <f>SUMIFS(IsQList,IsIList,Table_ExternalData_15[[#This Row],[item_key]],IsITypeList,Table_ExternalData_15[[#This Row],[IType]],IsDList,Table_ExternalData_15[[#Headers],[13]])</f>
        <v>0</v>
      </c>
      <c r="R340" s="10">
        <f>SUMIFS(IsQList,IsIList,Table_ExternalData_15[[#This Row],[item_key]],IsITypeList,Table_ExternalData_15[[#This Row],[IType]],IsDList,Table_ExternalData_15[[#Headers],[14]])</f>
        <v>0</v>
      </c>
      <c r="S340" s="10">
        <f>SUMIFS(IsQList,IsIList,Table_ExternalData_15[[#This Row],[item_key]],IsITypeList,Table_ExternalData_15[[#This Row],[IType]],IsDList,Table_ExternalData_15[[#Headers],[15]])</f>
        <v>0</v>
      </c>
      <c r="T340" s="10">
        <f>SUMIFS(IsQList,IsIList,Table_ExternalData_15[[#This Row],[item_key]],IsITypeList,Table_ExternalData_15[[#This Row],[IType]],IsDList,Table_ExternalData_15[[#Headers],[16]])</f>
        <v>0</v>
      </c>
      <c r="U340" s="10">
        <f>SUMIFS(IsQList,IsIList,Table_ExternalData_15[[#This Row],[item_key]],IsITypeList,Table_ExternalData_15[[#This Row],[IType]],IsDList,Table_ExternalData_15[[#Headers],[17]])</f>
        <v>0</v>
      </c>
      <c r="V340" s="10">
        <f>SUMIFS(IsQList,IsIList,Table_ExternalData_15[[#This Row],[item_key]],IsITypeList,Table_ExternalData_15[[#This Row],[IType]],IsDList,Table_ExternalData_15[[#Headers],[18]])</f>
        <v>0</v>
      </c>
      <c r="W340" s="10">
        <f>SUMIFS(IsQList,IsIList,Table_ExternalData_15[[#This Row],[item_key]],IsITypeList,Table_ExternalData_15[[#This Row],[IType]],IsDList,Table_ExternalData_15[[#Headers],[19]])</f>
        <v>0</v>
      </c>
      <c r="X340" s="10">
        <f>SUMIFS(IsQList,IsIList,Table_ExternalData_15[[#This Row],[item_key]],IsITypeList,Table_ExternalData_15[[#This Row],[IType]],IsDList,Table_ExternalData_15[[#Headers],[20]])</f>
        <v>0</v>
      </c>
      <c r="Y340" s="10">
        <f>SUMIFS(IsQList,IsIList,Table_ExternalData_15[[#This Row],[item_key]],IsITypeList,Table_ExternalData_15[[#This Row],[IType]],IsDList,Table_ExternalData_15[[#Headers],[21]])</f>
        <v>0</v>
      </c>
      <c r="Z340" s="10">
        <f>SUMIFS(IsQList,IsIList,Table_ExternalData_15[[#This Row],[item_key]],IsITypeList,Table_ExternalData_15[[#This Row],[IType]],IsDList,Table_ExternalData_15[[#Headers],[22]])</f>
        <v>0</v>
      </c>
      <c r="AA340" s="10">
        <f>SUMIFS(IsQList,IsIList,Table_ExternalData_15[[#This Row],[item_key]],IsITypeList,Table_ExternalData_15[[#This Row],[IType]],IsDList,Table_ExternalData_15[[#Headers],[23]])</f>
        <v>0</v>
      </c>
      <c r="AB340" s="10">
        <f>SUMIFS(IsQList,IsIList,Table_ExternalData_15[[#This Row],[item_key]],IsITypeList,Table_ExternalData_15[[#This Row],[IType]],IsDList,Table_ExternalData_15[[#Headers],[24]])</f>
        <v>0</v>
      </c>
      <c r="AC340" s="10">
        <f>SUMIFS(IsQList,IsIList,Table_ExternalData_15[[#This Row],[item_key]],IsITypeList,Table_ExternalData_15[[#This Row],[IType]],IsDList,Table_ExternalData_15[[#Headers],[25]])</f>
        <v>0</v>
      </c>
      <c r="AD340" s="10">
        <f>SUMIFS(IsQList,IsIList,Table_ExternalData_15[[#This Row],[item_key]],IsITypeList,Table_ExternalData_15[[#This Row],[IType]],IsDList,Table_ExternalData_15[[#Headers],[26]])</f>
        <v>0</v>
      </c>
      <c r="AE340" s="10">
        <f>SUMIFS(IsQList,IsIList,Table_ExternalData_15[[#This Row],[item_key]],IsITypeList,Table_ExternalData_15[[#This Row],[IType]],IsDList,Table_ExternalData_15[[#Headers],[27]])</f>
        <v>0</v>
      </c>
      <c r="AF340" s="10">
        <f>SUMIFS(IsQList,IsIList,Table_ExternalData_15[[#This Row],[item_key]],IsITypeList,Table_ExternalData_15[[#This Row],[IType]],IsDList,Table_ExternalData_15[[#Headers],[28]])</f>
        <v>0</v>
      </c>
      <c r="AG340" s="10">
        <f>SUMIFS(IsQList,IsIList,Table_ExternalData_15[[#This Row],[item_key]],IsITypeList,Table_ExternalData_15[[#This Row],[IType]],IsDList,Table_ExternalData_15[[#Headers],[29]])</f>
        <v>0</v>
      </c>
      <c r="AH340" s="10">
        <f>SUMIFS(IsQList,IsIList,Table_ExternalData_15[[#This Row],[item_key]],IsITypeList,Table_ExternalData_15[[#This Row],[IType]],IsDList,Table_ExternalData_15[[#Headers],[30]])</f>
        <v>0</v>
      </c>
      <c r="AI340" s="10">
        <f>SUMIFS(IsQList,IsIList,Table_ExternalData_15[[#This Row],[item_key]],IsITypeList,Table_ExternalData_15[[#This Row],[IType]],IsDList,Table_ExternalData_15[[#Headers],[31]])</f>
        <v>0</v>
      </c>
      <c r="AJ340" s="10">
        <f>SUM(Table_ExternalData_15[[#This Row],[1]:[31]])</f>
        <v>0</v>
      </c>
    </row>
    <row r="341" spans="1:36">
      <c r="A341" s="1" t="s">
        <v>1038</v>
      </c>
      <c r="B341" s="1" t="s">
        <v>2799</v>
      </c>
      <c r="C341" s="1" t="s">
        <v>2800</v>
      </c>
      <c r="D341" s="11" t="s">
        <v>72</v>
      </c>
      <c r="E341" s="10">
        <f>SUMIFS(IsQList,IsIList,Table_ExternalData_15[[#This Row],[item_key]],IsITypeList,Table_ExternalData_15[[#This Row],[IType]],IsDList,Table_ExternalData_15[[#Headers],[1]])</f>
        <v>0</v>
      </c>
      <c r="F341" s="10">
        <f>SUMIFS(IsQList,IsIList,Table_ExternalData_15[[#This Row],[item_key]],IsITypeList,Table_ExternalData_15[[#This Row],[IType]],IsDList,Table_ExternalData_15[[#Headers],[2]])</f>
        <v>0</v>
      </c>
      <c r="G341" s="10">
        <f>SUMIFS(IsQList,IsIList,Table_ExternalData_15[[#This Row],[item_key]],IsITypeList,Table_ExternalData_15[[#This Row],[IType]],IsDList,Table_ExternalData_15[[#Headers],[3]])</f>
        <v>0</v>
      </c>
      <c r="H341" s="10">
        <f>SUMIFS(IsQList,IsIList,Table_ExternalData_15[[#This Row],[item_key]],IsITypeList,Table_ExternalData_15[[#This Row],[IType]],IsDList,Table_ExternalData_15[[#Headers],[4]])</f>
        <v>0</v>
      </c>
      <c r="I341" s="10">
        <f>SUMIFS(IsQList,IsIList,Table_ExternalData_15[[#This Row],[item_key]],IsITypeList,Table_ExternalData_15[[#This Row],[IType]],IsDList,Table_ExternalData_15[[#Headers],[5]])</f>
        <v>0</v>
      </c>
      <c r="J341" s="10">
        <f>SUMIFS(IsQList,IsIList,Table_ExternalData_15[[#This Row],[item_key]],IsITypeList,Table_ExternalData_15[[#This Row],[IType]],IsDList,Table_ExternalData_15[[#Headers],[6]])</f>
        <v>6</v>
      </c>
      <c r="K341" s="10">
        <f>SUMIFS(IsQList,IsIList,Table_ExternalData_15[[#This Row],[item_key]],IsITypeList,Table_ExternalData_15[[#This Row],[IType]],IsDList,Table_ExternalData_15[[#Headers],[7]])</f>
        <v>0</v>
      </c>
      <c r="L341" s="10">
        <f>SUMIFS(IsQList,IsIList,Table_ExternalData_15[[#This Row],[item_key]],IsITypeList,Table_ExternalData_15[[#This Row],[IType]],IsDList,Table_ExternalData_15[[#Headers],[8]])</f>
        <v>0</v>
      </c>
      <c r="M341" s="10">
        <f>SUMIFS(IsQList,IsIList,Table_ExternalData_15[[#This Row],[item_key]],IsITypeList,Table_ExternalData_15[[#This Row],[IType]],IsDList,Table_ExternalData_15[[#Headers],[9]])</f>
        <v>0</v>
      </c>
      <c r="N341" s="10">
        <f>SUMIFS(IsQList,IsIList,Table_ExternalData_15[[#This Row],[item_key]],IsITypeList,Table_ExternalData_15[[#This Row],[IType]],IsDList,Table_ExternalData_15[[#Headers],[10]])</f>
        <v>0</v>
      </c>
      <c r="O341" s="10">
        <f>SUMIFS(IsQList,IsIList,Table_ExternalData_15[[#This Row],[item_key]],IsITypeList,Table_ExternalData_15[[#This Row],[IType]],IsDList,Table_ExternalData_15[[#Headers],[11]])</f>
        <v>0</v>
      </c>
      <c r="P341" s="10">
        <f>SUMIFS(IsQList,IsIList,Table_ExternalData_15[[#This Row],[item_key]],IsITypeList,Table_ExternalData_15[[#This Row],[IType]],IsDList,Table_ExternalData_15[[#Headers],[12]])</f>
        <v>0</v>
      </c>
      <c r="Q341" s="10">
        <f>SUMIFS(IsQList,IsIList,Table_ExternalData_15[[#This Row],[item_key]],IsITypeList,Table_ExternalData_15[[#This Row],[IType]],IsDList,Table_ExternalData_15[[#Headers],[13]])</f>
        <v>0</v>
      </c>
      <c r="R341" s="10">
        <f>SUMIFS(IsQList,IsIList,Table_ExternalData_15[[#This Row],[item_key]],IsITypeList,Table_ExternalData_15[[#This Row],[IType]],IsDList,Table_ExternalData_15[[#Headers],[14]])</f>
        <v>0</v>
      </c>
      <c r="S341" s="10">
        <f>SUMIFS(IsQList,IsIList,Table_ExternalData_15[[#This Row],[item_key]],IsITypeList,Table_ExternalData_15[[#This Row],[IType]],IsDList,Table_ExternalData_15[[#Headers],[15]])</f>
        <v>0</v>
      </c>
      <c r="T341" s="10">
        <f>SUMIFS(IsQList,IsIList,Table_ExternalData_15[[#This Row],[item_key]],IsITypeList,Table_ExternalData_15[[#This Row],[IType]],IsDList,Table_ExternalData_15[[#Headers],[16]])</f>
        <v>0</v>
      </c>
      <c r="U341" s="10">
        <f>SUMIFS(IsQList,IsIList,Table_ExternalData_15[[#This Row],[item_key]],IsITypeList,Table_ExternalData_15[[#This Row],[IType]],IsDList,Table_ExternalData_15[[#Headers],[17]])</f>
        <v>0</v>
      </c>
      <c r="V341" s="10">
        <f>SUMIFS(IsQList,IsIList,Table_ExternalData_15[[#This Row],[item_key]],IsITypeList,Table_ExternalData_15[[#This Row],[IType]],IsDList,Table_ExternalData_15[[#Headers],[18]])</f>
        <v>0</v>
      </c>
      <c r="W341" s="10">
        <f>SUMIFS(IsQList,IsIList,Table_ExternalData_15[[#This Row],[item_key]],IsITypeList,Table_ExternalData_15[[#This Row],[IType]],IsDList,Table_ExternalData_15[[#Headers],[19]])</f>
        <v>0</v>
      </c>
      <c r="X341" s="10">
        <f>SUMIFS(IsQList,IsIList,Table_ExternalData_15[[#This Row],[item_key]],IsITypeList,Table_ExternalData_15[[#This Row],[IType]],IsDList,Table_ExternalData_15[[#Headers],[20]])</f>
        <v>0</v>
      </c>
      <c r="Y341" s="10">
        <f>SUMIFS(IsQList,IsIList,Table_ExternalData_15[[#This Row],[item_key]],IsITypeList,Table_ExternalData_15[[#This Row],[IType]],IsDList,Table_ExternalData_15[[#Headers],[21]])</f>
        <v>0</v>
      </c>
      <c r="Z341" s="10">
        <f>SUMIFS(IsQList,IsIList,Table_ExternalData_15[[#This Row],[item_key]],IsITypeList,Table_ExternalData_15[[#This Row],[IType]],IsDList,Table_ExternalData_15[[#Headers],[22]])</f>
        <v>0</v>
      </c>
      <c r="AA341" s="10">
        <f>SUMIFS(IsQList,IsIList,Table_ExternalData_15[[#This Row],[item_key]],IsITypeList,Table_ExternalData_15[[#This Row],[IType]],IsDList,Table_ExternalData_15[[#Headers],[23]])</f>
        <v>0</v>
      </c>
      <c r="AB341" s="10">
        <f>SUMIFS(IsQList,IsIList,Table_ExternalData_15[[#This Row],[item_key]],IsITypeList,Table_ExternalData_15[[#This Row],[IType]],IsDList,Table_ExternalData_15[[#Headers],[24]])</f>
        <v>0</v>
      </c>
      <c r="AC341" s="10">
        <f>SUMIFS(IsQList,IsIList,Table_ExternalData_15[[#This Row],[item_key]],IsITypeList,Table_ExternalData_15[[#This Row],[IType]],IsDList,Table_ExternalData_15[[#Headers],[25]])</f>
        <v>0</v>
      </c>
      <c r="AD341" s="10">
        <f>SUMIFS(IsQList,IsIList,Table_ExternalData_15[[#This Row],[item_key]],IsITypeList,Table_ExternalData_15[[#This Row],[IType]],IsDList,Table_ExternalData_15[[#Headers],[26]])</f>
        <v>0</v>
      </c>
      <c r="AE341" s="10">
        <f>SUMIFS(IsQList,IsIList,Table_ExternalData_15[[#This Row],[item_key]],IsITypeList,Table_ExternalData_15[[#This Row],[IType]],IsDList,Table_ExternalData_15[[#Headers],[27]])</f>
        <v>0</v>
      </c>
      <c r="AF341" s="10">
        <f>SUMIFS(IsQList,IsIList,Table_ExternalData_15[[#This Row],[item_key]],IsITypeList,Table_ExternalData_15[[#This Row],[IType]],IsDList,Table_ExternalData_15[[#Headers],[28]])</f>
        <v>0</v>
      </c>
      <c r="AG341" s="10">
        <f>SUMIFS(IsQList,IsIList,Table_ExternalData_15[[#This Row],[item_key]],IsITypeList,Table_ExternalData_15[[#This Row],[IType]],IsDList,Table_ExternalData_15[[#Headers],[29]])</f>
        <v>0</v>
      </c>
      <c r="AH341" s="10">
        <f>SUMIFS(IsQList,IsIList,Table_ExternalData_15[[#This Row],[item_key]],IsITypeList,Table_ExternalData_15[[#This Row],[IType]],IsDList,Table_ExternalData_15[[#Headers],[30]])</f>
        <v>20</v>
      </c>
      <c r="AI341" s="10">
        <f>SUMIFS(IsQList,IsIList,Table_ExternalData_15[[#This Row],[item_key]],IsITypeList,Table_ExternalData_15[[#This Row],[IType]],IsDList,Table_ExternalData_15[[#Headers],[31]])</f>
        <v>0</v>
      </c>
      <c r="AJ341" s="10">
        <f>SUM(Table_ExternalData_15[[#This Row],[1]:[31]])</f>
        <v>26</v>
      </c>
    </row>
    <row r="342" spans="1:36">
      <c r="A342" s="1" t="s">
        <v>1044</v>
      </c>
      <c r="B342" s="1" t="s">
        <v>1512</v>
      </c>
      <c r="C342" s="1" t="s">
        <v>1513</v>
      </c>
      <c r="D342" s="11" t="s">
        <v>72</v>
      </c>
      <c r="E342" s="10">
        <f>SUMIFS(IsQList,IsIList,Table_ExternalData_15[[#This Row],[item_key]],IsITypeList,Table_ExternalData_15[[#This Row],[IType]],IsDList,Table_ExternalData_15[[#Headers],[1]])</f>
        <v>0</v>
      </c>
      <c r="F342" s="10">
        <f>SUMIFS(IsQList,IsIList,Table_ExternalData_15[[#This Row],[item_key]],IsITypeList,Table_ExternalData_15[[#This Row],[IType]],IsDList,Table_ExternalData_15[[#Headers],[2]])</f>
        <v>0</v>
      </c>
      <c r="G342" s="10">
        <f>SUMIFS(IsQList,IsIList,Table_ExternalData_15[[#This Row],[item_key]],IsITypeList,Table_ExternalData_15[[#This Row],[IType]],IsDList,Table_ExternalData_15[[#Headers],[3]])</f>
        <v>0</v>
      </c>
      <c r="H342" s="10">
        <f>SUMIFS(IsQList,IsIList,Table_ExternalData_15[[#This Row],[item_key]],IsITypeList,Table_ExternalData_15[[#This Row],[IType]],IsDList,Table_ExternalData_15[[#Headers],[4]])</f>
        <v>0</v>
      </c>
      <c r="I342" s="10">
        <f>SUMIFS(IsQList,IsIList,Table_ExternalData_15[[#This Row],[item_key]],IsITypeList,Table_ExternalData_15[[#This Row],[IType]],IsDList,Table_ExternalData_15[[#Headers],[5]])</f>
        <v>0</v>
      </c>
      <c r="J342" s="10">
        <f>SUMIFS(IsQList,IsIList,Table_ExternalData_15[[#This Row],[item_key]],IsITypeList,Table_ExternalData_15[[#This Row],[IType]],IsDList,Table_ExternalData_15[[#Headers],[6]])</f>
        <v>0</v>
      </c>
      <c r="K342" s="10">
        <f>SUMIFS(IsQList,IsIList,Table_ExternalData_15[[#This Row],[item_key]],IsITypeList,Table_ExternalData_15[[#This Row],[IType]],IsDList,Table_ExternalData_15[[#Headers],[7]])</f>
        <v>0</v>
      </c>
      <c r="L342" s="10">
        <f>SUMIFS(IsQList,IsIList,Table_ExternalData_15[[#This Row],[item_key]],IsITypeList,Table_ExternalData_15[[#This Row],[IType]],IsDList,Table_ExternalData_15[[#Headers],[8]])</f>
        <v>0</v>
      </c>
      <c r="M342" s="10">
        <f>SUMIFS(IsQList,IsIList,Table_ExternalData_15[[#This Row],[item_key]],IsITypeList,Table_ExternalData_15[[#This Row],[IType]],IsDList,Table_ExternalData_15[[#Headers],[9]])</f>
        <v>0</v>
      </c>
      <c r="N342" s="10">
        <f>SUMIFS(IsQList,IsIList,Table_ExternalData_15[[#This Row],[item_key]],IsITypeList,Table_ExternalData_15[[#This Row],[IType]],IsDList,Table_ExternalData_15[[#Headers],[10]])</f>
        <v>0</v>
      </c>
      <c r="O342" s="10">
        <f>SUMIFS(IsQList,IsIList,Table_ExternalData_15[[#This Row],[item_key]],IsITypeList,Table_ExternalData_15[[#This Row],[IType]],IsDList,Table_ExternalData_15[[#Headers],[11]])</f>
        <v>0</v>
      </c>
      <c r="P342" s="10">
        <f>SUMIFS(IsQList,IsIList,Table_ExternalData_15[[#This Row],[item_key]],IsITypeList,Table_ExternalData_15[[#This Row],[IType]],IsDList,Table_ExternalData_15[[#Headers],[12]])</f>
        <v>0</v>
      </c>
      <c r="Q342" s="10">
        <f>SUMIFS(IsQList,IsIList,Table_ExternalData_15[[#This Row],[item_key]],IsITypeList,Table_ExternalData_15[[#This Row],[IType]],IsDList,Table_ExternalData_15[[#Headers],[13]])</f>
        <v>0</v>
      </c>
      <c r="R342" s="10">
        <f>SUMIFS(IsQList,IsIList,Table_ExternalData_15[[#This Row],[item_key]],IsITypeList,Table_ExternalData_15[[#This Row],[IType]],IsDList,Table_ExternalData_15[[#Headers],[14]])</f>
        <v>0</v>
      </c>
      <c r="S342" s="10">
        <f>SUMIFS(IsQList,IsIList,Table_ExternalData_15[[#This Row],[item_key]],IsITypeList,Table_ExternalData_15[[#This Row],[IType]],IsDList,Table_ExternalData_15[[#Headers],[15]])</f>
        <v>0</v>
      </c>
      <c r="T342" s="10">
        <f>SUMIFS(IsQList,IsIList,Table_ExternalData_15[[#This Row],[item_key]],IsITypeList,Table_ExternalData_15[[#This Row],[IType]],IsDList,Table_ExternalData_15[[#Headers],[16]])</f>
        <v>10</v>
      </c>
      <c r="U342" s="10">
        <f>SUMIFS(IsQList,IsIList,Table_ExternalData_15[[#This Row],[item_key]],IsITypeList,Table_ExternalData_15[[#This Row],[IType]],IsDList,Table_ExternalData_15[[#Headers],[17]])</f>
        <v>0</v>
      </c>
      <c r="V342" s="10">
        <f>SUMIFS(IsQList,IsIList,Table_ExternalData_15[[#This Row],[item_key]],IsITypeList,Table_ExternalData_15[[#This Row],[IType]],IsDList,Table_ExternalData_15[[#Headers],[18]])</f>
        <v>0</v>
      </c>
      <c r="W342" s="10">
        <f>SUMIFS(IsQList,IsIList,Table_ExternalData_15[[#This Row],[item_key]],IsITypeList,Table_ExternalData_15[[#This Row],[IType]],IsDList,Table_ExternalData_15[[#Headers],[19]])</f>
        <v>0</v>
      </c>
      <c r="X342" s="10">
        <f>SUMIFS(IsQList,IsIList,Table_ExternalData_15[[#This Row],[item_key]],IsITypeList,Table_ExternalData_15[[#This Row],[IType]],IsDList,Table_ExternalData_15[[#Headers],[20]])</f>
        <v>0</v>
      </c>
      <c r="Y342" s="10">
        <f>SUMIFS(IsQList,IsIList,Table_ExternalData_15[[#This Row],[item_key]],IsITypeList,Table_ExternalData_15[[#This Row],[IType]],IsDList,Table_ExternalData_15[[#Headers],[21]])</f>
        <v>0</v>
      </c>
      <c r="Z342" s="10">
        <f>SUMIFS(IsQList,IsIList,Table_ExternalData_15[[#This Row],[item_key]],IsITypeList,Table_ExternalData_15[[#This Row],[IType]],IsDList,Table_ExternalData_15[[#Headers],[22]])</f>
        <v>0</v>
      </c>
      <c r="AA342" s="10">
        <f>SUMIFS(IsQList,IsIList,Table_ExternalData_15[[#This Row],[item_key]],IsITypeList,Table_ExternalData_15[[#This Row],[IType]],IsDList,Table_ExternalData_15[[#Headers],[23]])</f>
        <v>0</v>
      </c>
      <c r="AB342" s="10">
        <f>SUMIFS(IsQList,IsIList,Table_ExternalData_15[[#This Row],[item_key]],IsITypeList,Table_ExternalData_15[[#This Row],[IType]],IsDList,Table_ExternalData_15[[#Headers],[24]])</f>
        <v>0</v>
      </c>
      <c r="AC342" s="10">
        <f>SUMIFS(IsQList,IsIList,Table_ExternalData_15[[#This Row],[item_key]],IsITypeList,Table_ExternalData_15[[#This Row],[IType]],IsDList,Table_ExternalData_15[[#Headers],[25]])</f>
        <v>0</v>
      </c>
      <c r="AD342" s="10">
        <f>SUMIFS(IsQList,IsIList,Table_ExternalData_15[[#This Row],[item_key]],IsITypeList,Table_ExternalData_15[[#This Row],[IType]],IsDList,Table_ExternalData_15[[#Headers],[26]])</f>
        <v>0</v>
      </c>
      <c r="AE342" s="10">
        <f>SUMIFS(IsQList,IsIList,Table_ExternalData_15[[#This Row],[item_key]],IsITypeList,Table_ExternalData_15[[#This Row],[IType]],IsDList,Table_ExternalData_15[[#Headers],[27]])</f>
        <v>0</v>
      </c>
      <c r="AF342" s="10">
        <f>SUMIFS(IsQList,IsIList,Table_ExternalData_15[[#This Row],[item_key]],IsITypeList,Table_ExternalData_15[[#This Row],[IType]],IsDList,Table_ExternalData_15[[#Headers],[28]])</f>
        <v>0</v>
      </c>
      <c r="AG342" s="10">
        <f>SUMIFS(IsQList,IsIList,Table_ExternalData_15[[#This Row],[item_key]],IsITypeList,Table_ExternalData_15[[#This Row],[IType]],IsDList,Table_ExternalData_15[[#Headers],[29]])</f>
        <v>0</v>
      </c>
      <c r="AH342" s="10">
        <f>SUMIFS(IsQList,IsIList,Table_ExternalData_15[[#This Row],[item_key]],IsITypeList,Table_ExternalData_15[[#This Row],[IType]],IsDList,Table_ExternalData_15[[#Headers],[30]])</f>
        <v>0</v>
      </c>
      <c r="AI342" s="10">
        <f>SUMIFS(IsQList,IsIList,Table_ExternalData_15[[#This Row],[item_key]],IsITypeList,Table_ExternalData_15[[#This Row],[IType]],IsDList,Table_ExternalData_15[[#Headers],[31]])</f>
        <v>0</v>
      </c>
      <c r="AJ342" s="10">
        <f>SUM(Table_ExternalData_15[[#This Row],[1]:[31]])</f>
        <v>10</v>
      </c>
    </row>
    <row r="343" spans="1:36">
      <c r="A343" s="1" t="s">
        <v>1051</v>
      </c>
      <c r="B343" s="1" t="s">
        <v>1518</v>
      </c>
      <c r="C343" s="1" t="s">
        <v>1393</v>
      </c>
      <c r="D343" s="11" t="s">
        <v>72</v>
      </c>
      <c r="E343" s="10">
        <f>SUMIFS(IsQList,IsIList,Table_ExternalData_15[[#This Row],[item_key]],IsITypeList,Table_ExternalData_15[[#This Row],[IType]],IsDList,Table_ExternalData_15[[#Headers],[1]])</f>
        <v>0</v>
      </c>
      <c r="F343" s="10">
        <f>SUMIFS(IsQList,IsIList,Table_ExternalData_15[[#This Row],[item_key]],IsITypeList,Table_ExternalData_15[[#This Row],[IType]],IsDList,Table_ExternalData_15[[#Headers],[2]])</f>
        <v>0</v>
      </c>
      <c r="G343" s="10">
        <f>SUMIFS(IsQList,IsIList,Table_ExternalData_15[[#This Row],[item_key]],IsITypeList,Table_ExternalData_15[[#This Row],[IType]],IsDList,Table_ExternalData_15[[#Headers],[3]])</f>
        <v>0</v>
      </c>
      <c r="H343" s="10">
        <f>SUMIFS(IsQList,IsIList,Table_ExternalData_15[[#This Row],[item_key]],IsITypeList,Table_ExternalData_15[[#This Row],[IType]],IsDList,Table_ExternalData_15[[#Headers],[4]])</f>
        <v>0</v>
      </c>
      <c r="I343" s="10">
        <f>SUMIFS(IsQList,IsIList,Table_ExternalData_15[[#This Row],[item_key]],IsITypeList,Table_ExternalData_15[[#This Row],[IType]],IsDList,Table_ExternalData_15[[#Headers],[5]])</f>
        <v>0</v>
      </c>
      <c r="J343" s="10">
        <f>SUMIFS(IsQList,IsIList,Table_ExternalData_15[[#This Row],[item_key]],IsITypeList,Table_ExternalData_15[[#This Row],[IType]],IsDList,Table_ExternalData_15[[#Headers],[6]])</f>
        <v>5</v>
      </c>
      <c r="K343" s="10">
        <f>SUMIFS(IsQList,IsIList,Table_ExternalData_15[[#This Row],[item_key]],IsITypeList,Table_ExternalData_15[[#This Row],[IType]],IsDList,Table_ExternalData_15[[#Headers],[7]])</f>
        <v>0</v>
      </c>
      <c r="L343" s="10">
        <f>SUMIFS(IsQList,IsIList,Table_ExternalData_15[[#This Row],[item_key]],IsITypeList,Table_ExternalData_15[[#This Row],[IType]],IsDList,Table_ExternalData_15[[#Headers],[8]])</f>
        <v>0</v>
      </c>
      <c r="M343" s="10">
        <f>SUMIFS(IsQList,IsIList,Table_ExternalData_15[[#This Row],[item_key]],IsITypeList,Table_ExternalData_15[[#This Row],[IType]],IsDList,Table_ExternalData_15[[#Headers],[9]])</f>
        <v>0</v>
      </c>
      <c r="N343" s="10">
        <f>SUMIFS(IsQList,IsIList,Table_ExternalData_15[[#This Row],[item_key]],IsITypeList,Table_ExternalData_15[[#This Row],[IType]],IsDList,Table_ExternalData_15[[#Headers],[10]])</f>
        <v>0</v>
      </c>
      <c r="O343" s="10">
        <f>SUMIFS(IsQList,IsIList,Table_ExternalData_15[[#This Row],[item_key]],IsITypeList,Table_ExternalData_15[[#This Row],[IType]],IsDList,Table_ExternalData_15[[#Headers],[11]])</f>
        <v>0</v>
      </c>
      <c r="P343" s="10">
        <f>SUMIFS(IsQList,IsIList,Table_ExternalData_15[[#This Row],[item_key]],IsITypeList,Table_ExternalData_15[[#This Row],[IType]],IsDList,Table_ExternalData_15[[#Headers],[12]])</f>
        <v>0</v>
      </c>
      <c r="Q343" s="10">
        <f>SUMIFS(IsQList,IsIList,Table_ExternalData_15[[#This Row],[item_key]],IsITypeList,Table_ExternalData_15[[#This Row],[IType]],IsDList,Table_ExternalData_15[[#Headers],[13]])</f>
        <v>0</v>
      </c>
      <c r="R343" s="10">
        <f>SUMIFS(IsQList,IsIList,Table_ExternalData_15[[#This Row],[item_key]],IsITypeList,Table_ExternalData_15[[#This Row],[IType]],IsDList,Table_ExternalData_15[[#Headers],[14]])</f>
        <v>0</v>
      </c>
      <c r="S343" s="10">
        <f>SUMIFS(IsQList,IsIList,Table_ExternalData_15[[#This Row],[item_key]],IsITypeList,Table_ExternalData_15[[#This Row],[IType]],IsDList,Table_ExternalData_15[[#Headers],[15]])</f>
        <v>0</v>
      </c>
      <c r="T343" s="10">
        <f>SUMIFS(IsQList,IsIList,Table_ExternalData_15[[#This Row],[item_key]],IsITypeList,Table_ExternalData_15[[#This Row],[IType]],IsDList,Table_ExternalData_15[[#Headers],[16]])</f>
        <v>0</v>
      </c>
      <c r="U343" s="10">
        <f>SUMIFS(IsQList,IsIList,Table_ExternalData_15[[#This Row],[item_key]],IsITypeList,Table_ExternalData_15[[#This Row],[IType]],IsDList,Table_ExternalData_15[[#Headers],[17]])</f>
        <v>0</v>
      </c>
      <c r="V343" s="10">
        <f>SUMIFS(IsQList,IsIList,Table_ExternalData_15[[#This Row],[item_key]],IsITypeList,Table_ExternalData_15[[#This Row],[IType]],IsDList,Table_ExternalData_15[[#Headers],[18]])</f>
        <v>0</v>
      </c>
      <c r="W343" s="10">
        <f>SUMIFS(IsQList,IsIList,Table_ExternalData_15[[#This Row],[item_key]],IsITypeList,Table_ExternalData_15[[#This Row],[IType]],IsDList,Table_ExternalData_15[[#Headers],[19]])</f>
        <v>0</v>
      </c>
      <c r="X343" s="10">
        <f>SUMIFS(IsQList,IsIList,Table_ExternalData_15[[#This Row],[item_key]],IsITypeList,Table_ExternalData_15[[#This Row],[IType]],IsDList,Table_ExternalData_15[[#Headers],[20]])</f>
        <v>0</v>
      </c>
      <c r="Y343" s="10">
        <f>SUMIFS(IsQList,IsIList,Table_ExternalData_15[[#This Row],[item_key]],IsITypeList,Table_ExternalData_15[[#This Row],[IType]],IsDList,Table_ExternalData_15[[#Headers],[21]])</f>
        <v>0</v>
      </c>
      <c r="Z343" s="10">
        <f>SUMIFS(IsQList,IsIList,Table_ExternalData_15[[#This Row],[item_key]],IsITypeList,Table_ExternalData_15[[#This Row],[IType]],IsDList,Table_ExternalData_15[[#Headers],[22]])</f>
        <v>0</v>
      </c>
      <c r="AA343" s="10">
        <f>SUMIFS(IsQList,IsIList,Table_ExternalData_15[[#This Row],[item_key]],IsITypeList,Table_ExternalData_15[[#This Row],[IType]],IsDList,Table_ExternalData_15[[#Headers],[23]])</f>
        <v>0</v>
      </c>
      <c r="AB343" s="10">
        <f>SUMIFS(IsQList,IsIList,Table_ExternalData_15[[#This Row],[item_key]],IsITypeList,Table_ExternalData_15[[#This Row],[IType]],IsDList,Table_ExternalData_15[[#Headers],[24]])</f>
        <v>0</v>
      </c>
      <c r="AC343" s="10">
        <f>SUMIFS(IsQList,IsIList,Table_ExternalData_15[[#This Row],[item_key]],IsITypeList,Table_ExternalData_15[[#This Row],[IType]],IsDList,Table_ExternalData_15[[#Headers],[25]])</f>
        <v>0</v>
      </c>
      <c r="AD343" s="10">
        <f>SUMIFS(IsQList,IsIList,Table_ExternalData_15[[#This Row],[item_key]],IsITypeList,Table_ExternalData_15[[#This Row],[IType]],IsDList,Table_ExternalData_15[[#Headers],[26]])</f>
        <v>0</v>
      </c>
      <c r="AE343" s="10">
        <f>SUMIFS(IsQList,IsIList,Table_ExternalData_15[[#This Row],[item_key]],IsITypeList,Table_ExternalData_15[[#This Row],[IType]],IsDList,Table_ExternalData_15[[#Headers],[27]])</f>
        <v>0</v>
      </c>
      <c r="AF343" s="10">
        <f>SUMIFS(IsQList,IsIList,Table_ExternalData_15[[#This Row],[item_key]],IsITypeList,Table_ExternalData_15[[#This Row],[IType]],IsDList,Table_ExternalData_15[[#Headers],[28]])</f>
        <v>0</v>
      </c>
      <c r="AG343" s="10">
        <f>SUMIFS(IsQList,IsIList,Table_ExternalData_15[[#This Row],[item_key]],IsITypeList,Table_ExternalData_15[[#This Row],[IType]],IsDList,Table_ExternalData_15[[#Headers],[29]])</f>
        <v>0</v>
      </c>
      <c r="AH343" s="10">
        <f>SUMIFS(IsQList,IsIList,Table_ExternalData_15[[#This Row],[item_key]],IsITypeList,Table_ExternalData_15[[#This Row],[IType]],IsDList,Table_ExternalData_15[[#Headers],[30]])</f>
        <v>10</v>
      </c>
      <c r="AI343" s="10">
        <f>SUMIFS(IsQList,IsIList,Table_ExternalData_15[[#This Row],[item_key]],IsITypeList,Table_ExternalData_15[[#This Row],[IType]],IsDList,Table_ExternalData_15[[#Headers],[31]])</f>
        <v>0</v>
      </c>
      <c r="AJ343" s="10">
        <f>SUM(Table_ExternalData_15[[#This Row],[1]:[31]])</f>
        <v>15</v>
      </c>
    </row>
    <row r="344" spans="1:36">
      <c r="A344" s="1" t="s">
        <v>1052</v>
      </c>
      <c r="B344" s="1" t="s">
        <v>1519</v>
      </c>
      <c r="C344" s="1" t="s">
        <v>1520</v>
      </c>
      <c r="D344" s="11" t="s">
        <v>72</v>
      </c>
      <c r="E344" s="10">
        <f>SUMIFS(IsQList,IsIList,Table_ExternalData_15[[#This Row],[item_key]],IsITypeList,Table_ExternalData_15[[#This Row],[IType]],IsDList,Table_ExternalData_15[[#Headers],[1]])</f>
        <v>0</v>
      </c>
      <c r="F344" s="10">
        <f>SUMIFS(IsQList,IsIList,Table_ExternalData_15[[#This Row],[item_key]],IsITypeList,Table_ExternalData_15[[#This Row],[IType]],IsDList,Table_ExternalData_15[[#Headers],[2]])</f>
        <v>0</v>
      </c>
      <c r="G344" s="10">
        <f>SUMIFS(IsQList,IsIList,Table_ExternalData_15[[#This Row],[item_key]],IsITypeList,Table_ExternalData_15[[#This Row],[IType]],IsDList,Table_ExternalData_15[[#Headers],[3]])</f>
        <v>0</v>
      </c>
      <c r="H344" s="10">
        <f>SUMIFS(IsQList,IsIList,Table_ExternalData_15[[#This Row],[item_key]],IsITypeList,Table_ExternalData_15[[#This Row],[IType]],IsDList,Table_ExternalData_15[[#Headers],[4]])</f>
        <v>0</v>
      </c>
      <c r="I344" s="10">
        <f>SUMIFS(IsQList,IsIList,Table_ExternalData_15[[#This Row],[item_key]],IsITypeList,Table_ExternalData_15[[#This Row],[IType]],IsDList,Table_ExternalData_15[[#Headers],[5]])</f>
        <v>0</v>
      </c>
      <c r="J344" s="10">
        <f>SUMIFS(IsQList,IsIList,Table_ExternalData_15[[#This Row],[item_key]],IsITypeList,Table_ExternalData_15[[#This Row],[IType]],IsDList,Table_ExternalData_15[[#Headers],[6]])</f>
        <v>2</v>
      </c>
      <c r="K344" s="10">
        <f>SUMIFS(IsQList,IsIList,Table_ExternalData_15[[#This Row],[item_key]],IsITypeList,Table_ExternalData_15[[#This Row],[IType]],IsDList,Table_ExternalData_15[[#Headers],[7]])</f>
        <v>0</v>
      </c>
      <c r="L344" s="10">
        <f>SUMIFS(IsQList,IsIList,Table_ExternalData_15[[#This Row],[item_key]],IsITypeList,Table_ExternalData_15[[#This Row],[IType]],IsDList,Table_ExternalData_15[[#Headers],[8]])</f>
        <v>0</v>
      </c>
      <c r="M344" s="10">
        <f>SUMIFS(IsQList,IsIList,Table_ExternalData_15[[#This Row],[item_key]],IsITypeList,Table_ExternalData_15[[#This Row],[IType]],IsDList,Table_ExternalData_15[[#Headers],[9]])</f>
        <v>0</v>
      </c>
      <c r="N344" s="10">
        <f>SUMIFS(IsQList,IsIList,Table_ExternalData_15[[#This Row],[item_key]],IsITypeList,Table_ExternalData_15[[#This Row],[IType]],IsDList,Table_ExternalData_15[[#Headers],[10]])</f>
        <v>0</v>
      </c>
      <c r="O344" s="10">
        <f>SUMIFS(IsQList,IsIList,Table_ExternalData_15[[#This Row],[item_key]],IsITypeList,Table_ExternalData_15[[#This Row],[IType]],IsDList,Table_ExternalData_15[[#Headers],[11]])</f>
        <v>0</v>
      </c>
      <c r="P344" s="10">
        <f>SUMIFS(IsQList,IsIList,Table_ExternalData_15[[#This Row],[item_key]],IsITypeList,Table_ExternalData_15[[#This Row],[IType]],IsDList,Table_ExternalData_15[[#Headers],[12]])</f>
        <v>0</v>
      </c>
      <c r="Q344" s="10">
        <f>SUMIFS(IsQList,IsIList,Table_ExternalData_15[[#This Row],[item_key]],IsITypeList,Table_ExternalData_15[[#This Row],[IType]],IsDList,Table_ExternalData_15[[#Headers],[13]])</f>
        <v>0</v>
      </c>
      <c r="R344" s="10">
        <f>SUMIFS(IsQList,IsIList,Table_ExternalData_15[[#This Row],[item_key]],IsITypeList,Table_ExternalData_15[[#This Row],[IType]],IsDList,Table_ExternalData_15[[#Headers],[14]])</f>
        <v>0</v>
      </c>
      <c r="S344" s="10">
        <f>SUMIFS(IsQList,IsIList,Table_ExternalData_15[[#This Row],[item_key]],IsITypeList,Table_ExternalData_15[[#This Row],[IType]],IsDList,Table_ExternalData_15[[#Headers],[15]])</f>
        <v>0</v>
      </c>
      <c r="T344" s="10">
        <f>SUMIFS(IsQList,IsIList,Table_ExternalData_15[[#This Row],[item_key]],IsITypeList,Table_ExternalData_15[[#This Row],[IType]],IsDList,Table_ExternalData_15[[#Headers],[16]])</f>
        <v>0</v>
      </c>
      <c r="U344" s="10">
        <f>SUMIFS(IsQList,IsIList,Table_ExternalData_15[[#This Row],[item_key]],IsITypeList,Table_ExternalData_15[[#This Row],[IType]],IsDList,Table_ExternalData_15[[#Headers],[17]])</f>
        <v>0</v>
      </c>
      <c r="V344" s="10">
        <f>SUMIFS(IsQList,IsIList,Table_ExternalData_15[[#This Row],[item_key]],IsITypeList,Table_ExternalData_15[[#This Row],[IType]],IsDList,Table_ExternalData_15[[#Headers],[18]])</f>
        <v>0</v>
      </c>
      <c r="W344" s="10">
        <f>SUMIFS(IsQList,IsIList,Table_ExternalData_15[[#This Row],[item_key]],IsITypeList,Table_ExternalData_15[[#This Row],[IType]],IsDList,Table_ExternalData_15[[#Headers],[19]])</f>
        <v>0</v>
      </c>
      <c r="X344" s="10">
        <f>SUMIFS(IsQList,IsIList,Table_ExternalData_15[[#This Row],[item_key]],IsITypeList,Table_ExternalData_15[[#This Row],[IType]],IsDList,Table_ExternalData_15[[#Headers],[20]])</f>
        <v>0</v>
      </c>
      <c r="Y344" s="10">
        <f>SUMIFS(IsQList,IsIList,Table_ExternalData_15[[#This Row],[item_key]],IsITypeList,Table_ExternalData_15[[#This Row],[IType]],IsDList,Table_ExternalData_15[[#Headers],[21]])</f>
        <v>0</v>
      </c>
      <c r="Z344" s="10">
        <f>SUMIFS(IsQList,IsIList,Table_ExternalData_15[[#This Row],[item_key]],IsITypeList,Table_ExternalData_15[[#This Row],[IType]],IsDList,Table_ExternalData_15[[#Headers],[22]])</f>
        <v>0</v>
      </c>
      <c r="AA344" s="10">
        <f>SUMIFS(IsQList,IsIList,Table_ExternalData_15[[#This Row],[item_key]],IsITypeList,Table_ExternalData_15[[#This Row],[IType]],IsDList,Table_ExternalData_15[[#Headers],[23]])</f>
        <v>0</v>
      </c>
      <c r="AB344" s="10">
        <f>SUMIFS(IsQList,IsIList,Table_ExternalData_15[[#This Row],[item_key]],IsITypeList,Table_ExternalData_15[[#This Row],[IType]],IsDList,Table_ExternalData_15[[#Headers],[24]])</f>
        <v>0</v>
      </c>
      <c r="AC344" s="10">
        <f>SUMIFS(IsQList,IsIList,Table_ExternalData_15[[#This Row],[item_key]],IsITypeList,Table_ExternalData_15[[#This Row],[IType]],IsDList,Table_ExternalData_15[[#Headers],[25]])</f>
        <v>0</v>
      </c>
      <c r="AD344" s="10">
        <f>SUMIFS(IsQList,IsIList,Table_ExternalData_15[[#This Row],[item_key]],IsITypeList,Table_ExternalData_15[[#This Row],[IType]],IsDList,Table_ExternalData_15[[#Headers],[26]])</f>
        <v>0</v>
      </c>
      <c r="AE344" s="10">
        <f>SUMIFS(IsQList,IsIList,Table_ExternalData_15[[#This Row],[item_key]],IsITypeList,Table_ExternalData_15[[#This Row],[IType]],IsDList,Table_ExternalData_15[[#Headers],[27]])</f>
        <v>0</v>
      </c>
      <c r="AF344" s="10">
        <f>SUMIFS(IsQList,IsIList,Table_ExternalData_15[[#This Row],[item_key]],IsITypeList,Table_ExternalData_15[[#This Row],[IType]],IsDList,Table_ExternalData_15[[#Headers],[28]])</f>
        <v>0</v>
      </c>
      <c r="AG344" s="10">
        <f>SUMIFS(IsQList,IsIList,Table_ExternalData_15[[#This Row],[item_key]],IsITypeList,Table_ExternalData_15[[#This Row],[IType]],IsDList,Table_ExternalData_15[[#Headers],[29]])</f>
        <v>0</v>
      </c>
      <c r="AH344" s="10">
        <f>SUMIFS(IsQList,IsIList,Table_ExternalData_15[[#This Row],[item_key]],IsITypeList,Table_ExternalData_15[[#This Row],[IType]],IsDList,Table_ExternalData_15[[#Headers],[30]])</f>
        <v>5</v>
      </c>
      <c r="AI344" s="10">
        <f>SUMIFS(IsQList,IsIList,Table_ExternalData_15[[#This Row],[item_key]],IsITypeList,Table_ExternalData_15[[#This Row],[IType]],IsDList,Table_ExternalData_15[[#Headers],[31]])</f>
        <v>0</v>
      </c>
      <c r="AJ344" s="10">
        <f>SUM(Table_ExternalData_15[[#This Row],[1]:[31]])</f>
        <v>7</v>
      </c>
    </row>
    <row r="345" spans="1:36">
      <c r="A345" s="1" t="s">
        <v>1053</v>
      </c>
      <c r="B345" s="1" t="s">
        <v>1521</v>
      </c>
      <c r="C345" s="1" t="s">
        <v>1522</v>
      </c>
      <c r="D345" s="11" t="s">
        <v>72</v>
      </c>
      <c r="E345" s="10">
        <f>SUMIFS(IsQList,IsIList,Table_ExternalData_15[[#This Row],[item_key]],IsITypeList,Table_ExternalData_15[[#This Row],[IType]],IsDList,Table_ExternalData_15[[#Headers],[1]])</f>
        <v>0</v>
      </c>
      <c r="F345" s="10">
        <f>SUMIFS(IsQList,IsIList,Table_ExternalData_15[[#This Row],[item_key]],IsITypeList,Table_ExternalData_15[[#This Row],[IType]],IsDList,Table_ExternalData_15[[#Headers],[2]])</f>
        <v>0</v>
      </c>
      <c r="G345" s="10">
        <f>SUMIFS(IsQList,IsIList,Table_ExternalData_15[[#This Row],[item_key]],IsITypeList,Table_ExternalData_15[[#This Row],[IType]],IsDList,Table_ExternalData_15[[#Headers],[3]])</f>
        <v>0</v>
      </c>
      <c r="H345" s="10">
        <f>SUMIFS(IsQList,IsIList,Table_ExternalData_15[[#This Row],[item_key]],IsITypeList,Table_ExternalData_15[[#This Row],[IType]],IsDList,Table_ExternalData_15[[#Headers],[4]])</f>
        <v>0</v>
      </c>
      <c r="I345" s="10">
        <f>SUMIFS(IsQList,IsIList,Table_ExternalData_15[[#This Row],[item_key]],IsITypeList,Table_ExternalData_15[[#This Row],[IType]],IsDList,Table_ExternalData_15[[#Headers],[5]])</f>
        <v>0</v>
      </c>
      <c r="J345" s="10">
        <f>SUMIFS(IsQList,IsIList,Table_ExternalData_15[[#This Row],[item_key]],IsITypeList,Table_ExternalData_15[[#This Row],[IType]],IsDList,Table_ExternalData_15[[#Headers],[6]])</f>
        <v>0</v>
      </c>
      <c r="K345" s="10">
        <f>SUMIFS(IsQList,IsIList,Table_ExternalData_15[[#This Row],[item_key]],IsITypeList,Table_ExternalData_15[[#This Row],[IType]],IsDList,Table_ExternalData_15[[#Headers],[7]])</f>
        <v>0</v>
      </c>
      <c r="L345" s="10">
        <f>SUMIFS(IsQList,IsIList,Table_ExternalData_15[[#This Row],[item_key]],IsITypeList,Table_ExternalData_15[[#This Row],[IType]],IsDList,Table_ExternalData_15[[#Headers],[8]])</f>
        <v>0</v>
      </c>
      <c r="M345" s="10">
        <f>SUMIFS(IsQList,IsIList,Table_ExternalData_15[[#This Row],[item_key]],IsITypeList,Table_ExternalData_15[[#This Row],[IType]],IsDList,Table_ExternalData_15[[#Headers],[9]])</f>
        <v>0</v>
      </c>
      <c r="N345" s="10">
        <f>SUMIFS(IsQList,IsIList,Table_ExternalData_15[[#This Row],[item_key]],IsITypeList,Table_ExternalData_15[[#This Row],[IType]],IsDList,Table_ExternalData_15[[#Headers],[10]])</f>
        <v>0</v>
      </c>
      <c r="O345" s="10">
        <f>SUMIFS(IsQList,IsIList,Table_ExternalData_15[[#This Row],[item_key]],IsITypeList,Table_ExternalData_15[[#This Row],[IType]],IsDList,Table_ExternalData_15[[#Headers],[11]])</f>
        <v>0</v>
      </c>
      <c r="P345" s="10">
        <f>SUMIFS(IsQList,IsIList,Table_ExternalData_15[[#This Row],[item_key]],IsITypeList,Table_ExternalData_15[[#This Row],[IType]],IsDList,Table_ExternalData_15[[#Headers],[12]])</f>
        <v>0</v>
      </c>
      <c r="Q345" s="10">
        <f>SUMIFS(IsQList,IsIList,Table_ExternalData_15[[#This Row],[item_key]],IsITypeList,Table_ExternalData_15[[#This Row],[IType]],IsDList,Table_ExternalData_15[[#Headers],[13]])</f>
        <v>0</v>
      </c>
      <c r="R345" s="10">
        <f>SUMIFS(IsQList,IsIList,Table_ExternalData_15[[#This Row],[item_key]],IsITypeList,Table_ExternalData_15[[#This Row],[IType]],IsDList,Table_ExternalData_15[[#Headers],[14]])</f>
        <v>0</v>
      </c>
      <c r="S345" s="10">
        <f>SUMIFS(IsQList,IsIList,Table_ExternalData_15[[#This Row],[item_key]],IsITypeList,Table_ExternalData_15[[#This Row],[IType]],IsDList,Table_ExternalData_15[[#Headers],[15]])</f>
        <v>0</v>
      </c>
      <c r="T345" s="10">
        <f>SUMIFS(IsQList,IsIList,Table_ExternalData_15[[#This Row],[item_key]],IsITypeList,Table_ExternalData_15[[#This Row],[IType]],IsDList,Table_ExternalData_15[[#Headers],[16]])</f>
        <v>10</v>
      </c>
      <c r="U345" s="10">
        <f>SUMIFS(IsQList,IsIList,Table_ExternalData_15[[#This Row],[item_key]],IsITypeList,Table_ExternalData_15[[#This Row],[IType]],IsDList,Table_ExternalData_15[[#Headers],[17]])</f>
        <v>0</v>
      </c>
      <c r="V345" s="10">
        <f>SUMIFS(IsQList,IsIList,Table_ExternalData_15[[#This Row],[item_key]],IsITypeList,Table_ExternalData_15[[#This Row],[IType]],IsDList,Table_ExternalData_15[[#Headers],[18]])</f>
        <v>0</v>
      </c>
      <c r="W345" s="10">
        <f>SUMIFS(IsQList,IsIList,Table_ExternalData_15[[#This Row],[item_key]],IsITypeList,Table_ExternalData_15[[#This Row],[IType]],IsDList,Table_ExternalData_15[[#Headers],[19]])</f>
        <v>0</v>
      </c>
      <c r="X345" s="10">
        <f>SUMIFS(IsQList,IsIList,Table_ExternalData_15[[#This Row],[item_key]],IsITypeList,Table_ExternalData_15[[#This Row],[IType]],IsDList,Table_ExternalData_15[[#Headers],[20]])</f>
        <v>0</v>
      </c>
      <c r="Y345" s="10">
        <f>SUMIFS(IsQList,IsIList,Table_ExternalData_15[[#This Row],[item_key]],IsITypeList,Table_ExternalData_15[[#This Row],[IType]],IsDList,Table_ExternalData_15[[#Headers],[21]])</f>
        <v>0</v>
      </c>
      <c r="Z345" s="10">
        <f>SUMIFS(IsQList,IsIList,Table_ExternalData_15[[#This Row],[item_key]],IsITypeList,Table_ExternalData_15[[#This Row],[IType]],IsDList,Table_ExternalData_15[[#Headers],[22]])</f>
        <v>0</v>
      </c>
      <c r="AA345" s="10">
        <f>SUMIFS(IsQList,IsIList,Table_ExternalData_15[[#This Row],[item_key]],IsITypeList,Table_ExternalData_15[[#This Row],[IType]],IsDList,Table_ExternalData_15[[#Headers],[23]])</f>
        <v>0</v>
      </c>
      <c r="AB345" s="10">
        <f>SUMIFS(IsQList,IsIList,Table_ExternalData_15[[#This Row],[item_key]],IsITypeList,Table_ExternalData_15[[#This Row],[IType]],IsDList,Table_ExternalData_15[[#Headers],[24]])</f>
        <v>0</v>
      </c>
      <c r="AC345" s="10">
        <f>SUMIFS(IsQList,IsIList,Table_ExternalData_15[[#This Row],[item_key]],IsITypeList,Table_ExternalData_15[[#This Row],[IType]],IsDList,Table_ExternalData_15[[#Headers],[25]])</f>
        <v>0</v>
      </c>
      <c r="AD345" s="10">
        <f>SUMIFS(IsQList,IsIList,Table_ExternalData_15[[#This Row],[item_key]],IsITypeList,Table_ExternalData_15[[#This Row],[IType]],IsDList,Table_ExternalData_15[[#Headers],[26]])</f>
        <v>0</v>
      </c>
      <c r="AE345" s="10">
        <f>SUMIFS(IsQList,IsIList,Table_ExternalData_15[[#This Row],[item_key]],IsITypeList,Table_ExternalData_15[[#This Row],[IType]],IsDList,Table_ExternalData_15[[#Headers],[27]])</f>
        <v>0</v>
      </c>
      <c r="AF345" s="10">
        <f>SUMIFS(IsQList,IsIList,Table_ExternalData_15[[#This Row],[item_key]],IsITypeList,Table_ExternalData_15[[#This Row],[IType]],IsDList,Table_ExternalData_15[[#Headers],[28]])</f>
        <v>0</v>
      </c>
      <c r="AG345" s="10">
        <f>SUMIFS(IsQList,IsIList,Table_ExternalData_15[[#This Row],[item_key]],IsITypeList,Table_ExternalData_15[[#This Row],[IType]],IsDList,Table_ExternalData_15[[#Headers],[29]])</f>
        <v>0</v>
      </c>
      <c r="AH345" s="10">
        <f>SUMIFS(IsQList,IsIList,Table_ExternalData_15[[#This Row],[item_key]],IsITypeList,Table_ExternalData_15[[#This Row],[IType]],IsDList,Table_ExternalData_15[[#Headers],[30]])</f>
        <v>0</v>
      </c>
      <c r="AI345" s="10">
        <f>SUMIFS(IsQList,IsIList,Table_ExternalData_15[[#This Row],[item_key]],IsITypeList,Table_ExternalData_15[[#This Row],[IType]],IsDList,Table_ExternalData_15[[#Headers],[31]])</f>
        <v>0</v>
      </c>
      <c r="AJ345" s="10">
        <f>SUM(Table_ExternalData_15[[#This Row],[1]:[31]])</f>
        <v>10</v>
      </c>
    </row>
    <row r="346" spans="1:36">
      <c r="A346" s="1" t="s">
        <v>3</v>
      </c>
      <c r="B346" s="1" t="s">
        <v>12</v>
      </c>
      <c r="C346" s="1" t="s">
        <v>13</v>
      </c>
      <c r="D346" s="11" t="s">
        <v>72</v>
      </c>
      <c r="E346" s="10">
        <f>SUMIFS(IsQList,IsIList,Table_ExternalData_15[[#This Row],[item_key]],IsITypeList,Table_ExternalData_15[[#This Row],[IType]],IsDList,Table_ExternalData_15[[#Headers],[1]])</f>
        <v>0</v>
      </c>
      <c r="F346" s="10">
        <f>SUMIFS(IsQList,IsIList,Table_ExternalData_15[[#This Row],[item_key]],IsITypeList,Table_ExternalData_15[[#This Row],[IType]],IsDList,Table_ExternalData_15[[#Headers],[2]])</f>
        <v>0</v>
      </c>
      <c r="G346" s="10">
        <f>SUMIFS(IsQList,IsIList,Table_ExternalData_15[[#This Row],[item_key]],IsITypeList,Table_ExternalData_15[[#This Row],[IType]],IsDList,Table_ExternalData_15[[#Headers],[3]])</f>
        <v>0</v>
      </c>
      <c r="H346" s="10">
        <f>SUMIFS(IsQList,IsIList,Table_ExternalData_15[[#This Row],[item_key]],IsITypeList,Table_ExternalData_15[[#This Row],[IType]],IsDList,Table_ExternalData_15[[#Headers],[4]])</f>
        <v>0</v>
      </c>
      <c r="I346" s="10">
        <f>SUMIFS(IsQList,IsIList,Table_ExternalData_15[[#This Row],[item_key]],IsITypeList,Table_ExternalData_15[[#This Row],[IType]],IsDList,Table_ExternalData_15[[#Headers],[5]])</f>
        <v>0</v>
      </c>
      <c r="J346" s="10">
        <f>SUMIFS(IsQList,IsIList,Table_ExternalData_15[[#This Row],[item_key]],IsITypeList,Table_ExternalData_15[[#This Row],[IType]],IsDList,Table_ExternalData_15[[#Headers],[6]])</f>
        <v>10</v>
      </c>
      <c r="K346" s="10">
        <f>SUMIFS(IsQList,IsIList,Table_ExternalData_15[[#This Row],[item_key]],IsITypeList,Table_ExternalData_15[[#This Row],[IType]],IsDList,Table_ExternalData_15[[#Headers],[7]])</f>
        <v>0</v>
      </c>
      <c r="L346" s="10">
        <f>SUMIFS(IsQList,IsIList,Table_ExternalData_15[[#This Row],[item_key]],IsITypeList,Table_ExternalData_15[[#This Row],[IType]],IsDList,Table_ExternalData_15[[#Headers],[8]])</f>
        <v>0</v>
      </c>
      <c r="M346" s="10">
        <f>SUMIFS(IsQList,IsIList,Table_ExternalData_15[[#This Row],[item_key]],IsITypeList,Table_ExternalData_15[[#This Row],[IType]],IsDList,Table_ExternalData_15[[#Headers],[9]])</f>
        <v>0</v>
      </c>
      <c r="N346" s="10">
        <f>SUMIFS(IsQList,IsIList,Table_ExternalData_15[[#This Row],[item_key]],IsITypeList,Table_ExternalData_15[[#This Row],[IType]],IsDList,Table_ExternalData_15[[#Headers],[10]])</f>
        <v>0</v>
      </c>
      <c r="O346" s="10">
        <f>SUMIFS(IsQList,IsIList,Table_ExternalData_15[[#This Row],[item_key]],IsITypeList,Table_ExternalData_15[[#This Row],[IType]],IsDList,Table_ExternalData_15[[#Headers],[11]])</f>
        <v>0</v>
      </c>
      <c r="P346" s="10">
        <f>SUMIFS(IsQList,IsIList,Table_ExternalData_15[[#This Row],[item_key]],IsITypeList,Table_ExternalData_15[[#This Row],[IType]],IsDList,Table_ExternalData_15[[#Headers],[12]])</f>
        <v>0</v>
      </c>
      <c r="Q346" s="10">
        <f>SUMIFS(IsQList,IsIList,Table_ExternalData_15[[#This Row],[item_key]],IsITypeList,Table_ExternalData_15[[#This Row],[IType]],IsDList,Table_ExternalData_15[[#Headers],[13]])</f>
        <v>0</v>
      </c>
      <c r="R346" s="10">
        <f>SUMIFS(IsQList,IsIList,Table_ExternalData_15[[#This Row],[item_key]],IsITypeList,Table_ExternalData_15[[#This Row],[IType]],IsDList,Table_ExternalData_15[[#Headers],[14]])</f>
        <v>0</v>
      </c>
      <c r="S346" s="10">
        <f>SUMIFS(IsQList,IsIList,Table_ExternalData_15[[#This Row],[item_key]],IsITypeList,Table_ExternalData_15[[#This Row],[IType]],IsDList,Table_ExternalData_15[[#Headers],[15]])</f>
        <v>0</v>
      </c>
      <c r="T346" s="10">
        <f>SUMIFS(IsQList,IsIList,Table_ExternalData_15[[#This Row],[item_key]],IsITypeList,Table_ExternalData_15[[#This Row],[IType]],IsDList,Table_ExternalData_15[[#Headers],[16]])</f>
        <v>0</v>
      </c>
      <c r="U346" s="10">
        <f>SUMIFS(IsQList,IsIList,Table_ExternalData_15[[#This Row],[item_key]],IsITypeList,Table_ExternalData_15[[#This Row],[IType]],IsDList,Table_ExternalData_15[[#Headers],[17]])</f>
        <v>0</v>
      </c>
      <c r="V346" s="10">
        <f>SUMIFS(IsQList,IsIList,Table_ExternalData_15[[#This Row],[item_key]],IsITypeList,Table_ExternalData_15[[#This Row],[IType]],IsDList,Table_ExternalData_15[[#Headers],[18]])</f>
        <v>0</v>
      </c>
      <c r="W346" s="10">
        <f>SUMIFS(IsQList,IsIList,Table_ExternalData_15[[#This Row],[item_key]],IsITypeList,Table_ExternalData_15[[#This Row],[IType]],IsDList,Table_ExternalData_15[[#Headers],[19]])</f>
        <v>0</v>
      </c>
      <c r="X346" s="10">
        <f>SUMIFS(IsQList,IsIList,Table_ExternalData_15[[#This Row],[item_key]],IsITypeList,Table_ExternalData_15[[#This Row],[IType]],IsDList,Table_ExternalData_15[[#Headers],[20]])</f>
        <v>0</v>
      </c>
      <c r="Y346" s="10">
        <f>SUMIFS(IsQList,IsIList,Table_ExternalData_15[[#This Row],[item_key]],IsITypeList,Table_ExternalData_15[[#This Row],[IType]],IsDList,Table_ExternalData_15[[#Headers],[21]])</f>
        <v>0</v>
      </c>
      <c r="Z346" s="10">
        <f>SUMIFS(IsQList,IsIList,Table_ExternalData_15[[#This Row],[item_key]],IsITypeList,Table_ExternalData_15[[#This Row],[IType]],IsDList,Table_ExternalData_15[[#Headers],[22]])</f>
        <v>0</v>
      </c>
      <c r="AA346" s="10">
        <f>SUMIFS(IsQList,IsIList,Table_ExternalData_15[[#This Row],[item_key]],IsITypeList,Table_ExternalData_15[[#This Row],[IType]],IsDList,Table_ExternalData_15[[#Headers],[23]])</f>
        <v>0</v>
      </c>
      <c r="AB346" s="10">
        <f>SUMIFS(IsQList,IsIList,Table_ExternalData_15[[#This Row],[item_key]],IsITypeList,Table_ExternalData_15[[#This Row],[IType]],IsDList,Table_ExternalData_15[[#Headers],[24]])</f>
        <v>0</v>
      </c>
      <c r="AC346" s="10">
        <f>SUMIFS(IsQList,IsIList,Table_ExternalData_15[[#This Row],[item_key]],IsITypeList,Table_ExternalData_15[[#This Row],[IType]],IsDList,Table_ExternalData_15[[#Headers],[25]])</f>
        <v>0</v>
      </c>
      <c r="AD346" s="10">
        <f>SUMIFS(IsQList,IsIList,Table_ExternalData_15[[#This Row],[item_key]],IsITypeList,Table_ExternalData_15[[#This Row],[IType]],IsDList,Table_ExternalData_15[[#Headers],[26]])</f>
        <v>0</v>
      </c>
      <c r="AE346" s="10">
        <f>SUMIFS(IsQList,IsIList,Table_ExternalData_15[[#This Row],[item_key]],IsITypeList,Table_ExternalData_15[[#This Row],[IType]],IsDList,Table_ExternalData_15[[#Headers],[27]])</f>
        <v>0</v>
      </c>
      <c r="AF346" s="10">
        <f>SUMIFS(IsQList,IsIList,Table_ExternalData_15[[#This Row],[item_key]],IsITypeList,Table_ExternalData_15[[#This Row],[IType]],IsDList,Table_ExternalData_15[[#Headers],[28]])</f>
        <v>0</v>
      </c>
      <c r="AG346" s="10">
        <f>SUMIFS(IsQList,IsIList,Table_ExternalData_15[[#This Row],[item_key]],IsITypeList,Table_ExternalData_15[[#This Row],[IType]],IsDList,Table_ExternalData_15[[#Headers],[29]])</f>
        <v>0</v>
      </c>
      <c r="AH346" s="10">
        <f>SUMIFS(IsQList,IsIList,Table_ExternalData_15[[#This Row],[item_key]],IsITypeList,Table_ExternalData_15[[#This Row],[IType]],IsDList,Table_ExternalData_15[[#Headers],[30]])</f>
        <v>0</v>
      </c>
      <c r="AI346" s="10">
        <f>SUMIFS(IsQList,IsIList,Table_ExternalData_15[[#This Row],[item_key]],IsITypeList,Table_ExternalData_15[[#This Row],[IType]],IsDList,Table_ExternalData_15[[#Headers],[31]])</f>
        <v>0</v>
      </c>
      <c r="AJ346" s="10">
        <f>SUM(Table_ExternalData_15[[#This Row],[1]:[31]])</f>
        <v>10</v>
      </c>
    </row>
    <row r="347" spans="1:36">
      <c r="A347" s="1" t="s">
        <v>1067</v>
      </c>
      <c r="B347" s="1" t="s">
        <v>1534</v>
      </c>
      <c r="C347" s="1" t="s">
        <v>1535</v>
      </c>
      <c r="D347" s="11" t="s">
        <v>72</v>
      </c>
      <c r="E347" s="10">
        <f>SUMIFS(IsQList,IsIList,Table_ExternalData_15[[#This Row],[item_key]],IsITypeList,Table_ExternalData_15[[#This Row],[IType]],IsDList,Table_ExternalData_15[[#Headers],[1]])</f>
        <v>0</v>
      </c>
      <c r="F347" s="10">
        <f>SUMIFS(IsQList,IsIList,Table_ExternalData_15[[#This Row],[item_key]],IsITypeList,Table_ExternalData_15[[#This Row],[IType]],IsDList,Table_ExternalData_15[[#Headers],[2]])</f>
        <v>0</v>
      </c>
      <c r="G347" s="10">
        <f>SUMIFS(IsQList,IsIList,Table_ExternalData_15[[#This Row],[item_key]],IsITypeList,Table_ExternalData_15[[#This Row],[IType]],IsDList,Table_ExternalData_15[[#Headers],[3]])</f>
        <v>0</v>
      </c>
      <c r="H347" s="10">
        <f>SUMIFS(IsQList,IsIList,Table_ExternalData_15[[#This Row],[item_key]],IsITypeList,Table_ExternalData_15[[#This Row],[IType]],IsDList,Table_ExternalData_15[[#Headers],[4]])</f>
        <v>0</v>
      </c>
      <c r="I347" s="10">
        <f>SUMIFS(IsQList,IsIList,Table_ExternalData_15[[#This Row],[item_key]],IsITypeList,Table_ExternalData_15[[#This Row],[IType]],IsDList,Table_ExternalData_15[[#Headers],[5]])</f>
        <v>0</v>
      </c>
      <c r="J347" s="10">
        <f>SUMIFS(IsQList,IsIList,Table_ExternalData_15[[#This Row],[item_key]],IsITypeList,Table_ExternalData_15[[#This Row],[IType]],IsDList,Table_ExternalData_15[[#Headers],[6]])</f>
        <v>0</v>
      </c>
      <c r="K347" s="10">
        <f>SUMIFS(IsQList,IsIList,Table_ExternalData_15[[#This Row],[item_key]],IsITypeList,Table_ExternalData_15[[#This Row],[IType]],IsDList,Table_ExternalData_15[[#Headers],[7]])</f>
        <v>0</v>
      </c>
      <c r="L347" s="10">
        <f>SUMIFS(IsQList,IsIList,Table_ExternalData_15[[#This Row],[item_key]],IsITypeList,Table_ExternalData_15[[#This Row],[IType]],IsDList,Table_ExternalData_15[[#Headers],[8]])</f>
        <v>0</v>
      </c>
      <c r="M347" s="10">
        <f>SUMIFS(IsQList,IsIList,Table_ExternalData_15[[#This Row],[item_key]],IsITypeList,Table_ExternalData_15[[#This Row],[IType]],IsDList,Table_ExternalData_15[[#Headers],[9]])</f>
        <v>0</v>
      </c>
      <c r="N347" s="10">
        <f>SUMIFS(IsQList,IsIList,Table_ExternalData_15[[#This Row],[item_key]],IsITypeList,Table_ExternalData_15[[#This Row],[IType]],IsDList,Table_ExternalData_15[[#Headers],[10]])</f>
        <v>0</v>
      </c>
      <c r="O347" s="10">
        <f>SUMIFS(IsQList,IsIList,Table_ExternalData_15[[#This Row],[item_key]],IsITypeList,Table_ExternalData_15[[#This Row],[IType]],IsDList,Table_ExternalData_15[[#Headers],[11]])</f>
        <v>0</v>
      </c>
      <c r="P347" s="10">
        <f>SUMIFS(IsQList,IsIList,Table_ExternalData_15[[#This Row],[item_key]],IsITypeList,Table_ExternalData_15[[#This Row],[IType]],IsDList,Table_ExternalData_15[[#Headers],[12]])</f>
        <v>0</v>
      </c>
      <c r="Q347" s="10">
        <f>SUMIFS(IsQList,IsIList,Table_ExternalData_15[[#This Row],[item_key]],IsITypeList,Table_ExternalData_15[[#This Row],[IType]],IsDList,Table_ExternalData_15[[#Headers],[13]])</f>
        <v>0</v>
      </c>
      <c r="R347" s="10">
        <f>SUMIFS(IsQList,IsIList,Table_ExternalData_15[[#This Row],[item_key]],IsITypeList,Table_ExternalData_15[[#This Row],[IType]],IsDList,Table_ExternalData_15[[#Headers],[14]])</f>
        <v>0</v>
      </c>
      <c r="S347" s="10">
        <f>SUMIFS(IsQList,IsIList,Table_ExternalData_15[[#This Row],[item_key]],IsITypeList,Table_ExternalData_15[[#This Row],[IType]],IsDList,Table_ExternalData_15[[#Headers],[15]])</f>
        <v>0</v>
      </c>
      <c r="T347" s="10">
        <f>SUMIFS(IsQList,IsIList,Table_ExternalData_15[[#This Row],[item_key]],IsITypeList,Table_ExternalData_15[[#This Row],[IType]],IsDList,Table_ExternalData_15[[#Headers],[16]])</f>
        <v>0</v>
      </c>
      <c r="U347" s="10">
        <f>SUMIFS(IsQList,IsIList,Table_ExternalData_15[[#This Row],[item_key]],IsITypeList,Table_ExternalData_15[[#This Row],[IType]],IsDList,Table_ExternalData_15[[#Headers],[17]])</f>
        <v>0</v>
      </c>
      <c r="V347" s="10">
        <f>SUMIFS(IsQList,IsIList,Table_ExternalData_15[[#This Row],[item_key]],IsITypeList,Table_ExternalData_15[[#This Row],[IType]],IsDList,Table_ExternalData_15[[#Headers],[18]])</f>
        <v>0</v>
      </c>
      <c r="W347" s="10">
        <f>SUMIFS(IsQList,IsIList,Table_ExternalData_15[[#This Row],[item_key]],IsITypeList,Table_ExternalData_15[[#This Row],[IType]],IsDList,Table_ExternalData_15[[#Headers],[19]])</f>
        <v>0</v>
      </c>
      <c r="X347" s="10">
        <f>SUMIFS(IsQList,IsIList,Table_ExternalData_15[[#This Row],[item_key]],IsITypeList,Table_ExternalData_15[[#This Row],[IType]],IsDList,Table_ExternalData_15[[#Headers],[20]])</f>
        <v>0</v>
      </c>
      <c r="Y347" s="10">
        <f>SUMIFS(IsQList,IsIList,Table_ExternalData_15[[#This Row],[item_key]],IsITypeList,Table_ExternalData_15[[#This Row],[IType]],IsDList,Table_ExternalData_15[[#Headers],[21]])</f>
        <v>0</v>
      </c>
      <c r="Z347" s="10">
        <f>SUMIFS(IsQList,IsIList,Table_ExternalData_15[[#This Row],[item_key]],IsITypeList,Table_ExternalData_15[[#This Row],[IType]],IsDList,Table_ExternalData_15[[#Headers],[22]])</f>
        <v>0</v>
      </c>
      <c r="AA347" s="10">
        <f>SUMIFS(IsQList,IsIList,Table_ExternalData_15[[#This Row],[item_key]],IsITypeList,Table_ExternalData_15[[#This Row],[IType]],IsDList,Table_ExternalData_15[[#Headers],[23]])</f>
        <v>0</v>
      </c>
      <c r="AB347" s="10">
        <f>SUMIFS(IsQList,IsIList,Table_ExternalData_15[[#This Row],[item_key]],IsITypeList,Table_ExternalData_15[[#This Row],[IType]],IsDList,Table_ExternalData_15[[#Headers],[24]])</f>
        <v>0</v>
      </c>
      <c r="AC347" s="10">
        <f>SUMIFS(IsQList,IsIList,Table_ExternalData_15[[#This Row],[item_key]],IsITypeList,Table_ExternalData_15[[#This Row],[IType]],IsDList,Table_ExternalData_15[[#Headers],[25]])</f>
        <v>0</v>
      </c>
      <c r="AD347" s="10">
        <f>SUMIFS(IsQList,IsIList,Table_ExternalData_15[[#This Row],[item_key]],IsITypeList,Table_ExternalData_15[[#This Row],[IType]],IsDList,Table_ExternalData_15[[#Headers],[26]])</f>
        <v>0</v>
      </c>
      <c r="AE347" s="10">
        <f>SUMIFS(IsQList,IsIList,Table_ExternalData_15[[#This Row],[item_key]],IsITypeList,Table_ExternalData_15[[#This Row],[IType]],IsDList,Table_ExternalData_15[[#Headers],[27]])</f>
        <v>0</v>
      </c>
      <c r="AF347" s="10">
        <f>SUMIFS(IsQList,IsIList,Table_ExternalData_15[[#This Row],[item_key]],IsITypeList,Table_ExternalData_15[[#This Row],[IType]],IsDList,Table_ExternalData_15[[#Headers],[28]])</f>
        <v>0</v>
      </c>
      <c r="AG347" s="10">
        <f>SUMIFS(IsQList,IsIList,Table_ExternalData_15[[#This Row],[item_key]],IsITypeList,Table_ExternalData_15[[#This Row],[IType]],IsDList,Table_ExternalData_15[[#Headers],[29]])</f>
        <v>0</v>
      </c>
      <c r="AH347" s="10">
        <f>SUMIFS(IsQList,IsIList,Table_ExternalData_15[[#This Row],[item_key]],IsITypeList,Table_ExternalData_15[[#This Row],[IType]],IsDList,Table_ExternalData_15[[#Headers],[30]])</f>
        <v>2</v>
      </c>
      <c r="AI347" s="10">
        <f>SUMIFS(IsQList,IsIList,Table_ExternalData_15[[#This Row],[item_key]],IsITypeList,Table_ExternalData_15[[#This Row],[IType]],IsDList,Table_ExternalData_15[[#Headers],[31]])</f>
        <v>0</v>
      </c>
      <c r="AJ347" s="10">
        <f>SUM(Table_ExternalData_15[[#This Row],[1]:[31]])</f>
        <v>2</v>
      </c>
    </row>
    <row r="348" spans="1:36">
      <c r="A348" s="1" t="s">
        <v>1069</v>
      </c>
      <c r="B348" s="1" t="s">
        <v>1538</v>
      </c>
      <c r="C348" s="1" t="s">
        <v>1539</v>
      </c>
      <c r="D348" s="11" t="s">
        <v>72</v>
      </c>
      <c r="E348" s="10">
        <f>SUMIFS(IsQList,IsIList,Table_ExternalData_15[[#This Row],[item_key]],IsITypeList,Table_ExternalData_15[[#This Row],[IType]],IsDList,Table_ExternalData_15[[#Headers],[1]])</f>
        <v>0</v>
      </c>
      <c r="F348" s="10">
        <f>SUMIFS(IsQList,IsIList,Table_ExternalData_15[[#This Row],[item_key]],IsITypeList,Table_ExternalData_15[[#This Row],[IType]],IsDList,Table_ExternalData_15[[#Headers],[2]])</f>
        <v>0</v>
      </c>
      <c r="G348" s="10">
        <f>SUMIFS(IsQList,IsIList,Table_ExternalData_15[[#This Row],[item_key]],IsITypeList,Table_ExternalData_15[[#This Row],[IType]],IsDList,Table_ExternalData_15[[#Headers],[3]])</f>
        <v>0</v>
      </c>
      <c r="H348" s="10">
        <f>SUMIFS(IsQList,IsIList,Table_ExternalData_15[[#This Row],[item_key]],IsITypeList,Table_ExternalData_15[[#This Row],[IType]],IsDList,Table_ExternalData_15[[#Headers],[4]])</f>
        <v>0</v>
      </c>
      <c r="I348" s="10">
        <f>SUMIFS(IsQList,IsIList,Table_ExternalData_15[[#This Row],[item_key]],IsITypeList,Table_ExternalData_15[[#This Row],[IType]],IsDList,Table_ExternalData_15[[#Headers],[5]])</f>
        <v>0</v>
      </c>
      <c r="J348" s="10">
        <f>SUMIFS(IsQList,IsIList,Table_ExternalData_15[[#This Row],[item_key]],IsITypeList,Table_ExternalData_15[[#This Row],[IType]],IsDList,Table_ExternalData_15[[#Headers],[6]])</f>
        <v>6</v>
      </c>
      <c r="K348" s="10">
        <f>SUMIFS(IsQList,IsIList,Table_ExternalData_15[[#This Row],[item_key]],IsITypeList,Table_ExternalData_15[[#This Row],[IType]],IsDList,Table_ExternalData_15[[#Headers],[7]])</f>
        <v>0</v>
      </c>
      <c r="L348" s="10">
        <f>SUMIFS(IsQList,IsIList,Table_ExternalData_15[[#This Row],[item_key]],IsITypeList,Table_ExternalData_15[[#This Row],[IType]],IsDList,Table_ExternalData_15[[#Headers],[8]])</f>
        <v>0</v>
      </c>
      <c r="M348" s="10">
        <f>SUMIFS(IsQList,IsIList,Table_ExternalData_15[[#This Row],[item_key]],IsITypeList,Table_ExternalData_15[[#This Row],[IType]],IsDList,Table_ExternalData_15[[#Headers],[9]])</f>
        <v>0</v>
      </c>
      <c r="N348" s="10">
        <f>SUMIFS(IsQList,IsIList,Table_ExternalData_15[[#This Row],[item_key]],IsITypeList,Table_ExternalData_15[[#This Row],[IType]],IsDList,Table_ExternalData_15[[#Headers],[10]])</f>
        <v>0</v>
      </c>
      <c r="O348" s="10">
        <f>SUMIFS(IsQList,IsIList,Table_ExternalData_15[[#This Row],[item_key]],IsITypeList,Table_ExternalData_15[[#This Row],[IType]],IsDList,Table_ExternalData_15[[#Headers],[11]])</f>
        <v>0</v>
      </c>
      <c r="P348" s="10">
        <f>SUMIFS(IsQList,IsIList,Table_ExternalData_15[[#This Row],[item_key]],IsITypeList,Table_ExternalData_15[[#This Row],[IType]],IsDList,Table_ExternalData_15[[#Headers],[12]])</f>
        <v>0</v>
      </c>
      <c r="Q348" s="10">
        <f>SUMIFS(IsQList,IsIList,Table_ExternalData_15[[#This Row],[item_key]],IsITypeList,Table_ExternalData_15[[#This Row],[IType]],IsDList,Table_ExternalData_15[[#Headers],[13]])</f>
        <v>0</v>
      </c>
      <c r="R348" s="10">
        <f>SUMIFS(IsQList,IsIList,Table_ExternalData_15[[#This Row],[item_key]],IsITypeList,Table_ExternalData_15[[#This Row],[IType]],IsDList,Table_ExternalData_15[[#Headers],[14]])</f>
        <v>0</v>
      </c>
      <c r="S348" s="10">
        <f>SUMIFS(IsQList,IsIList,Table_ExternalData_15[[#This Row],[item_key]],IsITypeList,Table_ExternalData_15[[#This Row],[IType]],IsDList,Table_ExternalData_15[[#Headers],[15]])</f>
        <v>0</v>
      </c>
      <c r="T348" s="10">
        <f>SUMIFS(IsQList,IsIList,Table_ExternalData_15[[#This Row],[item_key]],IsITypeList,Table_ExternalData_15[[#This Row],[IType]],IsDList,Table_ExternalData_15[[#Headers],[16]])</f>
        <v>5</v>
      </c>
      <c r="U348" s="10">
        <f>SUMIFS(IsQList,IsIList,Table_ExternalData_15[[#This Row],[item_key]],IsITypeList,Table_ExternalData_15[[#This Row],[IType]],IsDList,Table_ExternalData_15[[#Headers],[17]])</f>
        <v>0</v>
      </c>
      <c r="V348" s="10">
        <f>SUMIFS(IsQList,IsIList,Table_ExternalData_15[[#This Row],[item_key]],IsITypeList,Table_ExternalData_15[[#This Row],[IType]],IsDList,Table_ExternalData_15[[#Headers],[18]])</f>
        <v>0</v>
      </c>
      <c r="W348" s="10">
        <f>SUMIFS(IsQList,IsIList,Table_ExternalData_15[[#This Row],[item_key]],IsITypeList,Table_ExternalData_15[[#This Row],[IType]],IsDList,Table_ExternalData_15[[#Headers],[19]])</f>
        <v>0</v>
      </c>
      <c r="X348" s="10">
        <f>SUMIFS(IsQList,IsIList,Table_ExternalData_15[[#This Row],[item_key]],IsITypeList,Table_ExternalData_15[[#This Row],[IType]],IsDList,Table_ExternalData_15[[#Headers],[20]])</f>
        <v>0</v>
      </c>
      <c r="Y348" s="10">
        <f>SUMIFS(IsQList,IsIList,Table_ExternalData_15[[#This Row],[item_key]],IsITypeList,Table_ExternalData_15[[#This Row],[IType]],IsDList,Table_ExternalData_15[[#Headers],[21]])</f>
        <v>0</v>
      </c>
      <c r="Z348" s="10">
        <f>SUMIFS(IsQList,IsIList,Table_ExternalData_15[[#This Row],[item_key]],IsITypeList,Table_ExternalData_15[[#This Row],[IType]],IsDList,Table_ExternalData_15[[#Headers],[22]])</f>
        <v>0</v>
      </c>
      <c r="AA348" s="10">
        <f>SUMIFS(IsQList,IsIList,Table_ExternalData_15[[#This Row],[item_key]],IsITypeList,Table_ExternalData_15[[#This Row],[IType]],IsDList,Table_ExternalData_15[[#Headers],[23]])</f>
        <v>0</v>
      </c>
      <c r="AB348" s="10">
        <f>SUMIFS(IsQList,IsIList,Table_ExternalData_15[[#This Row],[item_key]],IsITypeList,Table_ExternalData_15[[#This Row],[IType]],IsDList,Table_ExternalData_15[[#Headers],[24]])</f>
        <v>0</v>
      </c>
      <c r="AC348" s="10">
        <f>SUMIFS(IsQList,IsIList,Table_ExternalData_15[[#This Row],[item_key]],IsITypeList,Table_ExternalData_15[[#This Row],[IType]],IsDList,Table_ExternalData_15[[#Headers],[25]])</f>
        <v>0</v>
      </c>
      <c r="AD348" s="10">
        <f>SUMIFS(IsQList,IsIList,Table_ExternalData_15[[#This Row],[item_key]],IsITypeList,Table_ExternalData_15[[#This Row],[IType]],IsDList,Table_ExternalData_15[[#Headers],[26]])</f>
        <v>0</v>
      </c>
      <c r="AE348" s="10">
        <f>SUMIFS(IsQList,IsIList,Table_ExternalData_15[[#This Row],[item_key]],IsITypeList,Table_ExternalData_15[[#This Row],[IType]],IsDList,Table_ExternalData_15[[#Headers],[27]])</f>
        <v>0</v>
      </c>
      <c r="AF348" s="10">
        <f>SUMIFS(IsQList,IsIList,Table_ExternalData_15[[#This Row],[item_key]],IsITypeList,Table_ExternalData_15[[#This Row],[IType]],IsDList,Table_ExternalData_15[[#Headers],[28]])</f>
        <v>0</v>
      </c>
      <c r="AG348" s="10">
        <f>SUMIFS(IsQList,IsIList,Table_ExternalData_15[[#This Row],[item_key]],IsITypeList,Table_ExternalData_15[[#This Row],[IType]],IsDList,Table_ExternalData_15[[#Headers],[29]])</f>
        <v>0</v>
      </c>
      <c r="AH348" s="10">
        <f>SUMIFS(IsQList,IsIList,Table_ExternalData_15[[#This Row],[item_key]],IsITypeList,Table_ExternalData_15[[#This Row],[IType]],IsDList,Table_ExternalData_15[[#Headers],[30]])</f>
        <v>2</v>
      </c>
      <c r="AI348" s="10">
        <f>SUMIFS(IsQList,IsIList,Table_ExternalData_15[[#This Row],[item_key]],IsITypeList,Table_ExternalData_15[[#This Row],[IType]],IsDList,Table_ExternalData_15[[#Headers],[31]])</f>
        <v>0</v>
      </c>
      <c r="AJ348" s="10">
        <f>SUM(Table_ExternalData_15[[#This Row],[1]:[31]])</f>
        <v>13</v>
      </c>
    </row>
    <row r="349" spans="1:36">
      <c r="A349" s="1" t="s">
        <v>85</v>
      </c>
      <c r="B349" s="1" t="s">
        <v>90</v>
      </c>
      <c r="C349" s="1" t="s">
        <v>91</v>
      </c>
      <c r="D349" s="11" t="s">
        <v>72</v>
      </c>
      <c r="E349" s="10">
        <f>SUMIFS(IsQList,IsIList,Table_ExternalData_15[[#This Row],[item_key]],IsITypeList,Table_ExternalData_15[[#This Row],[IType]],IsDList,Table_ExternalData_15[[#Headers],[1]])</f>
        <v>0</v>
      </c>
      <c r="F349" s="10">
        <f>SUMIFS(IsQList,IsIList,Table_ExternalData_15[[#This Row],[item_key]],IsITypeList,Table_ExternalData_15[[#This Row],[IType]],IsDList,Table_ExternalData_15[[#Headers],[2]])</f>
        <v>0</v>
      </c>
      <c r="G349" s="10">
        <f>SUMIFS(IsQList,IsIList,Table_ExternalData_15[[#This Row],[item_key]],IsITypeList,Table_ExternalData_15[[#This Row],[IType]],IsDList,Table_ExternalData_15[[#Headers],[3]])</f>
        <v>0</v>
      </c>
      <c r="H349" s="10">
        <f>SUMIFS(IsQList,IsIList,Table_ExternalData_15[[#This Row],[item_key]],IsITypeList,Table_ExternalData_15[[#This Row],[IType]],IsDList,Table_ExternalData_15[[#Headers],[4]])</f>
        <v>0</v>
      </c>
      <c r="I349" s="10">
        <f>SUMIFS(IsQList,IsIList,Table_ExternalData_15[[#This Row],[item_key]],IsITypeList,Table_ExternalData_15[[#This Row],[IType]],IsDList,Table_ExternalData_15[[#Headers],[5]])</f>
        <v>0</v>
      </c>
      <c r="J349" s="10">
        <f>SUMIFS(IsQList,IsIList,Table_ExternalData_15[[#This Row],[item_key]],IsITypeList,Table_ExternalData_15[[#This Row],[IType]],IsDList,Table_ExternalData_15[[#Headers],[6]])</f>
        <v>10</v>
      </c>
      <c r="K349" s="10">
        <f>SUMIFS(IsQList,IsIList,Table_ExternalData_15[[#This Row],[item_key]],IsITypeList,Table_ExternalData_15[[#This Row],[IType]],IsDList,Table_ExternalData_15[[#Headers],[7]])</f>
        <v>0</v>
      </c>
      <c r="L349" s="10">
        <f>SUMIFS(IsQList,IsIList,Table_ExternalData_15[[#This Row],[item_key]],IsITypeList,Table_ExternalData_15[[#This Row],[IType]],IsDList,Table_ExternalData_15[[#Headers],[8]])</f>
        <v>0</v>
      </c>
      <c r="M349" s="10">
        <f>SUMIFS(IsQList,IsIList,Table_ExternalData_15[[#This Row],[item_key]],IsITypeList,Table_ExternalData_15[[#This Row],[IType]],IsDList,Table_ExternalData_15[[#Headers],[9]])</f>
        <v>0</v>
      </c>
      <c r="N349" s="10">
        <f>SUMIFS(IsQList,IsIList,Table_ExternalData_15[[#This Row],[item_key]],IsITypeList,Table_ExternalData_15[[#This Row],[IType]],IsDList,Table_ExternalData_15[[#Headers],[10]])</f>
        <v>0</v>
      </c>
      <c r="O349" s="10">
        <f>SUMIFS(IsQList,IsIList,Table_ExternalData_15[[#This Row],[item_key]],IsITypeList,Table_ExternalData_15[[#This Row],[IType]],IsDList,Table_ExternalData_15[[#Headers],[11]])</f>
        <v>0</v>
      </c>
      <c r="P349" s="10">
        <f>SUMIFS(IsQList,IsIList,Table_ExternalData_15[[#This Row],[item_key]],IsITypeList,Table_ExternalData_15[[#This Row],[IType]],IsDList,Table_ExternalData_15[[#Headers],[12]])</f>
        <v>0</v>
      </c>
      <c r="Q349" s="10">
        <f>SUMIFS(IsQList,IsIList,Table_ExternalData_15[[#This Row],[item_key]],IsITypeList,Table_ExternalData_15[[#This Row],[IType]],IsDList,Table_ExternalData_15[[#Headers],[13]])</f>
        <v>0</v>
      </c>
      <c r="R349" s="10">
        <f>SUMIFS(IsQList,IsIList,Table_ExternalData_15[[#This Row],[item_key]],IsITypeList,Table_ExternalData_15[[#This Row],[IType]],IsDList,Table_ExternalData_15[[#Headers],[14]])</f>
        <v>0</v>
      </c>
      <c r="S349" s="10">
        <f>SUMIFS(IsQList,IsIList,Table_ExternalData_15[[#This Row],[item_key]],IsITypeList,Table_ExternalData_15[[#This Row],[IType]],IsDList,Table_ExternalData_15[[#Headers],[15]])</f>
        <v>0</v>
      </c>
      <c r="T349" s="10">
        <f>SUMIFS(IsQList,IsIList,Table_ExternalData_15[[#This Row],[item_key]],IsITypeList,Table_ExternalData_15[[#This Row],[IType]],IsDList,Table_ExternalData_15[[#Headers],[16]])</f>
        <v>0</v>
      </c>
      <c r="U349" s="10">
        <f>SUMIFS(IsQList,IsIList,Table_ExternalData_15[[#This Row],[item_key]],IsITypeList,Table_ExternalData_15[[#This Row],[IType]],IsDList,Table_ExternalData_15[[#Headers],[17]])</f>
        <v>0</v>
      </c>
      <c r="V349" s="10">
        <f>SUMIFS(IsQList,IsIList,Table_ExternalData_15[[#This Row],[item_key]],IsITypeList,Table_ExternalData_15[[#This Row],[IType]],IsDList,Table_ExternalData_15[[#Headers],[18]])</f>
        <v>0</v>
      </c>
      <c r="W349" s="10">
        <f>SUMIFS(IsQList,IsIList,Table_ExternalData_15[[#This Row],[item_key]],IsITypeList,Table_ExternalData_15[[#This Row],[IType]],IsDList,Table_ExternalData_15[[#Headers],[19]])</f>
        <v>0</v>
      </c>
      <c r="X349" s="10">
        <f>SUMIFS(IsQList,IsIList,Table_ExternalData_15[[#This Row],[item_key]],IsITypeList,Table_ExternalData_15[[#This Row],[IType]],IsDList,Table_ExternalData_15[[#Headers],[20]])</f>
        <v>0</v>
      </c>
      <c r="Y349" s="10">
        <f>SUMIFS(IsQList,IsIList,Table_ExternalData_15[[#This Row],[item_key]],IsITypeList,Table_ExternalData_15[[#This Row],[IType]],IsDList,Table_ExternalData_15[[#Headers],[21]])</f>
        <v>0</v>
      </c>
      <c r="Z349" s="10">
        <f>SUMIFS(IsQList,IsIList,Table_ExternalData_15[[#This Row],[item_key]],IsITypeList,Table_ExternalData_15[[#This Row],[IType]],IsDList,Table_ExternalData_15[[#Headers],[22]])</f>
        <v>0</v>
      </c>
      <c r="AA349" s="10">
        <f>SUMIFS(IsQList,IsIList,Table_ExternalData_15[[#This Row],[item_key]],IsITypeList,Table_ExternalData_15[[#This Row],[IType]],IsDList,Table_ExternalData_15[[#Headers],[23]])</f>
        <v>0</v>
      </c>
      <c r="AB349" s="10">
        <f>SUMIFS(IsQList,IsIList,Table_ExternalData_15[[#This Row],[item_key]],IsITypeList,Table_ExternalData_15[[#This Row],[IType]],IsDList,Table_ExternalData_15[[#Headers],[24]])</f>
        <v>0</v>
      </c>
      <c r="AC349" s="10">
        <f>SUMIFS(IsQList,IsIList,Table_ExternalData_15[[#This Row],[item_key]],IsITypeList,Table_ExternalData_15[[#This Row],[IType]],IsDList,Table_ExternalData_15[[#Headers],[25]])</f>
        <v>0</v>
      </c>
      <c r="AD349" s="10">
        <f>SUMIFS(IsQList,IsIList,Table_ExternalData_15[[#This Row],[item_key]],IsITypeList,Table_ExternalData_15[[#This Row],[IType]],IsDList,Table_ExternalData_15[[#Headers],[26]])</f>
        <v>0</v>
      </c>
      <c r="AE349" s="10">
        <f>SUMIFS(IsQList,IsIList,Table_ExternalData_15[[#This Row],[item_key]],IsITypeList,Table_ExternalData_15[[#This Row],[IType]],IsDList,Table_ExternalData_15[[#Headers],[27]])</f>
        <v>0</v>
      </c>
      <c r="AF349" s="10">
        <f>SUMIFS(IsQList,IsIList,Table_ExternalData_15[[#This Row],[item_key]],IsITypeList,Table_ExternalData_15[[#This Row],[IType]],IsDList,Table_ExternalData_15[[#Headers],[28]])</f>
        <v>0</v>
      </c>
      <c r="AG349" s="10">
        <f>SUMIFS(IsQList,IsIList,Table_ExternalData_15[[#This Row],[item_key]],IsITypeList,Table_ExternalData_15[[#This Row],[IType]],IsDList,Table_ExternalData_15[[#Headers],[29]])</f>
        <v>0</v>
      </c>
      <c r="AH349" s="10">
        <f>SUMIFS(IsQList,IsIList,Table_ExternalData_15[[#This Row],[item_key]],IsITypeList,Table_ExternalData_15[[#This Row],[IType]],IsDList,Table_ExternalData_15[[#Headers],[30]])</f>
        <v>16</v>
      </c>
      <c r="AI349" s="10">
        <f>SUMIFS(IsQList,IsIList,Table_ExternalData_15[[#This Row],[item_key]],IsITypeList,Table_ExternalData_15[[#This Row],[IType]],IsDList,Table_ExternalData_15[[#Headers],[31]])</f>
        <v>0</v>
      </c>
      <c r="AJ349" s="10">
        <f>SUM(Table_ExternalData_15[[#This Row],[1]:[31]])</f>
        <v>26</v>
      </c>
    </row>
    <row r="350" spans="1:36">
      <c r="A350" s="1" t="s">
        <v>1075</v>
      </c>
      <c r="B350" s="1" t="s">
        <v>1544</v>
      </c>
      <c r="C350" s="1" t="s">
        <v>1545</v>
      </c>
      <c r="D350" s="11" t="s">
        <v>72</v>
      </c>
      <c r="E350" s="10">
        <f>SUMIFS(IsQList,IsIList,Table_ExternalData_15[[#This Row],[item_key]],IsITypeList,Table_ExternalData_15[[#This Row],[IType]],IsDList,Table_ExternalData_15[[#Headers],[1]])</f>
        <v>0</v>
      </c>
      <c r="F350" s="10">
        <f>SUMIFS(IsQList,IsIList,Table_ExternalData_15[[#This Row],[item_key]],IsITypeList,Table_ExternalData_15[[#This Row],[IType]],IsDList,Table_ExternalData_15[[#Headers],[2]])</f>
        <v>0</v>
      </c>
      <c r="G350" s="10">
        <f>SUMIFS(IsQList,IsIList,Table_ExternalData_15[[#This Row],[item_key]],IsITypeList,Table_ExternalData_15[[#This Row],[IType]],IsDList,Table_ExternalData_15[[#Headers],[3]])</f>
        <v>0</v>
      </c>
      <c r="H350" s="10">
        <f>SUMIFS(IsQList,IsIList,Table_ExternalData_15[[#This Row],[item_key]],IsITypeList,Table_ExternalData_15[[#This Row],[IType]],IsDList,Table_ExternalData_15[[#Headers],[4]])</f>
        <v>0</v>
      </c>
      <c r="I350" s="10">
        <f>SUMIFS(IsQList,IsIList,Table_ExternalData_15[[#This Row],[item_key]],IsITypeList,Table_ExternalData_15[[#This Row],[IType]],IsDList,Table_ExternalData_15[[#Headers],[5]])</f>
        <v>0</v>
      </c>
      <c r="J350" s="10">
        <f>SUMIFS(IsQList,IsIList,Table_ExternalData_15[[#This Row],[item_key]],IsITypeList,Table_ExternalData_15[[#This Row],[IType]],IsDList,Table_ExternalData_15[[#Headers],[6]])</f>
        <v>0</v>
      </c>
      <c r="K350" s="10">
        <f>SUMIFS(IsQList,IsIList,Table_ExternalData_15[[#This Row],[item_key]],IsITypeList,Table_ExternalData_15[[#This Row],[IType]],IsDList,Table_ExternalData_15[[#Headers],[7]])</f>
        <v>0</v>
      </c>
      <c r="L350" s="10">
        <f>SUMIFS(IsQList,IsIList,Table_ExternalData_15[[#This Row],[item_key]],IsITypeList,Table_ExternalData_15[[#This Row],[IType]],IsDList,Table_ExternalData_15[[#Headers],[8]])</f>
        <v>0</v>
      </c>
      <c r="M350" s="10">
        <f>SUMIFS(IsQList,IsIList,Table_ExternalData_15[[#This Row],[item_key]],IsITypeList,Table_ExternalData_15[[#This Row],[IType]],IsDList,Table_ExternalData_15[[#Headers],[9]])</f>
        <v>0</v>
      </c>
      <c r="N350" s="10">
        <f>SUMIFS(IsQList,IsIList,Table_ExternalData_15[[#This Row],[item_key]],IsITypeList,Table_ExternalData_15[[#This Row],[IType]],IsDList,Table_ExternalData_15[[#Headers],[10]])</f>
        <v>0</v>
      </c>
      <c r="O350" s="10">
        <f>SUMIFS(IsQList,IsIList,Table_ExternalData_15[[#This Row],[item_key]],IsITypeList,Table_ExternalData_15[[#This Row],[IType]],IsDList,Table_ExternalData_15[[#Headers],[11]])</f>
        <v>0</v>
      </c>
      <c r="P350" s="10">
        <f>SUMIFS(IsQList,IsIList,Table_ExternalData_15[[#This Row],[item_key]],IsITypeList,Table_ExternalData_15[[#This Row],[IType]],IsDList,Table_ExternalData_15[[#Headers],[12]])</f>
        <v>0</v>
      </c>
      <c r="Q350" s="10">
        <f>SUMIFS(IsQList,IsIList,Table_ExternalData_15[[#This Row],[item_key]],IsITypeList,Table_ExternalData_15[[#This Row],[IType]],IsDList,Table_ExternalData_15[[#Headers],[13]])</f>
        <v>0</v>
      </c>
      <c r="R350" s="10">
        <f>SUMIFS(IsQList,IsIList,Table_ExternalData_15[[#This Row],[item_key]],IsITypeList,Table_ExternalData_15[[#This Row],[IType]],IsDList,Table_ExternalData_15[[#Headers],[14]])</f>
        <v>0</v>
      </c>
      <c r="S350" s="10">
        <f>SUMIFS(IsQList,IsIList,Table_ExternalData_15[[#This Row],[item_key]],IsITypeList,Table_ExternalData_15[[#This Row],[IType]],IsDList,Table_ExternalData_15[[#Headers],[15]])</f>
        <v>0</v>
      </c>
      <c r="T350" s="10">
        <f>SUMIFS(IsQList,IsIList,Table_ExternalData_15[[#This Row],[item_key]],IsITypeList,Table_ExternalData_15[[#This Row],[IType]],IsDList,Table_ExternalData_15[[#Headers],[16]])</f>
        <v>0</v>
      </c>
      <c r="U350" s="10">
        <f>SUMIFS(IsQList,IsIList,Table_ExternalData_15[[#This Row],[item_key]],IsITypeList,Table_ExternalData_15[[#This Row],[IType]],IsDList,Table_ExternalData_15[[#Headers],[17]])</f>
        <v>0</v>
      </c>
      <c r="V350" s="10">
        <f>SUMIFS(IsQList,IsIList,Table_ExternalData_15[[#This Row],[item_key]],IsITypeList,Table_ExternalData_15[[#This Row],[IType]],IsDList,Table_ExternalData_15[[#Headers],[18]])</f>
        <v>0</v>
      </c>
      <c r="W350" s="10">
        <f>SUMIFS(IsQList,IsIList,Table_ExternalData_15[[#This Row],[item_key]],IsITypeList,Table_ExternalData_15[[#This Row],[IType]],IsDList,Table_ExternalData_15[[#Headers],[19]])</f>
        <v>0</v>
      </c>
      <c r="X350" s="10">
        <f>SUMIFS(IsQList,IsIList,Table_ExternalData_15[[#This Row],[item_key]],IsITypeList,Table_ExternalData_15[[#This Row],[IType]],IsDList,Table_ExternalData_15[[#Headers],[20]])</f>
        <v>0</v>
      </c>
      <c r="Y350" s="10">
        <f>SUMIFS(IsQList,IsIList,Table_ExternalData_15[[#This Row],[item_key]],IsITypeList,Table_ExternalData_15[[#This Row],[IType]],IsDList,Table_ExternalData_15[[#Headers],[21]])</f>
        <v>0</v>
      </c>
      <c r="Z350" s="10">
        <f>SUMIFS(IsQList,IsIList,Table_ExternalData_15[[#This Row],[item_key]],IsITypeList,Table_ExternalData_15[[#This Row],[IType]],IsDList,Table_ExternalData_15[[#Headers],[22]])</f>
        <v>0</v>
      </c>
      <c r="AA350" s="10">
        <f>SUMIFS(IsQList,IsIList,Table_ExternalData_15[[#This Row],[item_key]],IsITypeList,Table_ExternalData_15[[#This Row],[IType]],IsDList,Table_ExternalData_15[[#Headers],[23]])</f>
        <v>0</v>
      </c>
      <c r="AB350" s="10">
        <f>SUMIFS(IsQList,IsIList,Table_ExternalData_15[[#This Row],[item_key]],IsITypeList,Table_ExternalData_15[[#This Row],[IType]],IsDList,Table_ExternalData_15[[#Headers],[24]])</f>
        <v>0</v>
      </c>
      <c r="AC350" s="10">
        <f>SUMIFS(IsQList,IsIList,Table_ExternalData_15[[#This Row],[item_key]],IsITypeList,Table_ExternalData_15[[#This Row],[IType]],IsDList,Table_ExternalData_15[[#Headers],[25]])</f>
        <v>0</v>
      </c>
      <c r="AD350" s="10">
        <f>SUMIFS(IsQList,IsIList,Table_ExternalData_15[[#This Row],[item_key]],IsITypeList,Table_ExternalData_15[[#This Row],[IType]],IsDList,Table_ExternalData_15[[#Headers],[26]])</f>
        <v>0</v>
      </c>
      <c r="AE350" s="10">
        <f>SUMIFS(IsQList,IsIList,Table_ExternalData_15[[#This Row],[item_key]],IsITypeList,Table_ExternalData_15[[#This Row],[IType]],IsDList,Table_ExternalData_15[[#Headers],[27]])</f>
        <v>0</v>
      </c>
      <c r="AF350" s="10">
        <f>SUMIFS(IsQList,IsIList,Table_ExternalData_15[[#This Row],[item_key]],IsITypeList,Table_ExternalData_15[[#This Row],[IType]],IsDList,Table_ExternalData_15[[#Headers],[28]])</f>
        <v>0</v>
      </c>
      <c r="AG350" s="10">
        <f>SUMIFS(IsQList,IsIList,Table_ExternalData_15[[#This Row],[item_key]],IsITypeList,Table_ExternalData_15[[#This Row],[IType]],IsDList,Table_ExternalData_15[[#Headers],[29]])</f>
        <v>0</v>
      </c>
      <c r="AH350" s="10">
        <f>SUMIFS(IsQList,IsIList,Table_ExternalData_15[[#This Row],[item_key]],IsITypeList,Table_ExternalData_15[[#This Row],[IType]],IsDList,Table_ExternalData_15[[#Headers],[30]])</f>
        <v>6</v>
      </c>
      <c r="AI350" s="10">
        <f>SUMIFS(IsQList,IsIList,Table_ExternalData_15[[#This Row],[item_key]],IsITypeList,Table_ExternalData_15[[#This Row],[IType]],IsDList,Table_ExternalData_15[[#Headers],[31]])</f>
        <v>0</v>
      </c>
      <c r="AJ350" s="10">
        <f>SUM(Table_ExternalData_15[[#This Row],[1]:[31]])</f>
        <v>6</v>
      </c>
    </row>
    <row r="351" spans="1:36">
      <c r="A351" s="1" t="s">
        <v>1076</v>
      </c>
      <c r="B351" s="1" t="s">
        <v>1546</v>
      </c>
      <c r="C351" s="1" t="s">
        <v>1547</v>
      </c>
      <c r="D351" s="11" t="s">
        <v>72</v>
      </c>
      <c r="E351" s="10">
        <f>SUMIFS(IsQList,IsIList,Table_ExternalData_15[[#This Row],[item_key]],IsITypeList,Table_ExternalData_15[[#This Row],[IType]],IsDList,Table_ExternalData_15[[#Headers],[1]])</f>
        <v>0</v>
      </c>
      <c r="F351" s="10">
        <f>SUMIFS(IsQList,IsIList,Table_ExternalData_15[[#This Row],[item_key]],IsITypeList,Table_ExternalData_15[[#This Row],[IType]],IsDList,Table_ExternalData_15[[#Headers],[2]])</f>
        <v>0</v>
      </c>
      <c r="G351" s="10">
        <f>SUMIFS(IsQList,IsIList,Table_ExternalData_15[[#This Row],[item_key]],IsITypeList,Table_ExternalData_15[[#This Row],[IType]],IsDList,Table_ExternalData_15[[#Headers],[3]])</f>
        <v>0</v>
      </c>
      <c r="H351" s="10">
        <f>SUMIFS(IsQList,IsIList,Table_ExternalData_15[[#This Row],[item_key]],IsITypeList,Table_ExternalData_15[[#This Row],[IType]],IsDList,Table_ExternalData_15[[#Headers],[4]])</f>
        <v>0</v>
      </c>
      <c r="I351" s="10">
        <f>SUMIFS(IsQList,IsIList,Table_ExternalData_15[[#This Row],[item_key]],IsITypeList,Table_ExternalData_15[[#This Row],[IType]],IsDList,Table_ExternalData_15[[#Headers],[5]])</f>
        <v>0</v>
      </c>
      <c r="J351" s="10">
        <f>SUMIFS(IsQList,IsIList,Table_ExternalData_15[[#This Row],[item_key]],IsITypeList,Table_ExternalData_15[[#This Row],[IType]],IsDList,Table_ExternalData_15[[#Headers],[6]])</f>
        <v>10</v>
      </c>
      <c r="K351" s="10">
        <f>SUMIFS(IsQList,IsIList,Table_ExternalData_15[[#This Row],[item_key]],IsITypeList,Table_ExternalData_15[[#This Row],[IType]],IsDList,Table_ExternalData_15[[#Headers],[7]])</f>
        <v>0</v>
      </c>
      <c r="L351" s="10">
        <f>SUMIFS(IsQList,IsIList,Table_ExternalData_15[[#This Row],[item_key]],IsITypeList,Table_ExternalData_15[[#This Row],[IType]],IsDList,Table_ExternalData_15[[#Headers],[8]])</f>
        <v>0</v>
      </c>
      <c r="M351" s="10">
        <f>SUMIFS(IsQList,IsIList,Table_ExternalData_15[[#This Row],[item_key]],IsITypeList,Table_ExternalData_15[[#This Row],[IType]],IsDList,Table_ExternalData_15[[#Headers],[9]])</f>
        <v>0</v>
      </c>
      <c r="N351" s="10">
        <f>SUMIFS(IsQList,IsIList,Table_ExternalData_15[[#This Row],[item_key]],IsITypeList,Table_ExternalData_15[[#This Row],[IType]],IsDList,Table_ExternalData_15[[#Headers],[10]])</f>
        <v>0</v>
      </c>
      <c r="O351" s="10">
        <f>SUMIFS(IsQList,IsIList,Table_ExternalData_15[[#This Row],[item_key]],IsITypeList,Table_ExternalData_15[[#This Row],[IType]],IsDList,Table_ExternalData_15[[#Headers],[11]])</f>
        <v>0</v>
      </c>
      <c r="P351" s="10">
        <f>SUMIFS(IsQList,IsIList,Table_ExternalData_15[[#This Row],[item_key]],IsITypeList,Table_ExternalData_15[[#This Row],[IType]],IsDList,Table_ExternalData_15[[#Headers],[12]])</f>
        <v>0</v>
      </c>
      <c r="Q351" s="10">
        <f>SUMIFS(IsQList,IsIList,Table_ExternalData_15[[#This Row],[item_key]],IsITypeList,Table_ExternalData_15[[#This Row],[IType]],IsDList,Table_ExternalData_15[[#Headers],[13]])</f>
        <v>0</v>
      </c>
      <c r="R351" s="10">
        <f>SUMIFS(IsQList,IsIList,Table_ExternalData_15[[#This Row],[item_key]],IsITypeList,Table_ExternalData_15[[#This Row],[IType]],IsDList,Table_ExternalData_15[[#Headers],[14]])</f>
        <v>0</v>
      </c>
      <c r="S351" s="10">
        <f>SUMIFS(IsQList,IsIList,Table_ExternalData_15[[#This Row],[item_key]],IsITypeList,Table_ExternalData_15[[#This Row],[IType]],IsDList,Table_ExternalData_15[[#Headers],[15]])</f>
        <v>0</v>
      </c>
      <c r="T351" s="10">
        <f>SUMIFS(IsQList,IsIList,Table_ExternalData_15[[#This Row],[item_key]],IsITypeList,Table_ExternalData_15[[#This Row],[IType]],IsDList,Table_ExternalData_15[[#Headers],[16]])</f>
        <v>0</v>
      </c>
      <c r="U351" s="10">
        <f>SUMIFS(IsQList,IsIList,Table_ExternalData_15[[#This Row],[item_key]],IsITypeList,Table_ExternalData_15[[#This Row],[IType]],IsDList,Table_ExternalData_15[[#Headers],[17]])</f>
        <v>0</v>
      </c>
      <c r="V351" s="10">
        <f>SUMIFS(IsQList,IsIList,Table_ExternalData_15[[#This Row],[item_key]],IsITypeList,Table_ExternalData_15[[#This Row],[IType]],IsDList,Table_ExternalData_15[[#Headers],[18]])</f>
        <v>0</v>
      </c>
      <c r="W351" s="10">
        <f>SUMIFS(IsQList,IsIList,Table_ExternalData_15[[#This Row],[item_key]],IsITypeList,Table_ExternalData_15[[#This Row],[IType]],IsDList,Table_ExternalData_15[[#Headers],[19]])</f>
        <v>0</v>
      </c>
      <c r="X351" s="10">
        <f>SUMIFS(IsQList,IsIList,Table_ExternalData_15[[#This Row],[item_key]],IsITypeList,Table_ExternalData_15[[#This Row],[IType]],IsDList,Table_ExternalData_15[[#Headers],[20]])</f>
        <v>0</v>
      </c>
      <c r="Y351" s="10">
        <f>SUMIFS(IsQList,IsIList,Table_ExternalData_15[[#This Row],[item_key]],IsITypeList,Table_ExternalData_15[[#This Row],[IType]],IsDList,Table_ExternalData_15[[#Headers],[21]])</f>
        <v>0</v>
      </c>
      <c r="Z351" s="10">
        <f>SUMIFS(IsQList,IsIList,Table_ExternalData_15[[#This Row],[item_key]],IsITypeList,Table_ExternalData_15[[#This Row],[IType]],IsDList,Table_ExternalData_15[[#Headers],[22]])</f>
        <v>0</v>
      </c>
      <c r="AA351" s="10">
        <f>SUMIFS(IsQList,IsIList,Table_ExternalData_15[[#This Row],[item_key]],IsITypeList,Table_ExternalData_15[[#This Row],[IType]],IsDList,Table_ExternalData_15[[#Headers],[23]])</f>
        <v>0</v>
      </c>
      <c r="AB351" s="10">
        <f>SUMIFS(IsQList,IsIList,Table_ExternalData_15[[#This Row],[item_key]],IsITypeList,Table_ExternalData_15[[#This Row],[IType]],IsDList,Table_ExternalData_15[[#Headers],[24]])</f>
        <v>0</v>
      </c>
      <c r="AC351" s="10">
        <f>SUMIFS(IsQList,IsIList,Table_ExternalData_15[[#This Row],[item_key]],IsITypeList,Table_ExternalData_15[[#This Row],[IType]],IsDList,Table_ExternalData_15[[#Headers],[25]])</f>
        <v>0</v>
      </c>
      <c r="AD351" s="10">
        <f>SUMIFS(IsQList,IsIList,Table_ExternalData_15[[#This Row],[item_key]],IsITypeList,Table_ExternalData_15[[#This Row],[IType]],IsDList,Table_ExternalData_15[[#Headers],[26]])</f>
        <v>0</v>
      </c>
      <c r="AE351" s="10">
        <f>SUMIFS(IsQList,IsIList,Table_ExternalData_15[[#This Row],[item_key]],IsITypeList,Table_ExternalData_15[[#This Row],[IType]],IsDList,Table_ExternalData_15[[#Headers],[27]])</f>
        <v>0</v>
      </c>
      <c r="AF351" s="10">
        <f>SUMIFS(IsQList,IsIList,Table_ExternalData_15[[#This Row],[item_key]],IsITypeList,Table_ExternalData_15[[#This Row],[IType]],IsDList,Table_ExternalData_15[[#Headers],[28]])</f>
        <v>0</v>
      </c>
      <c r="AG351" s="10">
        <f>SUMIFS(IsQList,IsIList,Table_ExternalData_15[[#This Row],[item_key]],IsITypeList,Table_ExternalData_15[[#This Row],[IType]],IsDList,Table_ExternalData_15[[#Headers],[29]])</f>
        <v>0</v>
      </c>
      <c r="AH351" s="10">
        <f>SUMIFS(IsQList,IsIList,Table_ExternalData_15[[#This Row],[item_key]],IsITypeList,Table_ExternalData_15[[#This Row],[IType]],IsDList,Table_ExternalData_15[[#Headers],[30]])</f>
        <v>56</v>
      </c>
      <c r="AI351" s="10">
        <f>SUMIFS(IsQList,IsIList,Table_ExternalData_15[[#This Row],[item_key]],IsITypeList,Table_ExternalData_15[[#This Row],[IType]],IsDList,Table_ExternalData_15[[#Headers],[31]])</f>
        <v>0</v>
      </c>
      <c r="AJ351" s="10">
        <f>SUM(Table_ExternalData_15[[#This Row],[1]:[31]])</f>
        <v>66</v>
      </c>
    </row>
    <row r="352" spans="1:36">
      <c r="A352" s="1" t="s">
        <v>1079</v>
      </c>
      <c r="B352" s="1" t="s">
        <v>1548</v>
      </c>
      <c r="C352" s="1" t="s">
        <v>1549</v>
      </c>
      <c r="D352" s="11" t="s">
        <v>72</v>
      </c>
      <c r="E352" s="10">
        <f>SUMIFS(IsQList,IsIList,Table_ExternalData_15[[#This Row],[item_key]],IsITypeList,Table_ExternalData_15[[#This Row],[IType]],IsDList,Table_ExternalData_15[[#Headers],[1]])</f>
        <v>0</v>
      </c>
      <c r="F352" s="10">
        <f>SUMIFS(IsQList,IsIList,Table_ExternalData_15[[#This Row],[item_key]],IsITypeList,Table_ExternalData_15[[#This Row],[IType]],IsDList,Table_ExternalData_15[[#Headers],[2]])</f>
        <v>0</v>
      </c>
      <c r="G352" s="10">
        <f>SUMIFS(IsQList,IsIList,Table_ExternalData_15[[#This Row],[item_key]],IsITypeList,Table_ExternalData_15[[#This Row],[IType]],IsDList,Table_ExternalData_15[[#Headers],[3]])</f>
        <v>0</v>
      </c>
      <c r="H352" s="10">
        <f>SUMIFS(IsQList,IsIList,Table_ExternalData_15[[#This Row],[item_key]],IsITypeList,Table_ExternalData_15[[#This Row],[IType]],IsDList,Table_ExternalData_15[[#Headers],[4]])</f>
        <v>0</v>
      </c>
      <c r="I352" s="10">
        <f>SUMIFS(IsQList,IsIList,Table_ExternalData_15[[#This Row],[item_key]],IsITypeList,Table_ExternalData_15[[#This Row],[IType]],IsDList,Table_ExternalData_15[[#Headers],[5]])</f>
        <v>0</v>
      </c>
      <c r="J352" s="10">
        <f>SUMIFS(IsQList,IsIList,Table_ExternalData_15[[#This Row],[item_key]],IsITypeList,Table_ExternalData_15[[#This Row],[IType]],IsDList,Table_ExternalData_15[[#Headers],[6]])</f>
        <v>0</v>
      </c>
      <c r="K352" s="10">
        <f>SUMIFS(IsQList,IsIList,Table_ExternalData_15[[#This Row],[item_key]],IsITypeList,Table_ExternalData_15[[#This Row],[IType]],IsDList,Table_ExternalData_15[[#Headers],[7]])</f>
        <v>0</v>
      </c>
      <c r="L352" s="10">
        <f>SUMIFS(IsQList,IsIList,Table_ExternalData_15[[#This Row],[item_key]],IsITypeList,Table_ExternalData_15[[#This Row],[IType]],IsDList,Table_ExternalData_15[[#Headers],[8]])</f>
        <v>0</v>
      </c>
      <c r="M352" s="10">
        <f>SUMIFS(IsQList,IsIList,Table_ExternalData_15[[#This Row],[item_key]],IsITypeList,Table_ExternalData_15[[#This Row],[IType]],IsDList,Table_ExternalData_15[[#Headers],[9]])</f>
        <v>0</v>
      </c>
      <c r="N352" s="10">
        <f>SUMIFS(IsQList,IsIList,Table_ExternalData_15[[#This Row],[item_key]],IsITypeList,Table_ExternalData_15[[#This Row],[IType]],IsDList,Table_ExternalData_15[[#Headers],[10]])</f>
        <v>0</v>
      </c>
      <c r="O352" s="10">
        <f>SUMIFS(IsQList,IsIList,Table_ExternalData_15[[#This Row],[item_key]],IsITypeList,Table_ExternalData_15[[#This Row],[IType]],IsDList,Table_ExternalData_15[[#Headers],[11]])</f>
        <v>0</v>
      </c>
      <c r="P352" s="10">
        <f>SUMIFS(IsQList,IsIList,Table_ExternalData_15[[#This Row],[item_key]],IsITypeList,Table_ExternalData_15[[#This Row],[IType]],IsDList,Table_ExternalData_15[[#Headers],[12]])</f>
        <v>0</v>
      </c>
      <c r="Q352" s="10">
        <f>SUMIFS(IsQList,IsIList,Table_ExternalData_15[[#This Row],[item_key]],IsITypeList,Table_ExternalData_15[[#This Row],[IType]],IsDList,Table_ExternalData_15[[#Headers],[13]])</f>
        <v>50</v>
      </c>
      <c r="R352" s="10">
        <f>SUMIFS(IsQList,IsIList,Table_ExternalData_15[[#This Row],[item_key]],IsITypeList,Table_ExternalData_15[[#This Row],[IType]],IsDList,Table_ExternalData_15[[#Headers],[14]])</f>
        <v>0</v>
      </c>
      <c r="S352" s="10">
        <f>SUMIFS(IsQList,IsIList,Table_ExternalData_15[[#This Row],[item_key]],IsITypeList,Table_ExternalData_15[[#This Row],[IType]],IsDList,Table_ExternalData_15[[#Headers],[15]])</f>
        <v>0</v>
      </c>
      <c r="T352" s="10">
        <f>SUMIFS(IsQList,IsIList,Table_ExternalData_15[[#This Row],[item_key]],IsITypeList,Table_ExternalData_15[[#This Row],[IType]],IsDList,Table_ExternalData_15[[#Headers],[16]])</f>
        <v>0</v>
      </c>
      <c r="U352" s="10">
        <f>SUMIFS(IsQList,IsIList,Table_ExternalData_15[[#This Row],[item_key]],IsITypeList,Table_ExternalData_15[[#This Row],[IType]],IsDList,Table_ExternalData_15[[#Headers],[17]])</f>
        <v>0</v>
      </c>
      <c r="V352" s="10">
        <f>SUMIFS(IsQList,IsIList,Table_ExternalData_15[[#This Row],[item_key]],IsITypeList,Table_ExternalData_15[[#This Row],[IType]],IsDList,Table_ExternalData_15[[#Headers],[18]])</f>
        <v>0</v>
      </c>
      <c r="W352" s="10">
        <f>SUMIFS(IsQList,IsIList,Table_ExternalData_15[[#This Row],[item_key]],IsITypeList,Table_ExternalData_15[[#This Row],[IType]],IsDList,Table_ExternalData_15[[#Headers],[19]])</f>
        <v>0</v>
      </c>
      <c r="X352" s="10">
        <f>SUMIFS(IsQList,IsIList,Table_ExternalData_15[[#This Row],[item_key]],IsITypeList,Table_ExternalData_15[[#This Row],[IType]],IsDList,Table_ExternalData_15[[#Headers],[20]])</f>
        <v>0</v>
      </c>
      <c r="Y352" s="10">
        <f>SUMIFS(IsQList,IsIList,Table_ExternalData_15[[#This Row],[item_key]],IsITypeList,Table_ExternalData_15[[#This Row],[IType]],IsDList,Table_ExternalData_15[[#Headers],[21]])</f>
        <v>0</v>
      </c>
      <c r="Z352" s="10">
        <f>SUMIFS(IsQList,IsIList,Table_ExternalData_15[[#This Row],[item_key]],IsITypeList,Table_ExternalData_15[[#This Row],[IType]],IsDList,Table_ExternalData_15[[#Headers],[22]])</f>
        <v>0</v>
      </c>
      <c r="AA352" s="10">
        <f>SUMIFS(IsQList,IsIList,Table_ExternalData_15[[#This Row],[item_key]],IsITypeList,Table_ExternalData_15[[#This Row],[IType]],IsDList,Table_ExternalData_15[[#Headers],[23]])</f>
        <v>0</v>
      </c>
      <c r="AB352" s="10">
        <f>SUMIFS(IsQList,IsIList,Table_ExternalData_15[[#This Row],[item_key]],IsITypeList,Table_ExternalData_15[[#This Row],[IType]],IsDList,Table_ExternalData_15[[#Headers],[24]])</f>
        <v>230</v>
      </c>
      <c r="AC352" s="10">
        <f>SUMIFS(IsQList,IsIList,Table_ExternalData_15[[#This Row],[item_key]],IsITypeList,Table_ExternalData_15[[#This Row],[IType]],IsDList,Table_ExternalData_15[[#Headers],[25]])</f>
        <v>0</v>
      </c>
      <c r="AD352" s="10">
        <f>SUMIFS(IsQList,IsIList,Table_ExternalData_15[[#This Row],[item_key]],IsITypeList,Table_ExternalData_15[[#This Row],[IType]],IsDList,Table_ExternalData_15[[#Headers],[26]])</f>
        <v>0</v>
      </c>
      <c r="AE352" s="10">
        <f>SUMIFS(IsQList,IsIList,Table_ExternalData_15[[#This Row],[item_key]],IsITypeList,Table_ExternalData_15[[#This Row],[IType]],IsDList,Table_ExternalData_15[[#Headers],[27]])</f>
        <v>0</v>
      </c>
      <c r="AF352" s="10">
        <f>SUMIFS(IsQList,IsIList,Table_ExternalData_15[[#This Row],[item_key]],IsITypeList,Table_ExternalData_15[[#This Row],[IType]],IsDList,Table_ExternalData_15[[#Headers],[28]])</f>
        <v>0</v>
      </c>
      <c r="AG352" s="10">
        <f>SUMIFS(IsQList,IsIList,Table_ExternalData_15[[#This Row],[item_key]],IsITypeList,Table_ExternalData_15[[#This Row],[IType]],IsDList,Table_ExternalData_15[[#Headers],[29]])</f>
        <v>0</v>
      </c>
      <c r="AH352" s="10">
        <f>SUMIFS(IsQList,IsIList,Table_ExternalData_15[[#This Row],[item_key]],IsITypeList,Table_ExternalData_15[[#This Row],[IType]],IsDList,Table_ExternalData_15[[#Headers],[30]])</f>
        <v>0</v>
      </c>
      <c r="AI352" s="10">
        <f>SUMIFS(IsQList,IsIList,Table_ExternalData_15[[#This Row],[item_key]],IsITypeList,Table_ExternalData_15[[#This Row],[IType]],IsDList,Table_ExternalData_15[[#Headers],[31]])</f>
        <v>0</v>
      </c>
      <c r="AJ352" s="10">
        <f>SUM(Table_ExternalData_15[[#This Row],[1]:[31]])</f>
        <v>280</v>
      </c>
    </row>
    <row r="353" spans="1:36">
      <c r="A353" s="1" t="s">
        <v>1083</v>
      </c>
      <c r="B353" s="1" t="s">
        <v>1554</v>
      </c>
      <c r="C353" s="1" t="s">
        <v>1424</v>
      </c>
      <c r="D353" s="11" t="s">
        <v>72</v>
      </c>
      <c r="E353" s="10">
        <f>SUMIFS(IsQList,IsIList,Table_ExternalData_15[[#This Row],[item_key]],IsITypeList,Table_ExternalData_15[[#This Row],[IType]],IsDList,Table_ExternalData_15[[#Headers],[1]])</f>
        <v>0</v>
      </c>
      <c r="F353" s="10">
        <f>SUMIFS(IsQList,IsIList,Table_ExternalData_15[[#This Row],[item_key]],IsITypeList,Table_ExternalData_15[[#This Row],[IType]],IsDList,Table_ExternalData_15[[#Headers],[2]])</f>
        <v>0</v>
      </c>
      <c r="G353" s="10">
        <f>SUMIFS(IsQList,IsIList,Table_ExternalData_15[[#This Row],[item_key]],IsITypeList,Table_ExternalData_15[[#This Row],[IType]],IsDList,Table_ExternalData_15[[#Headers],[3]])</f>
        <v>0</v>
      </c>
      <c r="H353" s="10">
        <f>SUMIFS(IsQList,IsIList,Table_ExternalData_15[[#This Row],[item_key]],IsITypeList,Table_ExternalData_15[[#This Row],[IType]],IsDList,Table_ExternalData_15[[#Headers],[4]])</f>
        <v>0</v>
      </c>
      <c r="I353" s="10">
        <f>SUMIFS(IsQList,IsIList,Table_ExternalData_15[[#This Row],[item_key]],IsITypeList,Table_ExternalData_15[[#This Row],[IType]],IsDList,Table_ExternalData_15[[#Headers],[5]])</f>
        <v>0</v>
      </c>
      <c r="J353" s="10">
        <f>SUMIFS(IsQList,IsIList,Table_ExternalData_15[[#This Row],[item_key]],IsITypeList,Table_ExternalData_15[[#This Row],[IType]],IsDList,Table_ExternalData_15[[#Headers],[6]])</f>
        <v>0</v>
      </c>
      <c r="K353" s="10">
        <f>SUMIFS(IsQList,IsIList,Table_ExternalData_15[[#This Row],[item_key]],IsITypeList,Table_ExternalData_15[[#This Row],[IType]],IsDList,Table_ExternalData_15[[#Headers],[7]])</f>
        <v>0</v>
      </c>
      <c r="L353" s="10">
        <f>SUMIFS(IsQList,IsIList,Table_ExternalData_15[[#This Row],[item_key]],IsITypeList,Table_ExternalData_15[[#This Row],[IType]],IsDList,Table_ExternalData_15[[#Headers],[8]])</f>
        <v>0</v>
      </c>
      <c r="M353" s="10">
        <f>SUMIFS(IsQList,IsIList,Table_ExternalData_15[[#This Row],[item_key]],IsITypeList,Table_ExternalData_15[[#This Row],[IType]],IsDList,Table_ExternalData_15[[#Headers],[9]])</f>
        <v>0</v>
      </c>
      <c r="N353" s="10">
        <f>SUMIFS(IsQList,IsIList,Table_ExternalData_15[[#This Row],[item_key]],IsITypeList,Table_ExternalData_15[[#This Row],[IType]],IsDList,Table_ExternalData_15[[#Headers],[10]])</f>
        <v>3</v>
      </c>
      <c r="O353" s="10">
        <f>SUMIFS(IsQList,IsIList,Table_ExternalData_15[[#This Row],[item_key]],IsITypeList,Table_ExternalData_15[[#This Row],[IType]],IsDList,Table_ExternalData_15[[#Headers],[11]])</f>
        <v>0</v>
      </c>
      <c r="P353" s="10">
        <f>SUMIFS(IsQList,IsIList,Table_ExternalData_15[[#This Row],[item_key]],IsITypeList,Table_ExternalData_15[[#This Row],[IType]],IsDList,Table_ExternalData_15[[#Headers],[12]])</f>
        <v>0</v>
      </c>
      <c r="Q353" s="10">
        <f>SUMIFS(IsQList,IsIList,Table_ExternalData_15[[#This Row],[item_key]],IsITypeList,Table_ExternalData_15[[#This Row],[IType]],IsDList,Table_ExternalData_15[[#Headers],[13]])</f>
        <v>0</v>
      </c>
      <c r="R353" s="10">
        <f>SUMIFS(IsQList,IsIList,Table_ExternalData_15[[#This Row],[item_key]],IsITypeList,Table_ExternalData_15[[#This Row],[IType]],IsDList,Table_ExternalData_15[[#Headers],[14]])</f>
        <v>0</v>
      </c>
      <c r="S353" s="10">
        <f>SUMIFS(IsQList,IsIList,Table_ExternalData_15[[#This Row],[item_key]],IsITypeList,Table_ExternalData_15[[#This Row],[IType]],IsDList,Table_ExternalData_15[[#Headers],[15]])</f>
        <v>0</v>
      </c>
      <c r="T353" s="10">
        <f>SUMIFS(IsQList,IsIList,Table_ExternalData_15[[#This Row],[item_key]],IsITypeList,Table_ExternalData_15[[#This Row],[IType]],IsDList,Table_ExternalData_15[[#Headers],[16]])</f>
        <v>0</v>
      </c>
      <c r="U353" s="10">
        <f>SUMIFS(IsQList,IsIList,Table_ExternalData_15[[#This Row],[item_key]],IsITypeList,Table_ExternalData_15[[#This Row],[IType]],IsDList,Table_ExternalData_15[[#Headers],[17]])</f>
        <v>0</v>
      </c>
      <c r="V353" s="10">
        <f>SUMIFS(IsQList,IsIList,Table_ExternalData_15[[#This Row],[item_key]],IsITypeList,Table_ExternalData_15[[#This Row],[IType]],IsDList,Table_ExternalData_15[[#Headers],[18]])</f>
        <v>0</v>
      </c>
      <c r="W353" s="10">
        <f>SUMIFS(IsQList,IsIList,Table_ExternalData_15[[#This Row],[item_key]],IsITypeList,Table_ExternalData_15[[#This Row],[IType]],IsDList,Table_ExternalData_15[[#Headers],[19]])</f>
        <v>0</v>
      </c>
      <c r="X353" s="10">
        <f>SUMIFS(IsQList,IsIList,Table_ExternalData_15[[#This Row],[item_key]],IsITypeList,Table_ExternalData_15[[#This Row],[IType]],IsDList,Table_ExternalData_15[[#Headers],[20]])</f>
        <v>0</v>
      </c>
      <c r="Y353" s="10">
        <f>SUMIFS(IsQList,IsIList,Table_ExternalData_15[[#This Row],[item_key]],IsITypeList,Table_ExternalData_15[[#This Row],[IType]],IsDList,Table_ExternalData_15[[#Headers],[21]])</f>
        <v>0</v>
      </c>
      <c r="Z353" s="10">
        <f>SUMIFS(IsQList,IsIList,Table_ExternalData_15[[#This Row],[item_key]],IsITypeList,Table_ExternalData_15[[#This Row],[IType]],IsDList,Table_ExternalData_15[[#Headers],[22]])</f>
        <v>0</v>
      </c>
      <c r="AA353" s="10">
        <f>SUMIFS(IsQList,IsIList,Table_ExternalData_15[[#This Row],[item_key]],IsITypeList,Table_ExternalData_15[[#This Row],[IType]],IsDList,Table_ExternalData_15[[#Headers],[23]])</f>
        <v>0</v>
      </c>
      <c r="AB353" s="10">
        <f>SUMIFS(IsQList,IsIList,Table_ExternalData_15[[#This Row],[item_key]],IsITypeList,Table_ExternalData_15[[#This Row],[IType]],IsDList,Table_ExternalData_15[[#Headers],[24]])</f>
        <v>0</v>
      </c>
      <c r="AC353" s="10">
        <f>SUMIFS(IsQList,IsIList,Table_ExternalData_15[[#This Row],[item_key]],IsITypeList,Table_ExternalData_15[[#This Row],[IType]],IsDList,Table_ExternalData_15[[#Headers],[25]])</f>
        <v>0</v>
      </c>
      <c r="AD353" s="10">
        <f>SUMIFS(IsQList,IsIList,Table_ExternalData_15[[#This Row],[item_key]],IsITypeList,Table_ExternalData_15[[#This Row],[IType]],IsDList,Table_ExternalData_15[[#Headers],[26]])</f>
        <v>0</v>
      </c>
      <c r="AE353" s="10">
        <f>SUMIFS(IsQList,IsIList,Table_ExternalData_15[[#This Row],[item_key]],IsITypeList,Table_ExternalData_15[[#This Row],[IType]],IsDList,Table_ExternalData_15[[#Headers],[27]])</f>
        <v>0</v>
      </c>
      <c r="AF353" s="10">
        <f>SUMIFS(IsQList,IsIList,Table_ExternalData_15[[#This Row],[item_key]],IsITypeList,Table_ExternalData_15[[#This Row],[IType]],IsDList,Table_ExternalData_15[[#Headers],[28]])</f>
        <v>0</v>
      </c>
      <c r="AG353" s="10">
        <f>SUMIFS(IsQList,IsIList,Table_ExternalData_15[[#This Row],[item_key]],IsITypeList,Table_ExternalData_15[[#This Row],[IType]],IsDList,Table_ExternalData_15[[#Headers],[29]])</f>
        <v>0</v>
      </c>
      <c r="AH353" s="10">
        <f>SUMIFS(IsQList,IsIList,Table_ExternalData_15[[#This Row],[item_key]],IsITypeList,Table_ExternalData_15[[#This Row],[IType]],IsDList,Table_ExternalData_15[[#Headers],[30]])</f>
        <v>1</v>
      </c>
      <c r="AI353" s="10">
        <f>SUMIFS(IsQList,IsIList,Table_ExternalData_15[[#This Row],[item_key]],IsITypeList,Table_ExternalData_15[[#This Row],[IType]],IsDList,Table_ExternalData_15[[#Headers],[31]])</f>
        <v>0</v>
      </c>
      <c r="AJ353" s="10">
        <f>SUM(Table_ExternalData_15[[#This Row],[1]:[31]])</f>
        <v>4</v>
      </c>
    </row>
    <row r="354" spans="1:36">
      <c r="A354" s="1" t="s">
        <v>1084</v>
      </c>
      <c r="B354" s="1" t="s">
        <v>2803</v>
      </c>
      <c r="C354" s="1" t="s">
        <v>2804</v>
      </c>
      <c r="D354" s="11" t="s">
        <v>72</v>
      </c>
      <c r="E354" s="10">
        <f>SUMIFS(IsQList,IsIList,Table_ExternalData_15[[#This Row],[item_key]],IsITypeList,Table_ExternalData_15[[#This Row],[IType]],IsDList,Table_ExternalData_15[[#Headers],[1]])</f>
        <v>0</v>
      </c>
      <c r="F354" s="10">
        <f>SUMIFS(IsQList,IsIList,Table_ExternalData_15[[#This Row],[item_key]],IsITypeList,Table_ExternalData_15[[#This Row],[IType]],IsDList,Table_ExternalData_15[[#Headers],[2]])</f>
        <v>0</v>
      </c>
      <c r="G354" s="10">
        <f>SUMIFS(IsQList,IsIList,Table_ExternalData_15[[#This Row],[item_key]],IsITypeList,Table_ExternalData_15[[#This Row],[IType]],IsDList,Table_ExternalData_15[[#Headers],[3]])</f>
        <v>0</v>
      </c>
      <c r="H354" s="10">
        <f>SUMIFS(IsQList,IsIList,Table_ExternalData_15[[#This Row],[item_key]],IsITypeList,Table_ExternalData_15[[#This Row],[IType]],IsDList,Table_ExternalData_15[[#Headers],[4]])</f>
        <v>0</v>
      </c>
      <c r="I354" s="10">
        <f>SUMIFS(IsQList,IsIList,Table_ExternalData_15[[#This Row],[item_key]],IsITypeList,Table_ExternalData_15[[#This Row],[IType]],IsDList,Table_ExternalData_15[[#Headers],[5]])</f>
        <v>0</v>
      </c>
      <c r="J354" s="10">
        <f>SUMIFS(IsQList,IsIList,Table_ExternalData_15[[#This Row],[item_key]],IsITypeList,Table_ExternalData_15[[#This Row],[IType]],IsDList,Table_ExternalData_15[[#Headers],[6]])</f>
        <v>0</v>
      </c>
      <c r="K354" s="10">
        <f>SUMIFS(IsQList,IsIList,Table_ExternalData_15[[#This Row],[item_key]],IsITypeList,Table_ExternalData_15[[#This Row],[IType]],IsDList,Table_ExternalData_15[[#Headers],[7]])</f>
        <v>0</v>
      </c>
      <c r="L354" s="10">
        <f>SUMIFS(IsQList,IsIList,Table_ExternalData_15[[#This Row],[item_key]],IsITypeList,Table_ExternalData_15[[#This Row],[IType]],IsDList,Table_ExternalData_15[[#Headers],[8]])</f>
        <v>0</v>
      </c>
      <c r="M354" s="10">
        <f>SUMIFS(IsQList,IsIList,Table_ExternalData_15[[#This Row],[item_key]],IsITypeList,Table_ExternalData_15[[#This Row],[IType]],IsDList,Table_ExternalData_15[[#Headers],[9]])</f>
        <v>0</v>
      </c>
      <c r="N354" s="10">
        <f>SUMIFS(IsQList,IsIList,Table_ExternalData_15[[#This Row],[item_key]],IsITypeList,Table_ExternalData_15[[#This Row],[IType]],IsDList,Table_ExternalData_15[[#Headers],[10]])</f>
        <v>0</v>
      </c>
      <c r="O354" s="10">
        <f>SUMIFS(IsQList,IsIList,Table_ExternalData_15[[#This Row],[item_key]],IsITypeList,Table_ExternalData_15[[#This Row],[IType]],IsDList,Table_ExternalData_15[[#Headers],[11]])</f>
        <v>0</v>
      </c>
      <c r="P354" s="10">
        <f>SUMIFS(IsQList,IsIList,Table_ExternalData_15[[#This Row],[item_key]],IsITypeList,Table_ExternalData_15[[#This Row],[IType]],IsDList,Table_ExternalData_15[[#Headers],[12]])</f>
        <v>0</v>
      </c>
      <c r="Q354" s="10">
        <f>SUMIFS(IsQList,IsIList,Table_ExternalData_15[[#This Row],[item_key]],IsITypeList,Table_ExternalData_15[[#This Row],[IType]],IsDList,Table_ExternalData_15[[#Headers],[13]])</f>
        <v>0</v>
      </c>
      <c r="R354" s="10">
        <f>SUMIFS(IsQList,IsIList,Table_ExternalData_15[[#This Row],[item_key]],IsITypeList,Table_ExternalData_15[[#This Row],[IType]],IsDList,Table_ExternalData_15[[#Headers],[14]])</f>
        <v>0</v>
      </c>
      <c r="S354" s="10">
        <f>SUMIFS(IsQList,IsIList,Table_ExternalData_15[[#This Row],[item_key]],IsITypeList,Table_ExternalData_15[[#This Row],[IType]],IsDList,Table_ExternalData_15[[#Headers],[15]])</f>
        <v>0</v>
      </c>
      <c r="T354" s="10">
        <f>SUMIFS(IsQList,IsIList,Table_ExternalData_15[[#This Row],[item_key]],IsITypeList,Table_ExternalData_15[[#This Row],[IType]],IsDList,Table_ExternalData_15[[#Headers],[16]])</f>
        <v>0</v>
      </c>
      <c r="U354" s="10">
        <f>SUMIFS(IsQList,IsIList,Table_ExternalData_15[[#This Row],[item_key]],IsITypeList,Table_ExternalData_15[[#This Row],[IType]],IsDList,Table_ExternalData_15[[#Headers],[17]])</f>
        <v>0</v>
      </c>
      <c r="V354" s="10">
        <f>SUMIFS(IsQList,IsIList,Table_ExternalData_15[[#This Row],[item_key]],IsITypeList,Table_ExternalData_15[[#This Row],[IType]],IsDList,Table_ExternalData_15[[#Headers],[18]])</f>
        <v>0</v>
      </c>
      <c r="W354" s="10">
        <f>SUMIFS(IsQList,IsIList,Table_ExternalData_15[[#This Row],[item_key]],IsITypeList,Table_ExternalData_15[[#This Row],[IType]],IsDList,Table_ExternalData_15[[#Headers],[19]])</f>
        <v>0</v>
      </c>
      <c r="X354" s="10">
        <f>SUMIFS(IsQList,IsIList,Table_ExternalData_15[[#This Row],[item_key]],IsITypeList,Table_ExternalData_15[[#This Row],[IType]],IsDList,Table_ExternalData_15[[#Headers],[20]])</f>
        <v>0</v>
      </c>
      <c r="Y354" s="10">
        <f>SUMIFS(IsQList,IsIList,Table_ExternalData_15[[#This Row],[item_key]],IsITypeList,Table_ExternalData_15[[#This Row],[IType]],IsDList,Table_ExternalData_15[[#Headers],[21]])</f>
        <v>0</v>
      </c>
      <c r="Z354" s="10">
        <f>SUMIFS(IsQList,IsIList,Table_ExternalData_15[[#This Row],[item_key]],IsITypeList,Table_ExternalData_15[[#This Row],[IType]],IsDList,Table_ExternalData_15[[#Headers],[22]])</f>
        <v>0</v>
      </c>
      <c r="AA354" s="10">
        <f>SUMIFS(IsQList,IsIList,Table_ExternalData_15[[#This Row],[item_key]],IsITypeList,Table_ExternalData_15[[#This Row],[IType]],IsDList,Table_ExternalData_15[[#Headers],[23]])</f>
        <v>0</v>
      </c>
      <c r="AB354" s="10">
        <f>SUMIFS(IsQList,IsIList,Table_ExternalData_15[[#This Row],[item_key]],IsITypeList,Table_ExternalData_15[[#This Row],[IType]],IsDList,Table_ExternalData_15[[#Headers],[24]])</f>
        <v>0</v>
      </c>
      <c r="AC354" s="10">
        <f>SUMIFS(IsQList,IsIList,Table_ExternalData_15[[#This Row],[item_key]],IsITypeList,Table_ExternalData_15[[#This Row],[IType]],IsDList,Table_ExternalData_15[[#Headers],[25]])</f>
        <v>0</v>
      </c>
      <c r="AD354" s="10">
        <f>SUMIFS(IsQList,IsIList,Table_ExternalData_15[[#This Row],[item_key]],IsITypeList,Table_ExternalData_15[[#This Row],[IType]],IsDList,Table_ExternalData_15[[#Headers],[26]])</f>
        <v>0</v>
      </c>
      <c r="AE354" s="10">
        <f>SUMIFS(IsQList,IsIList,Table_ExternalData_15[[#This Row],[item_key]],IsITypeList,Table_ExternalData_15[[#This Row],[IType]],IsDList,Table_ExternalData_15[[#Headers],[27]])</f>
        <v>0</v>
      </c>
      <c r="AF354" s="10">
        <f>SUMIFS(IsQList,IsIList,Table_ExternalData_15[[#This Row],[item_key]],IsITypeList,Table_ExternalData_15[[#This Row],[IType]],IsDList,Table_ExternalData_15[[#Headers],[28]])</f>
        <v>0</v>
      </c>
      <c r="AG354" s="10">
        <f>SUMIFS(IsQList,IsIList,Table_ExternalData_15[[#This Row],[item_key]],IsITypeList,Table_ExternalData_15[[#This Row],[IType]],IsDList,Table_ExternalData_15[[#Headers],[29]])</f>
        <v>0</v>
      </c>
      <c r="AH354" s="10">
        <f>SUMIFS(IsQList,IsIList,Table_ExternalData_15[[#This Row],[item_key]],IsITypeList,Table_ExternalData_15[[#This Row],[IType]],IsDList,Table_ExternalData_15[[#Headers],[30]])</f>
        <v>0</v>
      </c>
      <c r="AI354" s="10">
        <f>SUMIFS(IsQList,IsIList,Table_ExternalData_15[[#This Row],[item_key]],IsITypeList,Table_ExternalData_15[[#This Row],[IType]],IsDList,Table_ExternalData_15[[#Headers],[31]])</f>
        <v>0</v>
      </c>
      <c r="AJ354" s="10">
        <f>SUM(Table_ExternalData_15[[#This Row],[1]:[31]])</f>
        <v>0</v>
      </c>
    </row>
    <row r="355" spans="1:36">
      <c r="A355" s="1" t="s">
        <v>1092</v>
      </c>
      <c r="B355" s="1" t="s">
        <v>1555</v>
      </c>
      <c r="C355" s="1" t="s">
        <v>1556</v>
      </c>
      <c r="D355" s="11" t="s">
        <v>72</v>
      </c>
      <c r="E355" s="10">
        <f>SUMIFS(IsQList,IsIList,Table_ExternalData_15[[#This Row],[item_key]],IsITypeList,Table_ExternalData_15[[#This Row],[IType]],IsDList,Table_ExternalData_15[[#Headers],[1]])</f>
        <v>0</v>
      </c>
      <c r="F355" s="10">
        <f>SUMIFS(IsQList,IsIList,Table_ExternalData_15[[#This Row],[item_key]],IsITypeList,Table_ExternalData_15[[#This Row],[IType]],IsDList,Table_ExternalData_15[[#Headers],[2]])</f>
        <v>0</v>
      </c>
      <c r="G355" s="10">
        <f>SUMIFS(IsQList,IsIList,Table_ExternalData_15[[#This Row],[item_key]],IsITypeList,Table_ExternalData_15[[#This Row],[IType]],IsDList,Table_ExternalData_15[[#Headers],[3]])</f>
        <v>0</v>
      </c>
      <c r="H355" s="10">
        <f>SUMIFS(IsQList,IsIList,Table_ExternalData_15[[#This Row],[item_key]],IsITypeList,Table_ExternalData_15[[#This Row],[IType]],IsDList,Table_ExternalData_15[[#Headers],[4]])</f>
        <v>0</v>
      </c>
      <c r="I355" s="10">
        <f>SUMIFS(IsQList,IsIList,Table_ExternalData_15[[#This Row],[item_key]],IsITypeList,Table_ExternalData_15[[#This Row],[IType]],IsDList,Table_ExternalData_15[[#Headers],[5]])</f>
        <v>0</v>
      </c>
      <c r="J355" s="10">
        <f>SUMIFS(IsQList,IsIList,Table_ExternalData_15[[#This Row],[item_key]],IsITypeList,Table_ExternalData_15[[#This Row],[IType]],IsDList,Table_ExternalData_15[[#Headers],[6]])</f>
        <v>0</v>
      </c>
      <c r="K355" s="10">
        <f>SUMIFS(IsQList,IsIList,Table_ExternalData_15[[#This Row],[item_key]],IsITypeList,Table_ExternalData_15[[#This Row],[IType]],IsDList,Table_ExternalData_15[[#Headers],[7]])</f>
        <v>0</v>
      </c>
      <c r="L355" s="10">
        <f>SUMIFS(IsQList,IsIList,Table_ExternalData_15[[#This Row],[item_key]],IsITypeList,Table_ExternalData_15[[#This Row],[IType]],IsDList,Table_ExternalData_15[[#Headers],[8]])</f>
        <v>0</v>
      </c>
      <c r="M355" s="10">
        <f>SUMIFS(IsQList,IsIList,Table_ExternalData_15[[#This Row],[item_key]],IsITypeList,Table_ExternalData_15[[#This Row],[IType]],IsDList,Table_ExternalData_15[[#Headers],[9]])</f>
        <v>0</v>
      </c>
      <c r="N355" s="10">
        <f>SUMIFS(IsQList,IsIList,Table_ExternalData_15[[#This Row],[item_key]],IsITypeList,Table_ExternalData_15[[#This Row],[IType]],IsDList,Table_ExternalData_15[[#Headers],[10]])</f>
        <v>0</v>
      </c>
      <c r="O355" s="10">
        <f>SUMIFS(IsQList,IsIList,Table_ExternalData_15[[#This Row],[item_key]],IsITypeList,Table_ExternalData_15[[#This Row],[IType]],IsDList,Table_ExternalData_15[[#Headers],[11]])</f>
        <v>0</v>
      </c>
      <c r="P355" s="10">
        <f>SUMIFS(IsQList,IsIList,Table_ExternalData_15[[#This Row],[item_key]],IsITypeList,Table_ExternalData_15[[#This Row],[IType]],IsDList,Table_ExternalData_15[[#Headers],[12]])</f>
        <v>0</v>
      </c>
      <c r="Q355" s="10">
        <f>SUMIFS(IsQList,IsIList,Table_ExternalData_15[[#This Row],[item_key]],IsITypeList,Table_ExternalData_15[[#This Row],[IType]],IsDList,Table_ExternalData_15[[#Headers],[13]])</f>
        <v>0</v>
      </c>
      <c r="R355" s="10">
        <f>SUMIFS(IsQList,IsIList,Table_ExternalData_15[[#This Row],[item_key]],IsITypeList,Table_ExternalData_15[[#This Row],[IType]],IsDList,Table_ExternalData_15[[#Headers],[14]])</f>
        <v>0</v>
      </c>
      <c r="S355" s="10">
        <f>SUMIFS(IsQList,IsIList,Table_ExternalData_15[[#This Row],[item_key]],IsITypeList,Table_ExternalData_15[[#This Row],[IType]],IsDList,Table_ExternalData_15[[#Headers],[15]])</f>
        <v>0</v>
      </c>
      <c r="T355" s="10">
        <f>SUMIFS(IsQList,IsIList,Table_ExternalData_15[[#This Row],[item_key]],IsITypeList,Table_ExternalData_15[[#This Row],[IType]],IsDList,Table_ExternalData_15[[#Headers],[16]])</f>
        <v>5</v>
      </c>
      <c r="U355" s="10">
        <f>SUMIFS(IsQList,IsIList,Table_ExternalData_15[[#This Row],[item_key]],IsITypeList,Table_ExternalData_15[[#This Row],[IType]],IsDList,Table_ExternalData_15[[#Headers],[17]])</f>
        <v>0</v>
      </c>
      <c r="V355" s="10">
        <f>SUMIFS(IsQList,IsIList,Table_ExternalData_15[[#This Row],[item_key]],IsITypeList,Table_ExternalData_15[[#This Row],[IType]],IsDList,Table_ExternalData_15[[#Headers],[18]])</f>
        <v>0</v>
      </c>
      <c r="W355" s="10">
        <f>SUMIFS(IsQList,IsIList,Table_ExternalData_15[[#This Row],[item_key]],IsITypeList,Table_ExternalData_15[[#This Row],[IType]],IsDList,Table_ExternalData_15[[#Headers],[19]])</f>
        <v>0</v>
      </c>
      <c r="X355" s="10">
        <f>SUMIFS(IsQList,IsIList,Table_ExternalData_15[[#This Row],[item_key]],IsITypeList,Table_ExternalData_15[[#This Row],[IType]],IsDList,Table_ExternalData_15[[#Headers],[20]])</f>
        <v>0</v>
      </c>
      <c r="Y355" s="10">
        <f>SUMIFS(IsQList,IsIList,Table_ExternalData_15[[#This Row],[item_key]],IsITypeList,Table_ExternalData_15[[#This Row],[IType]],IsDList,Table_ExternalData_15[[#Headers],[21]])</f>
        <v>0</v>
      </c>
      <c r="Z355" s="10">
        <f>SUMIFS(IsQList,IsIList,Table_ExternalData_15[[#This Row],[item_key]],IsITypeList,Table_ExternalData_15[[#This Row],[IType]],IsDList,Table_ExternalData_15[[#Headers],[22]])</f>
        <v>0</v>
      </c>
      <c r="AA355" s="10">
        <f>SUMIFS(IsQList,IsIList,Table_ExternalData_15[[#This Row],[item_key]],IsITypeList,Table_ExternalData_15[[#This Row],[IType]],IsDList,Table_ExternalData_15[[#Headers],[23]])</f>
        <v>0</v>
      </c>
      <c r="AB355" s="10">
        <f>SUMIFS(IsQList,IsIList,Table_ExternalData_15[[#This Row],[item_key]],IsITypeList,Table_ExternalData_15[[#This Row],[IType]],IsDList,Table_ExternalData_15[[#Headers],[24]])</f>
        <v>0</v>
      </c>
      <c r="AC355" s="10">
        <f>SUMIFS(IsQList,IsIList,Table_ExternalData_15[[#This Row],[item_key]],IsITypeList,Table_ExternalData_15[[#This Row],[IType]],IsDList,Table_ExternalData_15[[#Headers],[25]])</f>
        <v>0</v>
      </c>
      <c r="AD355" s="10">
        <f>SUMIFS(IsQList,IsIList,Table_ExternalData_15[[#This Row],[item_key]],IsITypeList,Table_ExternalData_15[[#This Row],[IType]],IsDList,Table_ExternalData_15[[#Headers],[26]])</f>
        <v>0</v>
      </c>
      <c r="AE355" s="10">
        <f>SUMIFS(IsQList,IsIList,Table_ExternalData_15[[#This Row],[item_key]],IsITypeList,Table_ExternalData_15[[#This Row],[IType]],IsDList,Table_ExternalData_15[[#Headers],[27]])</f>
        <v>0</v>
      </c>
      <c r="AF355" s="10">
        <f>SUMIFS(IsQList,IsIList,Table_ExternalData_15[[#This Row],[item_key]],IsITypeList,Table_ExternalData_15[[#This Row],[IType]],IsDList,Table_ExternalData_15[[#Headers],[28]])</f>
        <v>0</v>
      </c>
      <c r="AG355" s="10">
        <f>SUMIFS(IsQList,IsIList,Table_ExternalData_15[[#This Row],[item_key]],IsITypeList,Table_ExternalData_15[[#This Row],[IType]],IsDList,Table_ExternalData_15[[#Headers],[29]])</f>
        <v>0</v>
      </c>
      <c r="AH355" s="10">
        <f>SUMIFS(IsQList,IsIList,Table_ExternalData_15[[#This Row],[item_key]],IsITypeList,Table_ExternalData_15[[#This Row],[IType]],IsDList,Table_ExternalData_15[[#Headers],[30]])</f>
        <v>0</v>
      </c>
      <c r="AI355" s="10">
        <f>SUMIFS(IsQList,IsIList,Table_ExternalData_15[[#This Row],[item_key]],IsITypeList,Table_ExternalData_15[[#This Row],[IType]],IsDList,Table_ExternalData_15[[#Headers],[31]])</f>
        <v>0</v>
      </c>
      <c r="AJ355" s="10">
        <f>SUM(Table_ExternalData_15[[#This Row],[1]:[31]])</f>
        <v>5</v>
      </c>
    </row>
    <row r="356" spans="1:36">
      <c r="A356" s="1" t="s">
        <v>1094</v>
      </c>
      <c r="B356" s="1" t="s">
        <v>2805</v>
      </c>
      <c r="C356" s="1" t="s">
        <v>2806</v>
      </c>
      <c r="D356" s="11" t="s">
        <v>72</v>
      </c>
      <c r="E356" s="10">
        <f>SUMIFS(IsQList,IsIList,Table_ExternalData_15[[#This Row],[item_key]],IsITypeList,Table_ExternalData_15[[#This Row],[IType]],IsDList,Table_ExternalData_15[[#Headers],[1]])</f>
        <v>0</v>
      </c>
      <c r="F356" s="10">
        <f>SUMIFS(IsQList,IsIList,Table_ExternalData_15[[#This Row],[item_key]],IsITypeList,Table_ExternalData_15[[#This Row],[IType]],IsDList,Table_ExternalData_15[[#Headers],[2]])</f>
        <v>0</v>
      </c>
      <c r="G356" s="10">
        <f>SUMIFS(IsQList,IsIList,Table_ExternalData_15[[#This Row],[item_key]],IsITypeList,Table_ExternalData_15[[#This Row],[IType]],IsDList,Table_ExternalData_15[[#Headers],[3]])</f>
        <v>0</v>
      </c>
      <c r="H356" s="10">
        <f>SUMIFS(IsQList,IsIList,Table_ExternalData_15[[#This Row],[item_key]],IsITypeList,Table_ExternalData_15[[#This Row],[IType]],IsDList,Table_ExternalData_15[[#Headers],[4]])</f>
        <v>0</v>
      </c>
      <c r="I356" s="10">
        <f>SUMIFS(IsQList,IsIList,Table_ExternalData_15[[#This Row],[item_key]],IsITypeList,Table_ExternalData_15[[#This Row],[IType]],IsDList,Table_ExternalData_15[[#Headers],[5]])</f>
        <v>0</v>
      </c>
      <c r="J356" s="10">
        <f>SUMIFS(IsQList,IsIList,Table_ExternalData_15[[#This Row],[item_key]],IsITypeList,Table_ExternalData_15[[#This Row],[IType]],IsDList,Table_ExternalData_15[[#Headers],[6]])</f>
        <v>0</v>
      </c>
      <c r="K356" s="10">
        <f>SUMIFS(IsQList,IsIList,Table_ExternalData_15[[#This Row],[item_key]],IsITypeList,Table_ExternalData_15[[#This Row],[IType]],IsDList,Table_ExternalData_15[[#Headers],[7]])</f>
        <v>0</v>
      </c>
      <c r="L356" s="10">
        <f>SUMIFS(IsQList,IsIList,Table_ExternalData_15[[#This Row],[item_key]],IsITypeList,Table_ExternalData_15[[#This Row],[IType]],IsDList,Table_ExternalData_15[[#Headers],[8]])</f>
        <v>0</v>
      </c>
      <c r="M356" s="10">
        <f>SUMIFS(IsQList,IsIList,Table_ExternalData_15[[#This Row],[item_key]],IsITypeList,Table_ExternalData_15[[#This Row],[IType]],IsDList,Table_ExternalData_15[[#Headers],[9]])</f>
        <v>0</v>
      </c>
      <c r="N356" s="10">
        <f>SUMIFS(IsQList,IsIList,Table_ExternalData_15[[#This Row],[item_key]],IsITypeList,Table_ExternalData_15[[#This Row],[IType]],IsDList,Table_ExternalData_15[[#Headers],[10]])</f>
        <v>0</v>
      </c>
      <c r="O356" s="10">
        <f>SUMIFS(IsQList,IsIList,Table_ExternalData_15[[#This Row],[item_key]],IsITypeList,Table_ExternalData_15[[#This Row],[IType]],IsDList,Table_ExternalData_15[[#Headers],[11]])</f>
        <v>0</v>
      </c>
      <c r="P356" s="10">
        <f>SUMIFS(IsQList,IsIList,Table_ExternalData_15[[#This Row],[item_key]],IsITypeList,Table_ExternalData_15[[#This Row],[IType]],IsDList,Table_ExternalData_15[[#Headers],[12]])</f>
        <v>0</v>
      </c>
      <c r="Q356" s="10">
        <f>SUMIFS(IsQList,IsIList,Table_ExternalData_15[[#This Row],[item_key]],IsITypeList,Table_ExternalData_15[[#This Row],[IType]],IsDList,Table_ExternalData_15[[#Headers],[13]])</f>
        <v>0</v>
      </c>
      <c r="R356" s="10">
        <f>SUMIFS(IsQList,IsIList,Table_ExternalData_15[[#This Row],[item_key]],IsITypeList,Table_ExternalData_15[[#This Row],[IType]],IsDList,Table_ExternalData_15[[#Headers],[14]])</f>
        <v>0</v>
      </c>
      <c r="S356" s="10">
        <f>SUMIFS(IsQList,IsIList,Table_ExternalData_15[[#This Row],[item_key]],IsITypeList,Table_ExternalData_15[[#This Row],[IType]],IsDList,Table_ExternalData_15[[#Headers],[15]])</f>
        <v>0</v>
      </c>
      <c r="T356" s="10">
        <f>SUMIFS(IsQList,IsIList,Table_ExternalData_15[[#This Row],[item_key]],IsITypeList,Table_ExternalData_15[[#This Row],[IType]],IsDList,Table_ExternalData_15[[#Headers],[16]])</f>
        <v>0</v>
      </c>
      <c r="U356" s="10">
        <f>SUMIFS(IsQList,IsIList,Table_ExternalData_15[[#This Row],[item_key]],IsITypeList,Table_ExternalData_15[[#This Row],[IType]],IsDList,Table_ExternalData_15[[#Headers],[17]])</f>
        <v>0</v>
      </c>
      <c r="V356" s="10">
        <f>SUMIFS(IsQList,IsIList,Table_ExternalData_15[[#This Row],[item_key]],IsITypeList,Table_ExternalData_15[[#This Row],[IType]],IsDList,Table_ExternalData_15[[#Headers],[18]])</f>
        <v>0</v>
      </c>
      <c r="W356" s="10">
        <f>SUMIFS(IsQList,IsIList,Table_ExternalData_15[[#This Row],[item_key]],IsITypeList,Table_ExternalData_15[[#This Row],[IType]],IsDList,Table_ExternalData_15[[#Headers],[19]])</f>
        <v>0</v>
      </c>
      <c r="X356" s="10">
        <f>SUMIFS(IsQList,IsIList,Table_ExternalData_15[[#This Row],[item_key]],IsITypeList,Table_ExternalData_15[[#This Row],[IType]],IsDList,Table_ExternalData_15[[#Headers],[20]])</f>
        <v>0</v>
      </c>
      <c r="Y356" s="10">
        <f>SUMIFS(IsQList,IsIList,Table_ExternalData_15[[#This Row],[item_key]],IsITypeList,Table_ExternalData_15[[#This Row],[IType]],IsDList,Table_ExternalData_15[[#Headers],[21]])</f>
        <v>0</v>
      </c>
      <c r="Z356" s="10">
        <f>SUMIFS(IsQList,IsIList,Table_ExternalData_15[[#This Row],[item_key]],IsITypeList,Table_ExternalData_15[[#This Row],[IType]],IsDList,Table_ExternalData_15[[#Headers],[22]])</f>
        <v>0</v>
      </c>
      <c r="AA356" s="10">
        <f>SUMIFS(IsQList,IsIList,Table_ExternalData_15[[#This Row],[item_key]],IsITypeList,Table_ExternalData_15[[#This Row],[IType]],IsDList,Table_ExternalData_15[[#Headers],[23]])</f>
        <v>0</v>
      </c>
      <c r="AB356" s="10">
        <f>SUMIFS(IsQList,IsIList,Table_ExternalData_15[[#This Row],[item_key]],IsITypeList,Table_ExternalData_15[[#This Row],[IType]],IsDList,Table_ExternalData_15[[#Headers],[24]])</f>
        <v>0</v>
      </c>
      <c r="AC356" s="10">
        <f>SUMIFS(IsQList,IsIList,Table_ExternalData_15[[#This Row],[item_key]],IsITypeList,Table_ExternalData_15[[#This Row],[IType]],IsDList,Table_ExternalData_15[[#Headers],[25]])</f>
        <v>0</v>
      </c>
      <c r="AD356" s="10">
        <f>SUMIFS(IsQList,IsIList,Table_ExternalData_15[[#This Row],[item_key]],IsITypeList,Table_ExternalData_15[[#This Row],[IType]],IsDList,Table_ExternalData_15[[#Headers],[26]])</f>
        <v>0</v>
      </c>
      <c r="AE356" s="10">
        <f>SUMIFS(IsQList,IsIList,Table_ExternalData_15[[#This Row],[item_key]],IsITypeList,Table_ExternalData_15[[#This Row],[IType]],IsDList,Table_ExternalData_15[[#Headers],[27]])</f>
        <v>0</v>
      </c>
      <c r="AF356" s="10">
        <f>SUMIFS(IsQList,IsIList,Table_ExternalData_15[[#This Row],[item_key]],IsITypeList,Table_ExternalData_15[[#This Row],[IType]],IsDList,Table_ExternalData_15[[#Headers],[28]])</f>
        <v>0</v>
      </c>
      <c r="AG356" s="10">
        <f>SUMIFS(IsQList,IsIList,Table_ExternalData_15[[#This Row],[item_key]],IsITypeList,Table_ExternalData_15[[#This Row],[IType]],IsDList,Table_ExternalData_15[[#Headers],[29]])</f>
        <v>0</v>
      </c>
      <c r="AH356" s="10">
        <f>SUMIFS(IsQList,IsIList,Table_ExternalData_15[[#This Row],[item_key]],IsITypeList,Table_ExternalData_15[[#This Row],[IType]],IsDList,Table_ExternalData_15[[#Headers],[30]])</f>
        <v>0</v>
      </c>
      <c r="AI356" s="10">
        <f>SUMIFS(IsQList,IsIList,Table_ExternalData_15[[#This Row],[item_key]],IsITypeList,Table_ExternalData_15[[#This Row],[IType]],IsDList,Table_ExternalData_15[[#Headers],[31]])</f>
        <v>0</v>
      </c>
      <c r="AJ356" s="10">
        <f>SUM(Table_ExternalData_15[[#This Row],[1]:[31]])</f>
        <v>0</v>
      </c>
    </row>
    <row r="357" spans="1:36">
      <c r="A357" s="1" t="s">
        <v>1096</v>
      </c>
      <c r="B357" s="1" t="s">
        <v>1527</v>
      </c>
      <c r="C357" s="1" t="s">
        <v>1612</v>
      </c>
      <c r="D357" s="11" t="s">
        <v>72</v>
      </c>
      <c r="E357" s="10">
        <f>SUMIFS(IsQList,IsIList,Table_ExternalData_15[[#This Row],[item_key]],IsITypeList,Table_ExternalData_15[[#This Row],[IType]],IsDList,Table_ExternalData_15[[#Headers],[1]])</f>
        <v>0</v>
      </c>
      <c r="F357" s="10">
        <f>SUMIFS(IsQList,IsIList,Table_ExternalData_15[[#This Row],[item_key]],IsITypeList,Table_ExternalData_15[[#This Row],[IType]],IsDList,Table_ExternalData_15[[#Headers],[2]])</f>
        <v>0</v>
      </c>
      <c r="G357" s="10">
        <f>SUMIFS(IsQList,IsIList,Table_ExternalData_15[[#This Row],[item_key]],IsITypeList,Table_ExternalData_15[[#This Row],[IType]],IsDList,Table_ExternalData_15[[#Headers],[3]])</f>
        <v>0</v>
      </c>
      <c r="H357" s="10">
        <f>SUMIFS(IsQList,IsIList,Table_ExternalData_15[[#This Row],[item_key]],IsITypeList,Table_ExternalData_15[[#This Row],[IType]],IsDList,Table_ExternalData_15[[#Headers],[4]])</f>
        <v>0</v>
      </c>
      <c r="I357" s="10">
        <f>SUMIFS(IsQList,IsIList,Table_ExternalData_15[[#This Row],[item_key]],IsITypeList,Table_ExternalData_15[[#This Row],[IType]],IsDList,Table_ExternalData_15[[#Headers],[5]])</f>
        <v>0</v>
      </c>
      <c r="J357" s="10">
        <f>SUMIFS(IsQList,IsIList,Table_ExternalData_15[[#This Row],[item_key]],IsITypeList,Table_ExternalData_15[[#This Row],[IType]],IsDList,Table_ExternalData_15[[#Headers],[6]])</f>
        <v>0</v>
      </c>
      <c r="K357" s="10">
        <f>SUMIFS(IsQList,IsIList,Table_ExternalData_15[[#This Row],[item_key]],IsITypeList,Table_ExternalData_15[[#This Row],[IType]],IsDList,Table_ExternalData_15[[#Headers],[7]])</f>
        <v>0</v>
      </c>
      <c r="L357" s="10">
        <f>SUMIFS(IsQList,IsIList,Table_ExternalData_15[[#This Row],[item_key]],IsITypeList,Table_ExternalData_15[[#This Row],[IType]],IsDList,Table_ExternalData_15[[#Headers],[8]])</f>
        <v>0</v>
      </c>
      <c r="M357" s="10">
        <f>SUMIFS(IsQList,IsIList,Table_ExternalData_15[[#This Row],[item_key]],IsITypeList,Table_ExternalData_15[[#This Row],[IType]],IsDList,Table_ExternalData_15[[#Headers],[9]])</f>
        <v>0</v>
      </c>
      <c r="N357" s="10">
        <f>SUMIFS(IsQList,IsIList,Table_ExternalData_15[[#This Row],[item_key]],IsITypeList,Table_ExternalData_15[[#This Row],[IType]],IsDList,Table_ExternalData_15[[#Headers],[10]])</f>
        <v>0</v>
      </c>
      <c r="O357" s="10">
        <f>SUMIFS(IsQList,IsIList,Table_ExternalData_15[[#This Row],[item_key]],IsITypeList,Table_ExternalData_15[[#This Row],[IType]],IsDList,Table_ExternalData_15[[#Headers],[11]])</f>
        <v>0</v>
      </c>
      <c r="P357" s="10">
        <f>SUMIFS(IsQList,IsIList,Table_ExternalData_15[[#This Row],[item_key]],IsITypeList,Table_ExternalData_15[[#This Row],[IType]],IsDList,Table_ExternalData_15[[#Headers],[12]])</f>
        <v>0</v>
      </c>
      <c r="Q357" s="10">
        <f>SUMIFS(IsQList,IsIList,Table_ExternalData_15[[#This Row],[item_key]],IsITypeList,Table_ExternalData_15[[#This Row],[IType]],IsDList,Table_ExternalData_15[[#Headers],[13]])</f>
        <v>0</v>
      </c>
      <c r="R357" s="10">
        <f>SUMIFS(IsQList,IsIList,Table_ExternalData_15[[#This Row],[item_key]],IsITypeList,Table_ExternalData_15[[#This Row],[IType]],IsDList,Table_ExternalData_15[[#Headers],[14]])</f>
        <v>0</v>
      </c>
      <c r="S357" s="10">
        <f>SUMIFS(IsQList,IsIList,Table_ExternalData_15[[#This Row],[item_key]],IsITypeList,Table_ExternalData_15[[#This Row],[IType]],IsDList,Table_ExternalData_15[[#Headers],[15]])</f>
        <v>0</v>
      </c>
      <c r="T357" s="10">
        <f>SUMIFS(IsQList,IsIList,Table_ExternalData_15[[#This Row],[item_key]],IsITypeList,Table_ExternalData_15[[#This Row],[IType]],IsDList,Table_ExternalData_15[[#Headers],[16]])</f>
        <v>0</v>
      </c>
      <c r="U357" s="10">
        <f>SUMIFS(IsQList,IsIList,Table_ExternalData_15[[#This Row],[item_key]],IsITypeList,Table_ExternalData_15[[#This Row],[IType]],IsDList,Table_ExternalData_15[[#Headers],[17]])</f>
        <v>0</v>
      </c>
      <c r="V357" s="10">
        <f>SUMIFS(IsQList,IsIList,Table_ExternalData_15[[#This Row],[item_key]],IsITypeList,Table_ExternalData_15[[#This Row],[IType]],IsDList,Table_ExternalData_15[[#Headers],[18]])</f>
        <v>0</v>
      </c>
      <c r="W357" s="10">
        <f>SUMIFS(IsQList,IsIList,Table_ExternalData_15[[#This Row],[item_key]],IsITypeList,Table_ExternalData_15[[#This Row],[IType]],IsDList,Table_ExternalData_15[[#Headers],[19]])</f>
        <v>0</v>
      </c>
      <c r="X357" s="10">
        <f>SUMIFS(IsQList,IsIList,Table_ExternalData_15[[#This Row],[item_key]],IsITypeList,Table_ExternalData_15[[#This Row],[IType]],IsDList,Table_ExternalData_15[[#Headers],[20]])</f>
        <v>0</v>
      </c>
      <c r="Y357" s="10">
        <f>SUMIFS(IsQList,IsIList,Table_ExternalData_15[[#This Row],[item_key]],IsITypeList,Table_ExternalData_15[[#This Row],[IType]],IsDList,Table_ExternalData_15[[#Headers],[21]])</f>
        <v>0</v>
      </c>
      <c r="Z357" s="10">
        <f>SUMIFS(IsQList,IsIList,Table_ExternalData_15[[#This Row],[item_key]],IsITypeList,Table_ExternalData_15[[#This Row],[IType]],IsDList,Table_ExternalData_15[[#Headers],[22]])</f>
        <v>0</v>
      </c>
      <c r="AA357" s="10">
        <f>SUMIFS(IsQList,IsIList,Table_ExternalData_15[[#This Row],[item_key]],IsITypeList,Table_ExternalData_15[[#This Row],[IType]],IsDList,Table_ExternalData_15[[#Headers],[23]])</f>
        <v>0</v>
      </c>
      <c r="AB357" s="10">
        <f>SUMIFS(IsQList,IsIList,Table_ExternalData_15[[#This Row],[item_key]],IsITypeList,Table_ExternalData_15[[#This Row],[IType]],IsDList,Table_ExternalData_15[[#Headers],[24]])</f>
        <v>0</v>
      </c>
      <c r="AC357" s="10">
        <f>SUMIFS(IsQList,IsIList,Table_ExternalData_15[[#This Row],[item_key]],IsITypeList,Table_ExternalData_15[[#This Row],[IType]],IsDList,Table_ExternalData_15[[#Headers],[25]])</f>
        <v>0</v>
      </c>
      <c r="AD357" s="10">
        <f>SUMIFS(IsQList,IsIList,Table_ExternalData_15[[#This Row],[item_key]],IsITypeList,Table_ExternalData_15[[#This Row],[IType]],IsDList,Table_ExternalData_15[[#Headers],[26]])</f>
        <v>0</v>
      </c>
      <c r="AE357" s="10">
        <f>SUMIFS(IsQList,IsIList,Table_ExternalData_15[[#This Row],[item_key]],IsITypeList,Table_ExternalData_15[[#This Row],[IType]],IsDList,Table_ExternalData_15[[#Headers],[27]])</f>
        <v>0</v>
      </c>
      <c r="AF357" s="10">
        <f>SUMIFS(IsQList,IsIList,Table_ExternalData_15[[#This Row],[item_key]],IsITypeList,Table_ExternalData_15[[#This Row],[IType]],IsDList,Table_ExternalData_15[[#Headers],[28]])</f>
        <v>0</v>
      </c>
      <c r="AG357" s="10">
        <f>SUMIFS(IsQList,IsIList,Table_ExternalData_15[[#This Row],[item_key]],IsITypeList,Table_ExternalData_15[[#This Row],[IType]],IsDList,Table_ExternalData_15[[#Headers],[29]])</f>
        <v>0</v>
      </c>
      <c r="AH357" s="10">
        <f>SUMIFS(IsQList,IsIList,Table_ExternalData_15[[#This Row],[item_key]],IsITypeList,Table_ExternalData_15[[#This Row],[IType]],IsDList,Table_ExternalData_15[[#Headers],[30]])</f>
        <v>3</v>
      </c>
      <c r="AI357" s="10">
        <f>SUMIFS(IsQList,IsIList,Table_ExternalData_15[[#This Row],[item_key]],IsITypeList,Table_ExternalData_15[[#This Row],[IType]],IsDList,Table_ExternalData_15[[#Headers],[31]])</f>
        <v>0</v>
      </c>
      <c r="AJ357" s="10">
        <f>SUM(Table_ExternalData_15[[#This Row],[1]:[31]])</f>
        <v>3</v>
      </c>
    </row>
    <row r="358" spans="1:36">
      <c r="A358" s="1" t="s">
        <v>1104</v>
      </c>
      <c r="B358" s="1" t="s">
        <v>87</v>
      </c>
      <c r="C358" s="1" t="s">
        <v>2807</v>
      </c>
      <c r="D358" s="11" t="s">
        <v>72</v>
      </c>
      <c r="E358" s="10">
        <f>SUMIFS(IsQList,IsIList,Table_ExternalData_15[[#This Row],[item_key]],IsITypeList,Table_ExternalData_15[[#This Row],[IType]],IsDList,Table_ExternalData_15[[#Headers],[1]])</f>
        <v>0</v>
      </c>
      <c r="F358" s="10">
        <f>SUMIFS(IsQList,IsIList,Table_ExternalData_15[[#This Row],[item_key]],IsITypeList,Table_ExternalData_15[[#This Row],[IType]],IsDList,Table_ExternalData_15[[#Headers],[2]])</f>
        <v>0</v>
      </c>
      <c r="G358" s="10">
        <f>SUMIFS(IsQList,IsIList,Table_ExternalData_15[[#This Row],[item_key]],IsITypeList,Table_ExternalData_15[[#This Row],[IType]],IsDList,Table_ExternalData_15[[#Headers],[3]])</f>
        <v>0</v>
      </c>
      <c r="H358" s="10">
        <f>SUMIFS(IsQList,IsIList,Table_ExternalData_15[[#This Row],[item_key]],IsITypeList,Table_ExternalData_15[[#This Row],[IType]],IsDList,Table_ExternalData_15[[#Headers],[4]])</f>
        <v>0</v>
      </c>
      <c r="I358" s="10">
        <f>SUMIFS(IsQList,IsIList,Table_ExternalData_15[[#This Row],[item_key]],IsITypeList,Table_ExternalData_15[[#This Row],[IType]],IsDList,Table_ExternalData_15[[#Headers],[5]])</f>
        <v>0</v>
      </c>
      <c r="J358" s="10">
        <f>SUMIFS(IsQList,IsIList,Table_ExternalData_15[[#This Row],[item_key]],IsITypeList,Table_ExternalData_15[[#This Row],[IType]],IsDList,Table_ExternalData_15[[#Headers],[6]])</f>
        <v>3</v>
      </c>
      <c r="K358" s="10">
        <f>SUMIFS(IsQList,IsIList,Table_ExternalData_15[[#This Row],[item_key]],IsITypeList,Table_ExternalData_15[[#This Row],[IType]],IsDList,Table_ExternalData_15[[#Headers],[7]])</f>
        <v>0</v>
      </c>
      <c r="L358" s="10">
        <f>SUMIFS(IsQList,IsIList,Table_ExternalData_15[[#This Row],[item_key]],IsITypeList,Table_ExternalData_15[[#This Row],[IType]],IsDList,Table_ExternalData_15[[#Headers],[8]])</f>
        <v>0</v>
      </c>
      <c r="M358" s="10">
        <f>SUMIFS(IsQList,IsIList,Table_ExternalData_15[[#This Row],[item_key]],IsITypeList,Table_ExternalData_15[[#This Row],[IType]],IsDList,Table_ExternalData_15[[#Headers],[9]])</f>
        <v>0</v>
      </c>
      <c r="N358" s="10">
        <f>SUMIFS(IsQList,IsIList,Table_ExternalData_15[[#This Row],[item_key]],IsITypeList,Table_ExternalData_15[[#This Row],[IType]],IsDList,Table_ExternalData_15[[#Headers],[10]])</f>
        <v>0</v>
      </c>
      <c r="O358" s="10">
        <f>SUMIFS(IsQList,IsIList,Table_ExternalData_15[[#This Row],[item_key]],IsITypeList,Table_ExternalData_15[[#This Row],[IType]],IsDList,Table_ExternalData_15[[#Headers],[11]])</f>
        <v>0</v>
      </c>
      <c r="P358" s="10">
        <f>SUMIFS(IsQList,IsIList,Table_ExternalData_15[[#This Row],[item_key]],IsITypeList,Table_ExternalData_15[[#This Row],[IType]],IsDList,Table_ExternalData_15[[#Headers],[12]])</f>
        <v>0</v>
      </c>
      <c r="Q358" s="10">
        <f>SUMIFS(IsQList,IsIList,Table_ExternalData_15[[#This Row],[item_key]],IsITypeList,Table_ExternalData_15[[#This Row],[IType]],IsDList,Table_ExternalData_15[[#Headers],[13]])</f>
        <v>0</v>
      </c>
      <c r="R358" s="10">
        <f>SUMIFS(IsQList,IsIList,Table_ExternalData_15[[#This Row],[item_key]],IsITypeList,Table_ExternalData_15[[#This Row],[IType]],IsDList,Table_ExternalData_15[[#Headers],[14]])</f>
        <v>0</v>
      </c>
      <c r="S358" s="10">
        <f>SUMIFS(IsQList,IsIList,Table_ExternalData_15[[#This Row],[item_key]],IsITypeList,Table_ExternalData_15[[#This Row],[IType]],IsDList,Table_ExternalData_15[[#Headers],[15]])</f>
        <v>0</v>
      </c>
      <c r="T358" s="10">
        <f>SUMIFS(IsQList,IsIList,Table_ExternalData_15[[#This Row],[item_key]],IsITypeList,Table_ExternalData_15[[#This Row],[IType]],IsDList,Table_ExternalData_15[[#Headers],[16]])</f>
        <v>0</v>
      </c>
      <c r="U358" s="10">
        <f>SUMIFS(IsQList,IsIList,Table_ExternalData_15[[#This Row],[item_key]],IsITypeList,Table_ExternalData_15[[#This Row],[IType]],IsDList,Table_ExternalData_15[[#Headers],[17]])</f>
        <v>0</v>
      </c>
      <c r="V358" s="10">
        <f>SUMIFS(IsQList,IsIList,Table_ExternalData_15[[#This Row],[item_key]],IsITypeList,Table_ExternalData_15[[#This Row],[IType]],IsDList,Table_ExternalData_15[[#Headers],[18]])</f>
        <v>0</v>
      </c>
      <c r="W358" s="10">
        <f>SUMIFS(IsQList,IsIList,Table_ExternalData_15[[#This Row],[item_key]],IsITypeList,Table_ExternalData_15[[#This Row],[IType]],IsDList,Table_ExternalData_15[[#Headers],[19]])</f>
        <v>0</v>
      </c>
      <c r="X358" s="10">
        <f>SUMIFS(IsQList,IsIList,Table_ExternalData_15[[#This Row],[item_key]],IsITypeList,Table_ExternalData_15[[#This Row],[IType]],IsDList,Table_ExternalData_15[[#Headers],[20]])</f>
        <v>0</v>
      </c>
      <c r="Y358" s="10">
        <f>SUMIFS(IsQList,IsIList,Table_ExternalData_15[[#This Row],[item_key]],IsITypeList,Table_ExternalData_15[[#This Row],[IType]],IsDList,Table_ExternalData_15[[#Headers],[21]])</f>
        <v>0</v>
      </c>
      <c r="Z358" s="10">
        <f>SUMIFS(IsQList,IsIList,Table_ExternalData_15[[#This Row],[item_key]],IsITypeList,Table_ExternalData_15[[#This Row],[IType]],IsDList,Table_ExternalData_15[[#Headers],[22]])</f>
        <v>0</v>
      </c>
      <c r="AA358" s="10">
        <f>SUMIFS(IsQList,IsIList,Table_ExternalData_15[[#This Row],[item_key]],IsITypeList,Table_ExternalData_15[[#This Row],[IType]],IsDList,Table_ExternalData_15[[#Headers],[23]])</f>
        <v>0</v>
      </c>
      <c r="AB358" s="10">
        <f>SUMIFS(IsQList,IsIList,Table_ExternalData_15[[#This Row],[item_key]],IsITypeList,Table_ExternalData_15[[#This Row],[IType]],IsDList,Table_ExternalData_15[[#Headers],[24]])</f>
        <v>0</v>
      </c>
      <c r="AC358" s="10">
        <f>SUMIFS(IsQList,IsIList,Table_ExternalData_15[[#This Row],[item_key]],IsITypeList,Table_ExternalData_15[[#This Row],[IType]],IsDList,Table_ExternalData_15[[#Headers],[25]])</f>
        <v>0</v>
      </c>
      <c r="AD358" s="10">
        <f>SUMIFS(IsQList,IsIList,Table_ExternalData_15[[#This Row],[item_key]],IsITypeList,Table_ExternalData_15[[#This Row],[IType]],IsDList,Table_ExternalData_15[[#Headers],[26]])</f>
        <v>0</v>
      </c>
      <c r="AE358" s="10">
        <f>SUMIFS(IsQList,IsIList,Table_ExternalData_15[[#This Row],[item_key]],IsITypeList,Table_ExternalData_15[[#This Row],[IType]],IsDList,Table_ExternalData_15[[#Headers],[27]])</f>
        <v>0</v>
      </c>
      <c r="AF358" s="10">
        <f>SUMIFS(IsQList,IsIList,Table_ExternalData_15[[#This Row],[item_key]],IsITypeList,Table_ExternalData_15[[#This Row],[IType]],IsDList,Table_ExternalData_15[[#Headers],[28]])</f>
        <v>0</v>
      </c>
      <c r="AG358" s="10">
        <f>SUMIFS(IsQList,IsIList,Table_ExternalData_15[[#This Row],[item_key]],IsITypeList,Table_ExternalData_15[[#This Row],[IType]],IsDList,Table_ExternalData_15[[#Headers],[29]])</f>
        <v>0</v>
      </c>
      <c r="AH358" s="10">
        <f>SUMIFS(IsQList,IsIList,Table_ExternalData_15[[#This Row],[item_key]],IsITypeList,Table_ExternalData_15[[#This Row],[IType]],IsDList,Table_ExternalData_15[[#Headers],[30]])</f>
        <v>0</v>
      </c>
      <c r="AI358" s="10">
        <f>SUMIFS(IsQList,IsIList,Table_ExternalData_15[[#This Row],[item_key]],IsITypeList,Table_ExternalData_15[[#This Row],[IType]],IsDList,Table_ExternalData_15[[#Headers],[31]])</f>
        <v>0</v>
      </c>
      <c r="AJ358" s="10">
        <f>SUM(Table_ExternalData_15[[#This Row],[1]:[31]])</f>
        <v>3</v>
      </c>
    </row>
    <row r="359" spans="1:36">
      <c r="A359" s="1" t="s">
        <v>1114</v>
      </c>
      <c r="B359" s="1" t="s">
        <v>1563</v>
      </c>
      <c r="C359" s="1" t="s">
        <v>1564</v>
      </c>
      <c r="D359" s="11" t="s">
        <v>72</v>
      </c>
      <c r="E359" s="10">
        <f>SUMIFS(IsQList,IsIList,Table_ExternalData_15[[#This Row],[item_key]],IsITypeList,Table_ExternalData_15[[#This Row],[IType]],IsDList,Table_ExternalData_15[[#Headers],[1]])</f>
        <v>0</v>
      </c>
      <c r="F359" s="10">
        <f>SUMIFS(IsQList,IsIList,Table_ExternalData_15[[#This Row],[item_key]],IsITypeList,Table_ExternalData_15[[#This Row],[IType]],IsDList,Table_ExternalData_15[[#Headers],[2]])</f>
        <v>0</v>
      </c>
      <c r="G359" s="10">
        <f>SUMIFS(IsQList,IsIList,Table_ExternalData_15[[#This Row],[item_key]],IsITypeList,Table_ExternalData_15[[#This Row],[IType]],IsDList,Table_ExternalData_15[[#Headers],[3]])</f>
        <v>0</v>
      </c>
      <c r="H359" s="10">
        <f>SUMIFS(IsQList,IsIList,Table_ExternalData_15[[#This Row],[item_key]],IsITypeList,Table_ExternalData_15[[#This Row],[IType]],IsDList,Table_ExternalData_15[[#Headers],[4]])</f>
        <v>0</v>
      </c>
      <c r="I359" s="10">
        <f>SUMIFS(IsQList,IsIList,Table_ExternalData_15[[#This Row],[item_key]],IsITypeList,Table_ExternalData_15[[#This Row],[IType]],IsDList,Table_ExternalData_15[[#Headers],[5]])</f>
        <v>0</v>
      </c>
      <c r="J359" s="10">
        <f>SUMIFS(IsQList,IsIList,Table_ExternalData_15[[#This Row],[item_key]],IsITypeList,Table_ExternalData_15[[#This Row],[IType]],IsDList,Table_ExternalData_15[[#Headers],[6]])</f>
        <v>0</v>
      </c>
      <c r="K359" s="10">
        <f>SUMIFS(IsQList,IsIList,Table_ExternalData_15[[#This Row],[item_key]],IsITypeList,Table_ExternalData_15[[#This Row],[IType]],IsDList,Table_ExternalData_15[[#Headers],[7]])</f>
        <v>0</v>
      </c>
      <c r="L359" s="10">
        <f>SUMIFS(IsQList,IsIList,Table_ExternalData_15[[#This Row],[item_key]],IsITypeList,Table_ExternalData_15[[#This Row],[IType]],IsDList,Table_ExternalData_15[[#Headers],[8]])</f>
        <v>0</v>
      </c>
      <c r="M359" s="10">
        <f>SUMIFS(IsQList,IsIList,Table_ExternalData_15[[#This Row],[item_key]],IsITypeList,Table_ExternalData_15[[#This Row],[IType]],IsDList,Table_ExternalData_15[[#Headers],[9]])</f>
        <v>0</v>
      </c>
      <c r="N359" s="10">
        <f>SUMIFS(IsQList,IsIList,Table_ExternalData_15[[#This Row],[item_key]],IsITypeList,Table_ExternalData_15[[#This Row],[IType]],IsDList,Table_ExternalData_15[[#Headers],[10]])</f>
        <v>0</v>
      </c>
      <c r="O359" s="10">
        <f>SUMIFS(IsQList,IsIList,Table_ExternalData_15[[#This Row],[item_key]],IsITypeList,Table_ExternalData_15[[#This Row],[IType]],IsDList,Table_ExternalData_15[[#Headers],[11]])</f>
        <v>0</v>
      </c>
      <c r="P359" s="10">
        <f>SUMIFS(IsQList,IsIList,Table_ExternalData_15[[#This Row],[item_key]],IsITypeList,Table_ExternalData_15[[#This Row],[IType]],IsDList,Table_ExternalData_15[[#Headers],[12]])</f>
        <v>0</v>
      </c>
      <c r="Q359" s="10">
        <f>SUMIFS(IsQList,IsIList,Table_ExternalData_15[[#This Row],[item_key]],IsITypeList,Table_ExternalData_15[[#This Row],[IType]],IsDList,Table_ExternalData_15[[#Headers],[13]])</f>
        <v>0</v>
      </c>
      <c r="R359" s="10">
        <f>SUMIFS(IsQList,IsIList,Table_ExternalData_15[[#This Row],[item_key]],IsITypeList,Table_ExternalData_15[[#This Row],[IType]],IsDList,Table_ExternalData_15[[#Headers],[14]])</f>
        <v>0</v>
      </c>
      <c r="S359" s="10">
        <f>SUMIFS(IsQList,IsIList,Table_ExternalData_15[[#This Row],[item_key]],IsITypeList,Table_ExternalData_15[[#This Row],[IType]],IsDList,Table_ExternalData_15[[#Headers],[15]])</f>
        <v>0</v>
      </c>
      <c r="T359" s="10">
        <f>SUMIFS(IsQList,IsIList,Table_ExternalData_15[[#This Row],[item_key]],IsITypeList,Table_ExternalData_15[[#This Row],[IType]],IsDList,Table_ExternalData_15[[#Headers],[16]])</f>
        <v>0</v>
      </c>
      <c r="U359" s="10">
        <f>SUMIFS(IsQList,IsIList,Table_ExternalData_15[[#This Row],[item_key]],IsITypeList,Table_ExternalData_15[[#This Row],[IType]],IsDList,Table_ExternalData_15[[#Headers],[17]])</f>
        <v>0</v>
      </c>
      <c r="V359" s="10">
        <f>SUMIFS(IsQList,IsIList,Table_ExternalData_15[[#This Row],[item_key]],IsITypeList,Table_ExternalData_15[[#This Row],[IType]],IsDList,Table_ExternalData_15[[#Headers],[18]])</f>
        <v>0</v>
      </c>
      <c r="W359" s="10">
        <f>SUMIFS(IsQList,IsIList,Table_ExternalData_15[[#This Row],[item_key]],IsITypeList,Table_ExternalData_15[[#This Row],[IType]],IsDList,Table_ExternalData_15[[#Headers],[19]])</f>
        <v>0</v>
      </c>
      <c r="X359" s="10">
        <f>SUMIFS(IsQList,IsIList,Table_ExternalData_15[[#This Row],[item_key]],IsITypeList,Table_ExternalData_15[[#This Row],[IType]],IsDList,Table_ExternalData_15[[#Headers],[20]])</f>
        <v>0</v>
      </c>
      <c r="Y359" s="10">
        <f>SUMIFS(IsQList,IsIList,Table_ExternalData_15[[#This Row],[item_key]],IsITypeList,Table_ExternalData_15[[#This Row],[IType]],IsDList,Table_ExternalData_15[[#Headers],[21]])</f>
        <v>0</v>
      </c>
      <c r="Z359" s="10">
        <f>SUMIFS(IsQList,IsIList,Table_ExternalData_15[[#This Row],[item_key]],IsITypeList,Table_ExternalData_15[[#This Row],[IType]],IsDList,Table_ExternalData_15[[#Headers],[22]])</f>
        <v>0</v>
      </c>
      <c r="AA359" s="10">
        <f>SUMIFS(IsQList,IsIList,Table_ExternalData_15[[#This Row],[item_key]],IsITypeList,Table_ExternalData_15[[#This Row],[IType]],IsDList,Table_ExternalData_15[[#Headers],[23]])</f>
        <v>0</v>
      </c>
      <c r="AB359" s="10">
        <f>SUMIFS(IsQList,IsIList,Table_ExternalData_15[[#This Row],[item_key]],IsITypeList,Table_ExternalData_15[[#This Row],[IType]],IsDList,Table_ExternalData_15[[#Headers],[24]])</f>
        <v>10</v>
      </c>
      <c r="AC359" s="10">
        <f>SUMIFS(IsQList,IsIList,Table_ExternalData_15[[#This Row],[item_key]],IsITypeList,Table_ExternalData_15[[#This Row],[IType]],IsDList,Table_ExternalData_15[[#Headers],[25]])</f>
        <v>0</v>
      </c>
      <c r="AD359" s="10">
        <f>SUMIFS(IsQList,IsIList,Table_ExternalData_15[[#This Row],[item_key]],IsITypeList,Table_ExternalData_15[[#This Row],[IType]],IsDList,Table_ExternalData_15[[#Headers],[26]])</f>
        <v>0</v>
      </c>
      <c r="AE359" s="10">
        <f>SUMIFS(IsQList,IsIList,Table_ExternalData_15[[#This Row],[item_key]],IsITypeList,Table_ExternalData_15[[#This Row],[IType]],IsDList,Table_ExternalData_15[[#Headers],[27]])</f>
        <v>0</v>
      </c>
      <c r="AF359" s="10">
        <f>SUMIFS(IsQList,IsIList,Table_ExternalData_15[[#This Row],[item_key]],IsITypeList,Table_ExternalData_15[[#This Row],[IType]],IsDList,Table_ExternalData_15[[#Headers],[28]])</f>
        <v>0</v>
      </c>
      <c r="AG359" s="10">
        <f>SUMIFS(IsQList,IsIList,Table_ExternalData_15[[#This Row],[item_key]],IsITypeList,Table_ExternalData_15[[#This Row],[IType]],IsDList,Table_ExternalData_15[[#Headers],[29]])</f>
        <v>0</v>
      </c>
      <c r="AH359" s="10">
        <f>SUMIFS(IsQList,IsIList,Table_ExternalData_15[[#This Row],[item_key]],IsITypeList,Table_ExternalData_15[[#This Row],[IType]],IsDList,Table_ExternalData_15[[#Headers],[30]])</f>
        <v>0</v>
      </c>
      <c r="AI359" s="10">
        <f>SUMIFS(IsQList,IsIList,Table_ExternalData_15[[#This Row],[item_key]],IsITypeList,Table_ExternalData_15[[#This Row],[IType]],IsDList,Table_ExternalData_15[[#Headers],[31]])</f>
        <v>0</v>
      </c>
      <c r="AJ359" s="10">
        <f>SUM(Table_ExternalData_15[[#This Row],[1]:[31]])</f>
        <v>10</v>
      </c>
    </row>
    <row r="360" spans="1:36">
      <c r="A360" s="1" t="s">
        <v>2231</v>
      </c>
      <c r="B360" s="1" t="s">
        <v>2812</v>
      </c>
      <c r="C360" s="1" t="s">
        <v>2813</v>
      </c>
      <c r="D360" s="11" t="s">
        <v>72</v>
      </c>
      <c r="E360" s="10">
        <f>SUMIFS(IsQList,IsIList,Table_ExternalData_15[[#This Row],[item_key]],IsITypeList,Table_ExternalData_15[[#This Row],[IType]],IsDList,Table_ExternalData_15[[#Headers],[1]])</f>
        <v>0</v>
      </c>
      <c r="F360" s="10">
        <f>SUMIFS(IsQList,IsIList,Table_ExternalData_15[[#This Row],[item_key]],IsITypeList,Table_ExternalData_15[[#This Row],[IType]],IsDList,Table_ExternalData_15[[#Headers],[2]])</f>
        <v>0</v>
      </c>
      <c r="G360" s="10">
        <f>SUMIFS(IsQList,IsIList,Table_ExternalData_15[[#This Row],[item_key]],IsITypeList,Table_ExternalData_15[[#This Row],[IType]],IsDList,Table_ExternalData_15[[#Headers],[3]])</f>
        <v>0</v>
      </c>
      <c r="H360" s="10">
        <f>SUMIFS(IsQList,IsIList,Table_ExternalData_15[[#This Row],[item_key]],IsITypeList,Table_ExternalData_15[[#This Row],[IType]],IsDList,Table_ExternalData_15[[#Headers],[4]])</f>
        <v>0</v>
      </c>
      <c r="I360" s="10">
        <f>SUMIFS(IsQList,IsIList,Table_ExternalData_15[[#This Row],[item_key]],IsITypeList,Table_ExternalData_15[[#This Row],[IType]],IsDList,Table_ExternalData_15[[#Headers],[5]])</f>
        <v>0</v>
      </c>
      <c r="J360" s="10">
        <f>SUMIFS(IsQList,IsIList,Table_ExternalData_15[[#This Row],[item_key]],IsITypeList,Table_ExternalData_15[[#This Row],[IType]],IsDList,Table_ExternalData_15[[#Headers],[6]])</f>
        <v>10</v>
      </c>
      <c r="K360" s="10">
        <f>SUMIFS(IsQList,IsIList,Table_ExternalData_15[[#This Row],[item_key]],IsITypeList,Table_ExternalData_15[[#This Row],[IType]],IsDList,Table_ExternalData_15[[#Headers],[7]])</f>
        <v>0</v>
      </c>
      <c r="L360" s="10">
        <f>SUMIFS(IsQList,IsIList,Table_ExternalData_15[[#This Row],[item_key]],IsITypeList,Table_ExternalData_15[[#This Row],[IType]],IsDList,Table_ExternalData_15[[#Headers],[8]])</f>
        <v>0</v>
      </c>
      <c r="M360" s="10">
        <f>SUMIFS(IsQList,IsIList,Table_ExternalData_15[[#This Row],[item_key]],IsITypeList,Table_ExternalData_15[[#This Row],[IType]],IsDList,Table_ExternalData_15[[#Headers],[9]])</f>
        <v>0</v>
      </c>
      <c r="N360" s="10">
        <f>SUMIFS(IsQList,IsIList,Table_ExternalData_15[[#This Row],[item_key]],IsITypeList,Table_ExternalData_15[[#This Row],[IType]],IsDList,Table_ExternalData_15[[#Headers],[10]])</f>
        <v>0</v>
      </c>
      <c r="O360" s="10">
        <f>SUMIFS(IsQList,IsIList,Table_ExternalData_15[[#This Row],[item_key]],IsITypeList,Table_ExternalData_15[[#This Row],[IType]],IsDList,Table_ExternalData_15[[#Headers],[11]])</f>
        <v>0</v>
      </c>
      <c r="P360" s="10">
        <f>SUMIFS(IsQList,IsIList,Table_ExternalData_15[[#This Row],[item_key]],IsITypeList,Table_ExternalData_15[[#This Row],[IType]],IsDList,Table_ExternalData_15[[#Headers],[12]])</f>
        <v>0</v>
      </c>
      <c r="Q360" s="10">
        <f>SUMIFS(IsQList,IsIList,Table_ExternalData_15[[#This Row],[item_key]],IsITypeList,Table_ExternalData_15[[#This Row],[IType]],IsDList,Table_ExternalData_15[[#Headers],[13]])</f>
        <v>0</v>
      </c>
      <c r="R360" s="10">
        <f>SUMIFS(IsQList,IsIList,Table_ExternalData_15[[#This Row],[item_key]],IsITypeList,Table_ExternalData_15[[#This Row],[IType]],IsDList,Table_ExternalData_15[[#Headers],[14]])</f>
        <v>0</v>
      </c>
      <c r="S360" s="10">
        <f>SUMIFS(IsQList,IsIList,Table_ExternalData_15[[#This Row],[item_key]],IsITypeList,Table_ExternalData_15[[#This Row],[IType]],IsDList,Table_ExternalData_15[[#Headers],[15]])</f>
        <v>0</v>
      </c>
      <c r="T360" s="10">
        <f>SUMIFS(IsQList,IsIList,Table_ExternalData_15[[#This Row],[item_key]],IsITypeList,Table_ExternalData_15[[#This Row],[IType]],IsDList,Table_ExternalData_15[[#Headers],[16]])</f>
        <v>0</v>
      </c>
      <c r="U360" s="10">
        <f>SUMIFS(IsQList,IsIList,Table_ExternalData_15[[#This Row],[item_key]],IsITypeList,Table_ExternalData_15[[#This Row],[IType]],IsDList,Table_ExternalData_15[[#Headers],[17]])</f>
        <v>0</v>
      </c>
      <c r="V360" s="10">
        <f>SUMIFS(IsQList,IsIList,Table_ExternalData_15[[#This Row],[item_key]],IsITypeList,Table_ExternalData_15[[#This Row],[IType]],IsDList,Table_ExternalData_15[[#Headers],[18]])</f>
        <v>0</v>
      </c>
      <c r="W360" s="10">
        <f>SUMIFS(IsQList,IsIList,Table_ExternalData_15[[#This Row],[item_key]],IsITypeList,Table_ExternalData_15[[#This Row],[IType]],IsDList,Table_ExternalData_15[[#Headers],[19]])</f>
        <v>0</v>
      </c>
      <c r="X360" s="10">
        <f>SUMIFS(IsQList,IsIList,Table_ExternalData_15[[#This Row],[item_key]],IsITypeList,Table_ExternalData_15[[#This Row],[IType]],IsDList,Table_ExternalData_15[[#Headers],[20]])</f>
        <v>0</v>
      </c>
      <c r="Y360" s="10">
        <f>SUMIFS(IsQList,IsIList,Table_ExternalData_15[[#This Row],[item_key]],IsITypeList,Table_ExternalData_15[[#This Row],[IType]],IsDList,Table_ExternalData_15[[#Headers],[21]])</f>
        <v>0</v>
      </c>
      <c r="Z360" s="10">
        <f>SUMIFS(IsQList,IsIList,Table_ExternalData_15[[#This Row],[item_key]],IsITypeList,Table_ExternalData_15[[#This Row],[IType]],IsDList,Table_ExternalData_15[[#Headers],[22]])</f>
        <v>0</v>
      </c>
      <c r="AA360" s="10">
        <f>SUMIFS(IsQList,IsIList,Table_ExternalData_15[[#This Row],[item_key]],IsITypeList,Table_ExternalData_15[[#This Row],[IType]],IsDList,Table_ExternalData_15[[#Headers],[23]])</f>
        <v>0</v>
      </c>
      <c r="AB360" s="10">
        <f>SUMIFS(IsQList,IsIList,Table_ExternalData_15[[#This Row],[item_key]],IsITypeList,Table_ExternalData_15[[#This Row],[IType]],IsDList,Table_ExternalData_15[[#Headers],[24]])</f>
        <v>10</v>
      </c>
      <c r="AC360" s="10">
        <f>SUMIFS(IsQList,IsIList,Table_ExternalData_15[[#This Row],[item_key]],IsITypeList,Table_ExternalData_15[[#This Row],[IType]],IsDList,Table_ExternalData_15[[#Headers],[25]])</f>
        <v>0</v>
      </c>
      <c r="AD360" s="10">
        <f>SUMIFS(IsQList,IsIList,Table_ExternalData_15[[#This Row],[item_key]],IsITypeList,Table_ExternalData_15[[#This Row],[IType]],IsDList,Table_ExternalData_15[[#Headers],[26]])</f>
        <v>0</v>
      </c>
      <c r="AE360" s="10">
        <f>SUMIFS(IsQList,IsIList,Table_ExternalData_15[[#This Row],[item_key]],IsITypeList,Table_ExternalData_15[[#This Row],[IType]],IsDList,Table_ExternalData_15[[#Headers],[27]])</f>
        <v>0</v>
      </c>
      <c r="AF360" s="10">
        <f>SUMIFS(IsQList,IsIList,Table_ExternalData_15[[#This Row],[item_key]],IsITypeList,Table_ExternalData_15[[#This Row],[IType]],IsDList,Table_ExternalData_15[[#Headers],[28]])</f>
        <v>0</v>
      </c>
      <c r="AG360" s="10">
        <f>SUMIFS(IsQList,IsIList,Table_ExternalData_15[[#This Row],[item_key]],IsITypeList,Table_ExternalData_15[[#This Row],[IType]],IsDList,Table_ExternalData_15[[#Headers],[29]])</f>
        <v>0</v>
      </c>
      <c r="AH360" s="10">
        <f>SUMIFS(IsQList,IsIList,Table_ExternalData_15[[#This Row],[item_key]],IsITypeList,Table_ExternalData_15[[#This Row],[IType]],IsDList,Table_ExternalData_15[[#Headers],[30]])</f>
        <v>0</v>
      </c>
      <c r="AI360" s="10">
        <f>SUMIFS(IsQList,IsIList,Table_ExternalData_15[[#This Row],[item_key]],IsITypeList,Table_ExternalData_15[[#This Row],[IType]],IsDList,Table_ExternalData_15[[#Headers],[31]])</f>
        <v>0</v>
      </c>
      <c r="AJ360" s="10">
        <f>SUM(Table_ExternalData_15[[#This Row],[1]:[31]])</f>
        <v>20</v>
      </c>
    </row>
    <row r="361" spans="1:36">
      <c r="A361" s="1" t="s">
        <v>2232</v>
      </c>
      <c r="B361" s="1" t="s">
        <v>2814</v>
      </c>
      <c r="C361" s="1" t="s">
        <v>2815</v>
      </c>
      <c r="D361" s="11" t="s">
        <v>72</v>
      </c>
      <c r="E361" s="10">
        <f>SUMIFS(IsQList,IsIList,Table_ExternalData_15[[#This Row],[item_key]],IsITypeList,Table_ExternalData_15[[#This Row],[IType]],IsDList,Table_ExternalData_15[[#Headers],[1]])</f>
        <v>0</v>
      </c>
      <c r="F361" s="10">
        <f>SUMIFS(IsQList,IsIList,Table_ExternalData_15[[#This Row],[item_key]],IsITypeList,Table_ExternalData_15[[#This Row],[IType]],IsDList,Table_ExternalData_15[[#Headers],[2]])</f>
        <v>0</v>
      </c>
      <c r="G361" s="10">
        <f>SUMIFS(IsQList,IsIList,Table_ExternalData_15[[#This Row],[item_key]],IsITypeList,Table_ExternalData_15[[#This Row],[IType]],IsDList,Table_ExternalData_15[[#Headers],[3]])</f>
        <v>0</v>
      </c>
      <c r="H361" s="10">
        <f>SUMIFS(IsQList,IsIList,Table_ExternalData_15[[#This Row],[item_key]],IsITypeList,Table_ExternalData_15[[#This Row],[IType]],IsDList,Table_ExternalData_15[[#Headers],[4]])</f>
        <v>0</v>
      </c>
      <c r="I361" s="10">
        <f>SUMIFS(IsQList,IsIList,Table_ExternalData_15[[#This Row],[item_key]],IsITypeList,Table_ExternalData_15[[#This Row],[IType]],IsDList,Table_ExternalData_15[[#Headers],[5]])</f>
        <v>0</v>
      </c>
      <c r="J361" s="10">
        <f>SUMIFS(IsQList,IsIList,Table_ExternalData_15[[#This Row],[item_key]],IsITypeList,Table_ExternalData_15[[#This Row],[IType]],IsDList,Table_ExternalData_15[[#Headers],[6]])</f>
        <v>10</v>
      </c>
      <c r="K361" s="10">
        <f>SUMIFS(IsQList,IsIList,Table_ExternalData_15[[#This Row],[item_key]],IsITypeList,Table_ExternalData_15[[#This Row],[IType]],IsDList,Table_ExternalData_15[[#Headers],[7]])</f>
        <v>0</v>
      </c>
      <c r="L361" s="10">
        <f>SUMIFS(IsQList,IsIList,Table_ExternalData_15[[#This Row],[item_key]],IsITypeList,Table_ExternalData_15[[#This Row],[IType]],IsDList,Table_ExternalData_15[[#Headers],[8]])</f>
        <v>0</v>
      </c>
      <c r="M361" s="10">
        <f>SUMIFS(IsQList,IsIList,Table_ExternalData_15[[#This Row],[item_key]],IsITypeList,Table_ExternalData_15[[#This Row],[IType]],IsDList,Table_ExternalData_15[[#Headers],[9]])</f>
        <v>0</v>
      </c>
      <c r="N361" s="10">
        <f>SUMIFS(IsQList,IsIList,Table_ExternalData_15[[#This Row],[item_key]],IsITypeList,Table_ExternalData_15[[#This Row],[IType]],IsDList,Table_ExternalData_15[[#Headers],[10]])</f>
        <v>0</v>
      </c>
      <c r="O361" s="10">
        <f>SUMIFS(IsQList,IsIList,Table_ExternalData_15[[#This Row],[item_key]],IsITypeList,Table_ExternalData_15[[#This Row],[IType]],IsDList,Table_ExternalData_15[[#Headers],[11]])</f>
        <v>0</v>
      </c>
      <c r="P361" s="10">
        <f>SUMIFS(IsQList,IsIList,Table_ExternalData_15[[#This Row],[item_key]],IsITypeList,Table_ExternalData_15[[#This Row],[IType]],IsDList,Table_ExternalData_15[[#Headers],[12]])</f>
        <v>0</v>
      </c>
      <c r="Q361" s="10">
        <f>SUMIFS(IsQList,IsIList,Table_ExternalData_15[[#This Row],[item_key]],IsITypeList,Table_ExternalData_15[[#This Row],[IType]],IsDList,Table_ExternalData_15[[#Headers],[13]])</f>
        <v>0</v>
      </c>
      <c r="R361" s="10">
        <f>SUMIFS(IsQList,IsIList,Table_ExternalData_15[[#This Row],[item_key]],IsITypeList,Table_ExternalData_15[[#This Row],[IType]],IsDList,Table_ExternalData_15[[#Headers],[14]])</f>
        <v>0</v>
      </c>
      <c r="S361" s="10">
        <f>SUMIFS(IsQList,IsIList,Table_ExternalData_15[[#This Row],[item_key]],IsITypeList,Table_ExternalData_15[[#This Row],[IType]],IsDList,Table_ExternalData_15[[#Headers],[15]])</f>
        <v>0</v>
      </c>
      <c r="T361" s="10">
        <f>SUMIFS(IsQList,IsIList,Table_ExternalData_15[[#This Row],[item_key]],IsITypeList,Table_ExternalData_15[[#This Row],[IType]],IsDList,Table_ExternalData_15[[#Headers],[16]])</f>
        <v>0</v>
      </c>
      <c r="U361" s="10">
        <f>SUMIFS(IsQList,IsIList,Table_ExternalData_15[[#This Row],[item_key]],IsITypeList,Table_ExternalData_15[[#This Row],[IType]],IsDList,Table_ExternalData_15[[#Headers],[17]])</f>
        <v>0</v>
      </c>
      <c r="V361" s="10">
        <f>SUMIFS(IsQList,IsIList,Table_ExternalData_15[[#This Row],[item_key]],IsITypeList,Table_ExternalData_15[[#This Row],[IType]],IsDList,Table_ExternalData_15[[#Headers],[18]])</f>
        <v>0</v>
      </c>
      <c r="W361" s="10">
        <f>SUMIFS(IsQList,IsIList,Table_ExternalData_15[[#This Row],[item_key]],IsITypeList,Table_ExternalData_15[[#This Row],[IType]],IsDList,Table_ExternalData_15[[#Headers],[19]])</f>
        <v>0</v>
      </c>
      <c r="X361" s="10">
        <f>SUMIFS(IsQList,IsIList,Table_ExternalData_15[[#This Row],[item_key]],IsITypeList,Table_ExternalData_15[[#This Row],[IType]],IsDList,Table_ExternalData_15[[#Headers],[20]])</f>
        <v>0</v>
      </c>
      <c r="Y361" s="10">
        <f>SUMIFS(IsQList,IsIList,Table_ExternalData_15[[#This Row],[item_key]],IsITypeList,Table_ExternalData_15[[#This Row],[IType]],IsDList,Table_ExternalData_15[[#Headers],[21]])</f>
        <v>0</v>
      </c>
      <c r="Z361" s="10">
        <f>SUMIFS(IsQList,IsIList,Table_ExternalData_15[[#This Row],[item_key]],IsITypeList,Table_ExternalData_15[[#This Row],[IType]],IsDList,Table_ExternalData_15[[#Headers],[22]])</f>
        <v>0</v>
      </c>
      <c r="AA361" s="10">
        <f>SUMIFS(IsQList,IsIList,Table_ExternalData_15[[#This Row],[item_key]],IsITypeList,Table_ExternalData_15[[#This Row],[IType]],IsDList,Table_ExternalData_15[[#Headers],[23]])</f>
        <v>0</v>
      </c>
      <c r="AB361" s="10">
        <f>SUMIFS(IsQList,IsIList,Table_ExternalData_15[[#This Row],[item_key]],IsITypeList,Table_ExternalData_15[[#This Row],[IType]],IsDList,Table_ExternalData_15[[#Headers],[24]])</f>
        <v>0</v>
      </c>
      <c r="AC361" s="10">
        <f>SUMIFS(IsQList,IsIList,Table_ExternalData_15[[#This Row],[item_key]],IsITypeList,Table_ExternalData_15[[#This Row],[IType]],IsDList,Table_ExternalData_15[[#Headers],[25]])</f>
        <v>0</v>
      </c>
      <c r="AD361" s="10">
        <f>SUMIFS(IsQList,IsIList,Table_ExternalData_15[[#This Row],[item_key]],IsITypeList,Table_ExternalData_15[[#This Row],[IType]],IsDList,Table_ExternalData_15[[#Headers],[26]])</f>
        <v>0</v>
      </c>
      <c r="AE361" s="10">
        <f>SUMIFS(IsQList,IsIList,Table_ExternalData_15[[#This Row],[item_key]],IsITypeList,Table_ExternalData_15[[#This Row],[IType]],IsDList,Table_ExternalData_15[[#Headers],[27]])</f>
        <v>0</v>
      </c>
      <c r="AF361" s="10">
        <f>SUMIFS(IsQList,IsIList,Table_ExternalData_15[[#This Row],[item_key]],IsITypeList,Table_ExternalData_15[[#This Row],[IType]],IsDList,Table_ExternalData_15[[#Headers],[28]])</f>
        <v>0</v>
      </c>
      <c r="AG361" s="10">
        <f>SUMIFS(IsQList,IsIList,Table_ExternalData_15[[#This Row],[item_key]],IsITypeList,Table_ExternalData_15[[#This Row],[IType]],IsDList,Table_ExternalData_15[[#Headers],[29]])</f>
        <v>0</v>
      </c>
      <c r="AH361" s="10">
        <f>SUMIFS(IsQList,IsIList,Table_ExternalData_15[[#This Row],[item_key]],IsITypeList,Table_ExternalData_15[[#This Row],[IType]],IsDList,Table_ExternalData_15[[#Headers],[30]])</f>
        <v>50</v>
      </c>
      <c r="AI361" s="10">
        <f>SUMIFS(IsQList,IsIList,Table_ExternalData_15[[#This Row],[item_key]],IsITypeList,Table_ExternalData_15[[#This Row],[IType]],IsDList,Table_ExternalData_15[[#Headers],[31]])</f>
        <v>0</v>
      </c>
      <c r="AJ361" s="10">
        <f>SUM(Table_ExternalData_15[[#This Row],[1]:[31]])</f>
        <v>60</v>
      </c>
    </row>
    <row r="362" spans="1:36">
      <c r="A362" s="1" t="s">
        <v>2233</v>
      </c>
      <c r="B362" s="1" t="s">
        <v>2816</v>
      </c>
      <c r="C362" s="1" t="s">
        <v>2536</v>
      </c>
      <c r="D362" s="11" t="s">
        <v>72</v>
      </c>
      <c r="E362" s="10">
        <f>SUMIFS(IsQList,IsIList,Table_ExternalData_15[[#This Row],[item_key]],IsITypeList,Table_ExternalData_15[[#This Row],[IType]],IsDList,Table_ExternalData_15[[#Headers],[1]])</f>
        <v>0</v>
      </c>
      <c r="F362" s="10">
        <f>SUMIFS(IsQList,IsIList,Table_ExternalData_15[[#This Row],[item_key]],IsITypeList,Table_ExternalData_15[[#This Row],[IType]],IsDList,Table_ExternalData_15[[#Headers],[2]])</f>
        <v>0</v>
      </c>
      <c r="G362" s="10">
        <f>SUMIFS(IsQList,IsIList,Table_ExternalData_15[[#This Row],[item_key]],IsITypeList,Table_ExternalData_15[[#This Row],[IType]],IsDList,Table_ExternalData_15[[#Headers],[3]])</f>
        <v>0</v>
      </c>
      <c r="H362" s="10">
        <f>SUMIFS(IsQList,IsIList,Table_ExternalData_15[[#This Row],[item_key]],IsITypeList,Table_ExternalData_15[[#This Row],[IType]],IsDList,Table_ExternalData_15[[#Headers],[4]])</f>
        <v>0</v>
      </c>
      <c r="I362" s="10">
        <f>SUMIFS(IsQList,IsIList,Table_ExternalData_15[[#This Row],[item_key]],IsITypeList,Table_ExternalData_15[[#This Row],[IType]],IsDList,Table_ExternalData_15[[#Headers],[5]])</f>
        <v>0</v>
      </c>
      <c r="J362" s="10">
        <f>SUMIFS(IsQList,IsIList,Table_ExternalData_15[[#This Row],[item_key]],IsITypeList,Table_ExternalData_15[[#This Row],[IType]],IsDList,Table_ExternalData_15[[#Headers],[6]])</f>
        <v>0</v>
      </c>
      <c r="K362" s="10">
        <f>SUMIFS(IsQList,IsIList,Table_ExternalData_15[[#This Row],[item_key]],IsITypeList,Table_ExternalData_15[[#This Row],[IType]],IsDList,Table_ExternalData_15[[#Headers],[7]])</f>
        <v>0</v>
      </c>
      <c r="L362" s="10">
        <f>SUMIFS(IsQList,IsIList,Table_ExternalData_15[[#This Row],[item_key]],IsITypeList,Table_ExternalData_15[[#This Row],[IType]],IsDList,Table_ExternalData_15[[#Headers],[8]])</f>
        <v>0</v>
      </c>
      <c r="M362" s="10">
        <f>SUMIFS(IsQList,IsIList,Table_ExternalData_15[[#This Row],[item_key]],IsITypeList,Table_ExternalData_15[[#This Row],[IType]],IsDList,Table_ExternalData_15[[#Headers],[9]])</f>
        <v>0</v>
      </c>
      <c r="N362" s="10">
        <f>SUMIFS(IsQList,IsIList,Table_ExternalData_15[[#This Row],[item_key]],IsITypeList,Table_ExternalData_15[[#This Row],[IType]],IsDList,Table_ExternalData_15[[#Headers],[10]])</f>
        <v>20</v>
      </c>
      <c r="O362" s="10">
        <f>SUMIFS(IsQList,IsIList,Table_ExternalData_15[[#This Row],[item_key]],IsITypeList,Table_ExternalData_15[[#This Row],[IType]],IsDList,Table_ExternalData_15[[#Headers],[11]])</f>
        <v>0</v>
      </c>
      <c r="P362" s="10">
        <f>SUMIFS(IsQList,IsIList,Table_ExternalData_15[[#This Row],[item_key]],IsITypeList,Table_ExternalData_15[[#This Row],[IType]],IsDList,Table_ExternalData_15[[#Headers],[12]])</f>
        <v>0</v>
      </c>
      <c r="Q362" s="10">
        <f>SUMIFS(IsQList,IsIList,Table_ExternalData_15[[#This Row],[item_key]],IsITypeList,Table_ExternalData_15[[#This Row],[IType]],IsDList,Table_ExternalData_15[[#Headers],[13]])</f>
        <v>0</v>
      </c>
      <c r="R362" s="10">
        <f>SUMIFS(IsQList,IsIList,Table_ExternalData_15[[#This Row],[item_key]],IsITypeList,Table_ExternalData_15[[#This Row],[IType]],IsDList,Table_ExternalData_15[[#Headers],[14]])</f>
        <v>0</v>
      </c>
      <c r="S362" s="10">
        <f>SUMIFS(IsQList,IsIList,Table_ExternalData_15[[#This Row],[item_key]],IsITypeList,Table_ExternalData_15[[#This Row],[IType]],IsDList,Table_ExternalData_15[[#Headers],[15]])</f>
        <v>0</v>
      </c>
      <c r="T362" s="10">
        <f>SUMIFS(IsQList,IsIList,Table_ExternalData_15[[#This Row],[item_key]],IsITypeList,Table_ExternalData_15[[#This Row],[IType]],IsDList,Table_ExternalData_15[[#Headers],[16]])</f>
        <v>0</v>
      </c>
      <c r="U362" s="10">
        <f>SUMIFS(IsQList,IsIList,Table_ExternalData_15[[#This Row],[item_key]],IsITypeList,Table_ExternalData_15[[#This Row],[IType]],IsDList,Table_ExternalData_15[[#Headers],[17]])</f>
        <v>0</v>
      </c>
      <c r="V362" s="10">
        <f>SUMIFS(IsQList,IsIList,Table_ExternalData_15[[#This Row],[item_key]],IsITypeList,Table_ExternalData_15[[#This Row],[IType]],IsDList,Table_ExternalData_15[[#Headers],[18]])</f>
        <v>0</v>
      </c>
      <c r="W362" s="10">
        <f>SUMIFS(IsQList,IsIList,Table_ExternalData_15[[#This Row],[item_key]],IsITypeList,Table_ExternalData_15[[#This Row],[IType]],IsDList,Table_ExternalData_15[[#Headers],[19]])</f>
        <v>0</v>
      </c>
      <c r="X362" s="10">
        <f>SUMIFS(IsQList,IsIList,Table_ExternalData_15[[#This Row],[item_key]],IsITypeList,Table_ExternalData_15[[#This Row],[IType]],IsDList,Table_ExternalData_15[[#Headers],[20]])</f>
        <v>0</v>
      </c>
      <c r="Y362" s="10">
        <f>SUMIFS(IsQList,IsIList,Table_ExternalData_15[[#This Row],[item_key]],IsITypeList,Table_ExternalData_15[[#This Row],[IType]],IsDList,Table_ExternalData_15[[#Headers],[21]])</f>
        <v>0</v>
      </c>
      <c r="Z362" s="10">
        <f>SUMIFS(IsQList,IsIList,Table_ExternalData_15[[#This Row],[item_key]],IsITypeList,Table_ExternalData_15[[#This Row],[IType]],IsDList,Table_ExternalData_15[[#Headers],[22]])</f>
        <v>0</v>
      </c>
      <c r="AA362" s="10">
        <f>SUMIFS(IsQList,IsIList,Table_ExternalData_15[[#This Row],[item_key]],IsITypeList,Table_ExternalData_15[[#This Row],[IType]],IsDList,Table_ExternalData_15[[#Headers],[23]])</f>
        <v>0</v>
      </c>
      <c r="AB362" s="10">
        <f>SUMIFS(IsQList,IsIList,Table_ExternalData_15[[#This Row],[item_key]],IsITypeList,Table_ExternalData_15[[#This Row],[IType]],IsDList,Table_ExternalData_15[[#Headers],[24]])</f>
        <v>0</v>
      </c>
      <c r="AC362" s="10">
        <f>SUMIFS(IsQList,IsIList,Table_ExternalData_15[[#This Row],[item_key]],IsITypeList,Table_ExternalData_15[[#This Row],[IType]],IsDList,Table_ExternalData_15[[#Headers],[25]])</f>
        <v>0</v>
      </c>
      <c r="AD362" s="10">
        <f>SUMIFS(IsQList,IsIList,Table_ExternalData_15[[#This Row],[item_key]],IsITypeList,Table_ExternalData_15[[#This Row],[IType]],IsDList,Table_ExternalData_15[[#Headers],[26]])</f>
        <v>0</v>
      </c>
      <c r="AE362" s="10">
        <f>SUMIFS(IsQList,IsIList,Table_ExternalData_15[[#This Row],[item_key]],IsITypeList,Table_ExternalData_15[[#This Row],[IType]],IsDList,Table_ExternalData_15[[#Headers],[27]])</f>
        <v>0</v>
      </c>
      <c r="AF362" s="10">
        <f>SUMIFS(IsQList,IsIList,Table_ExternalData_15[[#This Row],[item_key]],IsITypeList,Table_ExternalData_15[[#This Row],[IType]],IsDList,Table_ExternalData_15[[#Headers],[28]])</f>
        <v>0</v>
      </c>
      <c r="AG362" s="10">
        <f>SUMIFS(IsQList,IsIList,Table_ExternalData_15[[#This Row],[item_key]],IsITypeList,Table_ExternalData_15[[#This Row],[IType]],IsDList,Table_ExternalData_15[[#Headers],[29]])</f>
        <v>0</v>
      </c>
      <c r="AH362" s="10">
        <f>SUMIFS(IsQList,IsIList,Table_ExternalData_15[[#This Row],[item_key]],IsITypeList,Table_ExternalData_15[[#This Row],[IType]],IsDList,Table_ExternalData_15[[#Headers],[30]])</f>
        <v>30</v>
      </c>
      <c r="AI362" s="10">
        <f>SUMIFS(IsQList,IsIList,Table_ExternalData_15[[#This Row],[item_key]],IsITypeList,Table_ExternalData_15[[#This Row],[IType]],IsDList,Table_ExternalData_15[[#Headers],[31]])</f>
        <v>0</v>
      </c>
      <c r="AJ362" s="10">
        <f>SUM(Table_ExternalData_15[[#This Row],[1]:[31]])</f>
        <v>50</v>
      </c>
    </row>
    <row r="363" spans="1:36">
      <c r="A363" s="1" t="s">
        <v>1116</v>
      </c>
      <c r="B363" s="1" t="s">
        <v>2820</v>
      </c>
      <c r="C363" s="1" t="s">
        <v>2821</v>
      </c>
      <c r="D363" s="11" t="s">
        <v>72</v>
      </c>
      <c r="E363" s="10">
        <f>SUMIFS(IsQList,IsIList,Table_ExternalData_15[[#This Row],[item_key]],IsITypeList,Table_ExternalData_15[[#This Row],[IType]],IsDList,Table_ExternalData_15[[#Headers],[1]])</f>
        <v>0</v>
      </c>
      <c r="F363" s="10">
        <f>SUMIFS(IsQList,IsIList,Table_ExternalData_15[[#This Row],[item_key]],IsITypeList,Table_ExternalData_15[[#This Row],[IType]],IsDList,Table_ExternalData_15[[#Headers],[2]])</f>
        <v>0</v>
      </c>
      <c r="G363" s="10">
        <f>SUMIFS(IsQList,IsIList,Table_ExternalData_15[[#This Row],[item_key]],IsITypeList,Table_ExternalData_15[[#This Row],[IType]],IsDList,Table_ExternalData_15[[#Headers],[3]])</f>
        <v>0</v>
      </c>
      <c r="H363" s="10">
        <f>SUMIFS(IsQList,IsIList,Table_ExternalData_15[[#This Row],[item_key]],IsITypeList,Table_ExternalData_15[[#This Row],[IType]],IsDList,Table_ExternalData_15[[#Headers],[4]])</f>
        <v>0</v>
      </c>
      <c r="I363" s="10">
        <f>SUMIFS(IsQList,IsIList,Table_ExternalData_15[[#This Row],[item_key]],IsITypeList,Table_ExternalData_15[[#This Row],[IType]],IsDList,Table_ExternalData_15[[#Headers],[5]])</f>
        <v>0</v>
      </c>
      <c r="J363" s="10">
        <f>SUMIFS(IsQList,IsIList,Table_ExternalData_15[[#This Row],[item_key]],IsITypeList,Table_ExternalData_15[[#This Row],[IType]],IsDList,Table_ExternalData_15[[#Headers],[6]])</f>
        <v>0</v>
      </c>
      <c r="K363" s="10">
        <f>SUMIFS(IsQList,IsIList,Table_ExternalData_15[[#This Row],[item_key]],IsITypeList,Table_ExternalData_15[[#This Row],[IType]],IsDList,Table_ExternalData_15[[#Headers],[7]])</f>
        <v>0</v>
      </c>
      <c r="L363" s="10">
        <f>SUMIFS(IsQList,IsIList,Table_ExternalData_15[[#This Row],[item_key]],IsITypeList,Table_ExternalData_15[[#This Row],[IType]],IsDList,Table_ExternalData_15[[#Headers],[8]])</f>
        <v>0</v>
      </c>
      <c r="M363" s="10">
        <f>SUMIFS(IsQList,IsIList,Table_ExternalData_15[[#This Row],[item_key]],IsITypeList,Table_ExternalData_15[[#This Row],[IType]],IsDList,Table_ExternalData_15[[#Headers],[9]])</f>
        <v>0</v>
      </c>
      <c r="N363" s="10">
        <f>SUMIFS(IsQList,IsIList,Table_ExternalData_15[[#This Row],[item_key]],IsITypeList,Table_ExternalData_15[[#This Row],[IType]],IsDList,Table_ExternalData_15[[#Headers],[10]])</f>
        <v>5</v>
      </c>
      <c r="O363" s="10">
        <f>SUMIFS(IsQList,IsIList,Table_ExternalData_15[[#This Row],[item_key]],IsITypeList,Table_ExternalData_15[[#This Row],[IType]],IsDList,Table_ExternalData_15[[#Headers],[11]])</f>
        <v>0</v>
      </c>
      <c r="P363" s="10">
        <f>SUMIFS(IsQList,IsIList,Table_ExternalData_15[[#This Row],[item_key]],IsITypeList,Table_ExternalData_15[[#This Row],[IType]],IsDList,Table_ExternalData_15[[#Headers],[12]])</f>
        <v>0</v>
      </c>
      <c r="Q363" s="10">
        <f>SUMIFS(IsQList,IsIList,Table_ExternalData_15[[#This Row],[item_key]],IsITypeList,Table_ExternalData_15[[#This Row],[IType]],IsDList,Table_ExternalData_15[[#Headers],[13]])</f>
        <v>0</v>
      </c>
      <c r="R363" s="10">
        <f>SUMIFS(IsQList,IsIList,Table_ExternalData_15[[#This Row],[item_key]],IsITypeList,Table_ExternalData_15[[#This Row],[IType]],IsDList,Table_ExternalData_15[[#Headers],[14]])</f>
        <v>0</v>
      </c>
      <c r="S363" s="10">
        <f>SUMIFS(IsQList,IsIList,Table_ExternalData_15[[#This Row],[item_key]],IsITypeList,Table_ExternalData_15[[#This Row],[IType]],IsDList,Table_ExternalData_15[[#Headers],[15]])</f>
        <v>0</v>
      </c>
      <c r="T363" s="10">
        <f>SUMIFS(IsQList,IsIList,Table_ExternalData_15[[#This Row],[item_key]],IsITypeList,Table_ExternalData_15[[#This Row],[IType]],IsDList,Table_ExternalData_15[[#Headers],[16]])</f>
        <v>0</v>
      </c>
      <c r="U363" s="10">
        <f>SUMIFS(IsQList,IsIList,Table_ExternalData_15[[#This Row],[item_key]],IsITypeList,Table_ExternalData_15[[#This Row],[IType]],IsDList,Table_ExternalData_15[[#Headers],[17]])</f>
        <v>0</v>
      </c>
      <c r="V363" s="10">
        <f>SUMIFS(IsQList,IsIList,Table_ExternalData_15[[#This Row],[item_key]],IsITypeList,Table_ExternalData_15[[#This Row],[IType]],IsDList,Table_ExternalData_15[[#Headers],[18]])</f>
        <v>0</v>
      </c>
      <c r="W363" s="10">
        <f>SUMIFS(IsQList,IsIList,Table_ExternalData_15[[#This Row],[item_key]],IsITypeList,Table_ExternalData_15[[#This Row],[IType]],IsDList,Table_ExternalData_15[[#Headers],[19]])</f>
        <v>0</v>
      </c>
      <c r="X363" s="10">
        <f>SUMIFS(IsQList,IsIList,Table_ExternalData_15[[#This Row],[item_key]],IsITypeList,Table_ExternalData_15[[#This Row],[IType]],IsDList,Table_ExternalData_15[[#Headers],[20]])</f>
        <v>0</v>
      </c>
      <c r="Y363" s="10">
        <f>SUMIFS(IsQList,IsIList,Table_ExternalData_15[[#This Row],[item_key]],IsITypeList,Table_ExternalData_15[[#This Row],[IType]],IsDList,Table_ExternalData_15[[#Headers],[21]])</f>
        <v>0</v>
      </c>
      <c r="Z363" s="10">
        <f>SUMIFS(IsQList,IsIList,Table_ExternalData_15[[#This Row],[item_key]],IsITypeList,Table_ExternalData_15[[#This Row],[IType]],IsDList,Table_ExternalData_15[[#Headers],[22]])</f>
        <v>0</v>
      </c>
      <c r="AA363" s="10">
        <f>SUMIFS(IsQList,IsIList,Table_ExternalData_15[[#This Row],[item_key]],IsITypeList,Table_ExternalData_15[[#This Row],[IType]],IsDList,Table_ExternalData_15[[#Headers],[23]])</f>
        <v>0</v>
      </c>
      <c r="AB363" s="10">
        <f>SUMIFS(IsQList,IsIList,Table_ExternalData_15[[#This Row],[item_key]],IsITypeList,Table_ExternalData_15[[#This Row],[IType]],IsDList,Table_ExternalData_15[[#Headers],[24]])</f>
        <v>9</v>
      </c>
      <c r="AC363" s="10">
        <f>SUMIFS(IsQList,IsIList,Table_ExternalData_15[[#This Row],[item_key]],IsITypeList,Table_ExternalData_15[[#This Row],[IType]],IsDList,Table_ExternalData_15[[#Headers],[25]])</f>
        <v>0</v>
      </c>
      <c r="AD363" s="10">
        <f>SUMIFS(IsQList,IsIList,Table_ExternalData_15[[#This Row],[item_key]],IsITypeList,Table_ExternalData_15[[#This Row],[IType]],IsDList,Table_ExternalData_15[[#Headers],[26]])</f>
        <v>0</v>
      </c>
      <c r="AE363" s="10">
        <f>SUMIFS(IsQList,IsIList,Table_ExternalData_15[[#This Row],[item_key]],IsITypeList,Table_ExternalData_15[[#This Row],[IType]],IsDList,Table_ExternalData_15[[#Headers],[27]])</f>
        <v>0</v>
      </c>
      <c r="AF363" s="10">
        <f>SUMIFS(IsQList,IsIList,Table_ExternalData_15[[#This Row],[item_key]],IsITypeList,Table_ExternalData_15[[#This Row],[IType]],IsDList,Table_ExternalData_15[[#Headers],[28]])</f>
        <v>0</v>
      </c>
      <c r="AG363" s="10">
        <f>SUMIFS(IsQList,IsIList,Table_ExternalData_15[[#This Row],[item_key]],IsITypeList,Table_ExternalData_15[[#This Row],[IType]],IsDList,Table_ExternalData_15[[#Headers],[29]])</f>
        <v>0</v>
      </c>
      <c r="AH363" s="10">
        <f>SUMIFS(IsQList,IsIList,Table_ExternalData_15[[#This Row],[item_key]],IsITypeList,Table_ExternalData_15[[#This Row],[IType]],IsDList,Table_ExternalData_15[[#Headers],[30]])</f>
        <v>5</v>
      </c>
      <c r="AI363" s="10">
        <f>SUMIFS(IsQList,IsIList,Table_ExternalData_15[[#This Row],[item_key]],IsITypeList,Table_ExternalData_15[[#This Row],[IType]],IsDList,Table_ExternalData_15[[#Headers],[31]])</f>
        <v>0</v>
      </c>
      <c r="AJ363" s="10">
        <f>SUM(Table_ExternalData_15[[#This Row],[1]:[31]])</f>
        <v>19</v>
      </c>
    </row>
    <row r="364" spans="1:36">
      <c r="A364" s="1" t="s">
        <v>2244</v>
      </c>
      <c r="B364" s="1" t="s">
        <v>2824</v>
      </c>
      <c r="C364" s="1" t="s">
        <v>2825</v>
      </c>
      <c r="D364" s="11" t="s">
        <v>72</v>
      </c>
      <c r="E364" s="10">
        <f>SUMIFS(IsQList,IsIList,Table_ExternalData_15[[#This Row],[item_key]],IsITypeList,Table_ExternalData_15[[#This Row],[IType]],IsDList,Table_ExternalData_15[[#Headers],[1]])</f>
        <v>0</v>
      </c>
      <c r="F364" s="10">
        <f>SUMIFS(IsQList,IsIList,Table_ExternalData_15[[#This Row],[item_key]],IsITypeList,Table_ExternalData_15[[#This Row],[IType]],IsDList,Table_ExternalData_15[[#Headers],[2]])</f>
        <v>0</v>
      </c>
      <c r="G364" s="10">
        <f>SUMIFS(IsQList,IsIList,Table_ExternalData_15[[#This Row],[item_key]],IsITypeList,Table_ExternalData_15[[#This Row],[IType]],IsDList,Table_ExternalData_15[[#Headers],[3]])</f>
        <v>0</v>
      </c>
      <c r="H364" s="10">
        <f>SUMIFS(IsQList,IsIList,Table_ExternalData_15[[#This Row],[item_key]],IsITypeList,Table_ExternalData_15[[#This Row],[IType]],IsDList,Table_ExternalData_15[[#Headers],[4]])</f>
        <v>0</v>
      </c>
      <c r="I364" s="10">
        <f>SUMIFS(IsQList,IsIList,Table_ExternalData_15[[#This Row],[item_key]],IsITypeList,Table_ExternalData_15[[#This Row],[IType]],IsDList,Table_ExternalData_15[[#Headers],[5]])</f>
        <v>0</v>
      </c>
      <c r="J364" s="10">
        <f>SUMIFS(IsQList,IsIList,Table_ExternalData_15[[#This Row],[item_key]],IsITypeList,Table_ExternalData_15[[#This Row],[IType]],IsDList,Table_ExternalData_15[[#Headers],[6]])</f>
        <v>0</v>
      </c>
      <c r="K364" s="10">
        <f>SUMIFS(IsQList,IsIList,Table_ExternalData_15[[#This Row],[item_key]],IsITypeList,Table_ExternalData_15[[#This Row],[IType]],IsDList,Table_ExternalData_15[[#Headers],[7]])</f>
        <v>0</v>
      </c>
      <c r="L364" s="10">
        <f>SUMIFS(IsQList,IsIList,Table_ExternalData_15[[#This Row],[item_key]],IsITypeList,Table_ExternalData_15[[#This Row],[IType]],IsDList,Table_ExternalData_15[[#Headers],[8]])</f>
        <v>0</v>
      </c>
      <c r="M364" s="10">
        <f>SUMIFS(IsQList,IsIList,Table_ExternalData_15[[#This Row],[item_key]],IsITypeList,Table_ExternalData_15[[#This Row],[IType]],IsDList,Table_ExternalData_15[[#Headers],[9]])</f>
        <v>0</v>
      </c>
      <c r="N364" s="10">
        <f>SUMIFS(IsQList,IsIList,Table_ExternalData_15[[#This Row],[item_key]],IsITypeList,Table_ExternalData_15[[#This Row],[IType]],IsDList,Table_ExternalData_15[[#Headers],[10]])</f>
        <v>0</v>
      </c>
      <c r="O364" s="10">
        <f>SUMIFS(IsQList,IsIList,Table_ExternalData_15[[#This Row],[item_key]],IsITypeList,Table_ExternalData_15[[#This Row],[IType]],IsDList,Table_ExternalData_15[[#Headers],[11]])</f>
        <v>0</v>
      </c>
      <c r="P364" s="10">
        <f>SUMIFS(IsQList,IsIList,Table_ExternalData_15[[#This Row],[item_key]],IsITypeList,Table_ExternalData_15[[#This Row],[IType]],IsDList,Table_ExternalData_15[[#Headers],[12]])</f>
        <v>0</v>
      </c>
      <c r="Q364" s="10">
        <f>SUMIFS(IsQList,IsIList,Table_ExternalData_15[[#This Row],[item_key]],IsITypeList,Table_ExternalData_15[[#This Row],[IType]],IsDList,Table_ExternalData_15[[#Headers],[13]])</f>
        <v>0</v>
      </c>
      <c r="R364" s="10">
        <f>SUMIFS(IsQList,IsIList,Table_ExternalData_15[[#This Row],[item_key]],IsITypeList,Table_ExternalData_15[[#This Row],[IType]],IsDList,Table_ExternalData_15[[#Headers],[14]])</f>
        <v>0</v>
      </c>
      <c r="S364" s="10">
        <f>SUMIFS(IsQList,IsIList,Table_ExternalData_15[[#This Row],[item_key]],IsITypeList,Table_ExternalData_15[[#This Row],[IType]],IsDList,Table_ExternalData_15[[#Headers],[15]])</f>
        <v>0</v>
      </c>
      <c r="T364" s="10">
        <f>SUMIFS(IsQList,IsIList,Table_ExternalData_15[[#This Row],[item_key]],IsITypeList,Table_ExternalData_15[[#This Row],[IType]],IsDList,Table_ExternalData_15[[#Headers],[16]])</f>
        <v>0</v>
      </c>
      <c r="U364" s="10">
        <f>SUMIFS(IsQList,IsIList,Table_ExternalData_15[[#This Row],[item_key]],IsITypeList,Table_ExternalData_15[[#This Row],[IType]],IsDList,Table_ExternalData_15[[#Headers],[17]])</f>
        <v>0</v>
      </c>
      <c r="V364" s="10">
        <f>SUMIFS(IsQList,IsIList,Table_ExternalData_15[[#This Row],[item_key]],IsITypeList,Table_ExternalData_15[[#This Row],[IType]],IsDList,Table_ExternalData_15[[#Headers],[18]])</f>
        <v>0</v>
      </c>
      <c r="W364" s="10">
        <f>SUMIFS(IsQList,IsIList,Table_ExternalData_15[[#This Row],[item_key]],IsITypeList,Table_ExternalData_15[[#This Row],[IType]],IsDList,Table_ExternalData_15[[#Headers],[19]])</f>
        <v>0</v>
      </c>
      <c r="X364" s="10">
        <f>SUMIFS(IsQList,IsIList,Table_ExternalData_15[[#This Row],[item_key]],IsITypeList,Table_ExternalData_15[[#This Row],[IType]],IsDList,Table_ExternalData_15[[#Headers],[20]])</f>
        <v>0</v>
      </c>
      <c r="Y364" s="10">
        <f>SUMIFS(IsQList,IsIList,Table_ExternalData_15[[#This Row],[item_key]],IsITypeList,Table_ExternalData_15[[#This Row],[IType]],IsDList,Table_ExternalData_15[[#Headers],[21]])</f>
        <v>0</v>
      </c>
      <c r="Z364" s="10">
        <f>SUMIFS(IsQList,IsIList,Table_ExternalData_15[[#This Row],[item_key]],IsITypeList,Table_ExternalData_15[[#This Row],[IType]],IsDList,Table_ExternalData_15[[#Headers],[22]])</f>
        <v>0</v>
      </c>
      <c r="AA364" s="10">
        <f>SUMIFS(IsQList,IsIList,Table_ExternalData_15[[#This Row],[item_key]],IsITypeList,Table_ExternalData_15[[#This Row],[IType]],IsDList,Table_ExternalData_15[[#Headers],[23]])</f>
        <v>0</v>
      </c>
      <c r="AB364" s="10">
        <f>SUMIFS(IsQList,IsIList,Table_ExternalData_15[[#This Row],[item_key]],IsITypeList,Table_ExternalData_15[[#This Row],[IType]],IsDList,Table_ExternalData_15[[#Headers],[24]])</f>
        <v>0</v>
      </c>
      <c r="AC364" s="10">
        <f>SUMIFS(IsQList,IsIList,Table_ExternalData_15[[#This Row],[item_key]],IsITypeList,Table_ExternalData_15[[#This Row],[IType]],IsDList,Table_ExternalData_15[[#Headers],[25]])</f>
        <v>0</v>
      </c>
      <c r="AD364" s="10">
        <f>SUMIFS(IsQList,IsIList,Table_ExternalData_15[[#This Row],[item_key]],IsITypeList,Table_ExternalData_15[[#This Row],[IType]],IsDList,Table_ExternalData_15[[#Headers],[26]])</f>
        <v>0</v>
      </c>
      <c r="AE364" s="10">
        <f>SUMIFS(IsQList,IsIList,Table_ExternalData_15[[#This Row],[item_key]],IsITypeList,Table_ExternalData_15[[#This Row],[IType]],IsDList,Table_ExternalData_15[[#Headers],[27]])</f>
        <v>0</v>
      </c>
      <c r="AF364" s="10">
        <f>SUMIFS(IsQList,IsIList,Table_ExternalData_15[[#This Row],[item_key]],IsITypeList,Table_ExternalData_15[[#This Row],[IType]],IsDList,Table_ExternalData_15[[#Headers],[28]])</f>
        <v>0</v>
      </c>
      <c r="AG364" s="10">
        <f>SUMIFS(IsQList,IsIList,Table_ExternalData_15[[#This Row],[item_key]],IsITypeList,Table_ExternalData_15[[#This Row],[IType]],IsDList,Table_ExternalData_15[[#Headers],[29]])</f>
        <v>0</v>
      </c>
      <c r="AH364" s="10">
        <f>SUMIFS(IsQList,IsIList,Table_ExternalData_15[[#This Row],[item_key]],IsITypeList,Table_ExternalData_15[[#This Row],[IType]],IsDList,Table_ExternalData_15[[#Headers],[30]])</f>
        <v>0</v>
      </c>
      <c r="AI364" s="10">
        <f>SUMIFS(IsQList,IsIList,Table_ExternalData_15[[#This Row],[item_key]],IsITypeList,Table_ExternalData_15[[#This Row],[IType]],IsDList,Table_ExternalData_15[[#Headers],[31]])</f>
        <v>0</v>
      </c>
      <c r="AJ364" s="10">
        <f>SUM(Table_ExternalData_15[[#This Row],[1]:[31]])</f>
        <v>0</v>
      </c>
    </row>
    <row r="365" spans="1:36">
      <c r="A365" s="1" t="s">
        <v>1119</v>
      </c>
      <c r="B365" s="1" t="s">
        <v>2826</v>
      </c>
      <c r="C365" s="1" t="s">
        <v>2827</v>
      </c>
      <c r="D365" s="11" t="s">
        <v>72</v>
      </c>
      <c r="E365" s="10">
        <f>SUMIFS(IsQList,IsIList,Table_ExternalData_15[[#This Row],[item_key]],IsITypeList,Table_ExternalData_15[[#This Row],[IType]],IsDList,Table_ExternalData_15[[#Headers],[1]])</f>
        <v>0</v>
      </c>
      <c r="F365" s="10">
        <f>SUMIFS(IsQList,IsIList,Table_ExternalData_15[[#This Row],[item_key]],IsITypeList,Table_ExternalData_15[[#This Row],[IType]],IsDList,Table_ExternalData_15[[#Headers],[2]])</f>
        <v>0</v>
      </c>
      <c r="G365" s="10">
        <f>SUMIFS(IsQList,IsIList,Table_ExternalData_15[[#This Row],[item_key]],IsITypeList,Table_ExternalData_15[[#This Row],[IType]],IsDList,Table_ExternalData_15[[#Headers],[3]])</f>
        <v>0</v>
      </c>
      <c r="H365" s="10">
        <f>SUMIFS(IsQList,IsIList,Table_ExternalData_15[[#This Row],[item_key]],IsITypeList,Table_ExternalData_15[[#This Row],[IType]],IsDList,Table_ExternalData_15[[#Headers],[4]])</f>
        <v>0</v>
      </c>
      <c r="I365" s="10">
        <f>SUMIFS(IsQList,IsIList,Table_ExternalData_15[[#This Row],[item_key]],IsITypeList,Table_ExternalData_15[[#This Row],[IType]],IsDList,Table_ExternalData_15[[#Headers],[5]])</f>
        <v>0</v>
      </c>
      <c r="J365" s="10">
        <f>SUMIFS(IsQList,IsIList,Table_ExternalData_15[[#This Row],[item_key]],IsITypeList,Table_ExternalData_15[[#This Row],[IType]],IsDList,Table_ExternalData_15[[#Headers],[6]])</f>
        <v>0</v>
      </c>
      <c r="K365" s="10">
        <f>SUMIFS(IsQList,IsIList,Table_ExternalData_15[[#This Row],[item_key]],IsITypeList,Table_ExternalData_15[[#This Row],[IType]],IsDList,Table_ExternalData_15[[#Headers],[7]])</f>
        <v>0</v>
      </c>
      <c r="L365" s="10">
        <f>SUMIFS(IsQList,IsIList,Table_ExternalData_15[[#This Row],[item_key]],IsITypeList,Table_ExternalData_15[[#This Row],[IType]],IsDList,Table_ExternalData_15[[#Headers],[8]])</f>
        <v>0</v>
      </c>
      <c r="M365" s="10">
        <f>SUMIFS(IsQList,IsIList,Table_ExternalData_15[[#This Row],[item_key]],IsITypeList,Table_ExternalData_15[[#This Row],[IType]],IsDList,Table_ExternalData_15[[#Headers],[9]])</f>
        <v>0</v>
      </c>
      <c r="N365" s="10">
        <f>SUMIFS(IsQList,IsIList,Table_ExternalData_15[[#This Row],[item_key]],IsITypeList,Table_ExternalData_15[[#This Row],[IType]],IsDList,Table_ExternalData_15[[#Headers],[10]])</f>
        <v>0</v>
      </c>
      <c r="O365" s="10">
        <f>SUMIFS(IsQList,IsIList,Table_ExternalData_15[[#This Row],[item_key]],IsITypeList,Table_ExternalData_15[[#This Row],[IType]],IsDList,Table_ExternalData_15[[#Headers],[11]])</f>
        <v>0</v>
      </c>
      <c r="P365" s="10">
        <f>SUMIFS(IsQList,IsIList,Table_ExternalData_15[[#This Row],[item_key]],IsITypeList,Table_ExternalData_15[[#This Row],[IType]],IsDList,Table_ExternalData_15[[#Headers],[12]])</f>
        <v>0</v>
      </c>
      <c r="Q365" s="10">
        <f>SUMIFS(IsQList,IsIList,Table_ExternalData_15[[#This Row],[item_key]],IsITypeList,Table_ExternalData_15[[#This Row],[IType]],IsDList,Table_ExternalData_15[[#Headers],[13]])</f>
        <v>0</v>
      </c>
      <c r="R365" s="10">
        <f>SUMIFS(IsQList,IsIList,Table_ExternalData_15[[#This Row],[item_key]],IsITypeList,Table_ExternalData_15[[#This Row],[IType]],IsDList,Table_ExternalData_15[[#Headers],[14]])</f>
        <v>0</v>
      </c>
      <c r="S365" s="10">
        <f>SUMIFS(IsQList,IsIList,Table_ExternalData_15[[#This Row],[item_key]],IsITypeList,Table_ExternalData_15[[#This Row],[IType]],IsDList,Table_ExternalData_15[[#Headers],[15]])</f>
        <v>0</v>
      </c>
      <c r="T365" s="10">
        <f>SUMIFS(IsQList,IsIList,Table_ExternalData_15[[#This Row],[item_key]],IsITypeList,Table_ExternalData_15[[#This Row],[IType]],IsDList,Table_ExternalData_15[[#Headers],[16]])</f>
        <v>10</v>
      </c>
      <c r="U365" s="10">
        <f>SUMIFS(IsQList,IsIList,Table_ExternalData_15[[#This Row],[item_key]],IsITypeList,Table_ExternalData_15[[#This Row],[IType]],IsDList,Table_ExternalData_15[[#Headers],[17]])</f>
        <v>0</v>
      </c>
      <c r="V365" s="10">
        <f>SUMIFS(IsQList,IsIList,Table_ExternalData_15[[#This Row],[item_key]],IsITypeList,Table_ExternalData_15[[#This Row],[IType]],IsDList,Table_ExternalData_15[[#Headers],[18]])</f>
        <v>0</v>
      </c>
      <c r="W365" s="10">
        <f>SUMIFS(IsQList,IsIList,Table_ExternalData_15[[#This Row],[item_key]],IsITypeList,Table_ExternalData_15[[#This Row],[IType]],IsDList,Table_ExternalData_15[[#Headers],[19]])</f>
        <v>0</v>
      </c>
      <c r="X365" s="10">
        <f>SUMIFS(IsQList,IsIList,Table_ExternalData_15[[#This Row],[item_key]],IsITypeList,Table_ExternalData_15[[#This Row],[IType]],IsDList,Table_ExternalData_15[[#Headers],[20]])</f>
        <v>0</v>
      </c>
      <c r="Y365" s="10">
        <f>SUMIFS(IsQList,IsIList,Table_ExternalData_15[[#This Row],[item_key]],IsITypeList,Table_ExternalData_15[[#This Row],[IType]],IsDList,Table_ExternalData_15[[#Headers],[21]])</f>
        <v>0</v>
      </c>
      <c r="Z365" s="10">
        <f>SUMIFS(IsQList,IsIList,Table_ExternalData_15[[#This Row],[item_key]],IsITypeList,Table_ExternalData_15[[#This Row],[IType]],IsDList,Table_ExternalData_15[[#Headers],[22]])</f>
        <v>0</v>
      </c>
      <c r="AA365" s="10">
        <f>SUMIFS(IsQList,IsIList,Table_ExternalData_15[[#This Row],[item_key]],IsITypeList,Table_ExternalData_15[[#This Row],[IType]],IsDList,Table_ExternalData_15[[#Headers],[23]])</f>
        <v>0</v>
      </c>
      <c r="AB365" s="10">
        <f>SUMIFS(IsQList,IsIList,Table_ExternalData_15[[#This Row],[item_key]],IsITypeList,Table_ExternalData_15[[#This Row],[IType]],IsDList,Table_ExternalData_15[[#Headers],[24]])</f>
        <v>0</v>
      </c>
      <c r="AC365" s="10">
        <f>SUMIFS(IsQList,IsIList,Table_ExternalData_15[[#This Row],[item_key]],IsITypeList,Table_ExternalData_15[[#This Row],[IType]],IsDList,Table_ExternalData_15[[#Headers],[25]])</f>
        <v>0</v>
      </c>
      <c r="AD365" s="10">
        <f>SUMIFS(IsQList,IsIList,Table_ExternalData_15[[#This Row],[item_key]],IsITypeList,Table_ExternalData_15[[#This Row],[IType]],IsDList,Table_ExternalData_15[[#Headers],[26]])</f>
        <v>0</v>
      </c>
      <c r="AE365" s="10">
        <f>SUMIFS(IsQList,IsIList,Table_ExternalData_15[[#This Row],[item_key]],IsITypeList,Table_ExternalData_15[[#This Row],[IType]],IsDList,Table_ExternalData_15[[#Headers],[27]])</f>
        <v>0</v>
      </c>
      <c r="AF365" s="10">
        <f>SUMIFS(IsQList,IsIList,Table_ExternalData_15[[#This Row],[item_key]],IsITypeList,Table_ExternalData_15[[#This Row],[IType]],IsDList,Table_ExternalData_15[[#Headers],[28]])</f>
        <v>0</v>
      </c>
      <c r="AG365" s="10">
        <f>SUMIFS(IsQList,IsIList,Table_ExternalData_15[[#This Row],[item_key]],IsITypeList,Table_ExternalData_15[[#This Row],[IType]],IsDList,Table_ExternalData_15[[#Headers],[29]])</f>
        <v>0</v>
      </c>
      <c r="AH365" s="10">
        <f>SUMIFS(IsQList,IsIList,Table_ExternalData_15[[#This Row],[item_key]],IsITypeList,Table_ExternalData_15[[#This Row],[IType]],IsDList,Table_ExternalData_15[[#Headers],[30]])</f>
        <v>90</v>
      </c>
      <c r="AI365" s="10">
        <f>SUMIFS(IsQList,IsIList,Table_ExternalData_15[[#This Row],[item_key]],IsITypeList,Table_ExternalData_15[[#This Row],[IType]],IsDList,Table_ExternalData_15[[#Headers],[31]])</f>
        <v>0</v>
      </c>
      <c r="AJ365" s="10">
        <f>SUM(Table_ExternalData_15[[#This Row],[1]:[31]])</f>
        <v>100</v>
      </c>
    </row>
    <row r="366" spans="1:36">
      <c r="A366" s="1" t="s">
        <v>1123</v>
      </c>
      <c r="B366" s="1" t="s">
        <v>1565</v>
      </c>
      <c r="C366" s="1" t="s">
        <v>1566</v>
      </c>
      <c r="D366" s="11" t="s">
        <v>72</v>
      </c>
      <c r="E366" s="10">
        <f>SUMIFS(IsQList,IsIList,Table_ExternalData_15[[#This Row],[item_key]],IsITypeList,Table_ExternalData_15[[#This Row],[IType]],IsDList,Table_ExternalData_15[[#Headers],[1]])</f>
        <v>0</v>
      </c>
      <c r="F366" s="10">
        <f>SUMIFS(IsQList,IsIList,Table_ExternalData_15[[#This Row],[item_key]],IsITypeList,Table_ExternalData_15[[#This Row],[IType]],IsDList,Table_ExternalData_15[[#Headers],[2]])</f>
        <v>0</v>
      </c>
      <c r="G366" s="10">
        <f>SUMIFS(IsQList,IsIList,Table_ExternalData_15[[#This Row],[item_key]],IsITypeList,Table_ExternalData_15[[#This Row],[IType]],IsDList,Table_ExternalData_15[[#Headers],[3]])</f>
        <v>0</v>
      </c>
      <c r="H366" s="10">
        <f>SUMIFS(IsQList,IsIList,Table_ExternalData_15[[#This Row],[item_key]],IsITypeList,Table_ExternalData_15[[#This Row],[IType]],IsDList,Table_ExternalData_15[[#Headers],[4]])</f>
        <v>0</v>
      </c>
      <c r="I366" s="10">
        <f>SUMIFS(IsQList,IsIList,Table_ExternalData_15[[#This Row],[item_key]],IsITypeList,Table_ExternalData_15[[#This Row],[IType]],IsDList,Table_ExternalData_15[[#Headers],[5]])</f>
        <v>0</v>
      </c>
      <c r="J366" s="10">
        <f>SUMIFS(IsQList,IsIList,Table_ExternalData_15[[#This Row],[item_key]],IsITypeList,Table_ExternalData_15[[#This Row],[IType]],IsDList,Table_ExternalData_15[[#Headers],[6]])</f>
        <v>0</v>
      </c>
      <c r="K366" s="10">
        <f>SUMIFS(IsQList,IsIList,Table_ExternalData_15[[#This Row],[item_key]],IsITypeList,Table_ExternalData_15[[#This Row],[IType]],IsDList,Table_ExternalData_15[[#Headers],[7]])</f>
        <v>0</v>
      </c>
      <c r="L366" s="10">
        <f>SUMIFS(IsQList,IsIList,Table_ExternalData_15[[#This Row],[item_key]],IsITypeList,Table_ExternalData_15[[#This Row],[IType]],IsDList,Table_ExternalData_15[[#Headers],[8]])</f>
        <v>0</v>
      </c>
      <c r="M366" s="10">
        <f>SUMIFS(IsQList,IsIList,Table_ExternalData_15[[#This Row],[item_key]],IsITypeList,Table_ExternalData_15[[#This Row],[IType]],IsDList,Table_ExternalData_15[[#Headers],[9]])</f>
        <v>0</v>
      </c>
      <c r="N366" s="10">
        <f>SUMIFS(IsQList,IsIList,Table_ExternalData_15[[#This Row],[item_key]],IsITypeList,Table_ExternalData_15[[#This Row],[IType]],IsDList,Table_ExternalData_15[[#Headers],[10]])</f>
        <v>0</v>
      </c>
      <c r="O366" s="10">
        <f>SUMIFS(IsQList,IsIList,Table_ExternalData_15[[#This Row],[item_key]],IsITypeList,Table_ExternalData_15[[#This Row],[IType]],IsDList,Table_ExternalData_15[[#Headers],[11]])</f>
        <v>0</v>
      </c>
      <c r="P366" s="10">
        <f>SUMIFS(IsQList,IsIList,Table_ExternalData_15[[#This Row],[item_key]],IsITypeList,Table_ExternalData_15[[#This Row],[IType]],IsDList,Table_ExternalData_15[[#Headers],[12]])</f>
        <v>0</v>
      </c>
      <c r="Q366" s="10">
        <f>SUMIFS(IsQList,IsIList,Table_ExternalData_15[[#This Row],[item_key]],IsITypeList,Table_ExternalData_15[[#This Row],[IType]],IsDList,Table_ExternalData_15[[#Headers],[13]])</f>
        <v>0</v>
      </c>
      <c r="R366" s="10">
        <f>SUMIFS(IsQList,IsIList,Table_ExternalData_15[[#This Row],[item_key]],IsITypeList,Table_ExternalData_15[[#This Row],[IType]],IsDList,Table_ExternalData_15[[#Headers],[14]])</f>
        <v>0</v>
      </c>
      <c r="S366" s="10">
        <f>SUMIFS(IsQList,IsIList,Table_ExternalData_15[[#This Row],[item_key]],IsITypeList,Table_ExternalData_15[[#This Row],[IType]],IsDList,Table_ExternalData_15[[#Headers],[15]])</f>
        <v>0</v>
      </c>
      <c r="T366" s="10">
        <f>SUMIFS(IsQList,IsIList,Table_ExternalData_15[[#This Row],[item_key]],IsITypeList,Table_ExternalData_15[[#This Row],[IType]],IsDList,Table_ExternalData_15[[#Headers],[16]])</f>
        <v>0</v>
      </c>
      <c r="U366" s="10">
        <f>SUMIFS(IsQList,IsIList,Table_ExternalData_15[[#This Row],[item_key]],IsITypeList,Table_ExternalData_15[[#This Row],[IType]],IsDList,Table_ExternalData_15[[#Headers],[17]])</f>
        <v>0</v>
      </c>
      <c r="V366" s="10">
        <f>SUMIFS(IsQList,IsIList,Table_ExternalData_15[[#This Row],[item_key]],IsITypeList,Table_ExternalData_15[[#This Row],[IType]],IsDList,Table_ExternalData_15[[#Headers],[18]])</f>
        <v>0</v>
      </c>
      <c r="W366" s="10">
        <f>SUMIFS(IsQList,IsIList,Table_ExternalData_15[[#This Row],[item_key]],IsITypeList,Table_ExternalData_15[[#This Row],[IType]],IsDList,Table_ExternalData_15[[#Headers],[19]])</f>
        <v>0</v>
      </c>
      <c r="X366" s="10">
        <f>SUMIFS(IsQList,IsIList,Table_ExternalData_15[[#This Row],[item_key]],IsITypeList,Table_ExternalData_15[[#This Row],[IType]],IsDList,Table_ExternalData_15[[#Headers],[20]])</f>
        <v>0</v>
      </c>
      <c r="Y366" s="10">
        <f>SUMIFS(IsQList,IsIList,Table_ExternalData_15[[#This Row],[item_key]],IsITypeList,Table_ExternalData_15[[#This Row],[IType]],IsDList,Table_ExternalData_15[[#Headers],[21]])</f>
        <v>0</v>
      </c>
      <c r="Z366" s="10">
        <f>SUMIFS(IsQList,IsIList,Table_ExternalData_15[[#This Row],[item_key]],IsITypeList,Table_ExternalData_15[[#This Row],[IType]],IsDList,Table_ExternalData_15[[#Headers],[22]])</f>
        <v>0</v>
      </c>
      <c r="AA366" s="10">
        <f>SUMIFS(IsQList,IsIList,Table_ExternalData_15[[#This Row],[item_key]],IsITypeList,Table_ExternalData_15[[#This Row],[IType]],IsDList,Table_ExternalData_15[[#Headers],[23]])</f>
        <v>0</v>
      </c>
      <c r="AB366" s="10">
        <f>SUMIFS(IsQList,IsIList,Table_ExternalData_15[[#This Row],[item_key]],IsITypeList,Table_ExternalData_15[[#This Row],[IType]],IsDList,Table_ExternalData_15[[#Headers],[24]])</f>
        <v>0</v>
      </c>
      <c r="AC366" s="10">
        <f>SUMIFS(IsQList,IsIList,Table_ExternalData_15[[#This Row],[item_key]],IsITypeList,Table_ExternalData_15[[#This Row],[IType]],IsDList,Table_ExternalData_15[[#Headers],[25]])</f>
        <v>0</v>
      </c>
      <c r="AD366" s="10">
        <f>SUMIFS(IsQList,IsIList,Table_ExternalData_15[[#This Row],[item_key]],IsITypeList,Table_ExternalData_15[[#This Row],[IType]],IsDList,Table_ExternalData_15[[#Headers],[26]])</f>
        <v>0</v>
      </c>
      <c r="AE366" s="10">
        <f>SUMIFS(IsQList,IsIList,Table_ExternalData_15[[#This Row],[item_key]],IsITypeList,Table_ExternalData_15[[#This Row],[IType]],IsDList,Table_ExternalData_15[[#Headers],[27]])</f>
        <v>0</v>
      </c>
      <c r="AF366" s="10">
        <f>SUMIFS(IsQList,IsIList,Table_ExternalData_15[[#This Row],[item_key]],IsITypeList,Table_ExternalData_15[[#This Row],[IType]],IsDList,Table_ExternalData_15[[#Headers],[28]])</f>
        <v>0</v>
      </c>
      <c r="AG366" s="10">
        <f>SUMIFS(IsQList,IsIList,Table_ExternalData_15[[#This Row],[item_key]],IsITypeList,Table_ExternalData_15[[#This Row],[IType]],IsDList,Table_ExternalData_15[[#Headers],[29]])</f>
        <v>0</v>
      </c>
      <c r="AH366" s="10">
        <f>SUMIFS(IsQList,IsIList,Table_ExternalData_15[[#This Row],[item_key]],IsITypeList,Table_ExternalData_15[[#This Row],[IType]],IsDList,Table_ExternalData_15[[#Headers],[30]])</f>
        <v>0</v>
      </c>
      <c r="AI366" s="10">
        <f>SUMIFS(IsQList,IsIList,Table_ExternalData_15[[#This Row],[item_key]],IsITypeList,Table_ExternalData_15[[#This Row],[IType]],IsDList,Table_ExternalData_15[[#Headers],[31]])</f>
        <v>0</v>
      </c>
      <c r="AJ366" s="10">
        <f>SUM(Table_ExternalData_15[[#This Row],[1]:[31]])</f>
        <v>0</v>
      </c>
    </row>
    <row r="367" spans="1:36">
      <c r="A367" s="1" t="s">
        <v>2254</v>
      </c>
      <c r="B367" s="1" t="s">
        <v>2828</v>
      </c>
      <c r="C367" s="1" t="s">
        <v>2829</v>
      </c>
      <c r="D367" s="11" t="s">
        <v>72</v>
      </c>
      <c r="E367" s="10">
        <f>SUMIFS(IsQList,IsIList,Table_ExternalData_15[[#This Row],[item_key]],IsITypeList,Table_ExternalData_15[[#This Row],[IType]],IsDList,Table_ExternalData_15[[#Headers],[1]])</f>
        <v>0</v>
      </c>
      <c r="F367" s="10">
        <f>SUMIFS(IsQList,IsIList,Table_ExternalData_15[[#This Row],[item_key]],IsITypeList,Table_ExternalData_15[[#This Row],[IType]],IsDList,Table_ExternalData_15[[#Headers],[2]])</f>
        <v>0</v>
      </c>
      <c r="G367" s="10">
        <f>SUMIFS(IsQList,IsIList,Table_ExternalData_15[[#This Row],[item_key]],IsITypeList,Table_ExternalData_15[[#This Row],[IType]],IsDList,Table_ExternalData_15[[#Headers],[3]])</f>
        <v>0</v>
      </c>
      <c r="H367" s="10">
        <f>SUMIFS(IsQList,IsIList,Table_ExternalData_15[[#This Row],[item_key]],IsITypeList,Table_ExternalData_15[[#This Row],[IType]],IsDList,Table_ExternalData_15[[#Headers],[4]])</f>
        <v>0</v>
      </c>
      <c r="I367" s="10">
        <f>SUMIFS(IsQList,IsIList,Table_ExternalData_15[[#This Row],[item_key]],IsITypeList,Table_ExternalData_15[[#This Row],[IType]],IsDList,Table_ExternalData_15[[#Headers],[5]])</f>
        <v>0</v>
      </c>
      <c r="J367" s="10">
        <f>SUMIFS(IsQList,IsIList,Table_ExternalData_15[[#This Row],[item_key]],IsITypeList,Table_ExternalData_15[[#This Row],[IType]],IsDList,Table_ExternalData_15[[#Headers],[6]])</f>
        <v>30</v>
      </c>
      <c r="K367" s="10">
        <f>SUMIFS(IsQList,IsIList,Table_ExternalData_15[[#This Row],[item_key]],IsITypeList,Table_ExternalData_15[[#This Row],[IType]],IsDList,Table_ExternalData_15[[#Headers],[7]])</f>
        <v>0</v>
      </c>
      <c r="L367" s="10">
        <f>SUMIFS(IsQList,IsIList,Table_ExternalData_15[[#This Row],[item_key]],IsITypeList,Table_ExternalData_15[[#This Row],[IType]],IsDList,Table_ExternalData_15[[#Headers],[8]])</f>
        <v>0</v>
      </c>
      <c r="M367" s="10">
        <f>SUMIFS(IsQList,IsIList,Table_ExternalData_15[[#This Row],[item_key]],IsITypeList,Table_ExternalData_15[[#This Row],[IType]],IsDList,Table_ExternalData_15[[#Headers],[9]])</f>
        <v>0</v>
      </c>
      <c r="N367" s="10">
        <f>SUMIFS(IsQList,IsIList,Table_ExternalData_15[[#This Row],[item_key]],IsITypeList,Table_ExternalData_15[[#This Row],[IType]],IsDList,Table_ExternalData_15[[#Headers],[10]])</f>
        <v>0</v>
      </c>
      <c r="O367" s="10">
        <f>SUMIFS(IsQList,IsIList,Table_ExternalData_15[[#This Row],[item_key]],IsITypeList,Table_ExternalData_15[[#This Row],[IType]],IsDList,Table_ExternalData_15[[#Headers],[11]])</f>
        <v>0</v>
      </c>
      <c r="P367" s="10">
        <f>SUMIFS(IsQList,IsIList,Table_ExternalData_15[[#This Row],[item_key]],IsITypeList,Table_ExternalData_15[[#This Row],[IType]],IsDList,Table_ExternalData_15[[#Headers],[12]])</f>
        <v>0</v>
      </c>
      <c r="Q367" s="10">
        <f>SUMIFS(IsQList,IsIList,Table_ExternalData_15[[#This Row],[item_key]],IsITypeList,Table_ExternalData_15[[#This Row],[IType]],IsDList,Table_ExternalData_15[[#Headers],[13]])</f>
        <v>0</v>
      </c>
      <c r="R367" s="10">
        <f>SUMIFS(IsQList,IsIList,Table_ExternalData_15[[#This Row],[item_key]],IsITypeList,Table_ExternalData_15[[#This Row],[IType]],IsDList,Table_ExternalData_15[[#Headers],[14]])</f>
        <v>0</v>
      </c>
      <c r="S367" s="10">
        <f>SUMIFS(IsQList,IsIList,Table_ExternalData_15[[#This Row],[item_key]],IsITypeList,Table_ExternalData_15[[#This Row],[IType]],IsDList,Table_ExternalData_15[[#Headers],[15]])</f>
        <v>0</v>
      </c>
      <c r="T367" s="10">
        <f>SUMIFS(IsQList,IsIList,Table_ExternalData_15[[#This Row],[item_key]],IsITypeList,Table_ExternalData_15[[#This Row],[IType]],IsDList,Table_ExternalData_15[[#Headers],[16]])</f>
        <v>200</v>
      </c>
      <c r="U367" s="10">
        <f>SUMIFS(IsQList,IsIList,Table_ExternalData_15[[#This Row],[item_key]],IsITypeList,Table_ExternalData_15[[#This Row],[IType]],IsDList,Table_ExternalData_15[[#Headers],[17]])</f>
        <v>0</v>
      </c>
      <c r="V367" s="10">
        <f>SUMIFS(IsQList,IsIList,Table_ExternalData_15[[#This Row],[item_key]],IsITypeList,Table_ExternalData_15[[#This Row],[IType]],IsDList,Table_ExternalData_15[[#Headers],[18]])</f>
        <v>0</v>
      </c>
      <c r="W367" s="10">
        <f>SUMIFS(IsQList,IsIList,Table_ExternalData_15[[#This Row],[item_key]],IsITypeList,Table_ExternalData_15[[#This Row],[IType]],IsDList,Table_ExternalData_15[[#Headers],[19]])</f>
        <v>0</v>
      </c>
      <c r="X367" s="10">
        <f>SUMIFS(IsQList,IsIList,Table_ExternalData_15[[#This Row],[item_key]],IsITypeList,Table_ExternalData_15[[#This Row],[IType]],IsDList,Table_ExternalData_15[[#Headers],[20]])</f>
        <v>0</v>
      </c>
      <c r="Y367" s="10">
        <f>SUMIFS(IsQList,IsIList,Table_ExternalData_15[[#This Row],[item_key]],IsITypeList,Table_ExternalData_15[[#This Row],[IType]],IsDList,Table_ExternalData_15[[#Headers],[21]])</f>
        <v>0</v>
      </c>
      <c r="Z367" s="10">
        <f>SUMIFS(IsQList,IsIList,Table_ExternalData_15[[#This Row],[item_key]],IsITypeList,Table_ExternalData_15[[#This Row],[IType]],IsDList,Table_ExternalData_15[[#Headers],[22]])</f>
        <v>0</v>
      </c>
      <c r="AA367" s="10">
        <f>SUMIFS(IsQList,IsIList,Table_ExternalData_15[[#This Row],[item_key]],IsITypeList,Table_ExternalData_15[[#This Row],[IType]],IsDList,Table_ExternalData_15[[#Headers],[23]])</f>
        <v>0</v>
      </c>
      <c r="AB367" s="10">
        <f>SUMIFS(IsQList,IsIList,Table_ExternalData_15[[#This Row],[item_key]],IsITypeList,Table_ExternalData_15[[#This Row],[IType]],IsDList,Table_ExternalData_15[[#Headers],[24]])</f>
        <v>0</v>
      </c>
      <c r="AC367" s="10">
        <f>SUMIFS(IsQList,IsIList,Table_ExternalData_15[[#This Row],[item_key]],IsITypeList,Table_ExternalData_15[[#This Row],[IType]],IsDList,Table_ExternalData_15[[#Headers],[25]])</f>
        <v>0</v>
      </c>
      <c r="AD367" s="10">
        <f>SUMIFS(IsQList,IsIList,Table_ExternalData_15[[#This Row],[item_key]],IsITypeList,Table_ExternalData_15[[#This Row],[IType]],IsDList,Table_ExternalData_15[[#Headers],[26]])</f>
        <v>0</v>
      </c>
      <c r="AE367" s="10">
        <f>SUMIFS(IsQList,IsIList,Table_ExternalData_15[[#This Row],[item_key]],IsITypeList,Table_ExternalData_15[[#This Row],[IType]],IsDList,Table_ExternalData_15[[#Headers],[27]])</f>
        <v>0</v>
      </c>
      <c r="AF367" s="10">
        <f>SUMIFS(IsQList,IsIList,Table_ExternalData_15[[#This Row],[item_key]],IsITypeList,Table_ExternalData_15[[#This Row],[IType]],IsDList,Table_ExternalData_15[[#Headers],[28]])</f>
        <v>0</v>
      </c>
      <c r="AG367" s="10">
        <f>SUMIFS(IsQList,IsIList,Table_ExternalData_15[[#This Row],[item_key]],IsITypeList,Table_ExternalData_15[[#This Row],[IType]],IsDList,Table_ExternalData_15[[#Headers],[29]])</f>
        <v>0</v>
      </c>
      <c r="AH367" s="10">
        <f>SUMIFS(IsQList,IsIList,Table_ExternalData_15[[#This Row],[item_key]],IsITypeList,Table_ExternalData_15[[#This Row],[IType]],IsDList,Table_ExternalData_15[[#Headers],[30]])</f>
        <v>10</v>
      </c>
      <c r="AI367" s="10">
        <f>SUMIFS(IsQList,IsIList,Table_ExternalData_15[[#This Row],[item_key]],IsITypeList,Table_ExternalData_15[[#This Row],[IType]],IsDList,Table_ExternalData_15[[#Headers],[31]])</f>
        <v>0</v>
      </c>
      <c r="AJ367" s="10">
        <f>SUM(Table_ExternalData_15[[#This Row],[1]:[31]])</f>
        <v>240</v>
      </c>
    </row>
    <row r="368" spans="1:36">
      <c r="A368" s="1" t="s">
        <v>2283</v>
      </c>
      <c r="B368" s="1" t="s">
        <v>2830</v>
      </c>
      <c r="C368" s="1" t="s">
        <v>2831</v>
      </c>
      <c r="D368" s="11" t="s">
        <v>72</v>
      </c>
      <c r="E368" s="10">
        <f>SUMIFS(IsQList,IsIList,Table_ExternalData_15[[#This Row],[item_key]],IsITypeList,Table_ExternalData_15[[#This Row],[IType]],IsDList,Table_ExternalData_15[[#Headers],[1]])</f>
        <v>0</v>
      </c>
      <c r="F368" s="10">
        <f>SUMIFS(IsQList,IsIList,Table_ExternalData_15[[#This Row],[item_key]],IsITypeList,Table_ExternalData_15[[#This Row],[IType]],IsDList,Table_ExternalData_15[[#Headers],[2]])</f>
        <v>0</v>
      </c>
      <c r="G368" s="10">
        <f>SUMIFS(IsQList,IsIList,Table_ExternalData_15[[#This Row],[item_key]],IsITypeList,Table_ExternalData_15[[#This Row],[IType]],IsDList,Table_ExternalData_15[[#Headers],[3]])</f>
        <v>0</v>
      </c>
      <c r="H368" s="10">
        <f>SUMIFS(IsQList,IsIList,Table_ExternalData_15[[#This Row],[item_key]],IsITypeList,Table_ExternalData_15[[#This Row],[IType]],IsDList,Table_ExternalData_15[[#Headers],[4]])</f>
        <v>0</v>
      </c>
      <c r="I368" s="10">
        <f>SUMIFS(IsQList,IsIList,Table_ExternalData_15[[#This Row],[item_key]],IsITypeList,Table_ExternalData_15[[#This Row],[IType]],IsDList,Table_ExternalData_15[[#Headers],[5]])</f>
        <v>0</v>
      </c>
      <c r="J368" s="10">
        <f>SUMIFS(IsQList,IsIList,Table_ExternalData_15[[#This Row],[item_key]],IsITypeList,Table_ExternalData_15[[#This Row],[IType]],IsDList,Table_ExternalData_15[[#Headers],[6]])</f>
        <v>3</v>
      </c>
      <c r="K368" s="10">
        <f>SUMIFS(IsQList,IsIList,Table_ExternalData_15[[#This Row],[item_key]],IsITypeList,Table_ExternalData_15[[#This Row],[IType]],IsDList,Table_ExternalData_15[[#Headers],[7]])</f>
        <v>0</v>
      </c>
      <c r="L368" s="10">
        <f>SUMIFS(IsQList,IsIList,Table_ExternalData_15[[#This Row],[item_key]],IsITypeList,Table_ExternalData_15[[#This Row],[IType]],IsDList,Table_ExternalData_15[[#Headers],[8]])</f>
        <v>0</v>
      </c>
      <c r="M368" s="10">
        <f>SUMIFS(IsQList,IsIList,Table_ExternalData_15[[#This Row],[item_key]],IsITypeList,Table_ExternalData_15[[#This Row],[IType]],IsDList,Table_ExternalData_15[[#Headers],[9]])</f>
        <v>0</v>
      </c>
      <c r="N368" s="10">
        <f>SUMIFS(IsQList,IsIList,Table_ExternalData_15[[#This Row],[item_key]],IsITypeList,Table_ExternalData_15[[#This Row],[IType]],IsDList,Table_ExternalData_15[[#Headers],[10]])</f>
        <v>0</v>
      </c>
      <c r="O368" s="10">
        <f>SUMIFS(IsQList,IsIList,Table_ExternalData_15[[#This Row],[item_key]],IsITypeList,Table_ExternalData_15[[#This Row],[IType]],IsDList,Table_ExternalData_15[[#Headers],[11]])</f>
        <v>0</v>
      </c>
      <c r="P368" s="10">
        <f>SUMIFS(IsQList,IsIList,Table_ExternalData_15[[#This Row],[item_key]],IsITypeList,Table_ExternalData_15[[#This Row],[IType]],IsDList,Table_ExternalData_15[[#Headers],[12]])</f>
        <v>0</v>
      </c>
      <c r="Q368" s="10">
        <f>SUMIFS(IsQList,IsIList,Table_ExternalData_15[[#This Row],[item_key]],IsITypeList,Table_ExternalData_15[[#This Row],[IType]],IsDList,Table_ExternalData_15[[#Headers],[13]])</f>
        <v>0</v>
      </c>
      <c r="R368" s="10">
        <f>SUMIFS(IsQList,IsIList,Table_ExternalData_15[[#This Row],[item_key]],IsITypeList,Table_ExternalData_15[[#This Row],[IType]],IsDList,Table_ExternalData_15[[#Headers],[14]])</f>
        <v>0</v>
      </c>
      <c r="S368" s="10">
        <f>SUMIFS(IsQList,IsIList,Table_ExternalData_15[[#This Row],[item_key]],IsITypeList,Table_ExternalData_15[[#This Row],[IType]],IsDList,Table_ExternalData_15[[#Headers],[15]])</f>
        <v>0</v>
      </c>
      <c r="T368" s="10">
        <f>SUMIFS(IsQList,IsIList,Table_ExternalData_15[[#This Row],[item_key]],IsITypeList,Table_ExternalData_15[[#This Row],[IType]],IsDList,Table_ExternalData_15[[#Headers],[16]])</f>
        <v>0</v>
      </c>
      <c r="U368" s="10">
        <f>SUMIFS(IsQList,IsIList,Table_ExternalData_15[[#This Row],[item_key]],IsITypeList,Table_ExternalData_15[[#This Row],[IType]],IsDList,Table_ExternalData_15[[#Headers],[17]])</f>
        <v>0</v>
      </c>
      <c r="V368" s="10">
        <f>SUMIFS(IsQList,IsIList,Table_ExternalData_15[[#This Row],[item_key]],IsITypeList,Table_ExternalData_15[[#This Row],[IType]],IsDList,Table_ExternalData_15[[#Headers],[18]])</f>
        <v>0</v>
      </c>
      <c r="W368" s="10">
        <f>SUMIFS(IsQList,IsIList,Table_ExternalData_15[[#This Row],[item_key]],IsITypeList,Table_ExternalData_15[[#This Row],[IType]],IsDList,Table_ExternalData_15[[#Headers],[19]])</f>
        <v>0</v>
      </c>
      <c r="X368" s="10">
        <f>SUMIFS(IsQList,IsIList,Table_ExternalData_15[[#This Row],[item_key]],IsITypeList,Table_ExternalData_15[[#This Row],[IType]],IsDList,Table_ExternalData_15[[#Headers],[20]])</f>
        <v>0</v>
      </c>
      <c r="Y368" s="10">
        <f>SUMIFS(IsQList,IsIList,Table_ExternalData_15[[#This Row],[item_key]],IsITypeList,Table_ExternalData_15[[#This Row],[IType]],IsDList,Table_ExternalData_15[[#Headers],[21]])</f>
        <v>0</v>
      </c>
      <c r="Z368" s="10">
        <f>SUMIFS(IsQList,IsIList,Table_ExternalData_15[[#This Row],[item_key]],IsITypeList,Table_ExternalData_15[[#This Row],[IType]],IsDList,Table_ExternalData_15[[#Headers],[22]])</f>
        <v>0</v>
      </c>
      <c r="AA368" s="10">
        <f>SUMIFS(IsQList,IsIList,Table_ExternalData_15[[#This Row],[item_key]],IsITypeList,Table_ExternalData_15[[#This Row],[IType]],IsDList,Table_ExternalData_15[[#Headers],[23]])</f>
        <v>0</v>
      </c>
      <c r="AB368" s="10">
        <f>SUMIFS(IsQList,IsIList,Table_ExternalData_15[[#This Row],[item_key]],IsITypeList,Table_ExternalData_15[[#This Row],[IType]],IsDList,Table_ExternalData_15[[#Headers],[24]])</f>
        <v>0</v>
      </c>
      <c r="AC368" s="10">
        <f>SUMIFS(IsQList,IsIList,Table_ExternalData_15[[#This Row],[item_key]],IsITypeList,Table_ExternalData_15[[#This Row],[IType]],IsDList,Table_ExternalData_15[[#Headers],[25]])</f>
        <v>0</v>
      </c>
      <c r="AD368" s="10">
        <f>SUMIFS(IsQList,IsIList,Table_ExternalData_15[[#This Row],[item_key]],IsITypeList,Table_ExternalData_15[[#This Row],[IType]],IsDList,Table_ExternalData_15[[#Headers],[26]])</f>
        <v>0</v>
      </c>
      <c r="AE368" s="10">
        <f>SUMIFS(IsQList,IsIList,Table_ExternalData_15[[#This Row],[item_key]],IsITypeList,Table_ExternalData_15[[#This Row],[IType]],IsDList,Table_ExternalData_15[[#Headers],[27]])</f>
        <v>0</v>
      </c>
      <c r="AF368" s="10">
        <f>SUMIFS(IsQList,IsIList,Table_ExternalData_15[[#This Row],[item_key]],IsITypeList,Table_ExternalData_15[[#This Row],[IType]],IsDList,Table_ExternalData_15[[#Headers],[28]])</f>
        <v>0</v>
      </c>
      <c r="AG368" s="10">
        <f>SUMIFS(IsQList,IsIList,Table_ExternalData_15[[#This Row],[item_key]],IsITypeList,Table_ExternalData_15[[#This Row],[IType]],IsDList,Table_ExternalData_15[[#Headers],[29]])</f>
        <v>0</v>
      </c>
      <c r="AH368" s="10">
        <f>SUMIFS(IsQList,IsIList,Table_ExternalData_15[[#This Row],[item_key]],IsITypeList,Table_ExternalData_15[[#This Row],[IType]],IsDList,Table_ExternalData_15[[#Headers],[30]])</f>
        <v>0</v>
      </c>
      <c r="AI368" s="10">
        <f>SUMIFS(IsQList,IsIList,Table_ExternalData_15[[#This Row],[item_key]],IsITypeList,Table_ExternalData_15[[#This Row],[IType]],IsDList,Table_ExternalData_15[[#Headers],[31]])</f>
        <v>0</v>
      </c>
      <c r="AJ368" s="10">
        <f>SUM(Table_ExternalData_15[[#This Row],[1]:[31]])</f>
        <v>3</v>
      </c>
    </row>
    <row r="369" spans="1:36">
      <c r="A369" s="1" t="s">
        <v>2286</v>
      </c>
      <c r="B369" s="1" t="s">
        <v>2832</v>
      </c>
      <c r="C369" s="1" t="s">
        <v>2833</v>
      </c>
      <c r="D369" s="11" t="s">
        <v>72</v>
      </c>
      <c r="E369" s="10">
        <f>SUMIFS(IsQList,IsIList,Table_ExternalData_15[[#This Row],[item_key]],IsITypeList,Table_ExternalData_15[[#This Row],[IType]],IsDList,Table_ExternalData_15[[#Headers],[1]])</f>
        <v>0</v>
      </c>
      <c r="F369" s="10">
        <f>SUMIFS(IsQList,IsIList,Table_ExternalData_15[[#This Row],[item_key]],IsITypeList,Table_ExternalData_15[[#This Row],[IType]],IsDList,Table_ExternalData_15[[#Headers],[2]])</f>
        <v>0</v>
      </c>
      <c r="G369" s="10">
        <f>SUMIFS(IsQList,IsIList,Table_ExternalData_15[[#This Row],[item_key]],IsITypeList,Table_ExternalData_15[[#This Row],[IType]],IsDList,Table_ExternalData_15[[#Headers],[3]])</f>
        <v>0</v>
      </c>
      <c r="H369" s="10">
        <f>SUMIFS(IsQList,IsIList,Table_ExternalData_15[[#This Row],[item_key]],IsITypeList,Table_ExternalData_15[[#This Row],[IType]],IsDList,Table_ExternalData_15[[#Headers],[4]])</f>
        <v>0</v>
      </c>
      <c r="I369" s="10">
        <f>SUMIFS(IsQList,IsIList,Table_ExternalData_15[[#This Row],[item_key]],IsITypeList,Table_ExternalData_15[[#This Row],[IType]],IsDList,Table_ExternalData_15[[#Headers],[5]])</f>
        <v>0</v>
      </c>
      <c r="J369" s="10">
        <f>SUMIFS(IsQList,IsIList,Table_ExternalData_15[[#This Row],[item_key]],IsITypeList,Table_ExternalData_15[[#This Row],[IType]],IsDList,Table_ExternalData_15[[#Headers],[6]])</f>
        <v>40</v>
      </c>
      <c r="K369" s="10">
        <f>SUMIFS(IsQList,IsIList,Table_ExternalData_15[[#This Row],[item_key]],IsITypeList,Table_ExternalData_15[[#This Row],[IType]],IsDList,Table_ExternalData_15[[#Headers],[7]])</f>
        <v>0</v>
      </c>
      <c r="L369" s="10">
        <f>SUMIFS(IsQList,IsIList,Table_ExternalData_15[[#This Row],[item_key]],IsITypeList,Table_ExternalData_15[[#This Row],[IType]],IsDList,Table_ExternalData_15[[#Headers],[8]])</f>
        <v>0</v>
      </c>
      <c r="M369" s="10">
        <f>SUMIFS(IsQList,IsIList,Table_ExternalData_15[[#This Row],[item_key]],IsITypeList,Table_ExternalData_15[[#This Row],[IType]],IsDList,Table_ExternalData_15[[#Headers],[9]])</f>
        <v>0</v>
      </c>
      <c r="N369" s="10">
        <f>SUMIFS(IsQList,IsIList,Table_ExternalData_15[[#This Row],[item_key]],IsITypeList,Table_ExternalData_15[[#This Row],[IType]],IsDList,Table_ExternalData_15[[#Headers],[10]])</f>
        <v>0</v>
      </c>
      <c r="O369" s="10">
        <f>SUMIFS(IsQList,IsIList,Table_ExternalData_15[[#This Row],[item_key]],IsITypeList,Table_ExternalData_15[[#This Row],[IType]],IsDList,Table_ExternalData_15[[#Headers],[11]])</f>
        <v>0</v>
      </c>
      <c r="P369" s="10">
        <f>SUMIFS(IsQList,IsIList,Table_ExternalData_15[[#This Row],[item_key]],IsITypeList,Table_ExternalData_15[[#This Row],[IType]],IsDList,Table_ExternalData_15[[#Headers],[12]])</f>
        <v>0</v>
      </c>
      <c r="Q369" s="10">
        <f>SUMIFS(IsQList,IsIList,Table_ExternalData_15[[#This Row],[item_key]],IsITypeList,Table_ExternalData_15[[#This Row],[IType]],IsDList,Table_ExternalData_15[[#Headers],[13]])</f>
        <v>0</v>
      </c>
      <c r="R369" s="10">
        <f>SUMIFS(IsQList,IsIList,Table_ExternalData_15[[#This Row],[item_key]],IsITypeList,Table_ExternalData_15[[#This Row],[IType]],IsDList,Table_ExternalData_15[[#Headers],[14]])</f>
        <v>0</v>
      </c>
      <c r="S369" s="10">
        <f>SUMIFS(IsQList,IsIList,Table_ExternalData_15[[#This Row],[item_key]],IsITypeList,Table_ExternalData_15[[#This Row],[IType]],IsDList,Table_ExternalData_15[[#Headers],[15]])</f>
        <v>0</v>
      </c>
      <c r="T369" s="10">
        <f>SUMIFS(IsQList,IsIList,Table_ExternalData_15[[#This Row],[item_key]],IsITypeList,Table_ExternalData_15[[#This Row],[IType]],IsDList,Table_ExternalData_15[[#Headers],[16]])</f>
        <v>800</v>
      </c>
      <c r="U369" s="10">
        <f>SUMIFS(IsQList,IsIList,Table_ExternalData_15[[#This Row],[item_key]],IsITypeList,Table_ExternalData_15[[#This Row],[IType]],IsDList,Table_ExternalData_15[[#Headers],[17]])</f>
        <v>0</v>
      </c>
      <c r="V369" s="10">
        <f>SUMIFS(IsQList,IsIList,Table_ExternalData_15[[#This Row],[item_key]],IsITypeList,Table_ExternalData_15[[#This Row],[IType]],IsDList,Table_ExternalData_15[[#Headers],[18]])</f>
        <v>0</v>
      </c>
      <c r="W369" s="10">
        <f>SUMIFS(IsQList,IsIList,Table_ExternalData_15[[#This Row],[item_key]],IsITypeList,Table_ExternalData_15[[#This Row],[IType]],IsDList,Table_ExternalData_15[[#Headers],[19]])</f>
        <v>0</v>
      </c>
      <c r="X369" s="10">
        <f>SUMIFS(IsQList,IsIList,Table_ExternalData_15[[#This Row],[item_key]],IsITypeList,Table_ExternalData_15[[#This Row],[IType]],IsDList,Table_ExternalData_15[[#Headers],[20]])</f>
        <v>0</v>
      </c>
      <c r="Y369" s="10">
        <f>SUMIFS(IsQList,IsIList,Table_ExternalData_15[[#This Row],[item_key]],IsITypeList,Table_ExternalData_15[[#This Row],[IType]],IsDList,Table_ExternalData_15[[#Headers],[21]])</f>
        <v>0</v>
      </c>
      <c r="Z369" s="10">
        <f>SUMIFS(IsQList,IsIList,Table_ExternalData_15[[#This Row],[item_key]],IsITypeList,Table_ExternalData_15[[#This Row],[IType]],IsDList,Table_ExternalData_15[[#Headers],[22]])</f>
        <v>0</v>
      </c>
      <c r="AA369" s="10">
        <f>SUMIFS(IsQList,IsIList,Table_ExternalData_15[[#This Row],[item_key]],IsITypeList,Table_ExternalData_15[[#This Row],[IType]],IsDList,Table_ExternalData_15[[#Headers],[23]])</f>
        <v>0</v>
      </c>
      <c r="AB369" s="10">
        <f>SUMIFS(IsQList,IsIList,Table_ExternalData_15[[#This Row],[item_key]],IsITypeList,Table_ExternalData_15[[#This Row],[IType]],IsDList,Table_ExternalData_15[[#Headers],[24]])</f>
        <v>0</v>
      </c>
      <c r="AC369" s="10">
        <f>SUMIFS(IsQList,IsIList,Table_ExternalData_15[[#This Row],[item_key]],IsITypeList,Table_ExternalData_15[[#This Row],[IType]],IsDList,Table_ExternalData_15[[#Headers],[25]])</f>
        <v>0</v>
      </c>
      <c r="AD369" s="10">
        <f>SUMIFS(IsQList,IsIList,Table_ExternalData_15[[#This Row],[item_key]],IsITypeList,Table_ExternalData_15[[#This Row],[IType]],IsDList,Table_ExternalData_15[[#Headers],[26]])</f>
        <v>0</v>
      </c>
      <c r="AE369" s="10">
        <f>SUMIFS(IsQList,IsIList,Table_ExternalData_15[[#This Row],[item_key]],IsITypeList,Table_ExternalData_15[[#This Row],[IType]],IsDList,Table_ExternalData_15[[#Headers],[27]])</f>
        <v>0</v>
      </c>
      <c r="AF369" s="10">
        <f>SUMIFS(IsQList,IsIList,Table_ExternalData_15[[#This Row],[item_key]],IsITypeList,Table_ExternalData_15[[#This Row],[IType]],IsDList,Table_ExternalData_15[[#Headers],[28]])</f>
        <v>0</v>
      </c>
      <c r="AG369" s="10">
        <f>SUMIFS(IsQList,IsIList,Table_ExternalData_15[[#This Row],[item_key]],IsITypeList,Table_ExternalData_15[[#This Row],[IType]],IsDList,Table_ExternalData_15[[#Headers],[29]])</f>
        <v>0</v>
      </c>
      <c r="AH369" s="10">
        <f>SUMIFS(IsQList,IsIList,Table_ExternalData_15[[#This Row],[item_key]],IsITypeList,Table_ExternalData_15[[#This Row],[IType]],IsDList,Table_ExternalData_15[[#Headers],[30]])</f>
        <v>0</v>
      </c>
      <c r="AI369" s="10">
        <f>SUMIFS(IsQList,IsIList,Table_ExternalData_15[[#This Row],[item_key]],IsITypeList,Table_ExternalData_15[[#This Row],[IType]],IsDList,Table_ExternalData_15[[#Headers],[31]])</f>
        <v>0</v>
      </c>
      <c r="AJ369" s="10">
        <f>SUM(Table_ExternalData_15[[#This Row],[1]:[31]])</f>
        <v>840</v>
      </c>
    </row>
    <row r="370" spans="1:36">
      <c r="A370" s="1" t="s">
        <v>1124</v>
      </c>
      <c r="B370" s="1" t="s">
        <v>2834</v>
      </c>
      <c r="C370" s="1" t="s">
        <v>2835</v>
      </c>
      <c r="D370" s="11" t="s">
        <v>72</v>
      </c>
      <c r="E370" s="10">
        <f>SUMIFS(IsQList,IsIList,Table_ExternalData_15[[#This Row],[item_key]],IsITypeList,Table_ExternalData_15[[#This Row],[IType]],IsDList,Table_ExternalData_15[[#Headers],[1]])</f>
        <v>0</v>
      </c>
      <c r="F370" s="10">
        <f>SUMIFS(IsQList,IsIList,Table_ExternalData_15[[#This Row],[item_key]],IsITypeList,Table_ExternalData_15[[#This Row],[IType]],IsDList,Table_ExternalData_15[[#Headers],[2]])</f>
        <v>0</v>
      </c>
      <c r="G370" s="10">
        <f>SUMIFS(IsQList,IsIList,Table_ExternalData_15[[#This Row],[item_key]],IsITypeList,Table_ExternalData_15[[#This Row],[IType]],IsDList,Table_ExternalData_15[[#Headers],[3]])</f>
        <v>0</v>
      </c>
      <c r="H370" s="10">
        <f>SUMIFS(IsQList,IsIList,Table_ExternalData_15[[#This Row],[item_key]],IsITypeList,Table_ExternalData_15[[#This Row],[IType]],IsDList,Table_ExternalData_15[[#Headers],[4]])</f>
        <v>0</v>
      </c>
      <c r="I370" s="10">
        <f>SUMIFS(IsQList,IsIList,Table_ExternalData_15[[#This Row],[item_key]],IsITypeList,Table_ExternalData_15[[#This Row],[IType]],IsDList,Table_ExternalData_15[[#Headers],[5]])</f>
        <v>0</v>
      </c>
      <c r="J370" s="10">
        <f>SUMIFS(IsQList,IsIList,Table_ExternalData_15[[#This Row],[item_key]],IsITypeList,Table_ExternalData_15[[#This Row],[IType]],IsDList,Table_ExternalData_15[[#Headers],[6]])</f>
        <v>0</v>
      </c>
      <c r="K370" s="10">
        <f>SUMIFS(IsQList,IsIList,Table_ExternalData_15[[#This Row],[item_key]],IsITypeList,Table_ExternalData_15[[#This Row],[IType]],IsDList,Table_ExternalData_15[[#Headers],[7]])</f>
        <v>0</v>
      </c>
      <c r="L370" s="10">
        <f>SUMIFS(IsQList,IsIList,Table_ExternalData_15[[#This Row],[item_key]],IsITypeList,Table_ExternalData_15[[#This Row],[IType]],IsDList,Table_ExternalData_15[[#Headers],[8]])</f>
        <v>0</v>
      </c>
      <c r="M370" s="10">
        <f>SUMIFS(IsQList,IsIList,Table_ExternalData_15[[#This Row],[item_key]],IsITypeList,Table_ExternalData_15[[#This Row],[IType]],IsDList,Table_ExternalData_15[[#Headers],[9]])</f>
        <v>0</v>
      </c>
      <c r="N370" s="10">
        <f>SUMIFS(IsQList,IsIList,Table_ExternalData_15[[#This Row],[item_key]],IsITypeList,Table_ExternalData_15[[#This Row],[IType]],IsDList,Table_ExternalData_15[[#Headers],[10]])</f>
        <v>0</v>
      </c>
      <c r="O370" s="10">
        <f>SUMIFS(IsQList,IsIList,Table_ExternalData_15[[#This Row],[item_key]],IsITypeList,Table_ExternalData_15[[#This Row],[IType]],IsDList,Table_ExternalData_15[[#Headers],[11]])</f>
        <v>0</v>
      </c>
      <c r="P370" s="10">
        <f>SUMIFS(IsQList,IsIList,Table_ExternalData_15[[#This Row],[item_key]],IsITypeList,Table_ExternalData_15[[#This Row],[IType]],IsDList,Table_ExternalData_15[[#Headers],[12]])</f>
        <v>0</v>
      </c>
      <c r="Q370" s="10">
        <f>SUMIFS(IsQList,IsIList,Table_ExternalData_15[[#This Row],[item_key]],IsITypeList,Table_ExternalData_15[[#This Row],[IType]],IsDList,Table_ExternalData_15[[#Headers],[13]])</f>
        <v>0</v>
      </c>
      <c r="R370" s="10">
        <f>SUMIFS(IsQList,IsIList,Table_ExternalData_15[[#This Row],[item_key]],IsITypeList,Table_ExternalData_15[[#This Row],[IType]],IsDList,Table_ExternalData_15[[#Headers],[14]])</f>
        <v>0</v>
      </c>
      <c r="S370" s="10">
        <f>SUMIFS(IsQList,IsIList,Table_ExternalData_15[[#This Row],[item_key]],IsITypeList,Table_ExternalData_15[[#This Row],[IType]],IsDList,Table_ExternalData_15[[#Headers],[15]])</f>
        <v>0</v>
      </c>
      <c r="T370" s="10">
        <f>SUMIFS(IsQList,IsIList,Table_ExternalData_15[[#This Row],[item_key]],IsITypeList,Table_ExternalData_15[[#This Row],[IType]],IsDList,Table_ExternalData_15[[#Headers],[16]])</f>
        <v>0</v>
      </c>
      <c r="U370" s="10">
        <f>SUMIFS(IsQList,IsIList,Table_ExternalData_15[[#This Row],[item_key]],IsITypeList,Table_ExternalData_15[[#This Row],[IType]],IsDList,Table_ExternalData_15[[#Headers],[17]])</f>
        <v>0</v>
      </c>
      <c r="V370" s="10">
        <f>SUMIFS(IsQList,IsIList,Table_ExternalData_15[[#This Row],[item_key]],IsITypeList,Table_ExternalData_15[[#This Row],[IType]],IsDList,Table_ExternalData_15[[#Headers],[18]])</f>
        <v>0</v>
      </c>
      <c r="W370" s="10">
        <f>SUMIFS(IsQList,IsIList,Table_ExternalData_15[[#This Row],[item_key]],IsITypeList,Table_ExternalData_15[[#This Row],[IType]],IsDList,Table_ExternalData_15[[#Headers],[19]])</f>
        <v>0</v>
      </c>
      <c r="X370" s="10">
        <f>SUMIFS(IsQList,IsIList,Table_ExternalData_15[[#This Row],[item_key]],IsITypeList,Table_ExternalData_15[[#This Row],[IType]],IsDList,Table_ExternalData_15[[#Headers],[20]])</f>
        <v>0</v>
      </c>
      <c r="Y370" s="10">
        <f>SUMIFS(IsQList,IsIList,Table_ExternalData_15[[#This Row],[item_key]],IsITypeList,Table_ExternalData_15[[#This Row],[IType]],IsDList,Table_ExternalData_15[[#Headers],[21]])</f>
        <v>0</v>
      </c>
      <c r="Z370" s="10">
        <f>SUMIFS(IsQList,IsIList,Table_ExternalData_15[[#This Row],[item_key]],IsITypeList,Table_ExternalData_15[[#This Row],[IType]],IsDList,Table_ExternalData_15[[#Headers],[22]])</f>
        <v>0</v>
      </c>
      <c r="AA370" s="10">
        <f>SUMIFS(IsQList,IsIList,Table_ExternalData_15[[#This Row],[item_key]],IsITypeList,Table_ExternalData_15[[#This Row],[IType]],IsDList,Table_ExternalData_15[[#Headers],[23]])</f>
        <v>0</v>
      </c>
      <c r="AB370" s="10">
        <f>SUMIFS(IsQList,IsIList,Table_ExternalData_15[[#This Row],[item_key]],IsITypeList,Table_ExternalData_15[[#This Row],[IType]],IsDList,Table_ExternalData_15[[#Headers],[24]])</f>
        <v>0</v>
      </c>
      <c r="AC370" s="10">
        <f>SUMIFS(IsQList,IsIList,Table_ExternalData_15[[#This Row],[item_key]],IsITypeList,Table_ExternalData_15[[#This Row],[IType]],IsDList,Table_ExternalData_15[[#Headers],[25]])</f>
        <v>0</v>
      </c>
      <c r="AD370" s="10">
        <f>SUMIFS(IsQList,IsIList,Table_ExternalData_15[[#This Row],[item_key]],IsITypeList,Table_ExternalData_15[[#This Row],[IType]],IsDList,Table_ExternalData_15[[#Headers],[26]])</f>
        <v>0</v>
      </c>
      <c r="AE370" s="10">
        <f>SUMIFS(IsQList,IsIList,Table_ExternalData_15[[#This Row],[item_key]],IsITypeList,Table_ExternalData_15[[#This Row],[IType]],IsDList,Table_ExternalData_15[[#Headers],[27]])</f>
        <v>0</v>
      </c>
      <c r="AF370" s="10">
        <f>SUMIFS(IsQList,IsIList,Table_ExternalData_15[[#This Row],[item_key]],IsITypeList,Table_ExternalData_15[[#This Row],[IType]],IsDList,Table_ExternalData_15[[#Headers],[28]])</f>
        <v>0</v>
      </c>
      <c r="AG370" s="10">
        <f>SUMIFS(IsQList,IsIList,Table_ExternalData_15[[#This Row],[item_key]],IsITypeList,Table_ExternalData_15[[#This Row],[IType]],IsDList,Table_ExternalData_15[[#Headers],[29]])</f>
        <v>0</v>
      </c>
      <c r="AH370" s="10">
        <f>SUMIFS(IsQList,IsIList,Table_ExternalData_15[[#This Row],[item_key]],IsITypeList,Table_ExternalData_15[[#This Row],[IType]],IsDList,Table_ExternalData_15[[#Headers],[30]])</f>
        <v>0</v>
      </c>
      <c r="AI370" s="10">
        <f>SUMIFS(IsQList,IsIList,Table_ExternalData_15[[#This Row],[item_key]],IsITypeList,Table_ExternalData_15[[#This Row],[IType]],IsDList,Table_ExternalData_15[[#Headers],[31]])</f>
        <v>0</v>
      </c>
      <c r="AJ370" s="10">
        <f>SUM(Table_ExternalData_15[[#This Row],[1]:[31]])</f>
        <v>0</v>
      </c>
    </row>
    <row r="371" spans="1:36">
      <c r="A371" s="1" t="s">
        <v>1128</v>
      </c>
      <c r="B371" s="1" t="s">
        <v>2836</v>
      </c>
      <c r="C371" s="1" t="s">
        <v>2837</v>
      </c>
      <c r="D371" s="11" t="s">
        <v>72</v>
      </c>
      <c r="E371" s="10">
        <f>SUMIFS(IsQList,IsIList,Table_ExternalData_15[[#This Row],[item_key]],IsITypeList,Table_ExternalData_15[[#This Row],[IType]],IsDList,Table_ExternalData_15[[#Headers],[1]])</f>
        <v>0</v>
      </c>
      <c r="F371" s="10">
        <f>SUMIFS(IsQList,IsIList,Table_ExternalData_15[[#This Row],[item_key]],IsITypeList,Table_ExternalData_15[[#This Row],[IType]],IsDList,Table_ExternalData_15[[#Headers],[2]])</f>
        <v>0</v>
      </c>
      <c r="G371" s="10">
        <f>SUMIFS(IsQList,IsIList,Table_ExternalData_15[[#This Row],[item_key]],IsITypeList,Table_ExternalData_15[[#This Row],[IType]],IsDList,Table_ExternalData_15[[#Headers],[3]])</f>
        <v>0</v>
      </c>
      <c r="H371" s="10">
        <f>SUMIFS(IsQList,IsIList,Table_ExternalData_15[[#This Row],[item_key]],IsITypeList,Table_ExternalData_15[[#This Row],[IType]],IsDList,Table_ExternalData_15[[#Headers],[4]])</f>
        <v>0</v>
      </c>
      <c r="I371" s="10">
        <f>SUMIFS(IsQList,IsIList,Table_ExternalData_15[[#This Row],[item_key]],IsITypeList,Table_ExternalData_15[[#This Row],[IType]],IsDList,Table_ExternalData_15[[#Headers],[5]])</f>
        <v>0</v>
      </c>
      <c r="J371" s="10">
        <f>SUMIFS(IsQList,IsIList,Table_ExternalData_15[[#This Row],[item_key]],IsITypeList,Table_ExternalData_15[[#This Row],[IType]],IsDList,Table_ExternalData_15[[#Headers],[6]])</f>
        <v>0</v>
      </c>
      <c r="K371" s="10">
        <f>SUMIFS(IsQList,IsIList,Table_ExternalData_15[[#This Row],[item_key]],IsITypeList,Table_ExternalData_15[[#This Row],[IType]],IsDList,Table_ExternalData_15[[#Headers],[7]])</f>
        <v>0</v>
      </c>
      <c r="L371" s="10">
        <f>SUMIFS(IsQList,IsIList,Table_ExternalData_15[[#This Row],[item_key]],IsITypeList,Table_ExternalData_15[[#This Row],[IType]],IsDList,Table_ExternalData_15[[#Headers],[8]])</f>
        <v>0</v>
      </c>
      <c r="M371" s="10">
        <f>SUMIFS(IsQList,IsIList,Table_ExternalData_15[[#This Row],[item_key]],IsITypeList,Table_ExternalData_15[[#This Row],[IType]],IsDList,Table_ExternalData_15[[#Headers],[9]])</f>
        <v>0</v>
      </c>
      <c r="N371" s="10">
        <f>SUMIFS(IsQList,IsIList,Table_ExternalData_15[[#This Row],[item_key]],IsITypeList,Table_ExternalData_15[[#This Row],[IType]],IsDList,Table_ExternalData_15[[#Headers],[10]])</f>
        <v>0</v>
      </c>
      <c r="O371" s="10">
        <f>SUMIFS(IsQList,IsIList,Table_ExternalData_15[[#This Row],[item_key]],IsITypeList,Table_ExternalData_15[[#This Row],[IType]],IsDList,Table_ExternalData_15[[#Headers],[11]])</f>
        <v>0</v>
      </c>
      <c r="P371" s="10">
        <f>SUMIFS(IsQList,IsIList,Table_ExternalData_15[[#This Row],[item_key]],IsITypeList,Table_ExternalData_15[[#This Row],[IType]],IsDList,Table_ExternalData_15[[#Headers],[12]])</f>
        <v>0</v>
      </c>
      <c r="Q371" s="10">
        <f>SUMIFS(IsQList,IsIList,Table_ExternalData_15[[#This Row],[item_key]],IsITypeList,Table_ExternalData_15[[#This Row],[IType]],IsDList,Table_ExternalData_15[[#Headers],[13]])</f>
        <v>0</v>
      </c>
      <c r="R371" s="10">
        <f>SUMIFS(IsQList,IsIList,Table_ExternalData_15[[#This Row],[item_key]],IsITypeList,Table_ExternalData_15[[#This Row],[IType]],IsDList,Table_ExternalData_15[[#Headers],[14]])</f>
        <v>0</v>
      </c>
      <c r="S371" s="10">
        <f>SUMIFS(IsQList,IsIList,Table_ExternalData_15[[#This Row],[item_key]],IsITypeList,Table_ExternalData_15[[#This Row],[IType]],IsDList,Table_ExternalData_15[[#Headers],[15]])</f>
        <v>0</v>
      </c>
      <c r="T371" s="10">
        <f>SUMIFS(IsQList,IsIList,Table_ExternalData_15[[#This Row],[item_key]],IsITypeList,Table_ExternalData_15[[#This Row],[IType]],IsDList,Table_ExternalData_15[[#Headers],[16]])</f>
        <v>0</v>
      </c>
      <c r="U371" s="10">
        <f>SUMIFS(IsQList,IsIList,Table_ExternalData_15[[#This Row],[item_key]],IsITypeList,Table_ExternalData_15[[#This Row],[IType]],IsDList,Table_ExternalData_15[[#Headers],[17]])</f>
        <v>0</v>
      </c>
      <c r="V371" s="10">
        <f>SUMIFS(IsQList,IsIList,Table_ExternalData_15[[#This Row],[item_key]],IsITypeList,Table_ExternalData_15[[#This Row],[IType]],IsDList,Table_ExternalData_15[[#Headers],[18]])</f>
        <v>0</v>
      </c>
      <c r="W371" s="10">
        <f>SUMIFS(IsQList,IsIList,Table_ExternalData_15[[#This Row],[item_key]],IsITypeList,Table_ExternalData_15[[#This Row],[IType]],IsDList,Table_ExternalData_15[[#Headers],[19]])</f>
        <v>0</v>
      </c>
      <c r="X371" s="10">
        <f>SUMIFS(IsQList,IsIList,Table_ExternalData_15[[#This Row],[item_key]],IsITypeList,Table_ExternalData_15[[#This Row],[IType]],IsDList,Table_ExternalData_15[[#Headers],[20]])</f>
        <v>0</v>
      </c>
      <c r="Y371" s="10">
        <f>SUMIFS(IsQList,IsIList,Table_ExternalData_15[[#This Row],[item_key]],IsITypeList,Table_ExternalData_15[[#This Row],[IType]],IsDList,Table_ExternalData_15[[#Headers],[21]])</f>
        <v>0</v>
      </c>
      <c r="Z371" s="10">
        <f>SUMIFS(IsQList,IsIList,Table_ExternalData_15[[#This Row],[item_key]],IsITypeList,Table_ExternalData_15[[#This Row],[IType]],IsDList,Table_ExternalData_15[[#Headers],[22]])</f>
        <v>0</v>
      </c>
      <c r="AA371" s="10">
        <f>SUMIFS(IsQList,IsIList,Table_ExternalData_15[[#This Row],[item_key]],IsITypeList,Table_ExternalData_15[[#This Row],[IType]],IsDList,Table_ExternalData_15[[#Headers],[23]])</f>
        <v>0</v>
      </c>
      <c r="AB371" s="10">
        <f>SUMIFS(IsQList,IsIList,Table_ExternalData_15[[#This Row],[item_key]],IsITypeList,Table_ExternalData_15[[#This Row],[IType]],IsDList,Table_ExternalData_15[[#Headers],[24]])</f>
        <v>0</v>
      </c>
      <c r="AC371" s="10">
        <f>SUMIFS(IsQList,IsIList,Table_ExternalData_15[[#This Row],[item_key]],IsITypeList,Table_ExternalData_15[[#This Row],[IType]],IsDList,Table_ExternalData_15[[#Headers],[25]])</f>
        <v>0</v>
      </c>
      <c r="AD371" s="10">
        <f>SUMIFS(IsQList,IsIList,Table_ExternalData_15[[#This Row],[item_key]],IsITypeList,Table_ExternalData_15[[#This Row],[IType]],IsDList,Table_ExternalData_15[[#Headers],[26]])</f>
        <v>0</v>
      </c>
      <c r="AE371" s="10">
        <f>SUMIFS(IsQList,IsIList,Table_ExternalData_15[[#This Row],[item_key]],IsITypeList,Table_ExternalData_15[[#This Row],[IType]],IsDList,Table_ExternalData_15[[#Headers],[27]])</f>
        <v>0</v>
      </c>
      <c r="AF371" s="10">
        <f>SUMIFS(IsQList,IsIList,Table_ExternalData_15[[#This Row],[item_key]],IsITypeList,Table_ExternalData_15[[#This Row],[IType]],IsDList,Table_ExternalData_15[[#Headers],[28]])</f>
        <v>0</v>
      </c>
      <c r="AG371" s="10">
        <f>SUMIFS(IsQList,IsIList,Table_ExternalData_15[[#This Row],[item_key]],IsITypeList,Table_ExternalData_15[[#This Row],[IType]],IsDList,Table_ExternalData_15[[#Headers],[29]])</f>
        <v>0</v>
      </c>
      <c r="AH371" s="10">
        <f>SUMIFS(IsQList,IsIList,Table_ExternalData_15[[#This Row],[item_key]],IsITypeList,Table_ExternalData_15[[#This Row],[IType]],IsDList,Table_ExternalData_15[[#Headers],[30]])</f>
        <v>0</v>
      </c>
      <c r="AI371" s="10">
        <f>SUMIFS(IsQList,IsIList,Table_ExternalData_15[[#This Row],[item_key]],IsITypeList,Table_ExternalData_15[[#This Row],[IType]],IsDList,Table_ExternalData_15[[#Headers],[31]])</f>
        <v>0</v>
      </c>
      <c r="AJ371" s="10">
        <f>SUM(Table_ExternalData_15[[#This Row],[1]:[31]])</f>
        <v>0</v>
      </c>
    </row>
    <row r="372" spans="1:36">
      <c r="A372" s="1" t="s">
        <v>1129</v>
      </c>
      <c r="B372" s="1" t="s">
        <v>2838</v>
      </c>
      <c r="C372" s="1" t="s">
        <v>2839</v>
      </c>
      <c r="D372" s="11" t="s">
        <v>72</v>
      </c>
      <c r="E372" s="10">
        <f>SUMIFS(IsQList,IsIList,Table_ExternalData_15[[#This Row],[item_key]],IsITypeList,Table_ExternalData_15[[#This Row],[IType]],IsDList,Table_ExternalData_15[[#Headers],[1]])</f>
        <v>0</v>
      </c>
      <c r="F372" s="10">
        <f>SUMIFS(IsQList,IsIList,Table_ExternalData_15[[#This Row],[item_key]],IsITypeList,Table_ExternalData_15[[#This Row],[IType]],IsDList,Table_ExternalData_15[[#Headers],[2]])</f>
        <v>0</v>
      </c>
      <c r="G372" s="10">
        <f>SUMIFS(IsQList,IsIList,Table_ExternalData_15[[#This Row],[item_key]],IsITypeList,Table_ExternalData_15[[#This Row],[IType]],IsDList,Table_ExternalData_15[[#Headers],[3]])</f>
        <v>0</v>
      </c>
      <c r="H372" s="10">
        <f>SUMIFS(IsQList,IsIList,Table_ExternalData_15[[#This Row],[item_key]],IsITypeList,Table_ExternalData_15[[#This Row],[IType]],IsDList,Table_ExternalData_15[[#Headers],[4]])</f>
        <v>0</v>
      </c>
      <c r="I372" s="10">
        <f>SUMIFS(IsQList,IsIList,Table_ExternalData_15[[#This Row],[item_key]],IsITypeList,Table_ExternalData_15[[#This Row],[IType]],IsDList,Table_ExternalData_15[[#Headers],[5]])</f>
        <v>0</v>
      </c>
      <c r="J372" s="10">
        <f>SUMIFS(IsQList,IsIList,Table_ExternalData_15[[#This Row],[item_key]],IsITypeList,Table_ExternalData_15[[#This Row],[IType]],IsDList,Table_ExternalData_15[[#Headers],[6]])</f>
        <v>0</v>
      </c>
      <c r="K372" s="10">
        <f>SUMIFS(IsQList,IsIList,Table_ExternalData_15[[#This Row],[item_key]],IsITypeList,Table_ExternalData_15[[#This Row],[IType]],IsDList,Table_ExternalData_15[[#Headers],[7]])</f>
        <v>0</v>
      </c>
      <c r="L372" s="10">
        <f>SUMIFS(IsQList,IsIList,Table_ExternalData_15[[#This Row],[item_key]],IsITypeList,Table_ExternalData_15[[#This Row],[IType]],IsDList,Table_ExternalData_15[[#Headers],[8]])</f>
        <v>0</v>
      </c>
      <c r="M372" s="10">
        <f>SUMIFS(IsQList,IsIList,Table_ExternalData_15[[#This Row],[item_key]],IsITypeList,Table_ExternalData_15[[#This Row],[IType]],IsDList,Table_ExternalData_15[[#Headers],[9]])</f>
        <v>0</v>
      </c>
      <c r="N372" s="10">
        <f>SUMIFS(IsQList,IsIList,Table_ExternalData_15[[#This Row],[item_key]],IsITypeList,Table_ExternalData_15[[#This Row],[IType]],IsDList,Table_ExternalData_15[[#Headers],[10]])</f>
        <v>0</v>
      </c>
      <c r="O372" s="10">
        <f>SUMIFS(IsQList,IsIList,Table_ExternalData_15[[#This Row],[item_key]],IsITypeList,Table_ExternalData_15[[#This Row],[IType]],IsDList,Table_ExternalData_15[[#Headers],[11]])</f>
        <v>0</v>
      </c>
      <c r="P372" s="10">
        <f>SUMIFS(IsQList,IsIList,Table_ExternalData_15[[#This Row],[item_key]],IsITypeList,Table_ExternalData_15[[#This Row],[IType]],IsDList,Table_ExternalData_15[[#Headers],[12]])</f>
        <v>0</v>
      </c>
      <c r="Q372" s="10">
        <f>SUMIFS(IsQList,IsIList,Table_ExternalData_15[[#This Row],[item_key]],IsITypeList,Table_ExternalData_15[[#This Row],[IType]],IsDList,Table_ExternalData_15[[#Headers],[13]])</f>
        <v>0</v>
      </c>
      <c r="R372" s="10">
        <f>SUMIFS(IsQList,IsIList,Table_ExternalData_15[[#This Row],[item_key]],IsITypeList,Table_ExternalData_15[[#This Row],[IType]],IsDList,Table_ExternalData_15[[#Headers],[14]])</f>
        <v>0</v>
      </c>
      <c r="S372" s="10">
        <f>SUMIFS(IsQList,IsIList,Table_ExternalData_15[[#This Row],[item_key]],IsITypeList,Table_ExternalData_15[[#This Row],[IType]],IsDList,Table_ExternalData_15[[#Headers],[15]])</f>
        <v>0</v>
      </c>
      <c r="T372" s="10">
        <f>SUMIFS(IsQList,IsIList,Table_ExternalData_15[[#This Row],[item_key]],IsITypeList,Table_ExternalData_15[[#This Row],[IType]],IsDList,Table_ExternalData_15[[#Headers],[16]])</f>
        <v>0</v>
      </c>
      <c r="U372" s="10">
        <f>SUMIFS(IsQList,IsIList,Table_ExternalData_15[[#This Row],[item_key]],IsITypeList,Table_ExternalData_15[[#This Row],[IType]],IsDList,Table_ExternalData_15[[#Headers],[17]])</f>
        <v>0</v>
      </c>
      <c r="V372" s="10">
        <f>SUMIFS(IsQList,IsIList,Table_ExternalData_15[[#This Row],[item_key]],IsITypeList,Table_ExternalData_15[[#This Row],[IType]],IsDList,Table_ExternalData_15[[#Headers],[18]])</f>
        <v>0</v>
      </c>
      <c r="W372" s="10">
        <f>SUMIFS(IsQList,IsIList,Table_ExternalData_15[[#This Row],[item_key]],IsITypeList,Table_ExternalData_15[[#This Row],[IType]],IsDList,Table_ExternalData_15[[#Headers],[19]])</f>
        <v>0</v>
      </c>
      <c r="X372" s="10">
        <f>SUMIFS(IsQList,IsIList,Table_ExternalData_15[[#This Row],[item_key]],IsITypeList,Table_ExternalData_15[[#This Row],[IType]],IsDList,Table_ExternalData_15[[#Headers],[20]])</f>
        <v>0</v>
      </c>
      <c r="Y372" s="10">
        <f>SUMIFS(IsQList,IsIList,Table_ExternalData_15[[#This Row],[item_key]],IsITypeList,Table_ExternalData_15[[#This Row],[IType]],IsDList,Table_ExternalData_15[[#Headers],[21]])</f>
        <v>0</v>
      </c>
      <c r="Z372" s="10">
        <f>SUMIFS(IsQList,IsIList,Table_ExternalData_15[[#This Row],[item_key]],IsITypeList,Table_ExternalData_15[[#This Row],[IType]],IsDList,Table_ExternalData_15[[#Headers],[22]])</f>
        <v>0</v>
      </c>
      <c r="AA372" s="10">
        <f>SUMIFS(IsQList,IsIList,Table_ExternalData_15[[#This Row],[item_key]],IsITypeList,Table_ExternalData_15[[#This Row],[IType]],IsDList,Table_ExternalData_15[[#Headers],[23]])</f>
        <v>0</v>
      </c>
      <c r="AB372" s="10">
        <f>SUMIFS(IsQList,IsIList,Table_ExternalData_15[[#This Row],[item_key]],IsITypeList,Table_ExternalData_15[[#This Row],[IType]],IsDList,Table_ExternalData_15[[#Headers],[24]])</f>
        <v>0</v>
      </c>
      <c r="AC372" s="10">
        <f>SUMIFS(IsQList,IsIList,Table_ExternalData_15[[#This Row],[item_key]],IsITypeList,Table_ExternalData_15[[#This Row],[IType]],IsDList,Table_ExternalData_15[[#Headers],[25]])</f>
        <v>0</v>
      </c>
      <c r="AD372" s="10">
        <f>SUMIFS(IsQList,IsIList,Table_ExternalData_15[[#This Row],[item_key]],IsITypeList,Table_ExternalData_15[[#This Row],[IType]],IsDList,Table_ExternalData_15[[#Headers],[26]])</f>
        <v>0</v>
      </c>
      <c r="AE372" s="10">
        <f>SUMIFS(IsQList,IsIList,Table_ExternalData_15[[#This Row],[item_key]],IsITypeList,Table_ExternalData_15[[#This Row],[IType]],IsDList,Table_ExternalData_15[[#Headers],[27]])</f>
        <v>0</v>
      </c>
      <c r="AF372" s="10">
        <f>SUMIFS(IsQList,IsIList,Table_ExternalData_15[[#This Row],[item_key]],IsITypeList,Table_ExternalData_15[[#This Row],[IType]],IsDList,Table_ExternalData_15[[#Headers],[28]])</f>
        <v>0</v>
      </c>
      <c r="AG372" s="10">
        <f>SUMIFS(IsQList,IsIList,Table_ExternalData_15[[#This Row],[item_key]],IsITypeList,Table_ExternalData_15[[#This Row],[IType]],IsDList,Table_ExternalData_15[[#Headers],[29]])</f>
        <v>0</v>
      </c>
      <c r="AH372" s="10">
        <f>SUMIFS(IsQList,IsIList,Table_ExternalData_15[[#This Row],[item_key]],IsITypeList,Table_ExternalData_15[[#This Row],[IType]],IsDList,Table_ExternalData_15[[#Headers],[30]])</f>
        <v>0</v>
      </c>
      <c r="AI372" s="10">
        <f>SUMIFS(IsQList,IsIList,Table_ExternalData_15[[#This Row],[item_key]],IsITypeList,Table_ExternalData_15[[#This Row],[IType]],IsDList,Table_ExternalData_15[[#Headers],[31]])</f>
        <v>0</v>
      </c>
      <c r="AJ372" s="10">
        <f>SUM(Table_ExternalData_15[[#This Row],[1]:[31]])</f>
        <v>0</v>
      </c>
    </row>
    <row r="373" spans="1:36">
      <c r="A373" s="1" t="s">
        <v>1130</v>
      </c>
      <c r="B373" s="1" t="s">
        <v>2840</v>
      </c>
      <c r="C373" s="1" t="s">
        <v>2841</v>
      </c>
      <c r="D373" s="11" t="s">
        <v>72</v>
      </c>
      <c r="E373" s="10">
        <f>SUMIFS(IsQList,IsIList,Table_ExternalData_15[[#This Row],[item_key]],IsITypeList,Table_ExternalData_15[[#This Row],[IType]],IsDList,Table_ExternalData_15[[#Headers],[1]])</f>
        <v>0</v>
      </c>
      <c r="F373" s="10">
        <f>SUMIFS(IsQList,IsIList,Table_ExternalData_15[[#This Row],[item_key]],IsITypeList,Table_ExternalData_15[[#This Row],[IType]],IsDList,Table_ExternalData_15[[#Headers],[2]])</f>
        <v>0</v>
      </c>
      <c r="G373" s="10">
        <f>SUMIFS(IsQList,IsIList,Table_ExternalData_15[[#This Row],[item_key]],IsITypeList,Table_ExternalData_15[[#This Row],[IType]],IsDList,Table_ExternalData_15[[#Headers],[3]])</f>
        <v>0</v>
      </c>
      <c r="H373" s="10">
        <f>SUMIFS(IsQList,IsIList,Table_ExternalData_15[[#This Row],[item_key]],IsITypeList,Table_ExternalData_15[[#This Row],[IType]],IsDList,Table_ExternalData_15[[#Headers],[4]])</f>
        <v>0</v>
      </c>
      <c r="I373" s="10">
        <f>SUMIFS(IsQList,IsIList,Table_ExternalData_15[[#This Row],[item_key]],IsITypeList,Table_ExternalData_15[[#This Row],[IType]],IsDList,Table_ExternalData_15[[#Headers],[5]])</f>
        <v>0</v>
      </c>
      <c r="J373" s="10">
        <f>SUMIFS(IsQList,IsIList,Table_ExternalData_15[[#This Row],[item_key]],IsITypeList,Table_ExternalData_15[[#This Row],[IType]],IsDList,Table_ExternalData_15[[#Headers],[6]])</f>
        <v>0</v>
      </c>
      <c r="K373" s="10">
        <f>SUMIFS(IsQList,IsIList,Table_ExternalData_15[[#This Row],[item_key]],IsITypeList,Table_ExternalData_15[[#This Row],[IType]],IsDList,Table_ExternalData_15[[#Headers],[7]])</f>
        <v>0</v>
      </c>
      <c r="L373" s="10">
        <f>SUMIFS(IsQList,IsIList,Table_ExternalData_15[[#This Row],[item_key]],IsITypeList,Table_ExternalData_15[[#This Row],[IType]],IsDList,Table_ExternalData_15[[#Headers],[8]])</f>
        <v>0</v>
      </c>
      <c r="M373" s="10">
        <f>SUMIFS(IsQList,IsIList,Table_ExternalData_15[[#This Row],[item_key]],IsITypeList,Table_ExternalData_15[[#This Row],[IType]],IsDList,Table_ExternalData_15[[#Headers],[9]])</f>
        <v>0</v>
      </c>
      <c r="N373" s="10">
        <f>SUMIFS(IsQList,IsIList,Table_ExternalData_15[[#This Row],[item_key]],IsITypeList,Table_ExternalData_15[[#This Row],[IType]],IsDList,Table_ExternalData_15[[#Headers],[10]])</f>
        <v>0</v>
      </c>
      <c r="O373" s="10">
        <f>SUMIFS(IsQList,IsIList,Table_ExternalData_15[[#This Row],[item_key]],IsITypeList,Table_ExternalData_15[[#This Row],[IType]],IsDList,Table_ExternalData_15[[#Headers],[11]])</f>
        <v>0</v>
      </c>
      <c r="P373" s="10">
        <f>SUMIFS(IsQList,IsIList,Table_ExternalData_15[[#This Row],[item_key]],IsITypeList,Table_ExternalData_15[[#This Row],[IType]],IsDList,Table_ExternalData_15[[#Headers],[12]])</f>
        <v>0</v>
      </c>
      <c r="Q373" s="10">
        <f>SUMIFS(IsQList,IsIList,Table_ExternalData_15[[#This Row],[item_key]],IsITypeList,Table_ExternalData_15[[#This Row],[IType]],IsDList,Table_ExternalData_15[[#Headers],[13]])</f>
        <v>0</v>
      </c>
      <c r="R373" s="10">
        <f>SUMIFS(IsQList,IsIList,Table_ExternalData_15[[#This Row],[item_key]],IsITypeList,Table_ExternalData_15[[#This Row],[IType]],IsDList,Table_ExternalData_15[[#Headers],[14]])</f>
        <v>0</v>
      </c>
      <c r="S373" s="10">
        <f>SUMIFS(IsQList,IsIList,Table_ExternalData_15[[#This Row],[item_key]],IsITypeList,Table_ExternalData_15[[#This Row],[IType]],IsDList,Table_ExternalData_15[[#Headers],[15]])</f>
        <v>0</v>
      </c>
      <c r="T373" s="10">
        <f>SUMIFS(IsQList,IsIList,Table_ExternalData_15[[#This Row],[item_key]],IsITypeList,Table_ExternalData_15[[#This Row],[IType]],IsDList,Table_ExternalData_15[[#Headers],[16]])</f>
        <v>0</v>
      </c>
      <c r="U373" s="10">
        <f>SUMIFS(IsQList,IsIList,Table_ExternalData_15[[#This Row],[item_key]],IsITypeList,Table_ExternalData_15[[#This Row],[IType]],IsDList,Table_ExternalData_15[[#Headers],[17]])</f>
        <v>0</v>
      </c>
      <c r="V373" s="10">
        <f>SUMIFS(IsQList,IsIList,Table_ExternalData_15[[#This Row],[item_key]],IsITypeList,Table_ExternalData_15[[#This Row],[IType]],IsDList,Table_ExternalData_15[[#Headers],[18]])</f>
        <v>0</v>
      </c>
      <c r="W373" s="10">
        <f>SUMIFS(IsQList,IsIList,Table_ExternalData_15[[#This Row],[item_key]],IsITypeList,Table_ExternalData_15[[#This Row],[IType]],IsDList,Table_ExternalData_15[[#Headers],[19]])</f>
        <v>0</v>
      </c>
      <c r="X373" s="10">
        <f>SUMIFS(IsQList,IsIList,Table_ExternalData_15[[#This Row],[item_key]],IsITypeList,Table_ExternalData_15[[#This Row],[IType]],IsDList,Table_ExternalData_15[[#Headers],[20]])</f>
        <v>0</v>
      </c>
      <c r="Y373" s="10">
        <f>SUMIFS(IsQList,IsIList,Table_ExternalData_15[[#This Row],[item_key]],IsITypeList,Table_ExternalData_15[[#This Row],[IType]],IsDList,Table_ExternalData_15[[#Headers],[21]])</f>
        <v>0</v>
      </c>
      <c r="Z373" s="10">
        <f>SUMIFS(IsQList,IsIList,Table_ExternalData_15[[#This Row],[item_key]],IsITypeList,Table_ExternalData_15[[#This Row],[IType]],IsDList,Table_ExternalData_15[[#Headers],[22]])</f>
        <v>0</v>
      </c>
      <c r="AA373" s="10">
        <f>SUMIFS(IsQList,IsIList,Table_ExternalData_15[[#This Row],[item_key]],IsITypeList,Table_ExternalData_15[[#This Row],[IType]],IsDList,Table_ExternalData_15[[#Headers],[23]])</f>
        <v>0</v>
      </c>
      <c r="AB373" s="10">
        <f>SUMIFS(IsQList,IsIList,Table_ExternalData_15[[#This Row],[item_key]],IsITypeList,Table_ExternalData_15[[#This Row],[IType]],IsDList,Table_ExternalData_15[[#Headers],[24]])</f>
        <v>0</v>
      </c>
      <c r="AC373" s="10">
        <f>SUMIFS(IsQList,IsIList,Table_ExternalData_15[[#This Row],[item_key]],IsITypeList,Table_ExternalData_15[[#This Row],[IType]],IsDList,Table_ExternalData_15[[#Headers],[25]])</f>
        <v>0</v>
      </c>
      <c r="AD373" s="10">
        <f>SUMIFS(IsQList,IsIList,Table_ExternalData_15[[#This Row],[item_key]],IsITypeList,Table_ExternalData_15[[#This Row],[IType]],IsDList,Table_ExternalData_15[[#Headers],[26]])</f>
        <v>0</v>
      </c>
      <c r="AE373" s="10">
        <f>SUMIFS(IsQList,IsIList,Table_ExternalData_15[[#This Row],[item_key]],IsITypeList,Table_ExternalData_15[[#This Row],[IType]],IsDList,Table_ExternalData_15[[#Headers],[27]])</f>
        <v>0</v>
      </c>
      <c r="AF373" s="10">
        <f>SUMIFS(IsQList,IsIList,Table_ExternalData_15[[#This Row],[item_key]],IsITypeList,Table_ExternalData_15[[#This Row],[IType]],IsDList,Table_ExternalData_15[[#Headers],[28]])</f>
        <v>0</v>
      </c>
      <c r="AG373" s="10">
        <f>SUMIFS(IsQList,IsIList,Table_ExternalData_15[[#This Row],[item_key]],IsITypeList,Table_ExternalData_15[[#This Row],[IType]],IsDList,Table_ExternalData_15[[#Headers],[29]])</f>
        <v>0</v>
      </c>
      <c r="AH373" s="10">
        <f>SUMIFS(IsQList,IsIList,Table_ExternalData_15[[#This Row],[item_key]],IsITypeList,Table_ExternalData_15[[#This Row],[IType]],IsDList,Table_ExternalData_15[[#Headers],[30]])</f>
        <v>0</v>
      </c>
      <c r="AI373" s="10">
        <f>SUMIFS(IsQList,IsIList,Table_ExternalData_15[[#This Row],[item_key]],IsITypeList,Table_ExternalData_15[[#This Row],[IType]],IsDList,Table_ExternalData_15[[#Headers],[31]])</f>
        <v>0</v>
      </c>
      <c r="AJ373" s="10">
        <f>SUM(Table_ExternalData_15[[#This Row],[1]:[31]])</f>
        <v>0</v>
      </c>
    </row>
    <row r="374" spans="1:36">
      <c r="A374" s="1" t="s">
        <v>1131</v>
      </c>
      <c r="B374" s="1" t="s">
        <v>2842</v>
      </c>
      <c r="C374" s="1" t="s">
        <v>2843</v>
      </c>
      <c r="D374" s="11" t="s">
        <v>72</v>
      </c>
      <c r="E374" s="10">
        <f>SUMIFS(IsQList,IsIList,Table_ExternalData_15[[#This Row],[item_key]],IsITypeList,Table_ExternalData_15[[#This Row],[IType]],IsDList,Table_ExternalData_15[[#Headers],[1]])</f>
        <v>0</v>
      </c>
      <c r="F374" s="10">
        <f>SUMIFS(IsQList,IsIList,Table_ExternalData_15[[#This Row],[item_key]],IsITypeList,Table_ExternalData_15[[#This Row],[IType]],IsDList,Table_ExternalData_15[[#Headers],[2]])</f>
        <v>0</v>
      </c>
      <c r="G374" s="10">
        <f>SUMIFS(IsQList,IsIList,Table_ExternalData_15[[#This Row],[item_key]],IsITypeList,Table_ExternalData_15[[#This Row],[IType]],IsDList,Table_ExternalData_15[[#Headers],[3]])</f>
        <v>0</v>
      </c>
      <c r="H374" s="10">
        <f>SUMIFS(IsQList,IsIList,Table_ExternalData_15[[#This Row],[item_key]],IsITypeList,Table_ExternalData_15[[#This Row],[IType]],IsDList,Table_ExternalData_15[[#Headers],[4]])</f>
        <v>0</v>
      </c>
      <c r="I374" s="10">
        <f>SUMIFS(IsQList,IsIList,Table_ExternalData_15[[#This Row],[item_key]],IsITypeList,Table_ExternalData_15[[#This Row],[IType]],IsDList,Table_ExternalData_15[[#Headers],[5]])</f>
        <v>0</v>
      </c>
      <c r="J374" s="10">
        <f>SUMIFS(IsQList,IsIList,Table_ExternalData_15[[#This Row],[item_key]],IsITypeList,Table_ExternalData_15[[#This Row],[IType]],IsDList,Table_ExternalData_15[[#Headers],[6]])</f>
        <v>30</v>
      </c>
      <c r="K374" s="10">
        <f>SUMIFS(IsQList,IsIList,Table_ExternalData_15[[#This Row],[item_key]],IsITypeList,Table_ExternalData_15[[#This Row],[IType]],IsDList,Table_ExternalData_15[[#Headers],[7]])</f>
        <v>0</v>
      </c>
      <c r="L374" s="10">
        <f>SUMIFS(IsQList,IsIList,Table_ExternalData_15[[#This Row],[item_key]],IsITypeList,Table_ExternalData_15[[#This Row],[IType]],IsDList,Table_ExternalData_15[[#Headers],[8]])</f>
        <v>0</v>
      </c>
      <c r="M374" s="10">
        <f>SUMIFS(IsQList,IsIList,Table_ExternalData_15[[#This Row],[item_key]],IsITypeList,Table_ExternalData_15[[#This Row],[IType]],IsDList,Table_ExternalData_15[[#Headers],[9]])</f>
        <v>0</v>
      </c>
      <c r="N374" s="10">
        <f>SUMIFS(IsQList,IsIList,Table_ExternalData_15[[#This Row],[item_key]],IsITypeList,Table_ExternalData_15[[#This Row],[IType]],IsDList,Table_ExternalData_15[[#Headers],[10]])</f>
        <v>0</v>
      </c>
      <c r="O374" s="10">
        <f>SUMIFS(IsQList,IsIList,Table_ExternalData_15[[#This Row],[item_key]],IsITypeList,Table_ExternalData_15[[#This Row],[IType]],IsDList,Table_ExternalData_15[[#Headers],[11]])</f>
        <v>0</v>
      </c>
      <c r="P374" s="10">
        <f>SUMIFS(IsQList,IsIList,Table_ExternalData_15[[#This Row],[item_key]],IsITypeList,Table_ExternalData_15[[#This Row],[IType]],IsDList,Table_ExternalData_15[[#Headers],[12]])</f>
        <v>0</v>
      </c>
      <c r="Q374" s="10">
        <f>SUMIFS(IsQList,IsIList,Table_ExternalData_15[[#This Row],[item_key]],IsITypeList,Table_ExternalData_15[[#This Row],[IType]],IsDList,Table_ExternalData_15[[#Headers],[13]])</f>
        <v>0</v>
      </c>
      <c r="R374" s="10">
        <f>SUMIFS(IsQList,IsIList,Table_ExternalData_15[[#This Row],[item_key]],IsITypeList,Table_ExternalData_15[[#This Row],[IType]],IsDList,Table_ExternalData_15[[#Headers],[14]])</f>
        <v>0</v>
      </c>
      <c r="S374" s="10">
        <f>SUMIFS(IsQList,IsIList,Table_ExternalData_15[[#This Row],[item_key]],IsITypeList,Table_ExternalData_15[[#This Row],[IType]],IsDList,Table_ExternalData_15[[#Headers],[15]])</f>
        <v>0</v>
      </c>
      <c r="T374" s="10">
        <f>SUMIFS(IsQList,IsIList,Table_ExternalData_15[[#This Row],[item_key]],IsITypeList,Table_ExternalData_15[[#This Row],[IType]],IsDList,Table_ExternalData_15[[#Headers],[16]])</f>
        <v>0</v>
      </c>
      <c r="U374" s="10">
        <f>SUMIFS(IsQList,IsIList,Table_ExternalData_15[[#This Row],[item_key]],IsITypeList,Table_ExternalData_15[[#This Row],[IType]],IsDList,Table_ExternalData_15[[#Headers],[17]])</f>
        <v>0</v>
      </c>
      <c r="V374" s="10">
        <f>SUMIFS(IsQList,IsIList,Table_ExternalData_15[[#This Row],[item_key]],IsITypeList,Table_ExternalData_15[[#This Row],[IType]],IsDList,Table_ExternalData_15[[#Headers],[18]])</f>
        <v>0</v>
      </c>
      <c r="W374" s="10">
        <f>SUMIFS(IsQList,IsIList,Table_ExternalData_15[[#This Row],[item_key]],IsITypeList,Table_ExternalData_15[[#This Row],[IType]],IsDList,Table_ExternalData_15[[#Headers],[19]])</f>
        <v>0</v>
      </c>
      <c r="X374" s="10">
        <f>SUMIFS(IsQList,IsIList,Table_ExternalData_15[[#This Row],[item_key]],IsITypeList,Table_ExternalData_15[[#This Row],[IType]],IsDList,Table_ExternalData_15[[#Headers],[20]])</f>
        <v>0</v>
      </c>
      <c r="Y374" s="10">
        <f>SUMIFS(IsQList,IsIList,Table_ExternalData_15[[#This Row],[item_key]],IsITypeList,Table_ExternalData_15[[#This Row],[IType]],IsDList,Table_ExternalData_15[[#Headers],[21]])</f>
        <v>0</v>
      </c>
      <c r="Z374" s="10">
        <f>SUMIFS(IsQList,IsIList,Table_ExternalData_15[[#This Row],[item_key]],IsITypeList,Table_ExternalData_15[[#This Row],[IType]],IsDList,Table_ExternalData_15[[#Headers],[22]])</f>
        <v>0</v>
      </c>
      <c r="AA374" s="10">
        <f>SUMIFS(IsQList,IsIList,Table_ExternalData_15[[#This Row],[item_key]],IsITypeList,Table_ExternalData_15[[#This Row],[IType]],IsDList,Table_ExternalData_15[[#Headers],[23]])</f>
        <v>0</v>
      </c>
      <c r="AB374" s="10">
        <f>SUMIFS(IsQList,IsIList,Table_ExternalData_15[[#This Row],[item_key]],IsITypeList,Table_ExternalData_15[[#This Row],[IType]],IsDList,Table_ExternalData_15[[#Headers],[24]])</f>
        <v>100</v>
      </c>
      <c r="AC374" s="10">
        <f>SUMIFS(IsQList,IsIList,Table_ExternalData_15[[#This Row],[item_key]],IsITypeList,Table_ExternalData_15[[#This Row],[IType]],IsDList,Table_ExternalData_15[[#Headers],[25]])</f>
        <v>0</v>
      </c>
      <c r="AD374" s="10">
        <f>SUMIFS(IsQList,IsIList,Table_ExternalData_15[[#This Row],[item_key]],IsITypeList,Table_ExternalData_15[[#This Row],[IType]],IsDList,Table_ExternalData_15[[#Headers],[26]])</f>
        <v>0</v>
      </c>
      <c r="AE374" s="10">
        <f>SUMIFS(IsQList,IsIList,Table_ExternalData_15[[#This Row],[item_key]],IsITypeList,Table_ExternalData_15[[#This Row],[IType]],IsDList,Table_ExternalData_15[[#Headers],[27]])</f>
        <v>0</v>
      </c>
      <c r="AF374" s="10">
        <f>SUMIFS(IsQList,IsIList,Table_ExternalData_15[[#This Row],[item_key]],IsITypeList,Table_ExternalData_15[[#This Row],[IType]],IsDList,Table_ExternalData_15[[#Headers],[28]])</f>
        <v>0</v>
      </c>
      <c r="AG374" s="10">
        <f>SUMIFS(IsQList,IsIList,Table_ExternalData_15[[#This Row],[item_key]],IsITypeList,Table_ExternalData_15[[#This Row],[IType]],IsDList,Table_ExternalData_15[[#Headers],[29]])</f>
        <v>0</v>
      </c>
      <c r="AH374" s="10">
        <f>SUMIFS(IsQList,IsIList,Table_ExternalData_15[[#This Row],[item_key]],IsITypeList,Table_ExternalData_15[[#This Row],[IType]],IsDList,Table_ExternalData_15[[#Headers],[30]])</f>
        <v>0</v>
      </c>
      <c r="AI374" s="10">
        <f>SUMIFS(IsQList,IsIList,Table_ExternalData_15[[#This Row],[item_key]],IsITypeList,Table_ExternalData_15[[#This Row],[IType]],IsDList,Table_ExternalData_15[[#Headers],[31]])</f>
        <v>0</v>
      </c>
      <c r="AJ374" s="10">
        <f>SUM(Table_ExternalData_15[[#This Row],[1]:[31]])</f>
        <v>130</v>
      </c>
    </row>
    <row r="375" spans="1:36">
      <c r="A375" s="1" t="s">
        <v>1134</v>
      </c>
      <c r="B375" s="1" t="s">
        <v>2844</v>
      </c>
      <c r="C375" s="1" t="s">
        <v>2664</v>
      </c>
      <c r="D375" s="11" t="s">
        <v>72</v>
      </c>
      <c r="E375" s="10">
        <f>SUMIFS(IsQList,IsIList,Table_ExternalData_15[[#This Row],[item_key]],IsITypeList,Table_ExternalData_15[[#This Row],[IType]],IsDList,Table_ExternalData_15[[#Headers],[1]])</f>
        <v>0</v>
      </c>
      <c r="F375" s="10">
        <f>SUMIFS(IsQList,IsIList,Table_ExternalData_15[[#This Row],[item_key]],IsITypeList,Table_ExternalData_15[[#This Row],[IType]],IsDList,Table_ExternalData_15[[#Headers],[2]])</f>
        <v>0</v>
      </c>
      <c r="G375" s="10">
        <f>SUMIFS(IsQList,IsIList,Table_ExternalData_15[[#This Row],[item_key]],IsITypeList,Table_ExternalData_15[[#This Row],[IType]],IsDList,Table_ExternalData_15[[#Headers],[3]])</f>
        <v>0</v>
      </c>
      <c r="H375" s="10">
        <f>SUMIFS(IsQList,IsIList,Table_ExternalData_15[[#This Row],[item_key]],IsITypeList,Table_ExternalData_15[[#This Row],[IType]],IsDList,Table_ExternalData_15[[#Headers],[4]])</f>
        <v>0</v>
      </c>
      <c r="I375" s="10">
        <f>SUMIFS(IsQList,IsIList,Table_ExternalData_15[[#This Row],[item_key]],IsITypeList,Table_ExternalData_15[[#This Row],[IType]],IsDList,Table_ExternalData_15[[#Headers],[5]])</f>
        <v>0</v>
      </c>
      <c r="J375" s="10">
        <f>SUMIFS(IsQList,IsIList,Table_ExternalData_15[[#This Row],[item_key]],IsITypeList,Table_ExternalData_15[[#This Row],[IType]],IsDList,Table_ExternalData_15[[#Headers],[6]])</f>
        <v>0</v>
      </c>
      <c r="K375" s="10">
        <f>SUMIFS(IsQList,IsIList,Table_ExternalData_15[[#This Row],[item_key]],IsITypeList,Table_ExternalData_15[[#This Row],[IType]],IsDList,Table_ExternalData_15[[#Headers],[7]])</f>
        <v>0</v>
      </c>
      <c r="L375" s="10">
        <f>SUMIFS(IsQList,IsIList,Table_ExternalData_15[[#This Row],[item_key]],IsITypeList,Table_ExternalData_15[[#This Row],[IType]],IsDList,Table_ExternalData_15[[#Headers],[8]])</f>
        <v>0</v>
      </c>
      <c r="M375" s="10">
        <f>SUMIFS(IsQList,IsIList,Table_ExternalData_15[[#This Row],[item_key]],IsITypeList,Table_ExternalData_15[[#This Row],[IType]],IsDList,Table_ExternalData_15[[#Headers],[9]])</f>
        <v>0</v>
      </c>
      <c r="N375" s="10">
        <f>SUMIFS(IsQList,IsIList,Table_ExternalData_15[[#This Row],[item_key]],IsITypeList,Table_ExternalData_15[[#This Row],[IType]],IsDList,Table_ExternalData_15[[#Headers],[10]])</f>
        <v>0</v>
      </c>
      <c r="O375" s="10">
        <f>SUMIFS(IsQList,IsIList,Table_ExternalData_15[[#This Row],[item_key]],IsITypeList,Table_ExternalData_15[[#This Row],[IType]],IsDList,Table_ExternalData_15[[#Headers],[11]])</f>
        <v>0</v>
      </c>
      <c r="P375" s="10">
        <f>SUMIFS(IsQList,IsIList,Table_ExternalData_15[[#This Row],[item_key]],IsITypeList,Table_ExternalData_15[[#This Row],[IType]],IsDList,Table_ExternalData_15[[#Headers],[12]])</f>
        <v>0</v>
      </c>
      <c r="Q375" s="10">
        <f>SUMIFS(IsQList,IsIList,Table_ExternalData_15[[#This Row],[item_key]],IsITypeList,Table_ExternalData_15[[#This Row],[IType]],IsDList,Table_ExternalData_15[[#Headers],[13]])</f>
        <v>0</v>
      </c>
      <c r="R375" s="10">
        <f>SUMIFS(IsQList,IsIList,Table_ExternalData_15[[#This Row],[item_key]],IsITypeList,Table_ExternalData_15[[#This Row],[IType]],IsDList,Table_ExternalData_15[[#Headers],[14]])</f>
        <v>0</v>
      </c>
      <c r="S375" s="10">
        <f>SUMIFS(IsQList,IsIList,Table_ExternalData_15[[#This Row],[item_key]],IsITypeList,Table_ExternalData_15[[#This Row],[IType]],IsDList,Table_ExternalData_15[[#Headers],[15]])</f>
        <v>0</v>
      </c>
      <c r="T375" s="10">
        <f>SUMIFS(IsQList,IsIList,Table_ExternalData_15[[#This Row],[item_key]],IsITypeList,Table_ExternalData_15[[#This Row],[IType]],IsDList,Table_ExternalData_15[[#Headers],[16]])</f>
        <v>172</v>
      </c>
      <c r="U375" s="10">
        <f>SUMIFS(IsQList,IsIList,Table_ExternalData_15[[#This Row],[item_key]],IsITypeList,Table_ExternalData_15[[#This Row],[IType]],IsDList,Table_ExternalData_15[[#Headers],[17]])</f>
        <v>0</v>
      </c>
      <c r="V375" s="10">
        <f>SUMIFS(IsQList,IsIList,Table_ExternalData_15[[#This Row],[item_key]],IsITypeList,Table_ExternalData_15[[#This Row],[IType]],IsDList,Table_ExternalData_15[[#Headers],[18]])</f>
        <v>0</v>
      </c>
      <c r="W375" s="10">
        <f>SUMIFS(IsQList,IsIList,Table_ExternalData_15[[#This Row],[item_key]],IsITypeList,Table_ExternalData_15[[#This Row],[IType]],IsDList,Table_ExternalData_15[[#Headers],[19]])</f>
        <v>0</v>
      </c>
      <c r="X375" s="10">
        <f>SUMIFS(IsQList,IsIList,Table_ExternalData_15[[#This Row],[item_key]],IsITypeList,Table_ExternalData_15[[#This Row],[IType]],IsDList,Table_ExternalData_15[[#Headers],[20]])</f>
        <v>0</v>
      </c>
      <c r="Y375" s="10">
        <f>SUMIFS(IsQList,IsIList,Table_ExternalData_15[[#This Row],[item_key]],IsITypeList,Table_ExternalData_15[[#This Row],[IType]],IsDList,Table_ExternalData_15[[#Headers],[21]])</f>
        <v>0</v>
      </c>
      <c r="Z375" s="10">
        <f>SUMIFS(IsQList,IsIList,Table_ExternalData_15[[#This Row],[item_key]],IsITypeList,Table_ExternalData_15[[#This Row],[IType]],IsDList,Table_ExternalData_15[[#Headers],[22]])</f>
        <v>0</v>
      </c>
      <c r="AA375" s="10">
        <f>SUMIFS(IsQList,IsIList,Table_ExternalData_15[[#This Row],[item_key]],IsITypeList,Table_ExternalData_15[[#This Row],[IType]],IsDList,Table_ExternalData_15[[#Headers],[23]])</f>
        <v>0</v>
      </c>
      <c r="AB375" s="10">
        <f>SUMIFS(IsQList,IsIList,Table_ExternalData_15[[#This Row],[item_key]],IsITypeList,Table_ExternalData_15[[#This Row],[IType]],IsDList,Table_ExternalData_15[[#Headers],[24]])</f>
        <v>0</v>
      </c>
      <c r="AC375" s="10">
        <f>SUMIFS(IsQList,IsIList,Table_ExternalData_15[[#This Row],[item_key]],IsITypeList,Table_ExternalData_15[[#This Row],[IType]],IsDList,Table_ExternalData_15[[#Headers],[25]])</f>
        <v>0</v>
      </c>
      <c r="AD375" s="10">
        <f>SUMIFS(IsQList,IsIList,Table_ExternalData_15[[#This Row],[item_key]],IsITypeList,Table_ExternalData_15[[#This Row],[IType]],IsDList,Table_ExternalData_15[[#Headers],[26]])</f>
        <v>0</v>
      </c>
      <c r="AE375" s="10">
        <f>SUMIFS(IsQList,IsIList,Table_ExternalData_15[[#This Row],[item_key]],IsITypeList,Table_ExternalData_15[[#This Row],[IType]],IsDList,Table_ExternalData_15[[#Headers],[27]])</f>
        <v>0</v>
      </c>
      <c r="AF375" s="10">
        <f>SUMIFS(IsQList,IsIList,Table_ExternalData_15[[#This Row],[item_key]],IsITypeList,Table_ExternalData_15[[#This Row],[IType]],IsDList,Table_ExternalData_15[[#Headers],[28]])</f>
        <v>0</v>
      </c>
      <c r="AG375" s="10">
        <f>SUMIFS(IsQList,IsIList,Table_ExternalData_15[[#This Row],[item_key]],IsITypeList,Table_ExternalData_15[[#This Row],[IType]],IsDList,Table_ExternalData_15[[#Headers],[29]])</f>
        <v>0</v>
      </c>
      <c r="AH375" s="10">
        <f>SUMIFS(IsQList,IsIList,Table_ExternalData_15[[#This Row],[item_key]],IsITypeList,Table_ExternalData_15[[#This Row],[IType]],IsDList,Table_ExternalData_15[[#Headers],[30]])</f>
        <v>17</v>
      </c>
      <c r="AI375" s="10">
        <f>SUMIFS(IsQList,IsIList,Table_ExternalData_15[[#This Row],[item_key]],IsITypeList,Table_ExternalData_15[[#This Row],[IType]],IsDList,Table_ExternalData_15[[#Headers],[31]])</f>
        <v>0</v>
      </c>
      <c r="AJ375" s="10">
        <f>SUM(Table_ExternalData_15[[#This Row],[1]:[31]])</f>
        <v>189</v>
      </c>
    </row>
    <row r="376" spans="1:36">
      <c r="A376" s="1" t="s">
        <v>2298</v>
      </c>
      <c r="B376" s="1" t="s">
        <v>2845</v>
      </c>
      <c r="C376" s="1" t="s">
        <v>2846</v>
      </c>
      <c r="D376" s="11" t="s">
        <v>72</v>
      </c>
      <c r="E376" s="10">
        <f>SUMIFS(IsQList,IsIList,Table_ExternalData_15[[#This Row],[item_key]],IsITypeList,Table_ExternalData_15[[#This Row],[IType]],IsDList,Table_ExternalData_15[[#Headers],[1]])</f>
        <v>0</v>
      </c>
      <c r="F376" s="10">
        <f>SUMIFS(IsQList,IsIList,Table_ExternalData_15[[#This Row],[item_key]],IsITypeList,Table_ExternalData_15[[#This Row],[IType]],IsDList,Table_ExternalData_15[[#Headers],[2]])</f>
        <v>0</v>
      </c>
      <c r="G376" s="10">
        <f>SUMIFS(IsQList,IsIList,Table_ExternalData_15[[#This Row],[item_key]],IsITypeList,Table_ExternalData_15[[#This Row],[IType]],IsDList,Table_ExternalData_15[[#Headers],[3]])</f>
        <v>0</v>
      </c>
      <c r="H376" s="10">
        <f>SUMIFS(IsQList,IsIList,Table_ExternalData_15[[#This Row],[item_key]],IsITypeList,Table_ExternalData_15[[#This Row],[IType]],IsDList,Table_ExternalData_15[[#Headers],[4]])</f>
        <v>0</v>
      </c>
      <c r="I376" s="10">
        <f>SUMIFS(IsQList,IsIList,Table_ExternalData_15[[#This Row],[item_key]],IsITypeList,Table_ExternalData_15[[#This Row],[IType]],IsDList,Table_ExternalData_15[[#Headers],[5]])</f>
        <v>0</v>
      </c>
      <c r="J376" s="10">
        <f>SUMIFS(IsQList,IsIList,Table_ExternalData_15[[#This Row],[item_key]],IsITypeList,Table_ExternalData_15[[#This Row],[IType]],IsDList,Table_ExternalData_15[[#Headers],[6]])</f>
        <v>30</v>
      </c>
      <c r="K376" s="10">
        <f>SUMIFS(IsQList,IsIList,Table_ExternalData_15[[#This Row],[item_key]],IsITypeList,Table_ExternalData_15[[#This Row],[IType]],IsDList,Table_ExternalData_15[[#Headers],[7]])</f>
        <v>0</v>
      </c>
      <c r="L376" s="10">
        <f>SUMIFS(IsQList,IsIList,Table_ExternalData_15[[#This Row],[item_key]],IsITypeList,Table_ExternalData_15[[#This Row],[IType]],IsDList,Table_ExternalData_15[[#Headers],[8]])</f>
        <v>0</v>
      </c>
      <c r="M376" s="10">
        <f>SUMIFS(IsQList,IsIList,Table_ExternalData_15[[#This Row],[item_key]],IsITypeList,Table_ExternalData_15[[#This Row],[IType]],IsDList,Table_ExternalData_15[[#Headers],[9]])</f>
        <v>0</v>
      </c>
      <c r="N376" s="10">
        <f>SUMIFS(IsQList,IsIList,Table_ExternalData_15[[#This Row],[item_key]],IsITypeList,Table_ExternalData_15[[#This Row],[IType]],IsDList,Table_ExternalData_15[[#Headers],[10]])</f>
        <v>0</v>
      </c>
      <c r="O376" s="10">
        <f>SUMIFS(IsQList,IsIList,Table_ExternalData_15[[#This Row],[item_key]],IsITypeList,Table_ExternalData_15[[#This Row],[IType]],IsDList,Table_ExternalData_15[[#Headers],[11]])</f>
        <v>0</v>
      </c>
      <c r="P376" s="10">
        <f>SUMIFS(IsQList,IsIList,Table_ExternalData_15[[#This Row],[item_key]],IsITypeList,Table_ExternalData_15[[#This Row],[IType]],IsDList,Table_ExternalData_15[[#Headers],[12]])</f>
        <v>0</v>
      </c>
      <c r="Q376" s="10">
        <f>SUMIFS(IsQList,IsIList,Table_ExternalData_15[[#This Row],[item_key]],IsITypeList,Table_ExternalData_15[[#This Row],[IType]],IsDList,Table_ExternalData_15[[#Headers],[13]])</f>
        <v>0</v>
      </c>
      <c r="R376" s="10">
        <f>SUMIFS(IsQList,IsIList,Table_ExternalData_15[[#This Row],[item_key]],IsITypeList,Table_ExternalData_15[[#This Row],[IType]],IsDList,Table_ExternalData_15[[#Headers],[14]])</f>
        <v>0</v>
      </c>
      <c r="S376" s="10">
        <f>SUMIFS(IsQList,IsIList,Table_ExternalData_15[[#This Row],[item_key]],IsITypeList,Table_ExternalData_15[[#This Row],[IType]],IsDList,Table_ExternalData_15[[#Headers],[15]])</f>
        <v>0</v>
      </c>
      <c r="T376" s="10">
        <f>SUMIFS(IsQList,IsIList,Table_ExternalData_15[[#This Row],[item_key]],IsITypeList,Table_ExternalData_15[[#This Row],[IType]],IsDList,Table_ExternalData_15[[#Headers],[16]])</f>
        <v>0</v>
      </c>
      <c r="U376" s="10">
        <f>SUMIFS(IsQList,IsIList,Table_ExternalData_15[[#This Row],[item_key]],IsITypeList,Table_ExternalData_15[[#This Row],[IType]],IsDList,Table_ExternalData_15[[#Headers],[17]])</f>
        <v>0</v>
      </c>
      <c r="V376" s="10">
        <f>SUMIFS(IsQList,IsIList,Table_ExternalData_15[[#This Row],[item_key]],IsITypeList,Table_ExternalData_15[[#This Row],[IType]],IsDList,Table_ExternalData_15[[#Headers],[18]])</f>
        <v>0</v>
      </c>
      <c r="W376" s="10">
        <f>SUMIFS(IsQList,IsIList,Table_ExternalData_15[[#This Row],[item_key]],IsITypeList,Table_ExternalData_15[[#This Row],[IType]],IsDList,Table_ExternalData_15[[#Headers],[19]])</f>
        <v>0</v>
      </c>
      <c r="X376" s="10">
        <f>SUMIFS(IsQList,IsIList,Table_ExternalData_15[[#This Row],[item_key]],IsITypeList,Table_ExternalData_15[[#This Row],[IType]],IsDList,Table_ExternalData_15[[#Headers],[20]])</f>
        <v>0</v>
      </c>
      <c r="Y376" s="10">
        <f>SUMIFS(IsQList,IsIList,Table_ExternalData_15[[#This Row],[item_key]],IsITypeList,Table_ExternalData_15[[#This Row],[IType]],IsDList,Table_ExternalData_15[[#Headers],[21]])</f>
        <v>0</v>
      </c>
      <c r="Z376" s="10">
        <f>SUMIFS(IsQList,IsIList,Table_ExternalData_15[[#This Row],[item_key]],IsITypeList,Table_ExternalData_15[[#This Row],[IType]],IsDList,Table_ExternalData_15[[#Headers],[22]])</f>
        <v>0</v>
      </c>
      <c r="AA376" s="10">
        <f>SUMIFS(IsQList,IsIList,Table_ExternalData_15[[#This Row],[item_key]],IsITypeList,Table_ExternalData_15[[#This Row],[IType]],IsDList,Table_ExternalData_15[[#Headers],[23]])</f>
        <v>0</v>
      </c>
      <c r="AB376" s="10">
        <f>SUMIFS(IsQList,IsIList,Table_ExternalData_15[[#This Row],[item_key]],IsITypeList,Table_ExternalData_15[[#This Row],[IType]],IsDList,Table_ExternalData_15[[#Headers],[24]])</f>
        <v>0</v>
      </c>
      <c r="AC376" s="10">
        <f>SUMIFS(IsQList,IsIList,Table_ExternalData_15[[#This Row],[item_key]],IsITypeList,Table_ExternalData_15[[#This Row],[IType]],IsDList,Table_ExternalData_15[[#Headers],[25]])</f>
        <v>0</v>
      </c>
      <c r="AD376" s="10">
        <f>SUMIFS(IsQList,IsIList,Table_ExternalData_15[[#This Row],[item_key]],IsITypeList,Table_ExternalData_15[[#This Row],[IType]],IsDList,Table_ExternalData_15[[#Headers],[26]])</f>
        <v>0</v>
      </c>
      <c r="AE376" s="10">
        <f>SUMIFS(IsQList,IsIList,Table_ExternalData_15[[#This Row],[item_key]],IsITypeList,Table_ExternalData_15[[#This Row],[IType]],IsDList,Table_ExternalData_15[[#Headers],[27]])</f>
        <v>0</v>
      </c>
      <c r="AF376" s="10">
        <f>SUMIFS(IsQList,IsIList,Table_ExternalData_15[[#This Row],[item_key]],IsITypeList,Table_ExternalData_15[[#This Row],[IType]],IsDList,Table_ExternalData_15[[#Headers],[28]])</f>
        <v>0</v>
      </c>
      <c r="AG376" s="10">
        <f>SUMIFS(IsQList,IsIList,Table_ExternalData_15[[#This Row],[item_key]],IsITypeList,Table_ExternalData_15[[#This Row],[IType]],IsDList,Table_ExternalData_15[[#Headers],[29]])</f>
        <v>0</v>
      </c>
      <c r="AH376" s="10">
        <f>SUMIFS(IsQList,IsIList,Table_ExternalData_15[[#This Row],[item_key]],IsITypeList,Table_ExternalData_15[[#This Row],[IType]],IsDList,Table_ExternalData_15[[#Headers],[30]])</f>
        <v>0</v>
      </c>
      <c r="AI376" s="10">
        <f>SUMIFS(IsQList,IsIList,Table_ExternalData_15[[#This Row],[item_key]],IsITypeList,Table_ExternalData_15[[#This Row],[IType]],IsDList,Table_ExternalData_15[[#Headers],[31]])</f>
        <v>0</v>
      </c>
      <c r="AJ376" s="10">
        <f>SUM(Table_ExternalData_15[[#This Row],[1]:[31]])</f>
        <v>30</v>
      </c>
    </row>
    <row r="377" spans="1:36">
      <c r="A377" s="1" t="s">
        <v>1136</v>
      </c>
      <c r="B377" s="1" t="s">
        <v>1598</v>
      </c>
      <c r="C377" s="1" t="s">
        <v>1599</v>
      </c>
      <c r="D377" s="11" t="s">
        <v>72</v>
      </c>
      <c r="E377" s="10">
        <f>SUMIFS(IsQList,IsIList,Table_ExternalData_15[[#This Row],[item_key]],IsITypeList,Table_ExternalData_15[[#This Row],[IType]],IsDList,Table_ExternalData_15[[#Headers],[1]])</f>
        <v>0</v>
      </c>
      <c r="F377" s="10">
        <f>SUMIFS(IsQList,IsIList,Table_ExternalData_15[[#This Row],[item_key]],IsITypeList,Table_ExternalData_15[[#This Row],[IType]],IsDList,Table_ExternalData_15[[#Headers],[2]])</f>
        <v>0</v>
      </c>
      <c r="G377" s="10">
        <f>SUMIFS(IsQList,IsIList,Table_ExternalData_15[[#This Row],[item_key]],IsITypeList,Table_ExternalData_15[[#This Row],[IType]],IsDList,Table_ExternalData_15[[#Headers],[3]])</f>
        <v>0</v>
      </c>
      <c r="H377" s="10">
        <f>SUMIFS(IsQList,IsIList,Table_ExternalData_15[[#This Row],[item_key]],IsITypeList,Table_ExternalData_15[[#This Row],[IType]],IsDList,Table_ExternalData_15[[#Headers],[4]])</f>
        <v>0</v>
      </c>
      <c r="I377" s="10">
        <f>SUMIFS(IsQList,IsIList,Table_ExternalData_15[[#This Row],[item_key]],IsITypeList,Table_ExternalData_15[[#This Row],[IType]],IsDList,Table_ExternalData_15[[#Headers],[5]])</f>
        <v>0</v>
      </c>
      <c r="J377" s="10">
        <f>SUMIFS(IsQList,IsIList,Table_ExternalData_15[[#This Row],[item_key]],IsITypeList,Table_ExternalData_15[[#This Row],[IType]],IsDList,Table_ExternalData_15[[#Headers],[6]])</f>
        <v>0</v>
      </c>
      <c r="K377" s="10">
        <f>SUMIFS(IsQList,IsIList,Table_ExternalData_15[[#This Row],[item_key]],IsITypeList,Table_ExternalData_15[[#This Row],[IType]],IsDList,Table_ExternalData_15[[#Headers],[7]])</f>
        <v>0</v>
      </c>
      <c r="L377" s="10">
        <f>SUMIFS(IsQList,IsIList,Table_ExternalData_15[[#This Row],[item_key]],IsITypeList,Table_ExternalData_15[[#This Row],[IType]],IsDList,Table_ExternalData_15[[#Headers],[8]])</f>
        <v>0</v>
      </c>
      <c r="M377" s="10">
        <f>SUMIFS(IsQList,IsIList,Table_ExternalData_15[[#This Row],[item_key]],IsITypeList,Table_ExternalData_15[[#This Row],[IType]],IsDList,Table_ExternalData_15[[#Headers],[9]])</f>
        <v>0</v>
      </c>
      <c r="N377" s="10">
        <f>SUMIFS(IsQList,IsIList,Table_ExternalData_15[[#This Row],[item_key]],IsITypeList,Table_ExternalData_15[[#This Row],[IType]],IsDList,Table_ExternalData_15[[#Headers],[10]])</f>
        <v>10</v>
      </c>
      <c r="O377" s="10">
        <f>SUMIFS(IsQList,IsIList,Table_ExternalData_15[[#This Row],[item_key]],IsITypeList,Table_ExternalData_15[[#This Row],[IType]],IsDList,Table_ExternalData_15[[#Headers],[11]])</f>
        <v>0</v>
      </c>
      <c r="P377" s="10">
        <f>SUMIFS(IsQList,IsIList,Table_ExternalData_15[[#This Row],[item_key]],IsITypeList,Table_ExternalData_15[[#This Row],[IType]],IsDList,Table_ExternalData_15[[#Headers],[12]])</f>
        <v>0</v>
      </c>
      <c r="Q377" s="10">
        <f>SUMIFS(IsQList,IsIList,Table_ExternalData_15[[#This Row],[item_key]],IsITypeList,Table_ExternalData_15[[#This Row],[IType]],IsDList,Table_ExternalData_15[[#Headers],[13]])</f>
        <v>0</v>
      </c>
      <c r="R377" s="10">
        <f>SUMIFS(IsQList,IsIList,Table_ExternalData_15[[#This Row],[item_key]],IsITypeList,Table_ExternalData_15[[#This Row],[IType]],IsDList,Table_ExternalData_15[[#Headers],[14]])</f>
        <v>0</v>
      </c>
      <c r="S377" s="10">
        <f>SUMIFS(IsQList,IsIList,Table_ExternalData_15[[#This Row],[item_key]],IsITypeList,Table_ExternalData_15[[#This Row],[IType]],IsDList,Table_ExternalData_15[[#Headers],[15]])</f>
        <v>0</v>
      </c>
      <c r="T377" s="10">
        <f>SUMIFS(IsQList,IsIList,Table_ExternalData_15[[#This Row],[item_key]],IsITypeList,Table_ExternalData_15[[#This Row],[IType]],IsDList,Table_ExternalData_15[[#Headers],[16]])</f>
        <v>0</v>
      </c>
      <c r="U377" s="10">
        <f>SUMIFS(IsQList,IsIList,Table_ExternalData_15[[#This Row],[item_key]],IsITypeList,Table_ExternalData_15[[#This Row],[IType]],IsDList,Table_ExternalData_15[[#Headers],[17]])</f>
        <v>0</v>
      </c>
      <c r="V377" s="10">
        <f>SUMIFS(IsQList,IsIList,Table_ExternalData_15[[#This Row],[item_key]],IsITypeList,Table_ExternalData_15[[#This Row],[IType]],IsDList,Table_ExternalData_15[[#Headers],[18]])</f>
        <v>0</v>
      </c>
      <c r="W377" s="10">
        <f>SUMIFS(IsQList,IsIList,Table_ExternalData_15[[#This Row],[item_key]],IsITypeList,Table_ExternalData_15[[#This Row],[IType]],IsDList,Table_ExternalData_15[[#Headers],[19]])</f>
        <v>0</v>
      </c>
      <c r="X377" s="10">
        <f>SUMIFS(IsQList,IsIList,Table_ExternalData_15[[#This Row],[item_key]],IsITypeList,Table_ExternalData_15[[#This Row],[IType]],IsDList,Table_ExternalData_15[[#Headers],[20]])</f>
        <v>0</v>
      </c>
      <c r="Y377" s="10">
        <f>SUMIFS(IsQList,IsIList,Table_ExternalData_15[[#This Row],[item_key]],IsITypeList,Table_ExternalData_15[[#This Row],[IType]],IsDList,Table_ExternalData_15[[#Headers],[21]])</f>
        <v>0</v>
      </c>
      <c r="Z377" s="10">
        <f>SUMIFS(IsQList,IsIList,Table_ExternalData_15[[#This Row],[item_key]],IsITypeList,Table_ExternalData_15[[#This Row],[IType]],IsDList,Table_ExternalData_15[[#Headers],[22]])</f>
        <v>0</v>
      </c>
      <c r="AA377" s="10">
        <f>SUMIFS(IsQList,IsIList,Table_ExternalData_15[[#This Row],[item_key]],IsITypeList,Table_ExternalData_15[[#This Row],[IType]],IsDList,Table_ExternalData_15[[#Headers],[23]])</f>
        <v>0</v>
      </c>
      <c r="AB377" s="10">
        <f>SUMIFS(IsQList,IsIList,Table_ExternalData_15[[#This Row],[item_key]],IsITypeList,Table_ExternalData_15[[#This Row],[IType]],IsDList,Table_ExternalData_15[[#Headers],[24]])</f>
        <v>0</v>
      </c>
      <c r="AC377" s="10">
        <f>SUMIFS(IsQList,IsIList,Table_ExternalData_15[[#This Row],[item_key]],IsITypeList,Table_ExternalData_15[[#This Row],[IType]],IsDList,Table_ExternalData_15[[#Headers],[25]])</f>
        <v>0</v>
      </c>
      <c r="AD377" s="10">
        <f>SUMIFS(IsQList,IsIList,Table_ExternalData_15[[#This Row],[item_key]],IsITypeList,Table_ExternalData_15[[#This Row],[IType]],IsDList,Table_ExternalData_15[[#Headers],[26]])</f>
        <v>0</v>
      </c>
      <c r="AE377" s="10">
        <f>SUMIFS(IsQList,IsIList,Table_ExternalData_15[[#This Row],[item_key]],IsITypeList,Table_ExternalData_15[[#This Row],[IType]],IsDList,Table_ExternalData_15[[#Headers],[27]])</f>
        <v>0</v>
      </c>
      <c r="AF377" s="10">
        <f>SUMIFS(IsQList,IsIList,Table_ExternalData_15[[#This Row],[item_key]],IsITypeList,Table_ExternalData_15[[#This Row],[IType]],IsDList,Table_ExternalData_15[[#Headers],[28]])</f>
        <v>0</v>
      </c>
      <c r="AG377" s="10">
        <f>SUMIFS(IsQList,IsIList,Table_ExternalData_15[[#This Row],[item_key]],IsITypeList,Table_ExternalData_15[[#This Row],[IType]],IsDList,Table_ExternalData_15[[#Headers],[29]])</f>
        <v>0</v>
      </c>
      <c r="AH377" s="10">
        <f>SUMIFS(IsQList,IsIList,Table_ExternalData_15[[#This Row],[item_key]],IsITypeList,Table_ExternalData_15[[#This Row],[IType]],IsDList,Table_ExternalData_15[[#Headers],[30]])</f>
        <v>0</v>
      </c>
      <c r="AI377" s="10">
        <f>SUMIFS(IsQList,IsIList,Table_ExternalData_15[[#This Row],[item_key]],IsITypeList,Table_ExternalData_15[[#This Row],[IType]],IsDList,Table_ExternalData_15[[#Headers],[31]])</f>
        <v>0</v>
      </c>
      <c r="AJ377" s="10">
        <f>SUM(Table_ExternalData_15[[#This Row],[1]:[31]])</f>
        <v>10</v>
      </c>
    </row>
    <row r="378" spans="1:36">
      <c r="A378" s="1" t="s">
        <v>1137</v>
      </c>
      <c r="B378" s="1" t="s">
        <v>1600</v>
      </c>
      <c r="C378" s="1" t="s">
        <v>1601</v>
      </c>
      <c r="D378" s="11" t="s">
        <v>72</v>
      </c>
      <c r="E378" s="10">
        <f>SUMIFS(IsQList,IsIList,Table_ExternalData_15[[#This Row],[item_key]],IsITypeList,Table_ExternalData_15[[#This Row],[IType]],IsDList,Table_ExternalData_15[[#Headers],[1]])</f>
        <v>0</v>
      </c>
      <c r="F378" s="10">
        <f>SUMIFS(IsQList,IsIList,Table_ExternalData_15[[#This Row],[item_key]],IsITypeList,Table_ExternalData_15[[#This Row],[IType]],IsDList,Table_ExternalData_15[[#Headers],[2]])</f>
        <v>0</v>
      </c>
      <c r="G378" s="10">
        <f>SUMIFS(IsQList,IsIList,Table_ExternalData_15[[#This Row],[item_key]],IsITypeList,Table_ExternalData_15[[#This Row],[IType]],IsDList,Table_ExternalData_15[[#Headers],[3]])</f>
        <v>0</v>
      </c>
      <c r="H378" s="10">
        <f>SUMIFS(IsQList,IsIList,Table_ExternalData_15[[#This Row],[item_key]],IsITypeList,Table_ExternalData_15[[#This Row],[IType]],IsDList,Table_ExternalData_15[[#Headers],[4]])</f>
        <v>0</v>
      </c>
      <c r="I378" s="10">
        <f>SUMIFS(IsQList,IsIList,Table_ExternalData_15[[#This Row],[item_key]],IsITypeList,Table_ExternalData_15[[#This Row],[IType]],IsDList,Table_ExternalData_15[[#Headers],[5]])</f>
        <v>0</v>
      </c>
      <c r="J378" s="10">
        <f>SUMIFS(IsQList,IsIList,Table_ExternalData_15[[#This Row],[item_key]],IsITypeList,Table_ExternalData_15[[#This Row],[IType]],IsDList,Table_ExternalData_15[[#Headers],[6]])</f>
        <v>0</v>
      </c>
      <c r="K378" s="10">
        <f>SUMIFS(IsQList,IsIList,Table_ExternalData_15[[#This Row],[item_key]],IsITypeList,Table_ExternalData_15[[#This Row],[IType]],IsDList,Table_ExternalData_15[[#Headers],[7]])</f>
        <v>0</v>
      </c>
      <c r="L378" s="10">
        <f>SUMIFS(IsQList,IsIList,Table_ExternalData_15[[#This Row],[item_key]],IsITypeList,Table_ExternalData_15[[#This Row],[IType]],IsDList,Table_ExternalData_15[[#Headers],[8]])</f>
        <v>0</v>
      </c>
      <c r="M378" s="10">
        <f>SUMIFS(IsQList,IsIList,Table_ExternalData_15[[#This Row],[item_key]],IsITypeList,Table_ExternalData_15[[#This Row],[IType]],IsDList,Table_ExternalData_15[[#Headers],[9]])</f>
        <v>0</v>
      </c>
      <c r="N378" s="10">
        <f>SUMIFS(IsQList,IsIList,Table_ExternalData_15[[#This Row],[item_key]],IsITypeList,Table_ExternalData_15[[#This Row],[IType]],IsDList,Table_ExternalData_15[[#Headers],[10]])</f>
        <v>10</v>
      </c>
      <c r="O378" s="10">
        <f>SUMIFS(IsQList,IsIList,Table_ExternalData_15[[#This Row],[item_key]],IsITypeList,Table_ExternalData_15[[#This Row],[IType]],IsDList,Table_ExternalData_15[[#Headers],[11]])</f>
        <v>0</v>
      </c>
      <c r="P378" s="10">
        <f>SUMIFS(IsQList,IsIList,Table_ExternalData_15[[#This Row],[item_key]],IsITypeList,Table_ExternalData_15[[#This Row],[IType]],IsDList,Table_ExternalData_15[[#Headers],[12]])</f>
        <v>0</v>
      </c>
      <c r="Q378" s="10">
        <f>SUMIFS(IsQList,IsIList,Table_ExternalData_15[[#This Row],[item_key]],IsITypeList,Table_ExternalData_15[[#This Row],[IType]],IsDList,Table_ExternalData_15[[#Headers],[13]])</f>
        <v>0</v>
      </c>
      <c r="R378" s="10">
        <f>SUMIFS(IsQList,IsIList,Table_ExternalData_15[[#This Row],[item_key]],IsITypeList,Table_ExternalData_15[[#This Row],[IType]],IsDList,Table_ExternalData_15[[#Headers],[14]])</f>
        <v>0</v>
      </c>
      <c r="S378" s="10">
        <f>SUMIFS(IsQList,IsIList,Table_ExternalData_15[[#This Row],[item_key]],IsITypeList,Table_ExternalData_15[[#This Row],[IType]],IsDList,Table_ExternalData_15[[#Headers],[15]])</f>
        <v>0</v>
      </c>
      <c r="T378" s="10">
        <f>SUMIFS(IsQList,IsIList,Table_ExternalData_15[[#This Row],[item_key]],IsITypeList,Table_ExternalData_15[[#This Row],[IType]],IsDList,Table_ExternalData_15[[#Headers],[16]])</f>
        <v>0</v>
      </c>
      <c r="U378" s="10">
        <f>SUMIFS(IsQList,IsIList,Table_ExternalData_15[[#This Row],[item_key]],IsITypeList,Table_ExternalData_15[[#This Row],[IType]],IsDList,Table_ExternalData_15[[#Headers],[17]])</f>
        <v>0</v>
      </c>
      <c r="V378" s="10">
        <f>SUMIFS(IsQList,IsIList,Table_ExternalData_15[[#This Row],[item_key]],IsITypeList,Table_ExternalData_15[[#This Row],[IType]],IsDList,Table_ExternalData_15[[#Headers],[18]])</f>
        <v>0</v>
      </c>
      <c r="W378" s="10">
        <f>SUMIFS(IsQList,IsIList,Table_ExternalData_15[[#This Row],[item_key]],IsITypeList,Table_ExternalData_15[[#This Row],[IType]],IsDList,Table_ExternalData_15[[#Headers],[19]])</f>
        <v>0</v>
      </c>
      <c r="X378" s="10">
        <f>SUMIFS(IsQList,IsIList,Table_ExternalData_15[[#This Row],[item_key]],IsITypeList,Table_ExternalData_15[[#This Row],[IType]],IsDList,Table_ExternalData_15[[#Headers],[20]])</f>
        <v>0</v>
      </c>
      <c r="Y378" s="10">
        <f>SUMIFS(IsQList,IsIList,Table_ExternalData_15[[#This Row],[item_key]],IsITypeList,Table_ExternalData_15[[#This Row],[IType]],IsDList,Table_ExternalData_15[[#Headers],[21]])</f>
        <v>0</v>
      </c>
      <c r="Z378" s="10">
        <f>SUMIFS(IsQList,IsIList,Table_ExternalData_15[[#This Row],[item_key]],IsITypeList,Table_ExternalData_15[[#This Row],[IType]],IsDList,Table_ExternalData_15[[#Headers],[22]])</f>
        <v>0</v>
      </c>
      <c r="AA378" s="10">
        <f>SUMIFS(IsQList,IsIList,Table_ExternalData_15[[#This Row],[item_key]],IsITypeList,Table_ExternalData_15[[#This Row],[IType]],IsDList,Table_ExternalData_15[[#Headers],[23]])</f>
        <v>0</v>
      </c>
      <c r="AB378" s="10">
        <f>SUMIFS(IsQList,IsIList,Table_ExternalData_15[[#This Row],[item_key]],IsITypeList,Table_ExternalData_15[[#This Row],[IType]],IsDList,Table_ExternalData_15[[#Headers],[24]])</f>
        <v>0</v>
      </c>
      <c r="AC378" s="10">
        <f>SUMIFS(IsQList,IsIList,Table_ExternalData_15[[#This Row],[item_key]],IsITypeList,Table_ExternalData_15[[#This Row],[IType]],IsDList,Table_ExternalData_15[[#Headers],[25]])</f>
        <v>0</v>
      </c>
      <c r="AD378" s="10">
        <f>SUMIFS(IsQList,IsIList,Table_ExternalData_15[[#This Row],[item_key]],IsITypeList,Table_ExternalData_15[[#This Row],[IType]],IsDList,Table_ExternalData_15[[#Headers],[26]])</f>
        <v>0</v>
      </c>
      <c r="AE378" s="10">
        <f>SUMIFS(IsQList,IsIList,Table_ExternalData_15[[#This Row],[item_key]],IsITypeList,Table_ExternalData_15[[#This Row],[IType]],IsDList,Table_ExternalData_15[[#Headers],[27]])</f>
        <v>0</v>
      </c>
      <c r="AF378" s="10">
        <f>SUMIFS(IsQList,IsIList,Table_ExternalData_15[[#This Row],[item_key]],IsITypeList,Table_ExternalData_15[[#This Row],[IType]],IsDList,Table_ExternalData_15[[#Headers],[28]])</f>
        <v>0</v>
      </c>
      <c r="AG378" s="10">
        <f>SUMIFS(IsQList,IsIList,Table_ExternalData_15[[#This Row],[item_key]],IsITypeList,Table_ExternalData_15[[#This Row],[IType]],IsDList,Table_ExternalData_15[[#Headers],[29]])</f>
        <v>0</v>
      </c>
      <c r="AH378" s="10">
        <f>SUMIFS(IsQList,IsIList,Table_ExternalData_15[[#This Row],[item_key]],IsITypeList,Table_ExternalData_15[[#This Row],[IType]],IsDList,Table_ExternalData_15[[#Headers],[30]])</f>
        <v>0</v>
      </c>
      <c r="AI378" s="10">
        <f>SUMIFS(IsQList,IsIList,Table_ExternalData_15[[#This Row],[item_key]],IsITypeList,Table_ExternalData_15[[#This Row],[IType]],IsDList,Table_ExternalData_15[[#Headers],[31]])</f>
        <v>0</v>
      </c>
      <c r="AJ378" s="10">
        <f>SUM(Table_ExternalData_15[[#This Row],[1]:[31]])</f>
        <v>10</v>
      </c>
    </row>
    <row r="379" spans="1:36">
      <c r="A379" s="1" t="s">
        <v>1138</v>
      </c>
      <c r="B379" s="1" t="s">
        <v>1567</v>
      </c>
      <c r="C379" s="1" t="s">
        <v>1568</v>
      </c>
      <c r="D379" s="11" t="s">
        <v>72</v>
      </c>
      <c r="E379" s="10">
        <f>SUMIFS(IsQList,IsIList,Table_ExternalData_15[[#This Row],[item_key]],IsITypeList,Table_ExternalData_15[[#This Row],[IType]],IsDList,Table_ExternalData_15[[#Headers],[1]])</f>
        <v>0</v>
      </c>
      <c r="F379" s="10">
        <f>SUMIFS(IsQList,IsIList,Table_ExternalData_15[[#This Row],[item_key]],IsITypeList,Table_ExternalData_15[[#This Row],[IType]],IsDList,Table_ExternalData_15[[#Headers],[2]])</f>
        <v>0</v>
      </c>
      <c r="G379" s="10">
        <f>SUMIFS(IsQList,IsIList,Table_ExternalData_15[[#This Row],[item_key]],IsITypeList,Table_ExternalData_15[[#This Row],[IType]],IsDList,Table_ExternalData_15[[#Headers],[3]])</f>
        <v>0</v>
      </c>
      <c r="H379" s="10">
        <f>SUMIFS(IsQList,IsIList,Table_ExternalData_15[[#This Row],[item_key]],IsITypeList,Table_ExternalData_15[[#This Row],[IType]],IsDList,Table_ExternalData_15[[#Headers],[4]])</f>
        <v>0</v>
      </c>
      <c r="I379" s="10">
        <f>SUMIFS(IsQList,IsIList,Table_ExternalData_15[[#This Row],[item_key]],IsITypeList,Table_ExternalData_15[[#This Row],[IType]],IsDList,Table_ExternalData_15[[#Headers],[5]])</f>
        <v>0</v>
      </c>
      <c r="J379" s="10">
        <f>SUMIFS(IsQList,IsIList,Table_ExternalData_15[[#This Row],[item_key]],IsITypeList,Table_ExternalData_15[[#This Row],[IType]],IsDList,Table_ExternalData_15[[#Headers],[6]])</f>
        <v>0</v>
      </c>
      <c r="K379" s="10">
        <f>SUMIFS(IsQList,IsIList,Table_ExternalData_15[[#This Row],[item_key]],IsITypeList,Table_ExternalData_15[[#This Row],[IType]],IsDList,Table_ExternalData_15[[#Headers],[7]])</f>
        <v>0</v>
      </c>
      <c r="L379" s="10">
        <f>SUMIFS(IsQList,IsIList,Table_ExternalData_15[[#This Row],[item_key]],IsITypeList,Table_ExternalData_15[[#This Row],[IType]],IsDList,Table_ExternalData_15[[#Headers],[8]])</f>
        <v>0</v>
      </c>
      <c r="M379" s="10">
        <f>SUMIFS(IsQList,IsIList,Table_ExternalData_15[[#This Row],[item_key]],IsITypeList,Table_ExternalData_15[[#This Row],[IType]],IsDList,Table_ExternalData_15[[#Headers],[9]])</f>
        <v>0</v>
      </c>
      <c r="N379" s="10">
        <f>SUMIFS(IsQList,IsIList,Table_ExternalData_15[[#This Row],[item_key]],IsITypeList,Table_ExternalData_15[[#This Row],[IType]],IsDList,Table_ExternalData_15[[#Headers],[10]])</f>
        <v>0</v>
      </c>
      <c r="O379" s="10">
        <f>SUMIFS(IsQList,IsIList,Table_ExternalData_15[[#This Row],[item_key]],IsITypeList,Table_ExternalData_15[[#This Row],[IType]],IsDList,Table_ExternalData_15[[#Headers],[11]])</f>
        <v>0</v>
      </c>
      <c r="P379" s="10">
        <f>SUMIFS(IsQList,IsIList,Table_ExternalData_15[[#This Row],[item_key]],IsITypeList,Table_ExternalData_15[[#This Row],[IType]],IsDList,Table_ExternalData_15[[#Headers],[12]])</f>
        <v>0</v>
      </c>
      <c r="Q379" s="10">
        <f>SUMIFS(IsQList,IsIList,Table_ExternalData_15[[#This Row],[item_key]],IsITypeList,Table_ExternalData_15[[#This Row],[IType]],IsDList,Table_ExternalData_15[[#Headers],[13]])</f>
        <v>0</v>
      </c>
      <c r="R379" s="10">
        <f>SUMIFS(IsQList,IsIList,Table_ExternalData_15[[#This Row],[item_key]],IsITypeList,Table_ExternalData_15[[#This Row],[IType]],IsDList,Table_ExternalData_15[[#Headers],[14]])</f>
        <v>0</v>
      </c>
      <c r="S379" s="10">
        <f>SUMIFS(IsQList,IsIList,Table_ExternalData_15[[#This Row],[item_key]],IsITypeList,Table_ExternalData_15[[#This Row],[IType]],IsDList,Table_ExternalData_15[[#Headers],[15]])</f>
        <v>0</v>
      </c>
      <c r="T379" s="10">
        <f>SUMIFS(IsQList,IsIList,Table_ExternalData_15[[#This Row],[item_key]],IsITypeList,Table_ExternalData_15[[#This Row],[IType]],IsDList,Table_ExternalData_15[[#Headers],[16]])</f>
        <v>0</v>
      </c>
      <c r="U379" s="10">
        <f>SUMIFS(IsQList,IsIList,Table_ExternalData_15[[#This Row],[item_key]],IsITypeList,Table_ExternalData_15[[#This Row],[IType]],IsDList,Table_ExternalData_15[[#Headers],[17]])</f>
        <v>0</v>
      </c>
      <c r="V379" s="10">
        <f>SUMIFS(IsQList,IsIList,Table_ExternalData_15[[#This Row],[item_key]],IsITypeList,Table_ExternalData_15[[#This Row],[IType]],IsDList,Table_ExternalData_15[[#Headers],[18]])</f>
        <v>0</v>
      </c>
      <c r="W379" s="10">
        <f>SUMIFS(IsQList,IsIList,Table_ExternalData_15[[#This Row],[item_key]],IsITypeList,Table_ExternalData_15[[#This Row],[IType]],IsDList,Table_ExternalData_15[[#Headers],[19]])</f>
        <v>0</v>
      </c>
      <c r="X379" s="10">
        <f>SUMIFS(IsQList,IsIList,Table_ExternalData_15[[#This Row],[item_key]],IsITypeList,Table_ExternalData_15[[#This Row],[IType]],IsDList,Table_ExternalData_15[[#Headers],[20]])</f>
        <v>0</v>
      </c>
      <c r="Y379" s="10">
        <f>SUMIFS(IsQList,IsIList,Table_ExternalData_15[[#This Row],[item_key]],IsITypeList,Table_ExternalData_15[[#This Row],[IType]],IsDList,Table_ExternalData_15[[#Headers],[21]])</f>
        <v>0</v>
      </c>
      <c r="Z379" s="10">
        <f>SUMIFS(IsQList,IsIList,Table_ExternalData_15[[#This Row],[item_key]],IsITypeList,Table_ExternalData_15[[#This Row],[IType]],IsDList,Table_ExternalData_15[[#Headers],[22]])</f>
        <v>0</v>
      </c>
      <c r="AA379" s="10">
        <f>SUMIFS(IsQList,IsIList,Table_ExternalData_15[[#This Row],[item_key]],IsITypeList,Table_ExternalData_15[[#This Row],[IType]],IsDList,Table_ExternalData_15[[#Headers],[23]])</f>
        <v>0</v>
      </c>
      <c r="AB379" s="10">
        <f>SUMIFS(IsQList,IsIList,Table_ExternalData_15[[#This Row],[item_key]],IsITypeList,Table_ExternalData_15[[#This Row],[IType]],IsDList,Table_ExternalData_15[[#Headers],[24]])</f>
        <v>0</v>
      </c>
      <c r="AC379" s="10">
        <f>SUMIFS(IsQList,IsIList,Table_ExternalData_15[[#This Row],[item_key]],IsITypeList,Table_ExternalData_15[[#This Row],[IType]],IsDList,Table_ExternalData_15[[#Headers],[25]])</f>
        <v>0</v>
      </c>
      <c r="AD379" s="10">
        <f>SUMIFS(IsQList,IsIList,Table_ExternalData_15[[#This Row],[item_key]],IsITypeList,Table_ExternalData_15[[#This Row],[IType]],IsDList,Table_ExternalData_15[[#Headers],[26]])</f>
        <v>0</v>
      </c>
      <c r="AE379" s="10">
        <f>SUMIFS(IsQList,IsIList,Table_ExternalData_15[[#This Row],[item_key]],IsITypeList,Table_ExternalData_15[[#This Row],[IType]],IsDList,Table_ExternalData_15[[#Headers],[27]])</f>
        <v>0</v>
      </c>
      <c r="AF379" s="10">
        <f>SUMIFS(IsQList,IsIList,Table_ExternalData_15[[#This Row],[item_key]],IsITypeList,Table_ExternalData_15[[#This Row],[IType]],IsDList,Table_ExternalData_15[[#Headers],[28]])</f>
        <v>0</v>
      </c>
      <c r="AG379" s="10">
        <f>SUMIFS(IsQList,IsIList,Table_ExternalData_15[[#This Row],[item_key]],IsITypeList,Table_ExternalData_15[[#This Row],[IType]],IsDList,Table_ExternalData_15[[#Headers],[29]])</f>
        <v>0</v>
      </c>
      <c r="AH379" s="10">
        <f>SUMIFS(IsQList,IsIList,Table_ExternalData_15[[#This Row],[item_key]],IsITypeList,Table_ExternalData_15[[#This Row],[IType]],IsDList,Table_ExternalData_15[[#Headers],[30]])</f>
        <v>0</v>
      </c>
      <c r="AI379" s="10">
        <f>SUMIFS(IsQList,IsIList,Table_ExternalData_15[[#This Row],[item_key]],IsITypeList,Table_ExternalData_15[[#This Row],[IType]],IsDList,Table_ExternalData_15[[#Headers],[31]])</f>
        <v>0</v>
      </c>
      <c r="AJ379" s="10">
        <f>SUM(Table_ExternalData_15[[#This Row],[1]:[31]])</f>
        <v>0</v>
      </c>
    </row>
    <row r="380" spans="1:36">
      <c r="A380" s="1" t="s">
        <v>1139</v>
      </c>
      <c r="B380" s="1" t="s">
        <v>1569</v>
      </c>
      <c r="C380" s="1" t="s">
        <v>1570</v>
      </c>
      <c r="D380" s="11" t="s">
        <v>72</v>
      </c>
      <c r="E380" s="10">
        <f>SUMIFS(IsQList,IsIList,Table_ExternalData_15[[#This Row],[item_key]],IsITypeList,Table_ExternalData_15[[#This Row],[IType]],IsDList,Table_ExternalData_15[[#Headers],[1]])</f>
        <v>0</v>
      </c>
      <c r="F380" s="10">
        <f>SUMIFS(IsQList,IsIList,Table_ExternalData_15[[#This Row],[item_key]],IsITypeList,Table_ExternalData_15[[#This Row],[IType]],IsDList,Table_ExternalData_15[[#Headers],[2]])</f>
        <v>0</v>
      </c>
      <c r="G380" s="10">
        <f>SUMIFS(IsQList,IsIList,Table_ExternalData_15[[#This Row],[item_key]],IsITypeList,Table_ExternalData_15[[#This Row],[IType]],IsDList,Table_ExternalData_15[[#Headers],[3]])</f>
        <v>0</v>
      </c>
      <c r="H380" s="10">
        <f>SUMIFS(IsQList,IsIList,Table_ExternalData_15[[#This Row],[item_key]],IsITypeList,Table_ExternalData_15[[#This Row],[IType]],IsDList,Table_ExternalData_15[[#Headers],[4]])</f>
        <v>0</v>
      </c>
      <c r="I380" s="10">
        <f>SUMIFS(IsQList,IsIList,Table_ExternalData_15[[#This Row],[item_key]],IsITypeList,Table_ExternalData_15[[#This Row],[IType]],IsDList,Table_ExternalData_15[[#Headers],[5]])</f>
        <v>0</v>
      </c>
      <c r="J380" s="10">
        <f>SUMIFS(IsQList,IsIList,Table_ExternalData_15[[#This Row],[item_key]],IsITypeList,Table_ExternalData_15[[#This Row],[IType]],IsDList,Table_ExternalData_15[[#Headers],[6]])</f>
        <v>0</v>
      </c>
      <c r="K380" s="10">
        <f>SUMIFS(IsQList,IsIList,Table_ExternalData_15[[#This Row],[item_key]],IsITypeList,Table_ExternalData_15[[#This Row],[IType]],IsDList,Table_ExternalData_15[[#Headers],[7]])</f>
        <v>0</v>
      </c>
      <c r="L380" s="10">
        <f>SUMIFS(IsQList,IsIList,Table_ExternalData_15[[#This Row],[item_key]],IsITypeList,Table_ExternalData_15[[#This Row],[IType]],IsDList,Table_ExternalData_15[[#Headers],[8]])</f>
        <v>0</v>
      </c>
      <c r="M380" s="10">
        <f>SUMIFS(IsQList,IsIList,Table_ExternalData_15[[#This Row],[item_key]],IsITypeList,Table_ExternalData_15[[#This Row],[IType]],IsDList,Table_ExternalData_15[[#Headers],[9]])</f>
        <v>0</v>
      </c>
      <c r="N380" s="10">
        <f>SUMIFS(IsQList,IsIList,Table_ExternalData_15[[#This Row],[item_key]],IsITypeList,Table_ExternalData_15[[#This Row],[IType]],IsDList,Table_ExternalData_15[[#Headers],[10]])</f>
        <v>0</v>
      </c>
      <c r="O380" s="10">
        <f>SUMIFS(IsQList,IsIList,Table_ExternalData_15[[#This Row],[item_key]],IsITypeList,Table_ExternalData_15[[#This Row],[IType]],IsDList,Table_ExternalData_15[[#Headers],[11]])</f>
        <v>0</v>
      </c>
      <c r="P380" s="10">
        <f>SUMIFS(IsQList,IsIList,Table_ExternalData_15[[#This Row],[item_key]],IsITypeList,Table_ExternalData_15[[#This Row],[IType]],IsDList,Table_ExternalData_15[[#Headers],[12]])</f>
        <v>0</v>
      </c>
      <c r="Q380" s="10">
        <f>SUMIFS(IsQList,IsIList,Table_ExternalData_15[[#This Row],[item_key]],IsITypeList,Table_ExternalData_15[[#This Row],[IType]],IsDList,Table_ExternalData_15[[#Headers],[13]])</f>
        <v>0</v>
      </c>
      <c r="R380" s="10">
        <f>SUMIFS(IsQList,IsIList,Table_ExternalData_15[[#This Row],[item_key]],IsITypeList,Table_ExternalData_15[[#This Row],[IType]],IsDList,Table_ExternalData_15[[#Headers],[14]])</f>
        <v>0</v>
      </c>
      <c r="S380" s="10">
        <f>SUMIFS(IsQList,IsIList,Table_ExternalData_15[[#This Row],[item_key]],IsITypeList,Table_ExternalData_15[[#This Row],[IType]],IsDList,Table_ExternalData_15[[#Headers],[15]])</f>
        <v>0</v>
      </c>
      <c r="T380" s="10">
        <f>SUMIFS(IsQList,IsIList,Table_ExternalData_15[[#This Row],[item_key]],IsITypeList,Table_ExternalData_15[[#This Row],[IType]],IsDList,Table_ExternalData_15[[#Headers],[16]])</f>
        <v>0</v>
      </c>
      <c r="U380" s="10">
        <f>SUMIFS(IsQList,IsIList,Table_ExternalData_15[[#This Row],[item_key]],IsITypeList,Table_ExternalData_15[[#This Row],[IType]],IsDList,Table_ExternalData_15[[#Headers],[17]])</f>
        <v>0</v>
      </c>
      <c r="V380" s="10">
        <f>SUMIFS(IsQList,IsIList,Table_ExternalData_15[[#This Row],[item_key]],IsITypeList,Table_ExternalData_15[[#This Row],[IType]],IsDList,Table_ExternalData_15[[#Headers],[18]])</f>
        <v>0</v>
      </c>
      <c r="W380" s="10">
        <f>SUMIFS(IsQList,IsIList,Table_ExternalData_15[[#This Row],[item_key]],IsITypeList,Table_ExternalData_15[[#This Row],[IType]],IsDList,Table_ExternalData_15[[#Headers],[19]])</f>
        <v>0</v>
      </c>
      <c r="X380" s="10">
        <f>SUMIFS(IsQList,IsIList,Table_ExternalData_15[[#This Row],[item_key]],IsITypeList,Table_ExternalData_15[[#This Row],[IType]],IsDList,Table_ExternalData_15[[#Headers],[20]])</f>
        <v>0</v>
      </c>
      <c r="Y380" s="10">
        <f>SUMIFS(IsQList,IsIList,Table_ExternalData_15[[#This Row],[item_key]],IsITypeList,Table_ExternalData_15[[#This Row],[IType]],IsDList,Table_ExternalData_15[[#Headers],[21]])</f>
        <v>0</v>
      </c>
      <c r="Z380" s="10">
        <f>SUMIFS(IsQList,IsIList,Table_ExternalData_15[[#This Row],[item_key]],IsITypeList,Table_ExternalData_15[[#This Row],[IType]],IsDList,Table_ExternalData_15[[#Headers],[22]])</f>
        <v>0</v>
      </c>
      <c r="AA380" s="10">
        <f>SUMIFS(IsQList,IsIList,Table_ExternalData_15[[#This Row],[item_key]],IsITypeList,Table_ExternalData_15[[#This Row],[IType]],IsDList,Table_ExternalData_15[[#Headers],[23]])</f>
        <v>0</v>
      </c>
      <c r="AB380" s="10">
        <f>SUMIFS(IsQList,IsIList,Table_ExternalData_15[[#This Row],[item_key]],IsITypeList,Table_ExternalData_15[[#This Row],[IType]],IsDList,Table_ExternalData_15[[#Headers],[24]])</f>
        <v>0</v>
      </c>
      <c r="AC380" s="10">
        <f>SUMIFS(IsQList,IsIList,Table_ExternalData_15[[#This Row],[item_key]],IsITypeList,Table_ExternalData_15[[#This Row],[IType]],IsDList,Table_ExternalData_15[[#Headers],[25]])</f>
        <v>0</v>
      </c>
      <c r="AD380" s="10">
        <f>SUMIFS(IsQList,IsIList,Table_ExternalData_15[[#This Row],[item_key]],IsITypeList,Table_ExternalData_15[[#This Row],[IType]],IsDList,Table_ExternalData_15[[#Headers],[26]])</f>
        <v>0</v>
      </c>
      <c r="AE380" s="10">
        <f>SUMIFS(IsQList,IsIList,Table_ExternalData_15[[#This Row],[item_key]],IsITypeList,Table_ExternalData_15[[#This Row],[IType]],IsDList,Table_ExternalData_15[[#Headers],[27]])</f>
        <v>0</v>
      </c>
      <c r="AF380" s="10">
        <f>SUMIFS(IsQList,IsIList,Table_ExternalData_15[[#This Row],[item_key]],IsITypeList,Table_ExternalData_15[[#This Row],[IType]],IsDList,Table_ExternalData_15[[#Headers],[28]])</f>
        <v>0</v>
      </c>
      <c r="AG380" s="10">
        <f>SUMIFS(IsQList,IsIList,Table_ExternalData_15[[#This Row],[item_key]],IsITypeList,Table_ExternalData_15[[#This Row],[IType]],IsDList,Table_ExternalData_15[[#Headers],[29]])</f>
        <v>0</v>
      </c>
      <c r="AH380" s="10">
        <f>SUMIFS(IsQList,IsIList,Table_ExternalData_15[[#This Row],[item_key]],IsITypeList,Table_ExternalData_15[[#This Row],[IType]],IsDList,Table_ExternalData_15[[#Headers],[30]])</f>
        <v>0</v>
      </c>
      <c r="AI380" s="10">
        <f>SUMIFS(IsQList,IsIList,Table_ExternalData_15[[#This Row],[item_key]],IsITypeList,Table_ExternalData_15[[#This Row],[IType]],IsDList,Table_ExternalData_15[[#Headers],[31]])</f>
        <v>0</v>
      </c>
      <c r="AJ380" s="10">
        <f>SUM(Table_ExternalData_15[[#This Row],[1]:[31]])</f>
        <v>0</v>
      </c>
    </row>
    <row r="381" spans="1:36">
      <c r="A381" s="1" t="s">
        <v>1141</v>
      </c>
      <c r="B381" s="1" t="s">
        <v>1602</v>
      </c>
      <c r="C381" s="1" t="s">
        <v>1603</v>
      </c>
      <c r="D381" s="11" t="s">
        <v>72</v>
      </c>
      <c r="E381" s="10">
        <f>SUMIFS(IsQList,IsIList,Table_ExternalData_15[[#This Row],[item_key]],IsITypeList,Table_ExternalData_15[[#This Row],[IType]],IsDList,Table_ExternalData_15[[#Headers],[1]])</f>
        <v>0</v>
      </c>
      <c r="F381" s="10">
        <f>SUMIFS(IsQList,IsIList,Table_ExternalData_15[[#This Row],[item_key]],IsITypeList,Table_ExternalData_15[[#This Row],[IType]],IsDList,Table_ExternalData_15[[#Headers],[2]])</f>
        <v>0</v>
      </c>
      <c r="G381" s="10">
        <f>SUMIFS(IsQList,IsIList,Table_ExternalData_15[[#This Row],[item_key]],IsITypeList,Table_ExternalData_15[[#This Row],[IType]],IsDList,Table_ExternalData_15[[#Headers],[3]])</f>
        <v>0</v>
      </c>
      <c r="H381" s="10">
        <f>SUMIFS(IsQList,IsIList,Table_ExternalData_15[[#This Row],[item_key]],IsITypeList,Table_ExternalData_15[[#This Row],[IType]],IsDList,Table_ExternalData_15[[#Headers],[4]])</f>
        <v>0</v>
      </c>
      <c r="I381" s="10">
        <f>SUMIFS(IsQList,IsIList,Table_ExternalData_15[[#This Row],[item_key]],IsITypeList,Table_ExternalData_15[[#This Row],[IType]],IsDList,Table_ExternalData_15[[#Headers],[5]])</f>
        <v>0</v>
      </c>
      <c r="J381" s="10">
        <f>SUMIFS(IsQList,IsIList,Table_ExternalData_15[[#This Row],[item_key]],IsITypeList,Table_ExternalData_15[[#This Row],[IType]],IsDList,Table_ExternalData_15[[#Headers],[6]])</f>
        <v>0</v>
      </c>
      <c r="K381" s="10">
        <f>SUMIFS(IsQList,IsIList,Table_ExternalData_15[[#This Row],[item_key]],IsITypeList,Table_ExternalData_15[[#This Row],[IType]],IsDList,Table_ExternalData_15[[#Headers],[7]])</f>
        <v>0</v>
      </c>
      <c r="L381" s="10">
        <f>SUMIFS(IsQList,IsIList,Table_ExternalData_15[[#This Row],[item_key]],IsITypeList,Table_ExternalData_15[[#This Row],[IType]],IsDList,Table_ExternalData_15[[#Headers],[8]])</f>
        <v>0</v>
      </c>
      <c r="M381" s="10">
        <f>SUMIFS(IsQList,IsIList,Table_ExternalData_15[[#This Row],[item_key]],IsITypeList,Table_ExternalData_15[[#This Row],[IType]],IsDList,Table_ExternalData_15[[#Headers],[9]])</f>
        <v>0</v>
      </c>
      <c r="N381" s="10">
        <f>SUMIFS(IsQList,IsIList,Table_ExternalData_15[[#This Row],[item_key]],IsITypeList,Table_ExternalData_15[[#This Row],[IType]],IsDList,Table_ExternalData_15[[#Headers],[10]])</f>
        <v>2</v>
      </c>
      <c r="O381" s="10">
        <f>SUMIFS(IsQList,IsIList,Table_ExternalData_15[[#This Row],[item_key]],IsITypeList,Table_ExternalData_15[[#This Row],[IType]],IsDList,Table_ExternalData_15[[#Headers],[11]])</f>
        <v>0</v>
      </c>
      <c r="P381" s="10">
        <f>SUMIFS(IsQList,IsIList,Table_ExternalData_15[[#This Row],[item_key]],IsITypeList,Table_ExternalData_15[[#This Row],[IType]],IsDList,Table_ExternalData_15[[#Headers],[12]])</f>
        <v>0</v>
      </c>
      <c r="Q381" s="10">
        <f>SUMIFS(IsQList,IsIList,Table_ExternalData_15[[#This Row],[item_key]],IsITypeList,Table_ExternalData_15[[#This Row],[IType]],IsDList,Table_ExternalData_15[[#Headers],[13]])</f>
        <v>0</v>
      </c>
      <c r="R381" s="10">
        <f>SUMIFS(IsQList,IsIList,Table_ExternalData_15[[#This Row],[item_key]],IsITypeList,Table_ExternalData_15[[#This Row],[IType]],IsDList,Table_ExternalData_15[[#Headers],[14]])</f>
        <v>0</v>
      </c>
      <c r="S381" s="10">
        <f>SUMIFS(IsQList,IsIList,Table_ExternalData_15[[#This Row],[item_key]],IsITypeList,Table_ExternalData_15[[#This Row],[IType]],IsDList,Table_ExternalData_15[[#Headers],[15]])</f>
        <v>0</v>
      </c>
      <c r="T381" s="10">
        <f>SUMIFS(IsQList,IsIList,Table_ExternalData_15[[#This Row],[item_key]],IsITypeList,Table_ExternalData_15[[#This Row],[IType]],IsDList,Table_ExternalData_15[[#Headers],[16]])</f>
        <v>4</v>
      </c>
      <c r="U381" s="10">
        <f>SUMIFS(IsQList,IsIList,Table_ExternalData_15[[#This Row],[item_key]],IsITypeList,Table_ExternalData_15[[#This Row],[IType]],IsDList,Table_ExternalData_15[[#Headers],[17]])</f>
        <v>0</v>
      </c>
      <c r="V381" s="10">
        <f>SUMIFS(IsQList,IsIList,Table_ExternalData_15[[#This Row],[item_key]],IsITypeList,Table_ExternalData_15[[#This Row],[IType]],IsDList,Table_ExternalData_15[[#Headers],[18]])</f>
        <v>0</v>
      </c>
      <c r="W381" s="10">
        <f>SUMIFS(IsQList,IsIList,Table_ExternalData_15[[#This Row],[item_key]],IsITypeList,Table_ExternalData_15[[#This Row],[IType]],IsDList,Table_ExternalData_15[[#Headers],[19]])</f>
        <v>0</v>
      </c>
      <c r="X381" s="10">
        <f>SUMIFS(IsQList,IsIList,Table_ExternalData_15[[#This Row],[item_key]],IsITypeList,Table_ExternalData_15[[#This Row],[IType]],IsDList,Table_ExternalData_15[[#Headers],[20]])</f>
        <v>0</v>
      </c>
      <c r="Y381" s="10">
        <f>SUMIFS(IsQList,IsIList,Table_ExternalData_15[[#This Row],[item_key]],IsITypeList,Table_ExternalData_15[[#This Row],[IType]],IsDList,Table_ExternalData_15[[#Headers],[21]])</f>
        <v>0</v>
      </c>
      <c r="Z381" s="10">
        <f>SUMIFS(IsQList,IsIList,Table_ExternalData_15[[#This Row],[item_key]],IsITypeList,Table_ExternalData_15[[#This Row],[IType]],IsDList,Table_ExternalData_15[[#Headers],[22]])</f>
        <v>0</v>
      </c>
      <c r="AA381" s="10">
        <f>SUMIFS(IsQList,IsIList,Table_ExternalData_15[[#This Row],[item_key]],IsITypeList,Table_ExternalData_15[[#This Row],[IType]],IsDList,Table_ExternalData_15[[#Headers],[23]])</f>
        <v>0</v>
      </c>
      <c r="AB381" s="10">
        <f>SUMIFS(IsQList,IsIList,Table_ExternalData_15[[#This Row],[item_key]],IsITypeList,Table_ExternalData_15[[#This Row],[IType]],IsDList,Table_ExternalData_15[[#Headers],[24]])</f>
        <v>0</v>
      </c>
      <c r="AC381" s="10">
        <f>SUMIFS(IsQList,IsIList,Table_ExternalData_15[[#This Row],[item_key]],IsITypeList,Table_ExternalData_15[[#This Row],[IType]],IsDList,Table_ExternalData_15[[#Headers],[25]])</f>
        <v>0</v>
      </c>
      <c r="AD381" s="10">
        <f>SUMIFS(IsQList,IsIList,Table_ExternalData_15[[#This Row],[item_key]],IsITypeList,Table_ExternalData_15[[#This Row],[IType]],IsDList,Table_ExternalData_15[[#Headers],[26]])</f>
        <v>0</v>
      </c>
      <c r="AE381" s="10">
        <f>SUMIFS(IsQList,IsIList,Table_ExternalData_15[[#This Row],[item_key]],IsITypeList,Table_ExternalData_15[[#This Row],[IType]],IsDList,Table_ExternalData_15[[#Headers],[27]])</f>
        <v>0</v>
      </c>
      <c r="AF381" s="10">
        <f>SUMIFS(IsQList,IsIList,Table_ExternalData_15[[#This Row],[item_key]],IsITypeList,Table_ExternalData_15[[#This Row],[IType]],IsDList,Table_ExternalData_15[[#Headers],[28]])</f>
        <v>0</v>
      </c>
      <c r="AG381" s="10">
        <f>SUMIFS(IsQList,IsIList,Table_ExternalData_15[[#This Row],[item_key]],IsITypeList,Table_ExternalData_15[[#This Row],[IType]],IsDList,Table_ExternalData_15[[#Headers],[29]])</f>
        <v>0</v>
      </c>
      <c r="AH381" s="10">
        <f>SUMIFS(IsQList,IsIList,Table_ExternalData_15[[#This Row],[item_key]],IsITypeList,Table_ExternalData_15[[#This Row],[IType]],IsDList,Table_ExternalData_15[[#Headers],[30]])</f>
        <v>0</v>
      </c>
      <c r="AI381" s="10">
        <f>SUMIFS(IsQList,IsIList,Table_ExternalData_15[[#This Row],[item_key]],IsITypeList,Table_ExternalData_15[[#This Row],[IType]],IsDList,Table_ExternalData_15[[#Headers],[31]])</f>
        <v>0</v>
      </c>
      <c r="AJ381" s="10">
        <f>SUM(Table_ExternalData_15[[#This Row],[1]:[31]])</f>
        <v>6</v>
      </c>
    </row>
    <row r="382" spans="1:36">
      <c r="A382" s="1" t="s">
        <v>1142</v>
      </c>
      <c r="B382" s="1" t="s">
        <v>1604</v>
      </c>
      <c r="C382" s="1" t="s">
        <v>1605</v>
      </c>
      <c r="D382" s="11" t="s">
        <v>72</v>
      </c>
      <c r="E382" s="10">
        <f>SUMIFS(IsQList,IsIList,Table_ExternalData_15[[#This Row],[item_key]],IsITypeList,Table_ExternalData_15[[#This Row],[IType]],IsDList,Table_ExternalData_15[[#Headers],[1]])</f>
        <v>0</v>
      </c>
      <c r="F382" s="10">
        <f>SUMIFS(IsQList,IsIList,Table_ExternalData_15[[#This Row],[item_key]],IsITypeList,Table_ExternalData_15[[#This Row],[IType]],IsDList,Table_ExternalData_15[[#Headers],[2]])</f>
        <v>0</v>
      </c>
      <c r="G382" s="10">
        <f>SUMIFS(IsQList,IsIList,Table_ExternalData_15[[#This Row],[item_key]],IsITypeList,Table_ExternalData_15[[#This Row],[IType]],IsDList,Table_ExternalData_15[[#Headers],[3]])</f>
        <v>0</v>
      </c>
      <c r="H382" s="10">
        <f>SUMIFS(IsQList,IsIList,Table_ExternalData_15[[#This Row],[item_key]],IsITypeList,Table_ExternalData_15[[#This Row],[IType]],IsDList,Table_ExternalData_15[[#Headers],[4]])</f>
        <v>0</v>
      </c>
      <c r="I382" s="10">
        <f>SUMIFS(IsQList,IsIList,Table_ExternalData_15[[#This Row],[item_key]],IsITypeList,Table_ExternalData_15[[#This Row],[IType]],IsDList,Table_ExternalData_15[[#Headers],[5]])</f>
        <v>0</v>
      </c>
      <c r="J382" s="10">
        <f>SUMIFS(IsQList,IsIList,Table_ExternalData_15[[#This Row],[item_key]],IsITypeList,Table_ExternalData_15[[#This Row],[IType]],IsDList,Table_ExternalData_15[[#Headers],[6]])</f>
        <v>0</v>
      </c>
      <c r="K382" s="10">
        <f>SUMIFS(IsQList,IsIList,Table_ExternalData_15[[#This Row],[item_key]],IsITypeList,Table_ExternalData_15[[#This Row],[IType]],IsDList,Table_ExternalData_15[[#Headers],[7]])</f>
        <v>0</v>
      </c>
      <c r="L382" s="10">
        <f>SUMIFS(IsQList,IsIList,Table_ExternalData_15[[#This Row],[item_key]],IsITypeList,Table_ExternalData_15[[#This Row],[IType]],IsDList,Table_ExternalData_15[[#Headers],[8]])</f>
        <v>0</v>
      </c>
      <c r="M382" s="10">
        <f>SUMIFS(IsQList,IsIList,Table_ExternalData_15[[#This Row],[item_key]],IsITypeList,Table_ExternalData_15[[#This Row],[IType]],IsDList,Table_ExternalData_15[[#Headers],[9]])</f>
        <v>0</v>
      </c>
      <c r="N382" s="10">
        <f>SUMIFS(IsQList,IsIList,Table_ExternalData_15[[#This Row],[item_key]],IsITypeList,Table_ExternalData_15[[#This Row],[IType]],IsDList,Table_ExternalData_15[[#Headers],[10]])</f>
        <v>2</v>
      </c>
      <c r="O382" s="10">
        <f>SUMIFS(IsQList,IsIList,Table_ExternalData_15[[#This Row],[item_key]],IsITypeList,Table_ExternalData_15[[#This Row],[IType]],IsDList,Table_ExternalData_15[[#Headers],[11]])</f>
        <v>0</v>
      </c>
      <c r="P382" s="10">
        <f>SUMIFS(IsQList,IsIList,Table_ExternalData_15[[#This Row],[item_key]],IsITypeList,Table_ExternalData_15[[#This Row],[IType]],IsDList,Table_ExternalData_15[[#Headers],[12]])</f>
        <v>0</v>
      </c>
      <c r="Q382" s="10">
        <f>SUMIFS(IsQList,IsIList,Table_ExternalData_15[[#This Row],[item_key]],IsITypeList,Table_ExternalData_15[[#This Row],[IType]],IsDList,Table_ExternalData_15[[#Headers],[13]])</f>
        <v>0</v>
      </c>
      <c r="R382" s="10">
        <f>SUMIFS(IsQList,IsIList,Table_ExternalData_15[[#This Row],[item_key]],IsITypeList,Table_ExternalData_15[[#This Row],[IType]],IsDList,Table_ExternalData_15[[#Headers],[14]])</f>
        <v>0</v>
      </c>
      <c r="S382" s="10">
        <f>SUMIFS(IsQList,IsIList,Table_ExternalData_15[[#This Row],[item_key]],IsITypeList,Table_ExternalData_15[[#This Row],[IType]],IsDList,Table_ExternalData_15[[#Headers],[15]])</f>
        <v>0</v>
      </c>
      <c r="T382" s="10">
        <f>SUMIFS(IsQList,IsIList,Table_ExternalData_15[[#This Row],[item_key]],IsITypeList,Table_ExternalData_15[[#This Row],[IType]],IsDList,Table_ExternalData_15[[#Headers],[16]])</f>
        <v>4</v>
      </c>
      <c r="U382" s="10">
        <f>SUMIFS(IsQList,IsIList,Table_ExternalData_15[[#This Row],[item_key]],IsITypeList,Table_ExternalData_15[[#This Row],[IType]],IsDList,Table_ExternalData_15[[#Headers],[17]])</f>
        <v>0</v>
      </c>
      <c r="V382" s="10">
        <f>SUMIFS(IsQList,IsIList,Table_ExternalData_15[[#This Row],[item_key]],IsITypeList,Table_ExternalData_15[[#This Row],[IType]],IsDList,Table_ExternalData_15[[#Headers],[18]])</f>
        <v>0</v>
      </c>
      <c r="W382" s="10">
        <f>SUMIFS(IsQList,IsIList,Table_ExternalData_15[[#This Row],[item_key]],IsITypeList,Table_ExternalData_15[[#This Row],[IType]],IsDList,Table_ExternalData_15[[#Headers],[19]])</f>
        <v>0</v>
      </c>
      <c r="X382" s="10">
        <f>SUMIFS(IsQList,IsIList,Table_ExternalData_15[[#This Row],[item_key]],IsITypeList,Table_ExternalData_15[[#This Row],[IType]],IsDList,Table_ExternalData_15[[#Headers],[20]])</f>
        <v>0</v>
      </c>
      <c r="Y382" s="10">
        <f>SUMIFS(IsQList,IsIList,Table_ExternalData_15[[#This Row],[item_key]],IsITypeList,Table_ExternalData_15[[#This Row],[IType]],IsDList,Table_ExternalData_15[[#Headers],[21]])</f>
        <v>0</v>
      </c>
      <c r="Z382" s="10">
        <f>SUMIFS(IsQList,IsIList,Table_ExternalData_15[[#This Row],[item_key]],IsITypeList,Table_ExternalData_15[[#This Row],[IType]],IsDList,Table_ExternalData_15[[#Headers],[22]])</f>
        <v>0</v>
      </c>
      <c r="AA382" s="10">
        <f>SUMIFS(IsQList,IsIList,Table_ExternalData_15[[#This Row],[item_key]],IsITypeList,Table_ExternalData_15[[#This Row],[IType]],IsDList,Table_ExternalData_15[[#Headers],[23]])</f>
        <v>0</v>
      </c>
      <c r="AB382" s="10">
        <f>SUMIFS(IsQList,IsIList,Table_ExternalData_15[[#This Row],[item_key]],IsITypeList,Table_ExternalData_15[[#This Row],[IType]],IsDList,Table_ExternalData_15[[#Headers],[24]])</f>
        <v>0</v>
      </c>
      <c r="AC382" s="10">
        <f>SUMIFS(IsQList,IsIList,Table_ExternalData_15[[#This Row],[item_key]],IsITypeList,Table_ExternalData_15[[#This Row],[IType]],IsDList,Table_ExternalData_15[[#Headers],[25]])</f>
        <v>0</v>
      </c>
      <c r="AD382" s="10">
        <f>SUMIFS(IsQList,IsIList,Table_ExternalData_15[[#This Row],[item_key]],IsITypeList,Table_ExternalData_15[[#This Row],[IType]],IsDList,Table_ExternalData_15[[#Headers],[26]])</f>
        <v>0</v>
      </c>
      <c r="AE382" s="10">
        <f>SUMIFS(IsQList,IsIList,Table_ExternalData_15[[#This Row],[item_key]],IsITypeList,Table_ExternalData_15[[#This Row],[IType]],IsDList,Table_ExternalData_15[[#Headers],[27]])</f>
        <v>0</v>
      </c>
      <c r="AF382" s="10">
        <f>SUMIFS(IsQList,IsIList,Table_ExternalData_15[[#This Row],[item_key]],IsITypeList,Table_ExternalData_15[[#This Row],[IType]],IsDList,Table_ExternalData_15[[#Headers],[28]])</f>
        <v>0</v>
      </c>
      <c r="AG382" s="10">
        <f>SUMIFS(IsQList,IsIList,Table_ExternalData_15[[#This Row],[item_key]],IsITypeList,Table_ExternalData_15[[#This Row],[IType]],IsDList,Table_ExternalData_15[[#Headers],[29]])</f>
        <v>0</v>
      </c>
      <c r="AH382" s="10">
        <f>SUMIFS(IsQList,IsIList,Table_ExternalData_15[[#This Row],[item_key]],IsITypeList,Table_ExternalData_15[[#This Row],[IType]],IsDList,Table_ExternalData_15[[#Headers],[30]])</f>
        <v>0</v>
      </c>
      <c r="AI382" s="10">
        <f>SUMIFS(IsQList,IsIList,Table_ExternalData_15[[#This Row],[item_key]],IsITypeList,Table_ExternalData_15[[#This Row],[IType]],IsDList,Table_ExternalData_15[[#Headers],[31]])</f>
        <v>0</v>
      </c>
      <c r="AJ382" s="10">
        <f>SUM(Table_ExternalData_15[[#This Row],[1]:[31]])</f>
        <v>6</v>
      </c>
    </row>
    <row r="383" spans="1:36">
      <c r="A383" s="1" t="s">
        <v>2308</v>
      </c>
      <c r="B383" s="1" t="s">
        <v>2851</v>
      </c>
      <c r="C383" s="1" t="s">
        <v>2852</v>
      </c>
      <c r="D383" s="11" t="s">
        <v>72</v>
      </c>
      <c r="E383" s="10">
        <f>SUMIFS(IsQList,IsIList,Table_ExternalData_15[[#This Row],[item_key]],IsITypeList,Table_ExternalData_15[[#This Row],[IType]],IsDList,Table_ExternalData_15[[#Headers],[1]])</f>
        <v>0</v>
      </c>
      <c r="F383" s="10">
        <f>SUMIFS(IsQList,IsIList,Table_ExternalData_15[[#This Row],[item_key]],IsITypeList,Table_ExternalData_15[[#This Row],[IType]],IsDList,Table_ExternalData_15[[#Headers],[2]])</f>
        <v>0</v>
      </c>
      <c r="G383" s="10">
        <f>SUMIFS(IsQList,IsIList,Table_ExternalData_15[[#This Row],[item_key]],IsITypeList,Table_ExternalData_15[[#This Row],[IType]],IsDList,Table_ExternalData_15[[#Headers],[3]])</f>
        <v>0</v>
      </c>
      <c r="H383" s="10">
        <f>SUMIFS(IsQList,IsIList,Table_ExternalData_15[[#This Row],[item_key]],IsITypeList,Table_ExternalData_15[[#This Row],[IType]],IsDList,Table_ExternalData_15[[#Headers],[4]])</f>
        <v>0</v>
      </c>
      <c r="I383" s="10">
        <f>SUMIFS(IsQList,IsIList,Table_ExternalData_15[[#This Row],[item_key]],IsITypeList,Table_ExternalData_15[[#This Row],[IType]],IsDList,Table_ExternalData_15[[#Headers],[5]])</f>
        <v>0</v>
      </c>
      <c r="J383" s="10">
        <f>SUMIFS(IsQList,IsIList,Table_ExternalData_15[[#This Row],[item_key]],IsITypeList,Table_ExternalData_15[[#This Row],[IType]],IsDList,Table_ExternalData_15[[#Headers],[6]])</f>
        <v>2</v>
      </c>
      <c r="K383" s="10">
        <f>SUMIFS(IsQList,IsIList,Table_ExternalData_15[[#This Row],[item_key]],IsITypeList,Table_ExternalData_15[[#This Row],[IType]],IsDList,Table_ExternalData_15[[#Headers],[7]])</f>
        <v>0</v>
      </c>
      <c r="L383" s="10">
        <f>SUMIFS(IsQList,IsIList,Table_ExternalData_15[[#This Row],[item_key]],IsITypeList,Table_ExternalData_15[[#This Row],[IType]],IsDList,Table_ExternalData_15[[#Headers],[8]])</f>
        <v>0</v>
      </c>
      <c r="M383" s="10">
        <f>SUMIFS(IsQList,IsIList,Table_ExternalData_15[[#This Row],[item_key]],IsITypeList,Table_ExternalData_15[[#This Row],[IType]],IsDList,Table_ExternalData_15[[#Headers],[9]])</f>
        <v>0</v>
      </c>
      <c r="N383" s="10">
        <f>SUMIFS(IsQList,IsIList,Table_ExternalData_15[[#This Row],[item_key]],IsITypeList,Table_ExternalData_15[[#This Row],[IType]],IsDList,Table_ExternalData_15[[#Headers],[10]])</f>
        <v>0</v>
      </c>
      <c r="O383" s="10">
        <f>SUMIFS(IsQList,IsIList,Table_ExternalData_15[[#This Row],[item_key]],IsITypeList,Table_ExternalData_15[[#This Row],[IType]],IsDList,Table_ExternalData_15[[#Headers],[11]])</f>
        <v>0</v>
      </c>
      <c r="P383" s="10">
        <f>SUMIFS(IsQList,IsIList,Table_ExternalData_15[[#This Row],[item_key]],IsITypeList,Table_ExternalData_15[[#This Row],[IType]],IsDList,Table_ExternalData_15[[#Headers],[12]])</f>
        <v>0</v>
      </c>
      <c r="Q383" s="10">
        <f>SUMIFS(IsQList,IsIList,Table_ExternalData_15[[#This Row],[item_key]],IsITypeList,Table_ExternalData_15[[#This Row],[IType]],IsDList,Table_ExternalData_15[[#Headers],[13]])</f>
        <v>0</v>
      </c>
      <c r="R383" s="10">
        <f>SUMIFS(IsQList,IsIList,Table_ExternalData_15[[#This Row],[item_key]],IsITypeList,Table_ExternalData_15[[#This Row],[IType]],IsDList,Table_ExternalData_15[[#Headers],[14]])</f>
        <v>0</v>
      </c>
      <c r="S383" s="10">
        <f>SUMIFS(IsQList,IsIList,Table_ExternalData_15[[#This Row],[item_key]],IsITypeList,Table_ExternalData_15[[#This Row],[IType]],IsDList,Table_ExternalData_15[[#Headers],[15]])</f>
        <v>0</v>
      </c>
      <c r="T383" s="10">
        <f>SUMIFS(IsQList,IsIList,Table_ExternalData_15[[#This Row],[item_key]],IsITypeList,Table_ExternalData_15[[#This Row],[IType]],IsDList,Table_ExternalData_15[[#Headers],[16]])</f>
        <v>0</v>
      </c>
      <c r="U383" s="10">
        <f>SUMIFS(IsQList,IsIList,Table_ExternalData_15[[#This Row],[item_key]],IsITypeList,Table_ExternalData_15[[#This Row],[IType]],IsDList,Table_ExternalData_15[[#Headers],[17]])</f>
        <v>0</v>
      </c>
      <c r="V383" s="10">
        <f>SUMIFS(IsQList,IsIList,Table_ExternalData_15[[#This Row],[item_key]],IsITypeList,Table_ExternalData_15[[#This Row],[IType]],IsDList,Table_ExternalData_15[[#Headers],[18]])</f>
        <v>0</v>
      </c>
      <c r="W383" s="10">
        <f>SUMIFS(IsQList,IsIList,Table_ExternalData_15[[#This Row],[item_key]],IsITypeList,Table_ExternalData_15[[#This Row],[IType]],IsDList,Table_ExternalData_15[[#Headers],[19]])</f>
        <v>0</v>
      </c>
      <c r="X383" s="10">
        <f>SUMIFS(IsQList,IsIList,Table_ExternalData_15[[#This Row],[item_key]],IsITypeList,Table_ExternalData_15[[#This Row],[IType]],IsDList,Table_ExternalData_15[[#Headers],[20]])</f>
        <v>0</v>
      </c>
      <c r="Y383" s="10">
        <f>SUMIFS(IsQList,IsIList,Table_ExternalData_15[[#This Row],[item_key]],IsITypeList,Table_ExternalData_15[[#This Row],[IType]],IsDList,Table_ExternalData_15[[#Headers],[21]])</f>
        <v>0</v>
      </c>
      <c r="Z383" s="10">
        <f>SUMIFS(IsQList,IsIList,Table_ExternalData_15[[#This Row],[item_key]],IsITypeList,Table_ExternalData_15[[#This Row],[IType]],IsDList,Table_ExternalData_15[[#Headers],[22]])</f>
        <v>0</v>
      </c>
      <c r="AA383" s="10">
        <f>SUMIFS(IsQList,IsIList,Table_ExternalData_15[[#This Row],[item_key]],IsITypeList,Table_ExternalData_15[[#This Row],[IType]],IsDList,Table_ExternalData_15[[#Headers],[23]])</f>
        <v>0</v>
      </c>
      <c r="AB383" s="10">
        <f>SUMIFS(IsQList,IsIList,Table_ExternalData_15[[#This Row],[item_key]],IsITypeList,Table_ExternalData_15[[#This Row],[IType]],IsDList,Table_ExternalData_15[[#Headers],[24]])</f>
        <v>0</v>
      </c>
      <c r="AC383" s="10">
        <f>SUMIFS(IsQList,IsIList,Table_ExternalData_15[[#This Row],[item_key]],IsITypeList,Table_ExternalData_15[[#This Row],[IType]],IsDList,Table_ExternalData_15[[#Headers],[25]])</f>
        <v>0</v>
      </c>
      <c r="AD383" s="10">
        <f>SUMIFS(IsQList,IsIList,Table_ExternalData_15[[#This Row],[item_key]],IsITypeList,Table_ExternalData_15[[#This Row],[IType]],IsDList,Table_ExternalData_15[[#Headers],[26]])</f>
        <v>0</v>
      </c>
      <c r="AE383" s="10">
        <f>SUMIFS(IsQList,IsIList,Table_ExternalData_15[[#This Row],[item_key]],IsITypeList,Table_ExternalData_15[[#This Row],[IType]],IsDList,Table_ExternalData_15[[#Headers],[27]])</f>
        <v>0</v>
      </c>
      <c r="AF383" s="10">
        <f>SUMIFS(IsQList,IsIList,Table_ExternalData_15[[#This Row],[item_key]],IsITypeList,Table_ExternalData_15[[#This Row],[IType]],IsDList,Table_ExternalData_15[[#Headers],[28]])</f>
        <v>0</v>
      </c>
      <c r="AG383" s="10">
        <f>SUMIFS(IsQList,IsIList,Table_ExternalData_15[[#This Row],[item_key]],IsITypeList,Table_ExternalData_15[[#This Row],[IType]],IsDList,Table_ExternalData_15[[#Headers],[29]])</f>
        <v>0</v>
      </c>
      <c r="AH383" s="10">
        <f>SUMIFS(IsQList,IsIList,Table_ExternalData_15[[#This Row],[item_key]],IsITypeList,Table_ExternalData_15[[#This Row],[IType]],IsDList,Table_ExternalData_15[[#Headers],[30]])</f>
        <v>5</v>
      </c>
      <c r="AI383" s="10">
        <f>SUMIFS(IsQList,IsIList,Table_ExternalData_15[[#This Row],[item_key]],IsITypeList,Table_ExternalData_15[[#This Row],[IType]],IsDList,Table_ExternalData_15[[#Headers],[31]])</f>
        <v>0</v>
      </c>
      <c r="AJ383" s="10">
        <f>SUM(Table_ExternalData_15[[#This Row],[1]:[31]])</f>
        <v>7</v>
      </c>
    </row>
    <row r="384" spans="1:36">
      <c r="A384" s="1" t="s">
        <v>2310</v>
      </c>
      <c r="B384" s="1" t="s">
        <v>2855</v>
      </c>
      <c r="C384" s="1" t="s">
        <v>2856</v>
      </c>
      <c r="D384" s="11" t="s">
        <v>72</v>
      </c>
      <c r="E384" s="10">
        <f>SUMIFS(IsQList,IsIList,Table_ExternalData_15[[#This Row],[item_key]],IsITypeList,Table_ExternalData_15[[#This Row],[IType]],IsDList,Table_ExternalData_15[[#Headers],[1]])</f>
        <v>0</v>
      </c>
      <c r="F384" s="10">
        <f>SUMIFS(IsQList,IsIList,Table_ExternalData_15[[#This Row],[item_key]],IsITypeList,Table_ExternalData_15[[#This Row],[IType]],IsDList,Table_ExternalData_15[[#Headers],[2]])</f>
        <v>0</v>
      </c>
      <c r="G384" s="10">
        <f>SUMIFS(IsQList,IsIList,Table_ExternalData_15[[#This Row],[item_key]],IsITypeList,Table_ExternalData_15[[#This Row],[IType]],IsDList,Table_ExternalData_15[[#Headers],[3]])</f>
        <v>0</v>
      </c>
      <c r="H384" s="10">
        <f>SUMIFS(IsQList,IsIList,Table_ExternalData_15[[#This Row],[item_key]],IsITypeList,Table_ExternalData_15[[#This Row],[IType]],IsDList,Table_ExternalData_15[[#Headers],[4]])</f>
        <v>0</v>
      </c>
      <c r="I384" s="10">
        <f>SUMIFS(IsQList,IsIList,Table_ExternalData_15[[#This Row],[item_key]],IsITypeList,Table_ExternalData_15[[#This Row],[IType]],IsDList,Table_ExternalData_15[[#Headers],[5]])</f>
        <v>0</v>
      </c>
      <c r="J384" s="10">
        <f>SUMIFS(IsQList,IsIList,Table_ExternalData_15[[#This Row],[item_key]],IsITypeList,Table_ExternalData_15[[#This Row],[IType]],IsDList,Table_ExternalData_15[[#Headers],[6]])</f>
        <v>0</v>
      </c>
      <c r="K384" s="10">
        <f>SUMIFS(IsQList,IsIList,Table_ExternalData_15[[#This Row],[item_key]],IsITypeList,Table_ExternalData_15[[#This Row],[IType]],IsDList,Table_ExternalData_15[[#Headers],[7]])</f>
        <v>0</v>
      </c>
      <c r="L384" s="10">
        <f>SUMIFS(IsQList,IsIList,Table_ExternalData_15[[#This Row],[item_key]],IsITypeList,Table_ExternalData_15[[#This Row],[IType]],IsDList,Table_ExternalData_15[[#Headers],[8]])</f>
        <v>0</v>
      </c>
      <c r="M384" s="10">
        <f>SUMIFS(IsQList,IsIList,Table_ExternalData_15[[#This Row],[item_key]],IsITypeList,Table_ExternalData_15[[#This Row],[IType]],IsDList,Table_ExternalData_15[[#Headers],[9]])</f>
        <v>0</v>
      </c>
      <c r="N384" s="10">
        <f>SUMIFS(IsQList,IsIList,Table_ExternalData_15[[#This Row],[item_key]],IsITypeList,Table_ExternalData_15[[#This Row],[IType]],IsDList,Table_ExternalData_15[[#Headers],[10]])</f>
        <v>15</v>
      </c>
      <c r="O384" s="10">
        <f>SUMIFS(IsQList,IsIList,Table_ExternalData_15[[#This Row],[item_key]],IsITypeList,Table_ExternalData_15[[#This Row],[IType]],IsDList,Table_ExternalData_15[[#Headers],[11]])</f>
        <v>0</v>
      </c>
      <c r="P384" s="10">
        <f>SUMIFS(IsQList,IsIList,Table_ExternalData_15[[#This Row],[item_key]],IsITypeList,Table_ExternalData_15[[#This Row],[IType]],IsDList,Table_ExternalData_15[[#Headers],[12]])</f>
        <v>0</v>
      </c>
      <c r="Q384" s="10">
        <f>SUMIFS(IsQList,IsIList,Table_ExternalData_15[[#This Row],[item_key]],IsITypeList,Table_ExternalData_15[[#This Row],[IType]],IsDList,Table_ExternalData_15[[#Headers],[13]])</f>
        <v>0</v>
      </c>
      <c r="R384" s="10">
        <f>SUMIFS(IsQList,IsIList,Table_ExternalData_15[[#This Row],[item_key]],IsITypeList,Table_ExternalData_15[[#This Row],[IType]],IsDList,Table_ExternalData_15[[#Headers],[14]])</f>
        <v>0</v>
      </c>
      <c r="S384" s="10">
        <f>SUMIFS(IsQList,IsIList,Table_ExternalData_15[[#This Row],[item_key]],IsITypeList,Table_ExternalData_15[[#This Row],[IType]],IsDList,Table_ExternalData_15[[#Headers],[15]])</f>
        <v>0</v>
      </c>
      <c r="T384" s="10">
        <f>SUMIFS(IsQList,IsIList,Table_ExternalData_15[[#This Row],[item_key]],IsITypeList,Table_ExternalData_15[[#This Row],[IType]],IsDList,Table_ExternalData_15[[#Headers],[16]])</f>
        <v>23</v>
      </c>
      <c r="U384" s="10">
        <f>SUMIFS(IsQList,IsIList,Table_ExternalData_15[[#This Row],[item_key]],IsITypeList,Table_ExternalData_15[[#This Row],[IType]],IsDList,Table_ExternalData_15[[#Headers],[17]])</f>
        <v>0</v>
      </c>
      <c r="V384" s="10">
        <f>SUMIFS(IsQList,IsIList,Table_ExternalData_15[[#This Row],[item_key]],IsITypeList,Table_ExternalData_15[[#This Row],[IType]],IsDList,Table_ExternalData_15[[#Headers],[18]])</f>
        <v>0</v>
      </c>
      <c r="W384" s="10">
        <f>SUMIFS(IsQList,IsIList,Table_ExternalData_15[[#This Row],[item_key]],IsITypeList,Table_ExternalData_15[[#This Row],[IType]],IsDList,Table_ExternalData_15[[#Headers],[19]])</f>
        <v>0</v>
      </c>
      <c r="X384" s="10">
        <f>SUMIFS(IsQList,IsIList,Table_ExternalData_15[[#This Row],[item_key]],IsITypeList,Table_ExternalData_15[[#This Row],[IType]],IsDList,Table_ExternalData_15[[#Headers],[20]])</f>
        <v>0</v>
      </c>
      <c r="Y384" s="10">
        <f>SUMIFS(IsQList,IsIList,Table_ExternalData_15[[#This Row],[item_key]],IsITypeList,Table_ExternalData_15[[#This Row],[IType]],IsDList,Table_ExternalData_15[[#Headers],[21]])</f>
        <v>0</v>
      </c>
      <c r="Z384" s="10">
        <f>SUMIFS(IsQList,IsIList,Table_ExternalData_15[[#This Row],[item_key]],IsITypeList,Table_ExternalData_15[[#This Row],[IType]],IsDList,Table_ExternalData_15[[#Headers],[22]])</f>
        <v>0</v>
      </c>
      <c r="AA384" s="10">
        <f>SUMIFS(IsQList,IsIList,Table_ExternalData_15[[#This Row],[item_key]],IsITypeList,Table_ExternalData_15[[#This Row],[IType]],IsDList,Table_ExternalData_15[[#Headers],[23]])</f>
        <v>0</v>
      </c>
      <c r="AB384" s="10">
        <f>SUMIFS(IsQList,IsIList,Table_ExternalData_15[[#This Row],[item_key]],IsITypeList,Table_ExternalData_15[[#This Row],[IType]],IsDList,Table_ExternalData_15[[#Headers],[24]])</f>
        <v>10</v>
      </c>
      <c r="AC384" s="10">
        <f>SUMIFS(IsQList,IsIList,Table_ExternalData_15[[#This Row],[item_key]],IsITypeList,Table_ExternalData_15[[#This Row],[IType]],IsDList,Table_ExternalData_15[[#Headers],[25]])</f>
        <v>0</v>
      </c>
      <c r="AD384" s="10">
        <f>SUMIFS(IsQList,IsIList,Table_ExternalData_15[[#This Row],[item_key]],IsITypeList,Table_ExternalData_15[[#This Row],[IType]],IsDList,Table_ExternalData_15[[#Headers],[26]])</f>
        <v>0</v>
      </c>
      <c r="AE384" s="10">
        <f>SUMIFS(IsQList,IsIList,Table_ExternalData_15[[#This Row],[item_key]],IsITypeList,Table_ExternalData_15[[#This Row],[IType]],IsDList,Table_ExternalData_15[[#Headers],[27]])</f>
        <v>0</v>
      </c>
      <c r="AF384" s="10">
        <f>SUMIFS(IsQList,IsIList,Table_ExternalData_15[[#This Row],[item_key]],IsITypeList,Table_ExternalData_15[[#This Row],[IType]],IsDList,Table_ExternalData_15[[#Headers],[28]])</f>
        <v>0</v>
      </c>
      <c r="AG384" s="10">
        <f>SUMIFS(IsQList,IsIList,Table_ExternalData_15[[#This Row],[item_key]],IsITypeList,Table_ExternalData_15[[#This Row],[IType]],IsDList,Table_ExternalData_15[[#Headers],[29]])</f>
        <v>0</v>
      </c>
      <c r="AH384" s="10">
        <f>SUMIFS(IsQList,IsIList,Table_ExternalData_15[[#This Row],[item_key]],IsITypeList,Table_ExternalData_15[[#This Row],[IType]],IsDList,Table_ExternalData_15[[#Headers],[30]])</f>
        <v>0</v>
      </c>
      <c r="AI384" s="10">
        <f>SUMIFS(IsQList,IsIList,Table_ExternalData_15[[#This Row],[item_key]],IsITypeList,Table_ExternalData_15[[#This Row],[IType]],IsDList,Table_ExternalData_15[[#Headers],[31]])</f>
        <v>0</v>
      </c>
      <c r="AJ384" s="10">
        <f>SUM(Table_ExternalData_15[[#This Row],[1]:[31]])</f>
        <v>48</v>
      </c>
    </row>
    <row r="385" spans="1:36">
      <c r="A385" s="1" t="s">
        <v>1163</v>
      </c>
      <c r="B385" s="1" t="s">
        <v>1576</v>
      </c>
      <c r="C385" s="1" t="s">
        <v>1420</v>
      </c>
      <c r="D385" s="11" t="s">
        <v>72</v>
      </c>
      <c r="E385" s="10">
        <f>SUMIFS(IsQList,IsIList,Table_ExternalData_15[[#This Row],[item_key]],IsITypeList,Table_ExternalData_15[[#This Row],[IType]],IsDList,Table_ExternalData_15[[#Headers],[1]])</f>
        <v>0</v>
      </c>
      <c r="F385" s="10">
        <f>SUMIFS(IsQList,IsIList,Table_ExternalData_15[[#This Row],[item_key]],IsITypeList,Table_ExternalData_15[[#This Row],[IType]],IsDList,Table_ExternalData_15[[#Headers],[2]])</f>
        <v>0</v>
      </c>
      <c r="G385" s="10">
        <f>SUMIFS(IsQList,IsIList,Table_ExternalData_15[[#This Row],[item_key]],IsITypeList,Table_ExternalData_15[[#This Row],[IType]],IsDList,Table_ExternalData_15[[#Headers],[3]])</f>
        <v>0</v>
      </c>
      <c r="H385" s="10">
        <f>SUMIFS(IsQList,IsIList,Table_ExternalData_15[[#This Row],[item_key]],IsITypeList,Table_ExternalData_15[[#This Row],[IType]],IsDList,Table_ExternalData_15[[#Headers],[4]])</f>
        <v>0</v>
      </c>
      <c r="I385" s="10">
        <f>SUMIFS(IsQList,IsIList,Table_ExternalData_15[[#This Row],[item_key]],IsITypeList,Table_ExternalData_15[[#This Row],[IType]],IsDList,Table_ExternalData_15[[#Headers],[5]])</f>
        <v>0</v>
      </c>
      <c r="J385" s="10">
        <f>SUMIFS(IsQList,IsIList,Table_ExternalData_15[[#This Row],[item_key]],IsITypeList,Table_ExternalData_15[[#This Row],[IType]],IsDList,Table_ExternalData_15[[#Headers],[6]])</f>
        <v>3</v>
      </c>
      <c r="K385" s="10">
        <f>SUMIFS(IsQList,IsIList,Table_ExternalData_15[[#This Row],[item_key]],IsITypeList,Table_ExternalData_15[[#This Row],[IType]],IsDList,Table_ExternalData_15[[#Headers],[7]])</f>
        <v>0</v>
      </c>
      <c r="L385" s="10">
        <f>SUMIFS(IsQList,IsIList,Table_ExternalData_15[[#This Row],[item_key]],IsITypeList,Table_ExternalData_15[[#This Row],[IType]],IsDList,Table_ExternalData_15[[#Headers],[8]])</f>
        <v>0</v>
      </c>
      <c r="M385" s="10">
        <f>SUMIFS(IsQList,IsIList,Table_ExternalData_15[[#This Row],[item_key]],IsITypeList,Table_ExternalData_15[[#This Row],[IType]],IsDList,Table_ExternalData_15[[#Headers],[9]])</f>
        <v>0</v>
      </c>
      <c r="N385" s="10">
        <f>SUMIFS(IsQList,IsIList,Table_ExternalData_15[[#This Row],[item_key]],IsITypeList,Table_ExternalData_15[[#This Row],[IType]],IsDList,Table_ExternalData_15[[#Headers],[10]])</f>
        <v>5</v>
      </c>
      <c r="O385" s="10">
        <f>SUMIFS(IsQList,IsIList,Table_ExternalData_15[[#This Row],[item_key]],IsITypeList,Table_ExternalData_15[[#This Row],[IType]],IsDList,Table_ExternalData_15[[#Headers],[11]])</f>
        <v>0</v>
      </c>
      <c r="P385" s="10">
        <f>SUMIFS(IsQList,IsIList,Table_ExternalData_15[[#This Row],[item_key]],IsITypeList,Table_ExternalData_15[[#This Row],[IType]],IsDList,Table_ExternalData_15[[#Headers],[12]])</f>
        <v>0</v>
      </c>
      <c r="Q385" s="10">
        <f>SUMIFS(IsQList,IsIList,Table_ExternalData_15[[#This Row],[item_key]],IsITypeList,Table_ExternalData_15[[#This Row],[IType]],IsDList,Table_ExternalData_15[[#Headers],[13]])</f>
        <v>0</v>
      </c>
      <c r="R385" s="10">
        <f>SUMIFS(IsQList,IsIList,Table_ExternalData_15[[#This Row],[item_key]],IsITypeList,Table_ExternalData_15[[#This Row],[IType]],IsDList,Table_ExternalData_15[[#Headers],[14]])</f>
        <v>0</v>
      </c>
      <c r="S385" s="10">
        <f>SUMIFS(IsQList,IsIList,Table_ExternalData_15[[#This Row],[item_key]],IsITypeList,Table_ExternalData_15[[#This Row],[IType]],IsDList,Table_ExternalData_15[[#Headers],[15]])</f>
        <v>0</v>
      </c>
      <c r="T385" s="10">
        <f>SUMIFS(IsQList,IsIList,Table_ExternalData_15[[#This Row],[item_key]],IsITypeList,Table_ExternalData_15[[#This Row],[IType]],IsDList,Table_ExternalData_15[[#Headers],[16]])</f>
        <v>0</v>
      </c>
      <c r="U385" s="10">
        <f>SUMIFS(IsQList,IsIList,Table_ExternalData_15[[#This Row],[item_key]],IsITypeList,Table_ExternalData_15[[#This Row],[IType]],IsDList,Table_ExternalData_15[[#Headers],[17]])</f>
        <v>0</v>
      </c>
      <c r="V385" s="10">
        <f>SUMIFS(IsQList,IsIList,Table_ExternalData_15[[#This Row],[item_key]],IsITypeList,Table_ExternalData_15[[#This Row],[IType]],IsDList,Table_ExternalData_15[[#Headers],[18]])</f>
        <v>0</v>
      </c>
      <c r="W385" s="10">
        <f>SUMIFS(IsQList,IsIList,Table_ExternalData_15[[#This Row],[item_key]],IsITypeList,Table_ExternalData_15[[#This Row],[IType]],IsDList,Table_ExternalData_15[[#Headers],[19]])</f>
        <v>0</v>
      </c>
      <c r="X385" s="10">
        <f>SUMIFS(IsQList,IsIList,Table_ExternalData_15[[#This Row],[item_key]],IsITypeList,Table_ExternalData_15[[#This Row],[IType]],IsDList,Table_ExternalData_15[[#Headers],[20]])</f>
        <v>0</v>
      </c>
      <c r="Y385" s="10">
        <f>SUMIFS(IsQList,IsIList,Table_ExternalData_15[[#This Row],[item_key]],IsITypeList,Table_ExternalData_15[[#This Row],[IType]],IsDList,Table_ExternalData_15[[#Headers],[21]])</f>
        <v>0</v>
      </c>
      <c r="Z385" s="10">
        <f>SUMIFS(IsQList,IsIList,Table_ExternalData_15[[#This Row],[item_key]],IsITypeList,Table_ExternalData_15[[#This Row],[IType]],IsDList,Table_ExternalData_15[[#Headers],[22]])</f>
        <v>0</v>
      </c>
      <c r="AA385" s="10">
        <f>SUMIFS(IsQList,IsIList,Table_ExternalData_15[[#This Row],[item_key]],IsITypeList,Table_ExternalData_15[[#This Row],[IType]],IsDList,Table_ExternalData_15[[#Headers],[23]])</f>
        <v>0</v>
      </c>
      <c r="AB385" s="10">
        <f>SUMIFS(IsQList,IsIList,Table_ExternalData_15[[#This Row],[item_key]],IsITypeList,Table_ExternalData_15[[#This Row],[IType]],IsDList,Table_ExternalData_15[[#Headers],[24]])</f>
        <v>0</v>
      </c>
      <c r="AC385" s="10">
        <f>SUMIFS(IsQList,IsIList,Table_ExternalData_15[[#This Row],[item_key]],IsITypeList,Table_ExternalData_15[[#This Row],[IType]],IsDList,Table_ExternalData_15[[#Headers],[25]])</f>
        <v>0</v>
      </c>
      <c r="AD385" s="10">
        <f>SUMIFS(IsQList,IsIList,Table_ExternalData_15[[#This Row],[item_key]],IsITypeList,Table_ExternalData_15[[#This Row],[IType]],IsDList,Table_ExternalData_15[[#Headers],[26]])</f>
        <v>0</v>
      </c>
      <c r="AE385" s="10">
        <f>SUMIFS(IsQList,IsIList,Table_ExternalData_15[[#This Row],[item_key]],IsITypeList,Table_ExternalData_15[[#This Row],[IType]],IsDList,Table_ExternalData_15[[#Headers],[27]])</f>
        <v>0</v>
      </c>
      <c r="AF385" s="10">
        <f>SUMIFS(IsQList,IsIList,Table_ExternalData_15[[#This Row],[item_key]],IsITypeList,Table_ExternalData_15[[#This Row],[IType]],IsDList,Table_ExternalData_15[[#Headers],[28]])</f>
        <v>0</v>
      </c>
      <c r="AG385" s="10">
        <f>SUMIFS(IsQList,IsIList,Table_ExternalData_15[[#This Row],[item_key]],IsITypeList,Table_ExternalData_15[[#This Row],[IType]],IsDList,Table_ExternalData_15[[#Headers],[29]])</f>
        <v>0</v>
      </c>
      <c r="AH385" s="10">
        <f>SUMIFS(IsQList,IsIList,Table_ExternalData_15[[#This Row],[item_key]],IsITypeList,Table_ExternalData_15[[#This Row],[IType]],IsDList,Table_ExternalData_15[[#Headers],[30]])</f>
        <v>0</v>
      </c>
      <c r="AI385" s="10">
        <f>SUMIFS(IsQList,IsIList,Table_ExternalData_15[[#This Row],[item_key]],IsITypeList,Table_ExternalData_15[[#This Row],[IType]],IsDList,Table_ExternalData_15[[#Headers],[31]])</f>
        <v>0</v>
      </c>
      <c r="AJ385" s="10">
        <f>SUM(Table_ExternalData_15[[#This Row],[1]:[31]])</f>
        <v>8</v>
      </c>
    </row>
    <row r="386" spans="1:36">
      <c r="A386" s="1" t="s">
        <v>1164</v>
      </c>
      <c r="B386" s="1" t="s">
        <v>1577</v>
      </c>
      <c r="C386" s="1" t="s">
        <v>1578</v>
      </c>
      <c r="D386" s="11" t="s">
        <v>72</v>
      </c>
      <c r="E386" s="10">
        <f>SUMIFS(IsQList,IsIList,Table_ExternalData_15[[#This Row],[item_key]],IsITypeList,Table_ExternalData_15[[#This Row],[IType]],IsDList,Table_ExternalData_15[[#Headers],[1]])</f>
        <v>0</v>
      </c>
      <c r="F386" s="10">
        <f>SUMIFS(IsQList,IsIList,Table_ExternalData_15[[#This Row],[item_key]],IsITypeList,Table_ExternalData_15[[#This Row],[IType]],IsDList,Table_ExternalData_15[[#Headers],[2]])</f>
        <v>0</v>
      </c>
      <c r="G386" s="10">
        <f>SUMIFS(IsQList,IsIList,Table_ExternalData_15[[#This Row],[item_key]],IsITypeList,Table_ExternalData_15[[#This Row],[IType]],IsDList,Table_ExternalData_15[[#Headers],[3]])</f>
        <v>0</v>
      </c>
      <c r="H386" s="10">
        <f>SUMIFS(IsQList,IsIList,Table_ExternalData_15[[#This Row],[item_key]],IsITypeList,Table_ExternalData_15[[#This Row],[IType]],IsDList,Table_ExternalData_15[[#Headers],[4]])</f>
        <v>0</v>
      </c>
      <c r="I386" s="10">
        <f>SUMIFS(IsQList,IsIList,Table_ExternalData_15[[#This Row],[item_key]],IsITypeList,Table_ExternalData_15[[#This Row],[IType]],IsDList,Table_ExternalData_15[[#Headers],[5]])</f>
        <v>0</v>
      </c>
      <c r="J386" s="10">
        <f>SUMIFS(IsQList,IsIList,Table_ExternalData_15[[#This Row],[item_key]],IsITypeList,Table_ExternalData_15[[#This Row],[IType]],IsDList,Table_ExternalData_15[[#Headers],[6]])</f>
        <v>0</v>
      </c>
      <c r="K386" s="10">
        <f>SUMIFS(IsQList,IsIList,Table_ExternalData_15[[#This Row],[item_key]],IsITypeList,Table_ExternalData_15[[#This Row],[IType]],IsDList,Table_ExternalData_15[[#Headers],[7]])</f>
        <v>0</v>
      </c>
      <c r="L386" s="10">
        <f>SUMIFS(IsQList,IsIList,Table_ExternalData_15[[#This Row],[item_key]],IsITypeList,Table_ExternalData_15[[#This Row],[IType]],IsDList,Table_ExternalData_15[[#Headers],[8]])</f>
        <v>0</v>
      </c>
      <c r="M386" s="10">
        <f>SUMIFS(IsQList,IsIList,Table_ExternalData_15[[#This Row],[item_key]],IsITypeList,Table_ExternalData_15[[#This Row],[IType]],IsDList,Table_ExternalData_15[[#Headers],[9]])</f>
        <v>0</v>
      </c>
      <c r="N386" s="10">
        <f>SUMIFS(IsQList,IsIList,Table_ExternalData_15[[#This Row],[item_key]],IsITypeList,Table_ExternalData_15[[#This Row],[IType]],IsDList,Table_ExternalData_15[[#Headers],[10]])</f>
        <v>38</v>
      </c>
      <c r="O386" s="10">
        <f>SUMIFS(IsQList,IsIList,Table_ExternalData_15[[#This Row],[item_key]],IsITypeList,Table_ExternalData_15[[#This Row],[IType]],IsDList,Table_ExternalData_15[[#Headers],[11]])</f>
        <v>0</v>
      </c>
      <c r="P386" s="10">
        <f>SUMIFS(IsQList,IsIList,Table_ExternalData_15[[#This Row],[item_key]],IsITypeList,Table_ExternalData_15[[#This Row],[IType]],IsDList,Table_ExternalData_15[[#Headers],[12]])</f>
        <v>0</v>
      </c>
      <c r="Q386" s="10">
        <f>SUMIFS(IsQList,IsIList,Table_ExternalData_15[[#This Row],[item_key]],IsITypeList,Table_ExternalData_15[[#This Row],[IType]],IsDList,Table_ExternalData_15[[#Headers],[13]])</f>
        <v>0</v>
      </c>
      <c r="R386" s="10">
        <f>SUMIFS(IsQList,IsIList,Table_ExternalData_15[[#This Row],[item_key]],IsITypeList,Table_ExternalData_15[[#This Row],[IType]],IsDList,Table_ExternalData_15[[#Headers],[14]])</f>
        <v>0</v>
      </c>
      <c r="S386" s="10">
        <f>SUMIFS(IsQList,IsIList,Table_ExternalData_15[[#This Row],[item_key]],IsITypeList,Table_ExternalData_15[[#This Row],[IType]],IsDList,Table_ExternalData_15[[#Headers],[15]])</f>
        <v>0</v>
      </c>
      <c r="T386" s="10">
        <f>SUMIFS(IsQList,IsIList,Table_ExternalData_15[[#This Row],[item_key]],IsITypeList,Table_ExternalData_15[[#This Row],[IType]],IsDList,Table_ExternalData_15[[#Headers],[16]])</f>
        <v>0</v>
      </c>
      <c r="U386" s="10">
        <f>SUMIFS(IsQList,IsIList,Table_ExternalData_15[[#This Row],[item_key]],IsITypeList,Table_ExternalData_15[[#This Row],[IType]],IsDList,Table_ExternalData_15[[#Headers],[17]])</f>
        <v>0</v>
      </c>
      <c r="V386" s="10">
        <f>SUMIFS(IsQList,IsIList,Table_ExternalData_15[[#This Row],[item_key]],IsITypeList,Table_ExternalData_15[[#This Row],[IType]],IsDList,Table_ExternalData_15[[#Headers],[18]])</f>
        <v>0</v>
      </c>
      <c r="W386" s="10">
        <f>SUMIFS(IsQList,IsIList,Table_ExternalData_15[[#This Row],[item_key]],IsITypeList,Table_ExternalData_15[[#This Row],[IType]],IsDList,Table_ExternalData_15[[#Headers],[19]])</f>
        <v>0</v>
      </c>
      <c r="X386" s="10">
        <f>SUMIFS(IsQList,IsIList,Table_ExternalData_15[[#This Row],[item_key]],IsITypeList,Table_ExternalData_15[[#This Row],[IType]],IsDList,Table_ExternalData_15[[#Headers],[20]])</f>
        <v>0</v>
      </c>
      <c r="Y386" s="10">
        <f>SUMIFS(IsQList,IsIList,Table_ExternalData_15[[#This Row],[item_key]],IsITypeList,Table_ExternalData_15[[#This Row],[IType]],IsDList,Table_ExternalData_15[[#Headers],[21]])</f>
        <v>0</v>
      </c>
      <c r="Z386" s="10">
        <f>SUMIFS(IsQList,IsIList,Table_ExternalData_15[[#This Row],[item_key]],IsITypeList,Table_ExternalData_15[[#This Row],[IType]],IsDList,Table_ExternalData_15[[#Headers],[22]])</f>
        <v>0</v>
      </c>
      <c r="AA386" s="10">
        <f>SUMIFS(IsQList,IsIList,Table_ExternalData_15[[#This Row],[item_key]],IsITypeList,Table_ExternalData_15[[#This Row],[IType]],IsDList,Table_ExternalData_15[[#Headers],[23]])</f>
        <v>0</v>
      </c>
      <c r="AB386" s="10">
        <f>SUMIFS(IsQList,IsIList,Table_ExternalData_15[[#This Row],[item_key]],IsITypeList,Table_ExternalData_15[[#This Row],[IType]],IsDList,Table_ExternalData_15[[#Headers],[24]])</f>
        <v>0</v>
      </c>
      <c r="AC386" s="10">
        <f>SUMIFS(IsQList,IsIList,Table_ExternalData_15[[#This Row],[item_key]],IsITypeList,Table_ExternalData_15[[#This Row],[IType]],IsDList,Table_ExternalData_15[[#Headers],[25]])</f>
        <v>0</v>
      </c>
      <c r="AD386" s="10">
        <f>SUMIFS(IsQList,IsIList,Table_ExternalData_15[[#This Row],[item_key]],IsITypeList,Table_ExternalData_15[[#This Row],[IType]],IsDList,Table_ExternalData_15[[#Headers],[26]])</f>
        <v>0</v>
      </c>
      <c r="AE386" s="10">
        <f>SUMIFS(IsQList,IsIList,Table_ExternalData_15[[#This Row],[item_key]],IsITypeList,Table_ExternalData_15[[#This Row],[IType]],IsDList,Table_ExternalData_15[[#Headers],[27]])</f>
        <v>0</v>
      </c>
      <c r="AF386" s="10">
        <f>SUMIFS(IsQList,IsIList,Table_ExternalData_15[[#This Row],[item_key]],IsITypeList,Table_ExternalData_15[[#This Row],[IType]],IsDList,Table_ExternalData_15[[#Headers],[28]])</f>
        <v>0</v>
      </c>
      <c r="AG386" s="10">
        <f>SUMIFS(IsQList,IsIList,Table_ExternalData_15[[#This Row],[item_key]],IsITypeList,Table_ExternalData_15[[#This Row],[IType]],IsDList,Table_ExternalData_15[[#Headers],[29]])</f>
        <v>0</v>
      </c>
      <c r="AH386" s="10">
        <f>SUMIFS(IsQList,IsIList,Table_ExternalData_15[[#This Row],[item_key]],IsITypeList,Table_ExternalData_15[[#This Row],[IType]],IsDList,Table_ExternalData_15[[#Headers],[30]])</f>
        <v>0</v>
      </c>
      <c r="AI386" s="10">
        <f>SUMIFS(IsQList,IsIList,Table_ExternalData_15[[#This Row],[item_key]],IsITypeList,Table_ExternalData_15[[#This Row],[IType]],IsDList,Table_ExternalData_15[[#Headers],[31]])</f>
        <v>0</v>
      </c>
      <c r="AJ386" s="10">
        <f>SUM(Table_ExternalData_15[[#This Row],[1]:[31]])</f>
        <v>38</v>
      </c>
    </row>
    <row r="387" spans="1:36">
      <c r="A387" s="1" t="s">
        <v>1165</v>
      </c>
      <c r="B387" s="1" t="s">
        <v>1579</v>
      </c>
      <c r="C387" s="1" t="s">
        <v>1580</v>
      </c>
      <c r="D387" s="11" t="s">
        <v>72</v>
      </c>
      <c r="E387" s="10">
        <f>SUMIFS(IsQList,IsIList,Table_ExternalData_15[[#This Row],[item_key]],IsITypeList,Table_ExternalData_15[[#This Row],[IType]],IsDList,Table_ExternalData_15[[#Headers],[1]])</f>
        <v>0</v>
      </c>
      <c r="F387" s="10">
        <f>SUMIFS(IsQList,IsIList,Table_ExternalData_15[[#This Row],[item_key]],IsITypeList,Table_ExternalData_15[[#This Row],[IType]],IsDList,Table_ExternalData_15[[#Headers],[2]])</f>
        <v>0</v>
      </c>
      <c r="G387" s="10">
        <f>SUMIFS(IsQList,IsIList,Table_ExternalData_15[[#This Row],[item_key]],IsITypeList,Table_ExternalData_15[[#This Row],[IType]],IsDList,Table_ExternalData_15[[#Headers],[3]])</f>
        <v>0</v>
      </c>
      <c r="H387" s="10">
        <f>SUMIFS(IsQList,IsIList,Table_ExternalData_15[[#This Row],[item_key]],IsITypeList,Table_ExternalData_15[[#This Row],[IType]],IsDList,Table_ExternalData_15[[#Headers],[4]])</f>
        <v>0</v>
      </c>
      <c r="I387" s="10">
        <f>SUMIFS(IsQList,IsIList,Table_ExternalData_15[[#This Row],[item_key]],IsITypeList,Table_ExternalData_15[[#This Row],[IType]],IsDList,Table_ExternalData_15[[#Headers],[5]])</f>
        <v>0</v>
      </c>
      <c r="J387" s="10">
        <f>SUMIFS(IsQList,IsIList,Table_ExternalData_15[[#This Row],[item_key]],IsITypeList,Table_ExternalData_15[[#This Row],[IType]],IsDList,Table_ExternalData_15[[#Headers],[6]])</f>
        <v>0</v>
      </c>
      <c r="K387" s="10">
        <f>SUMIFS(IsQList,IsIList,Table_ExternalData_15[[#This Row],[item_key]],IsITypeList,Table_ExternalData_15[[#This Row],[IType]],IsDList,Table_ExternalData_15[[#Headers],[7]])</f>
        <v>0</v>
      </c>
      <c r="L387" s="10">
        <f>SUMIFS(IsQList,IsIList,Table_ExternalData_15[[#This Row],[item_key]],IsITypeList,Table_ExternalData_15[[#This Row],[IType]],IsDList,Table_ExternalData_15[[#Headers],[8]])</f>
        <v>0</v>
      </c>
      <c r="M387" s="10">
        <f>SUMIFS(IsQList,IsIList,Table_ExternalData_15[[#This Row],[item_key]],IsITypeList,Table_ExternalData_15[[#This Row],[IType]],IsDList,Table_ExternalData_15[[#Headers],[9]])</f>
        <v>0</v>
      </c>
      <c r="N387" s="10">
        <f>SUMIFS(IsQList,IsIList,Table_ExternalData_15[[#This Row],[item_key]],IsITypeList,Table_ExternalData_15[[#This Row],[IType]],IsDList,Table_ExternalData_15[[#Headers],[10]])</f>
        <v>26</v>
      </c>
      <c r="O387" s="10">
        <f>SUMIFS(IsQList,IsIList,Table_ExternalData_15[[#This Row],[item_key]],IsITypeList,Table_ExternalData_15[[#This Row],[IType]],IsDList,Table_ExternalData_15[[#Headers],[11]])</f>
        <v>0</v>
      </c>
      <c r="P387" s="10">
        <f>SUMIFS(IsQList,IsIList,Table_ExternalData_15[[#This Row],[item_key]],IsITypeList,Table_ExternalData_15[[#This Row],[IType]],IsDList,Table_ExternalData_15[[#Headers],[12]])</f>
        <v>0</v>
      </c>
      <c r="Q387" s="10">
        <f>SUMIFS(IsQList,IsIList,Table_ExternalData_15[[#This Row],[item_key]],IsITypeList,Table_ExternalData_15[[#This Row],[IType]],IsDList,Table_ExternalData_15[[#Headers],[13]])</f>
        <v>0</v>
      </c>
      <c r="R387" s="10">
        <f>SUMIFS(IsQList,IsIList,Table_ExternalData_15[[#This Row],[item_key]],IsITypeList,Table_ExternalData_15[[#This Row],[IType]],IsDList,Table_ExternalData_15[[#Headers],[14]])</f>
        <v>0</v>
      </c>
      <c r="S387" s="10">
        <f>SUMIFS(IsQList,IsIList,Table_ExternalData_15[[#This Row],[item_key]],IsITypeList,Table_ExternalData_15[[#This Row],[IType]],IsDList,Table_ExternalData_15[[#Headers],[15]])</f>
        <v>0</v>
      </c>
      <c r="T387" s="10">
        <f>SUMIFS(IsQList,IsIList,Table_ExternalData_15[[#This Row],[item_key]],IsITypeList,Table_ExternalData_15[[#This Row],[IType]],IsDList,Table_ExternalData_15[[#Headers],[16]])</f>
        <v>0</v>
      </c>
      <c r="U387" s="10">
        <f>SUMIFS(IsQList,IsIList,Table_ExternalData_15[[#This Row],[item_key]],IsITypeList,Table_ExternalData_15[[#This Row],[IType]],IsDList,Table_ExternalData_15[[#Headers],[17]])</f>
        <v>0</v>
      </c>
      <c r="V387" s="10">
        <f>SUMIFS(IsQList,IsIList,Table_ExternalData_15[[#This Row],[item_key]],IsITypeList,Table_ExternalData_15[[#This Row],[IType]],IsDList,Table_ExternalData_15[[#Headers],[18]])</f>
        <v>0</v>
      </c>
      <c r="W387" s="10">
        <f>SUMIFS(IsQList,IsIList,Table_ExternalData_15[[#This Row],[item_key]],IsITypeList,Table_ExternalData_15[[#This Row],[IType]],IsDList,Table_ExternalData_15[[#Headers],[19]])</f>
        <v>0</v>
      </c>
      <c r="X387" s="10">
        <f>SUMIFS(IsQList,IsIList,Table_ExternalData_15[[#This Row],[item_key]],IsITypeList,Table_ExternalData_15[[#This Row],[IType]],IsDList,Table_ExternalData_15[[#Headers],[20]])</f>
        <v>0</v>
      </c>
      <c r="Y387" s="10">
        <f>SUMIFS(IsQList,IsIList,Table_ExternalData_15[[#This Row],[item_key]],IsITypeList,Table_ExternalData_15[[#This Row],[IType]],IsDList,Table_ExternalData_15[[#Headers],[21]])</f>
        <v>0</v>
      </c>
      <c r="Z387" s="10">
        <f>SUMIFS(IsQList,IsIList,Table_ExternalData_15[[#This Row],[item_key]],IsITypeList,Table_ExternalData_15[[#This Row],[IType]],IsDList,Table_ExternalData_15[[#Headers],[22]])</f>
        <v>0</v>
      </c>
      <c r="AA387" s="10">
        <f>SUMIFS(IsQList,IsIList,Table_ExternalData_15[[#This Row],[item_key]],IsITypeList,Table_ExternalData_15[[#This Row],[IType]],IsDList,Table_ExternalData_15[[#Headers],[23]])</f>
        <v>0</v>
      </c>
      <c r="AB387" s="10">
        <f>SUMIFS(IsQList,IsIList,Table_ExternalData_15[[#This Row],[item_key]],IsITypeList,Table_ExternalData_15[[#This Row],[IType]],IsDList,Table_ExternalData_15[[#Headers],[24]])</f>
        <v>0</v>
      </c>
      <c r="AC387" s="10">
        <f>SUMIFS(IsQList,IsIList,Table_ExternalData_15[[#This Row],[item_key]],IsITypeList,Table_ExternalData_15[[#This Row],[IType]],IsDList,Table_ExternalData_15[[#Headers],[25]])</f>
        <v>0</v>
      </c>
      <c r="AD387" s="10">
        <f>SUMIFS(IsQList,IsIList,Table_ExternalData_15[[#This Row],[item_key]],IsITypeList,Table_ExternalData_15[[#This Row],[IType]],IsDList,Table_ExternalData_15[[#Headers],[26]])</f>
        <v>0</v>
      </c>
      <c r="AE387" s="10">
        <f>SUMIFS(IsQList,IsIList,Table_ExternalData_15[[#This Row],[item_key]],IsITypeList,Table_ExternalData_15[[#This Row],[IType]],IsDList,Table_ExternalData_15[[#Headers],[27]])</f>
        <v>0</v>
      </c>
      <c r="AF387" s="10">
        <f>SUMIFS(IsQList,IsIList,Table_ExternalData_15[[#This Row],[item_key]],IsITypeList,Table_ExternalData_15[[#This Row],[IType]],IsDList,Table_ExternalData_15[[#Headers],[28]])</f>
        <v>0</v>
      </c>
      <c r="AG387" s="10">
        <f>SUMIFS(IsQList,IsIList,Table_ExternalData_15[[#This Row],[item_key]],IsITypeList,Table_ExternalData_15[[#This Row],[IType]],IsDList,Table_ExternalData_15[[#Headers],[29]])</f>
        <v>0</v>
      </c>
      <c r="AH387" s="10">
        <f>SUMIFS(IsQList,IsIList,Table_ExternalData_15[[#This Row],[item_key]],IsITypeList,Table_ExternalData_15[[#This Row],[IType]],IsDList,Table_ExternalData_15[[#Headers],[30]])</f>
        <v>0</v>
      </c>
      <c r="AI387" s="10">
        <f>SUMIFS(IsQList,IsIList,Table_ExternalData_15[[#This Row],[item_key]],IsITypeList,Table_ExternalData_15[[#This Row],[IType]],IsDList,Table_ExternalData_15[[#Headers],[31]])</f>
        <v>0</v>
      </c>
      <c r="AJ387" s="10">
        <f>SUM(Table_ExternalData_15[[#This Row],[1]:[31]])</f>
        <v>26</v>
      </c>
    </row>
    <row r="388" spans="1:36">
      <c r="A388" s="1" t="s">
        <v>1166</v>
      </c>
      <c r="B388" s="1" t="s">
        <v>2859</v>
      </c>
      <c r="C388" s="1" t="s">
        <v>1578</v>
      </c>
      <c r="D388" s="11" t="s">
        <v>72</v>
      </c>
      <c r="E388" s="10">
        <f>SUMIFS(IsQList,IsIList,Table_ExternalData_15[[#This Row],[item_key]],IsITypeList,Table_ExternalData_15[[#This Row],[IType]],IsDList,Table_ExternalData_15[[#Headers],[1]])</f>
        <v>0</v>
      </c>
      <c r="F388" s="10">
        <f>SUMIFS(IsQList,IsIList,Table_ExternalData_15[[#This Row],[item_key]],IsITypeList,Table_ExternalData_15[[#This Row],[IType]],IsDList,Table_ExternalData_15[[#Headers],[2]])</f>
        <v>0</v>
      </c>
      <c r="G388" s="10">
        <f>SUMIFS(IsQList,IsIList,Table_ExternalData_15[[#This Row],[item_key]],IsITypeList,Table_ExternalData_15[[#This Row],[IType]],IsDList,Table_ExternalData_15[[#Headers],[3]])</f>
        <v>0</v>
      </c>
      <c r="H388" s="10">
        <f>SUMIFS(IsQList,IsIList,Table_ExternalData_15[[#This Row],[item_key]],IsITypeList,Table_ExternalData_15[[#This Row],[IType]],IsDList,Table_ExternalData_15[[#Headers],[4]])</f>
        <v>0</v>
      </c>
      <c r="I388" s="10">
        <f>SUMIFS(IsQList,IsIList,Table_ExternalData_15[[#This Row],[item_key]],IsITypeList,Table_ExternalData_15[[#This Row],[IType]],IsDList,Table_ExternalData_15[[#Headers],[5]])</f>
        <v>0</v>
      </c>
      <c r="J388" s="10">
        <f>SUMIFS(IsQList,IsIList,Table_ExternalData_15[[#This Row],[item_key]],IsITypeList,Table_ExternalData_15[[#This Row],[IType]],IsDList,Table_ExternalData_15[[#Headers],[6]])</f>
        <v>0</v>
      </c>
      <c r="K388" s="10">
        <f>SUMIFS(IsQList,IsIList,Table_ExternalData_15[[#This Row],[item_key]],IsITypeList,Table_ExternalData_15[[#This Row],[IType]],IsDList,Table_ExternalData_15[[#Headers],[7]])</f>
        <v>0</v>
      </c>
      <c r="L388" s="10">
        <f>SUMIFS(IsQList,IsIList,Table_ExternalData_15[[#This Row],[item_key]],IsITypeList,Table_ExternalData_15[[#This Row],[IType]],IsDList,Table_ExternalData_15[[#Headers],[8]])</f>
        <v>0</v>
      </c>
      <c r="M388" s="10">
        <f>SUMIFS(IsQList,IsIList,Table_ExternalData_15[[#This Row],[item_key]],IsITypeList,Table_ExternalData_15[[#This Row],[IType]],IsDList,Table_ExternalData_15[[#Headers],[9]])</f>
        <v>0</v>
      </c>
      <c r="N388" s="10">
        <f>SUMIFS(IsQList,IsIList,Table_ExternalData_15[[#This Row],[item_key]],IsITypeList,Table_ExternalData_15[[#This Row],[IType]],IsDList,Table_ExternalData_15[[#Headers],[10]])</f>
        <v>0</v>
      </c>
      <c r="O388" s="10">
        <f>SUMIFS(IsQList,IsIList,Table_ExternalData_15[[#This Row],[item_key]],IsITypeList,Table_ExternalData_15[[#This Row],[IType]],IsDList,Table_ExternalData_15[[#Headers],[11]])</f>
        <v>0</v>
      </c>
      <c r="P388" s="10">
        <f>SUMIFS(IsQList,IsIList,Table_ExternalData_15[[#This Row],[item_key]],IsITypeList,Table_ExternalData_15[[#This Row],[IType]],IsDList,Table_ExternalData_15[[#Headers],[12]])</f>
        <v>0</v>
      </c>
      <c r="Q388" s="10">
        <f>SUMIFS(IsQList,IsIList,Table_ExternalData_15[[#This Row],[item_key]],IsITypeList,Table_ExternalData_15[[#This Row],[IType]],IsDList,Table_ExternalData_15[[#Headers],[13]])</f>
        <v>0</v>
      </c>
      <c r="R388" s="10">
        <f>SUMIFS(IsQList,IsIList,Table_ExternalData_15[[#This Row],[item_key]],IsITypeList,Table_ExternalData_15[[#This Row],[IType]],IsDList,Table_ExternalData_15[[#Headers],[14]])</f>
        <v>0</v>
      </c>
      <c r="S388" s="10">
        <f>SUMIFS(IsQList,IsIList,Table_ExternalData_15[[#This Row],[item_key]],IsITypeList,Table_ExternalData_15[[#This Row],[IType]],IsDList,Table_ExternalData_15[[#Headers],[15]])</f>
        <v>0</v>
      </c>
      <c r="T388" s="10">
        <f>SUMIFS(IsQList,IsIList,Table_ExternalData_15[[#This Row],[item_key]],IsITypeList,Table_ExternalData_15[[#This Row],[IType]],IsDList,Table_ExternalData_15[[#Headers],[16]])</f>
        <v>0</v>
      </c>
      <c r="U388" s="10">
        <f>SUMIFS(IsQList,IsIList,Table_ExternalData_15[[#This Row],[item_key]],IsITypeList,Table_ExternalData_15[[#This Row],[IType]],IsDList,Table_ExternalData_15[[#Headers],[17]])</f>
        <v>2</v>
      </c>
      <c r="V388" s="10">
        <f>SUMIFS(IsQList,IsIList,Table_ExternalData_15[[#This Row],[item_key]],IsITypeList,Table_ExternalData_15[[#This Row],[IType]],IsDList,Table_ExternalData_15[[#Headers],[18]])</f>
        <v>0</v>
      </c>
      <c r="W388" s="10">
        <f>SUMIFS(IsQList,IsIList,Table_ExternalData_15[[#This Row],[item_key]],IsITypeList,Table_ExternalData_15[[#This Row],[IType]],IsDList,Table_ExternalData_15[[#Headers],[19]])</f>
        <v>0</v>
      </c>
      <c r="X388" s="10">
        <f>SUMIFS(IsQList,IsIList,Table_ExternalData_15[[#This Row],[item_key]],IsITypeList,Table_ExternalData_15[[#This Row],[IType]],IsDList,Table_ExternalData_15[[#Headers],[20]])</f>
        <v>0</v>
      </c>
      <c r="Y388" s="10">
        <f>SUMIFS(IsQList,IsIList,Table_ExternalData_15[[#This Row],[item_key]],IsITypeList,Table_ExternalData_15[[#This Row],[IType]],IsDList,Table_ExternalData_15[[#Headers],[21]])</f>
        <v>0</v>
      </c>
      <c r="Z388" s="10">
        <f>SUMIFS(IsQList,IsIList,Table_ExternalData_15[[#This Row],[item_key]],IsITypeList,Table_ExternalData_15[[#This Row],[IType]],IsDList,Table_ExternalData_15[[#Headers],[22]])</f>
        <v>0</v>
      </c>
      <c r="AA388" s="10">
        <f>SUMIFS(IsQList,IsIList,Table_ExternalData_15[[#This Row],[item_key]],IsITypeList,Table_ExternalData_15[[#This Row],[IType]],IsDList,Table_ExternalData_15[[#Headers],[23]])</f>
        <v>0</v>
      </c>
      <c r="AB388" s="10">
        <f>SUMIFS(IsQList,IsIList,Table_ExternalData_15[[#This Row],[item_key]],IsITypeList,Table_ExternalData_15[[#This Row],[IType]],IsDList,Table_ExternalData_15[[#Headers],[24]])</f>
        <v>3</v>
      </c>
      <c r="AC388" s="10">
        <f>SUMIFS(IsQList,IsIList,Table_ExternalData_15[[#This Row],[item_key]],IsITypeList,Table_ExternalData_15[[#This Row],[IType]],IsDList,Table_ExternalData_15[[#Headers],[25]])</f>
        <v>0</v>
      </c>
      <c r="AD388" s="10">
        <f>SUMIFS(IsQList,IsIList,Table_ExternalData_15[[#This Row],[item_key]],IsITypeList,Table_ExternalData_15[[#This Row],[IType]],IsDList,Table_ExternalData_15[[#Headers],[26]])</f>
        <v>0</v>
      </c>
      <c r="AE388" s="10">
        <f>SUMIFS(IsQList,IsIList,Table_ExternalData_15[[#This Row],[item_key]],IsITypeList,Table_ExternalData_15[[#This Row],[IType]],IsDList,Table_ExternalData_15[[#Headers],[27]])</f>
        <v>0</v>
      </c>
      <c r="AF388" s="10">
        <f>SUMIFS(IsQList,IsIList,Table_ExternalData_15[[#This Row],[item_key]],IsITypeList,Table_ExternalData_15[[#This Row],[IType]],IsDList,Table_ExternalData_15[[#Headers],[28]])</f>
        <v>0</v>
      </c>
      <c r="AG388" s="10">
        <f>SUMIFS(IsQList,IsIList,Table_ExternalData_15[[#This Row],[item_key]],IsITypeList,Table_ExternalData_15[[#This Row],[IType]],IsDList,Table_ExternalData_15[[#Headers],[29]])</f>
        <v>0</v>
      </c>
      <c r="AH388" s="10">
        <f>SUMIFS(IsQList,IsIList,Table_ExternalData_15[[#This Row],[item_key]],IsITypeList,Table_ExternalData_15[[#This Row],[IType]],IsDList,Table_ExternalData_15[[#Headers],[30]])</f>
        <v>0</v>
      </c>
      <c r="AI388" s="10">
        <f>SUMIFS(IsQList,IsIList,Table_ExternalData_15[[#This Row],[item_key]],IsITypeList,Table_ExternalData_15[[#This Row],[IType]],IsDList,Table_ExternalData_15[[#Headers],[31]])</f>
        <v>0</v>
      </c>
      <c r="AJ388" s="10">
        <f>SUM(Table_ExternalData_15[[#This Row],[1]:[31]])</f>
        <v>5</v>
      </c>
    </row>
    <row r="389" spans="1:36">
      <c r="A389" s="1" t="s">
        <v>1167</v>
      </c>
      <c r="B389" s="1" t="s">
        <v>2860</v>
      </c>
      <c r="C389" s="1" t="s">
        <v>1580</v>
      </c>
      <c r="D389" s="11" t="s">
        <v>72</v>
      </c>
      <c r="E389" s="10">
        <f>SUMIFS(IsQList,IsIList,Table_ExternalData_15[[#This Row],[item_key]],IsITypeList,Table_ExternalData_15[[#This Row],[IType]],IsDList,Table_ExternalData_15[[#Headers],[1]])</f>
        <v>0</v>
      </c>
      <c r="F389" s="10">
        <f>SUMIFS(IsQList,IsIList,Table_ExternalData_15[[#This Row],[item_key]],IsITypeList,Table_ExternalData_15[[#This Row],[IType]],IsDList,Table_ExternalData_15[[#Headers],[2]])</f>
        <v>0</v>
      </c>
      <c r="G389" s="10">
        <f>SUMIFS(IsQList,IsIList,Table_ExternalData_15[[#This Row],[item_key]],IsITypeList,Table_ExternalData_15[[#This Row],[IType]],IsDList,Table_ExternalData_15[[#Headers],[3]])</f>
        <v>0</v>
      </c>
      <c r="H389" s="10">
        <f>SUMIFS(IsQList,IsIList,Table_ExternalData_15[[#This Row],[item_key]],IsITypeList,Table_ExternalData_15[[#This Row],[IType]],IsDList,Table_ExternalData_15[[#Headers],[4]])</f>
        <v>0</v>
      </c>
      <c r="I389" s="10">
        <f>SUMIFS(IsQList,IsIList,Table_ExternalData_15[[#This Row],[item_key]],IsITypeList,Table_ExternalData_15[[#This Row],[IType]],IsDList,Table_ExternalData_15[[#Headers],[5]])</f>
        <v>0</v>
      </c>
      <c r="J389" s="10">
        <f>SUMIFS(IsQList,IsIList,Table_ExternalData_15[[#This Row],[item_key]],IsITypeList,Table_ExternalData_15[[#This Row],[IType]],IsDList,Table_ExternalData_15[[#Headers],[6]])</f>
        <v>0</v>
      </c>
      <c r="K389" s="10">
        <f>SUMIFS(IsQList,IsIList,Table_ExternalData_15[[#This Row],[item_key]],IsITypeList,Table_ExternalData_15[[#This Row],[IType]],IsDList,Table_ExternalData_15[[#Headers],[7]])</f>
        <v>0</v>
      </c>
      <c r="L389" s="10">
        <f>SUMIFS(IsQList,IsIList,Table_ExternalData_15[[#This Row],[item_key]],IsITypeList,Table_ExternalData_15[[#This Row],[IType]],IsDList,Table_ExternalData_15[[#Headers],[8]])</f>
        <v>0</v>
      </c>
      <c r="M389" s="10">
        <f>SUMIFS(IsQList,IsIList,Table_ExternalData_15[[#This Row],[item_key]],IsITypeList,Table_ExternalData_15[[#This Row],[IType]],IsDList,Table_ExternalData_15[[#Headers],[9]])</f>
        <v>0</v>
      </c>
      <c r="N389" s="10">
        <f>SUMIFS(IsQList,IsIList,Table_ExternalData_15[[#This Row],[item_key]],IsITypeList,Table_ExternalData_15[[#This Row],[IType]],IsDList,Table_ExternalData_15[[#Headers],[10]])</f>
        <v>0</v>
      </c>
      <c r="O389" s="10">
        <f>SUMIFS(IsQList,IsIList,Table_ExternalData_15[[#This Row],[item_key]],IsITypeList,Table_ExternalData_15[[#This Row],[IType]],IsDList,Table_ExternalData_15[[#Headers],[11]])</f>
        <v>0</v>
      </c>
      <c r="P389" s="10">
        <f>SUMIFS(IsQList,IsIList,Table_ExternalData_15[[#This Row],[item_key]],IsITypeList,Table_ExternalData_15[[#This Row],[IType]],IsDList,Table_ExternalData_15[[#Headers],[12]])</f>
        <v>0</v>
      </c>
      <c r="Q389" s="10">
        <f>SUMIFS(IsQList,IsIList,Table_ExternalData_15[[#This Row],[item_key]],IsITypeList,Table_ExternalData_15[[#This Row],[IType]],IsDList,Table_ExternalData_15[[#Headers],[13]])</f>
        <v>0</v>
      </c>
      <c r="R389" s="10">
        <f>SUMIFS(IsQList,IsIList,Table_ExternalData_15[[#This Row],[item_key]],IsITypeList,Table_ExternalData_15[[#This Row],[IType]],IsDList,Table_ExternalData_15[[#Headers],[14]])</f>
        <v>0</v>
      </c>
      <c r="S389" s="10">
        <f>SUMIFS(IsQList,IsIList,Table_ExternalData_15[[#This Row],[item_key]],IsITypeList,Table_ExternalData_15[[#This Row],[IType]],IsDList,Table_ExternalData_15[[#Headers],[15]])</f>
        <v>0</v>
      </c>
      <c r="T389" s="10">
        <f>SUMIFS(IsQList,IsIList,Table_ExternalData_15[[#This Row],[item_key]],IsITypeList,Table_ExternalData_15[[#This Row],[IType]],IsDList,Table_ExternalData_15[[#Headers],[16]])</f>
        <v>0</v>
      </c>
      <c r="U389" s="10">
        <f>SUMIFS(IsQList,IsIList,Table_ExternalData_15[[#This Row],[item_key]],IsITypeList,Table_ExternalData_15[[#This Row],[IType]],IsDList,Table_ExternalData_15[[#Headers],[17]])</f>
        <v>2</v>
      </c>
      <c r="V389" s="10">
        <f>SUMIFS(IsQList,IsIList,Table_ExternalData_15[[#This Row],[item_key]],IsITypeList,Table_ExternalData_15[[#This Row],[IType]],IsDList,Table_ExternalData_15[[#Headers],[18]])</f>
        <v>0</v>
      </c>
      <c r="W389" s="10">
        <f>SUMIFS(IsQList,IsIList,Table_ExternalData_15[[#This Row],[item_key]],IsITypeList,Table_ExternalData_15[[#This Row],[IType]],IsDList,Table_ExternalData_15[[#Headers],[19]])</f>
        <v>0</v>
      </c>
      <c r="X389" s="10">
        <f>SUMIFS(IsQList,IsIList,Table_ExternalData_15[[#This Row],[item_key]],IsITypeList,Table_ExternalData_15[[#This Row],[IType]],IsDList,Table_ExternalData_15[[#Headers],[20]])</f>
        <v>0</v>
      </c>
      <c r="Y389" s="10">
        <f>SUMIFS(IsQList,IsIList,Table_ExternalData_15[[#This Row],[item_key]],IsITypeList,Table_ExternalData_15[[#This Row],[IType]],IsDList,Table_ExternalData_15[[#Headers],[21]])</f>
        <v>0</v>
      </c>
      <c r="Z389" s="10">
        <f>SUMIFS(IsQList,IsIList,Table_ExternalData_15[[#This Row],[item_key]],IsITypeList,Table_ExternalData_15[[#This Row],[IType]],IsDList,Table_ExternalData_15[[#Headers],[22]])</f>
        <v>0</v>
      </c>
      <c r="AA389" s="10">
        <f>SUMIFS(IsQList,IsIList,Table_ExternalData_15[[#This Row],[item_key]],IsITypeList,Table_ExternalData_15[[#This Row],[IType]],IsDList,Table_ExternalData_15[[#Headers],[23]])</f>
        <v>0</v>
      </c>
      <c r="AB389" s="10">
        <f>SUMIFS(IsQList,IsIList,Table_ExternalData_15[[#This Row],[item_key]],IsITypeList,Table_ExternalData_15[[#This Row],[IType]],IsDList,Table_ExternalData_15[[#Headers],[24]])</f>
        <v>3</v>
      </c>
      <c r="AC389" s="10">
        <f>SUMIFS(IsQList,IsIList,Table_ExternalData_15[[#This Row],[item_key]],IsITypeList,Table_ExternalData_15[[#This Row],[IType]],IsDList,Table_ExternalData_15[[#Headers],[25]])</f>
        <v>0</v>
      </c>
      <c r="AD389" s="10">
        <f>SUMIFS(IsQList,IsIList,Table_ExternalData_15[[#This Row],[item_key]],IsITypeList,Table_ExternalData_15[[#This Row],[IType]],IsDList,Table_ExternalData_15[[#Headers],[26]])</f>
        <v>0</v>
      </c>
      <c r="AE389" s="10">
        <f>SUMIFS(IsQList,IsIList,Table_ExternalData_15[[#This Row],[item_key]],IsITypeList,Table_ExternalData_15[[#This Row],[IType]],IsDList,Table_ExternalData_15[[#Headers],[27]])</f>
        <v>0</v>
      </c>
      <c r="AF389" s="10">
        <f>SUMIFS(IsQList,IsIList,Table_ExternalData_15[[#This Row],[item_key]],IsITypeList,Table_ExternalData_15[[#This Row],[IType]],IsDList,Table_ExternalData_15[[#Headers],[28]])</f>
        <v>0</v>
      </c>
      <c r="AG389" s="10">
        <f>SUMIFS(IsQList,IsIList,Table_ExternalData_15[[#This Row],[item_key]],IsITypeList,Table_ExternalData_15[[#This Row],[IType]],IsDList,Table_ExternalData_15[[#Headers],[29]])</f>
        <v>0</v>
      </c>
      <c r="AH389" s="10">
        <f>SUMIFS(IsQList,IsIList,Table_ExternalData_15[[#This Row],[item_key]],IsITypeList,Table_ExternalData_15[[#This Row],[IType]],IsDList,Table_ExternalData_15[[#Headers],[30]])</f>
        <v>0</v>
      </c>
      <c r="AI389" s="10">
        <f>SUMIFS(IsQList,IsIList,Table_ExternalData_15[[#This Row],[item_key]],IsITypeList,Table_ExternalData_15[[#This Row],[IType]],IsDList,Table_ExternalData_15[[#Headers],[31]])</f>
        <v>0</v>
      </c>
      <c r="AJ389" s="10">
        <f>SUM(Table_ExternalData_15[[#This Row],[1]:[31]])</f>
        <v>5</v>
      </c>
    </row>
    <row r="390" spans="1:36">
      <c r="A390" s="1" t="s">
        <v>1168</v>
      </c>
      <c r="B390" s="1" t="s">
        <v>1581</v>
      </c>
      <c r="C390" s="1" t="s">
        <v>1420</v>
      </c>
      <c r="D390" s="11" t="s">
        <v>72</v>
      </c>
      <c r="E390" s="10">
        <f>SUMIFS(IsQList,IsIList,Table_ExternalData_15[[#This Row],[item_key]],IsITypeList,Table_ExternalData_15[[#This Row],[IType]],IsDList,Table_ExternalData_15[[#Headers],[1]])</f>
        <v>0</v>
      </c>
      <c r="F390" s="10">
        <f>SUMIFS(IsQList,IsIList,Table_ExternalData_15[[#This Row],[item_key]],IsITypeList,Table_ExternalData_15[[#This Row],[IType]],IsDList,Table_ExternalData_15[[#Headers],[2]])</f>
        <v>0</v>
      </c>
      <c r="G390" s="10">
        <f>SUMIFS(IsQList,IsIList,Table_ExternalData_15[[#This Row],[item_key]],IsITypeList,Table_ExternalData_15[[#This Row],[IType]],IsDList,Table_ExternalData_15[[#Headers],[3]])</f>
        <v>0</v>
      </c>
      <c r="H390" s="10">
        <f>SUMIFS(IsQList,IsIList,Table_ExternalData_15[[#This Row],[item_key]],IsITypeList,Table_ExternalData_15[[#This Row],[IType]],IsDList,Table_ExternalData_15[[#Headers],[4]])</f>
        <v>0</v>
      </c>
      <c r="I390" s="10">
        <f>SUMIFS(IsQList,IsIList,Table_ExternalData_15[[#This Row],[item_key]],IsITypeList,Table_ExternalData_15[[#This Row],[IType]],IsDList,Table_ExternalData_15[[#Headers],[5]])</f>
        <v>0</v>
      </c>
      <c r="J390" s="10">
        <f>SUMIFS(IsQList,IsIList,Table_ExternalData_15[[#This Row],[item_key]],IsITypeList,Table_ExternalData_15[[#This Row],[IType]],IsDList,Table_ExternalData_15[[#Headers],[6]])</f>
        <v>0</v>
      </c>
      <c r="K390" s="10">
        <f>SUMIFS(IsQList,IsIList,Table_ExternalData_15[[#This Row],[item_key]],IsITypeList,Table_ExternalData_15[[#This Row],[IType]],IsDList,Table_ExternalData_15[[#Headers],[7]])</f>
        <v>0</v>
      </c>
      <c r="L390" s="10">
        <f>SUMIFS(IsQList,IsIList,Table_ExternalData_15[[#This Row],[item_key]],IsITypeList,Table_ExternalData_15[[#This Row],[IType]],IsDList,Table_ExternalData_15[[#Headers],[8]])</f>
        <v>0</v>
      </c>
      <c r="M390" s="10">
        <f>SUMIFS(IsQList,IsIList,Table_ExternalData_15[[#This Row],[item_key]],IsITypeList,Table_ExternalData_15[[#This Row],[IType]],IsDList,Table_ExternalData_15[[#Headers],[9]])</f>
        <v>0</v>
      </c>
      <c r="N390" s="10">
        <f>SUMIFS(IsQList,IsIList,Table_ExternalData_15[[#This Row],[item_key]],IsITypeList,Table_ExternalData_15[[#This Row],[IType]],IsDList,Table_ExternalData_15[[#Headers],[10]])</f>
        <v>2</v>
      </c>
      <c r="O390" s="10">
        <f>SUMIFS(IsQList,IsIList,Table_ExternalData_15[[#This Row],[item_key]],IsITypeList,Table_ExternalData_15[[#This Row],[IType]],IsDList,Table_ExternalData_15[[#Headers],[11]])</f>
        <v>0</v>
      </c>
      <c r="P390" s="10">
        <f>SUMIFS(IsQList,IsIList,Table_ExternalData_15[[#This Row],[item_key]],IsITypeList,Table_ExternalData_15[[#This Row],[IType]],IsDList,Table_ExternalData_15[[#Headers],[12]])</f>
        <v>0</v>
      </c>
      <c r="Q390" s="10">
        <f>SUMIFS(IsQList,IsIList,Table_ExternalData_15[[#This Row],[item_key]],IsITypeList,Table_ExternalData_15[[#This Row],[IType]],IsDList,Table_ExternalData_15[[#Headers],[13]])</f>
        <v>0</v>
      </c>
      <c r="R390" s="10">
        <f>SUMIFS(IsQList,IsIList,Table_ExternalData_15[[#This Row],[item_key]],IsITypeList,Table_ExternalData_15[[#This Row],[IType]],IsDList,Table_ExternalData_15[[#Headers],[14]])</f>
        <v>0</v>
      </c>
      <c r="S390" s="10">
        <f>SUMIFS(IsQList,IsIList,Table_ExternalData_15[[#This Row],[item_key]],IsITypeList,Table_ExternalData_15[[#This Row],[IType]],IsDList,Table_ExternalData_15[[#Headers],[15]])</f>
        <v>0</v>
      </c>
      <c r="T390" s="10">
        <f>SUMIFS(IsQList,IsIList,Table_ExternalData_15[[#This Row],[item_key]],IsITypeList,Table_ExternalData_15[[#This Row],[IType]],IsDList,Table_ExternalData_15[[#Headers],[16]])</f>
        <v>0</v>
      </c>
      <c r="U390" s="10">
        <f>SUMIFS(IsQList,IsIList,Table_ExternalData_15[[#This Row],[item_key]],IsITypeList,Table_ExternalData_15[[#This Row],[IType]],IsDList,Table_ExternalData_15[[#Headers],[17]])</f>
        <v>0</v>
      </c>
      <c r="V390" s="10">
        <f>SUMIFS(IsQList,IsIList,Table_ExternalData_15[[#This Row],[item_key]],IsITypeList,Table_ExternalData_15[[#This Row],[IType]],IsDList,Table_ExternalData_15[[#Headers],[18]])</f>
        <v>0</v>
      </c>
      <c r="W390" s="10">
        <f>SUMIFS(IsQList,IsIList,Table_ExternalData_15[[#This Row],[item_key]],IsITypeList,Table_ExternalData_15[[#This Row],[IType]],IsDList,Table_ExternalData_15[[#Headers],[19]])</f>
        <v>0</v>
      </c>
      <c r="X390" s="10">
        <f>SUMIFS(IsQList,IsIList,Table_ExternalData_15[[#This Row],[item_key]],IsITypeList,Table_ExternalData_15[[#This Row],[IType]],IsDList,Table_ExternalData_15[[#Headers],[20]])</f>
        <v>0</v>
      </c>
      <c r="Y390" s="10">
        <f>SUMIFS(IsQList,IsIList,Table_ExternalData_15[[#This Row],[item_key]],IsITypeList,Table_ExternalData_15[[#This Row],[IType]],IsDList,Table_ExternalData_15[[#Headers],[21]])</f>
        <v>0</v>
      </c>
      <c r="Z390" s="10">
        <f>SUMIFS(IsQList,IsIList,Table_ExternalData_15[[#This Row],[item_key]],IsITypeList,Table_ExternalData_15[[#This Row],[IType]],IsDList,Table_ExternalData_15[[#Headers],[22]])</f>
        <v>0</v>
      </c>
      <c r="AA390" s="10">
        <f>SUMIFS(IsQList,IsIList,Table_ExternalData_15[[#This Row],[item_key]],IsITypeList,Table_ExternalData_15[[#This Row],[IType]],IsDList,Table_ExternalData_15[[#Headers],[23]])</f>
        <v>0</v>
      </c>
      <c r="AB390" s="10">
        <f>SUMIFS(IsQList,IsIList,Table_ExternalData_15[[#This Row],[item_key]],IsITypeList,Table_ExternalData_15[[#This Row],[IType]],IsDList,Table_ExternalData_15[[#Headers],[24]])</f>
        <v>0</v>
      </c>
      <c r="AC390" s="10">
        <f>SUMIFS(IsQList,IsIList,Table_ExternalData_15[[#This Row],[item_key]],IsITypeList,Table_ExternalData_15[[#This Row],[IType]],IsDList,Table_ExternalData_15[[#Headers],[25]])</f>
        <v>0</v>
      </c>
      <c r="AD390" s="10">
        <f>SUMIFS(IsQList,IsIList,Table_ExternalData_15[[#This Row],[item_key]],IsITypeList,Table_ExternalData_15[[#This Row],[IType]],IsDList,Table_ExternalData_15[[#Headers],[26]])</f>
        <v>0</v>
      </c>
      <c r="AE390" s="10">
        <f>SUMIFS(IsQList,IsIList,Table_ExternalData_15[[#This Row],[item_key]],IsITypeList,Table_ExternalData_15[[#This Row],[IType]],IsDList,Table_ExternalData_15[[#Headers],[27]])</f>
        <v>0</v>
      </c>
      <c r="AF390" s="10">
        <f>SUMIFS(IsQList,IsIList,Table_ExternalData_15[[#This Row],[item_key]],IsITypeList,Table_ExternalData_15[[#This Row],[IType]],IsDList,Table_ExternalData_15[[#Headers],[28]])</f>
        <v>0</v>
      </c>
      <c r="AG390" s="10">
        <f>SUMIFS(IsQList,IsIList,Table_ExternalData_15[[#This Row],[item_key]],IsITypeList,Table_ExternalData_15[[#This Row],[IType]],IsDList,Table_ExternalData_15[[#Headers],[29]])</f>
        <v>0</v>
      </c>
      <c r="AH390" s="10">
        <f>SUMIFS(IsQList,IsIList,Table_ExternalData_15[[#This Row],[item_key]],IsITypeList,Table_ExternalData_15[[#This Row],[IType]],IsDList,Table_ExternalData_15[[#Headers],[30]])</f>
        <v>0</v>
      </c>
      <c r="AI390" s="10">
        <f>SUMIFS(IsQList,IsIList,Table_ExternalData_15[[#This Row],[item_key]],IsITypeList,Table_ExternalData_15[[#This Row],[IType]],IsDList,Table_ExternalData_15[[#Headers],[31]])</f>
        <v>0</v>
      </c>
      <c r="AJ390" s="10">
        <f>SUM(Table_ExternalData_15[[#This Row],[1]:[31]])</f>
        <v>2</v>
      </c>
    </row>
    <row r="391" spans="1:36">
      <c r="A391" s="1" t="s">
        <v>1169</v>
      </c>
      <c r="B391" s="1" t="s">
        <v>2861</v>
      </c>
      <c r="C391" s="1" t="s">
        <v>2862</v>
      </c>
      <c r="D391" s="11" t="s">
        <v>72</v>
      </c>
      <c r="E391" s="10">
        <f>SUMIFS(IsQList,IsIList,Table_ExternalData_15[[#This Row],[item_key]],IsITypeList,Table_ExternalData_15[[#This Row],[IType]],IsDList,Table_ExternalData_15[[#Headers],[1]])</f>
        <v>0</v>
      </c>
      <c r="F391" s="10">
        <f>SUMIFS(IsQList,IsIList,Table_ExternalData_15[[#This Row],[item_key]],IsITypeList,Table_ExternalData_15[[#This Row],[IType]],IsDList,Table_ExternalData_15[[#Headers],[2]])</f>
        <v>0</v>
      </c>
      <c r="G391" s="10">
        <f>SUMIFS(IsQList,IsIList,Table_ExternalData_15[[#This Row],[item_key]],IsITypeList,Table_ExternalData_15[[#This Row],[IType]],IsDList,Table_ExternalData_15[[#Headers],[3]])</f>
        <v>0</v>
      </c>
      <c r="H391" s="10">
        <f>SUMIFS(IsQList,IsIList,Table_ExternalData_15[[#This Row],[item_key]],IsITypeList,Table_ExternalData_15[[#This Row],[IType]],IsDList,Table_ExternalData_15[[#Headers],[4]])</f>
        <v>0</v>
      </c>
      <c r="I391" s="10">
        <f>SUMIFS(IsQList,IsIList,Table_ExternalData_15[[#This Row],[item_key]],IsITypeList,Table_ExternalData_15[[#This Row],[IType]],IsDList,Table_ExternalData_15[[#Headers],[5]])</f>
        <v>0</v>
      </c>
      <c r="J391" s="10">
        <f>SUMIFS(IsQList,IsIList,Table_ExternalData_15[[#This Row],[item_key]],IsITypeList,Table_ExternalData_15[[#This Row],[IType]],IsDList,Table_ExternalData_15[[#Headers],[6]])</f>
        <v>0</v>
      </c>
      <c r="K391" s="10">
        <f>SUMIFS(IsQList,IsIList,Table_ExternalData_15[[#This Row],[item_key]],IsITypeList,Table_ExternalData_15[[#This Row],[IType]],IsDList,Table_ExternalData_15[[#Headers],[7]])</f>
        <v>0</v>
      </c>
      <c r="L391" s="10">
        <f>SUMIFS(IsQList,IsIList,Table_ExternalData_15[[#This Row],[item_key]],IsITypeList,Table_ExternalData_15[[#This Row],[IType]],IsDList,Table_ExternalData_15[[#Headers],[8]])</f>
        <v>0</v>
      </c>
      <c r="M391" s="10">
        <f>SUMIFS(IsQList,IsIList,Table_ExternalData_15[[#This Row],[item_key]],IsITypeList,Table_ExternalData_15[[#This Row],[IType]],IsDList,Table_ExternalData_15[[#Headers],[9]])</f>
        <v>0</v>
      </c>
      <c r="N391" s="10">
        <f>SUMIFS(IsQList,IsIList,Table_ExternalData_15[[#This Row],[item_key]],IsITypeList,Table_ExternalData_15[[#This Row],[IType]],IsDList,Table_ExternalData_15[[#Headers],[10]])</f>
        <v>0</v>
      </c>
      <c r="O391" s="10">
        <f>SUMIFS(IsQList,IsIList,Table_ExternalData_15[[#This Row],[item_key]],IsITypeList,Table_ExternalData_15[[#This Row],[IType]],IsDList,Table_ExternalData_15[[#Headers],[11]])</f>
        <v>0</v>
      </c>
      <c r="P391" s="10">
        <f>SUMIFS(IsQList,IsIList,Table_ExternalData_15[[#This Row],[item_key]],IsITypeList,Table_ExternalData_15[[#This Row],[IType]],IsDList,Table_ExternalData_15[[#Headers],[12]])</f>
        <v>0</v>
      </c>
      <c r="Q391" s="10">
        <f>SUMIFS(IsQList,IsIList,Table_ExternalData_15[[#This Row],[item_key]],IsITypeList,Table_ExternalData_15[[#This Row],[IType]],IsDList,Table_ExternalData_15[[#Headers],[13]])</f>
        <v>0</v>
      </c>
      <c r="R391" s="10">
        <f>SUMIFS(IsQList,IsIList,Table_ExternalData_15[[#This Row],[item_key]],IsITypeList,Table_ExternalData_15[[#This Row],[IType]],IsDList,Table_ExternalData_15[[#Headers],[14]])</f>
        <v>0</v>
      </c>
      <c r="S391" s="10">
        <f>SUMIFS(IsQList,IsIList,Table_ExternalData_15[[#This Row],[item_key]],IsITypeList,Table_ExternalData_15[[#This Row],[IType]],IsDList,Table_ExternalData_15[[#Headers],[15]])</f>
        <v>0</v>
      </c>
      <c r="T391" s="10">
        <f>SUMIFS(IsQList,IsIList,Table_ExternalData_15[[#This Row],[item_key]],IsITypeList,Table_ExternalData_15[[#This Row],[IType]],IsDList,Table_ExternalData_15[[#Headers],[16]])</f>
        <v>0</v>
      </c>
      <c r="U391" s="10">
        <f>SUMIFS(IsQList,IsIList,Table_ExternalData_15[[#This Row],[item_key]],IsITypeList,Table_ExternalData_15[[#This Row],[IType]],IsDList,Table_ExternalData_15[[#Headers],[17]])</f>
        <v>0</v>
      </c>
      <c r="V391" s="10">
        <f>SUMIFS(IsQList,IsIList,Table_ExternalData_15[[#This Row],[item_key]],IsITypeList,Table_ExternalData_15[[#This Row],[IType]],IsDList,Table_ExternalData_15[[#Headers],[18]])</f>
        <v>0</v>
      </c>
      <c r="W391" s="10">
        <f>SUMIFS(IsQList,IsIList,Table_ExternalData_15[[#This Row],[item_key]],IsITypeList,Table_ExternalData_15[[#This Row],[IType]],IsDList,Table_ExternalData_15[[#Headers],[19]])</f>
        <v>0</v>
      </c>
      <c r="X391" s="10">
        <f>SUMIFS(IsQList,IsIList,Table_ExternalData_15[[#This Row],[item_key]],IsITypeList,Table_ExternalData_15[[#This Row],[IType]],IsDList,Table_ExternalData_15[[#Headers],[20]])</f>
        <v>0</v>
      </c>
      <c r="Y391" s="10">
        <f>SUMIFS(IsQList,IsIList,Table_ExternalData_15[[#This Row],[item_key]],IsITypeList,Table_ExternalData_15[[#This Row],[IType]],IsDList,Table_ExternalData_15[[#Headers],[21]])</f>
        <v>0</v>
      </c>
      <c r="Z391" s="10">
        <f>SUMIFS(IsQList,IsIList,Table_ExternalData_15[[#This Row],[item_key]],IsITypeList,Table_ExternalData_15[[#This Row],[IType]],IsDList,Table_ExternalData_15[[#Headers],[22]])</f>
        <v>0</v>
      </c>
      <c r="AA391" s="10">
        <f>SUMIFS(IsQList,IsIList,Table_ExternalData_15[[#This Row],[item_key]],IsITypeList,Table_ExternalData_15[[#This Row],[IType]],IsDList,Table_ExternalData_15[[#Headers],[23]])</f>
        <v>0</v>
      </c>
      <c r="AB391" s="10">
        <f>SUMIFS(IsQList,IsIList,Table_ExternalData_15[[#This Row],[item_key]],IsITypeList,Table_ExternalData_15[[#This Row],[IType]],IsDList,Table_ExternalData_15[[#Headers],[24]])</f>
        <v>0</v>
      </c>
      <c r="AC391" s="10">
        <f>SUMIFS(IsQList,IsIList,Table_ExternalData_15[[#This Row],[item_key]],IsITypeList,Table_ExternalData_15[[#This Row],[IType]],IsDList,Table_ExternalData_15[[#Headers],[25]])</f>
        <v>0</v>
      </c>
      <c r="AD391" s="10">
        <f>SUMIFS(IsQList,IsIList,Table_ExternalData_15[[#This Row],[item_key]],IsITypeList,Table_ExternalData_15[[#This Row],[IType]],IsDList,Table_ExternalData_15[[#Headers],[26]])</f>
        <v>0</v>
      </c>
      <c r="AE391" s="10">
        <f>SUMIFS(IsQList,IsIList,Table_ExternalData_15[[#This Row],[item_key]],IsITypeList,Table_ExternalData_15[[#This Row],[IType]],IsDList,Table_ExternalData_15[[#Headers],[27]])</f>
        <v>0</v>
      </c>
      <c r="AF391" s="10">
        <f>SUMIFS(IsQList,IsIList,Table_ExternalData_15[[#This Row],[item_key]],IsITypeList,Table_ExternalData_15[[#This Row],[IType]],IsDList,Table_ExternalData_15[[#Headers],[28]])</f>
        <v>0</v>
      </c>
      <c r="AG391" s="10">
        <f>SUMIFS(IsQList,IsIList,Table_ExternalData_15[[#This Row],[item_key]],IsITypeList,Table_ExternalData_15[[#This Row],[IType]],IsDList,Table_ExternalData_15[[#Headers],[29]])</f>
        <v>0</v>
      </c>
      <c r="AH391" s="10">
        <f>SUMIFS(IsQList,IsIList,Table_ExternalData_15[[#This Row],[item_key]],IsITypeList,Table_ExternalData_15[[#This Row],[IType]],IsDList,Table_ExternalData_15[[#Headers],[30]])</f>
        <v>0</v>
      </c>
      <c r="AI391" s="10">
        <f>SUMIFS(IsQList,IsIList,Table_ExternalData_15[[#This Row],[item_key]],IsITypeList,Table_ExternalData_15[[#This Row],[IType]],IsDList,Table_ExternalData_15[[#Headers],[31]])</f>
        <v>0</v>
      </c>
      <c r="AJ391" s="10">
        <f>SUM(Table_ExternalData_15[[#This Row],[1]:[31]])</f>
        <v>0</v>
      </c>
    </row>
    <row r="392" spans="1:36">
      <c r="A392" s="1" t="s">
        <v>1171</v>
      </c>
      <c r="B392" s="1" t="s">
        <v>2863</v>
      </c>
      <c r="C392" s="1" t="s">
        <v>2864</v>
      </c>
      <c r="D392" s="11" t="s">
        <v>72</v>
      </c>
      <c r="E392" s="10">
        <f>SUMIFS(IsQList,IsIList,Table_ExternalData_15[[#This Row],[item_key]],IsITypeList,Table_ExternalData_15[[#This Row],[IType]],IsDList,Table_ExternalData_15[[#Headers],[1]])</f>
        <v>0</v>
      </c>
      <c r="F392" s="10">
        <f>SUMIFS(IsQList,IsIList,Table_ExternalData_15[[#This Row],[item_key]],IsITypeList,Table_ExternalData_15[[#This Row],[IType]],IsDList,Table_ExternalData_15[[#Headers],[2]])</f>
        <v>0</v>
      </c>
      <c r="G392" s="10">
        <f>SUMIFS(IsQList,IsIList,Table_ExternalData_15[[#This Row],[item_key]],IsITypeList,Table_ExternalData_15[[#This Row],[IType]],IsDList,Table_ExternalData_15[[#Headers],[3]])</f>
        <v>0</v>
      </c>
      <c r="H392" s="10">
        <f>SUMIFS(IsQList,IsIList,Table_ExternalData_15[[#This Row],[item_key]],IsITypeList,Table_ExternalData_15[[#This Row],[IType]],IsDList,Table_ExternalData_15[[#Headers],[4]])</f>
        <v>0</v>
      </c>
      <c r="I392" s="10">
        <f>SUMIFS(IsQList,IsIList,Table_ExternalData_15[[#This Row],[item_key]],IsITypeList,Table_ExternalData_15[[#This Row],[IType]],IsDList,Table_ExternalData_15[[#Headers],[5]])</f>
        <v>0</v>
      </c>
      <c r="J392" s="10">
        <f>SUMIFS(IsQList,IsIList,Table_ExternalData_15[[#This Row],[item_key]],IsITypeList,Table_ExternalData_15[[#This Row],[IType]],IsDList,Table_ExternalData_15[[#Headers],[6]])</f>
        <v>0</v>
      </c>
      <c r="K392" s="10">
        <f>SUMIFS(IsQList,IsIList,Table_ExternalData_15[[#This Row],[item_key]],IsITypeList,Table_ExternalData_15[[#This Row],[IType]],IsDList,Table_ExternalData_15[[#Headers],[7]])</f>
        <v>0</v>
      </c>
      <c r="L392" s="10">
        <f>SUMIFS(IsQList,IsIList,Table_ExternalData_15[[#This Row],[item_key]],IsITypeList,Table_ExternalData_15[[#This Row],[IType]],IsDList,Table_ExternalData_15[[#Headers],[8]])</f>
        <v>0</v>
      </c>
      <c r="M392" s="10">
        <f>SUMIFS(IsQList,IsIList,Table_ExternalData_15[[#This Row],[item_key]],IsITypeList,Table_ExternalData_15[[#This Row],[IType]],IsDList,Table_ExternalData_15[[#Headers],[9]])</f>
        <v>0</v>
      </c>
      <c r="N392" s="10">
        <f>SUMIFS(IsQList,IsIList,Table_ExternalData_15[[#This Row],[item_key]],IsITypeList,Table_ExternalData_15[[#This Row],[IType]],IsDList,Table_ExternalData_15[[#Headers],[10]])</f>
        <v>0</v>
      </c>
      <c r="O392" s="10">
        <f>SUMIFS(IsQList,IsIList,Table_ExternalData_15[[#This Row],[item_key]],IsITypeList,Table_ExternalData_15[[#This Row],[IType]],IsDList,Table_ExternalData_15[[#Headers],[11]])</f>
        <v>0</v>
      </c>
      <c r="P392" s="10">
        <f>SUMIFS(IsQList,IsIList,Table_ExternalData_15[[#This Row],[item_key]],IsITypeList,Table_ExternalData_15[[#This Row],[IType]],IsDList,Table_ExternalData_15[[#Headers],[12]])</f>
        <v>0</v>
      </c>
      <c r="Q392" s="10">
        <f>SUMIFS(IsQList,IsIList,Table_ExternalData_15[[#This Row],[item_key]],IsITypeList,Table_ExternalData_15[[#This Row],[IType]],IsDList,Table_ExternalData_15[[#Headers],[13]])</f>
        <v>0</v>
      </c>
      <c r="R392" s="10">
        <f>SUMIFS(IsQList,IsIList,Table_ExternalData_15[[#This Row],[item_key]],IsITypeList,Table_ExternalData_15[[#This Row],[IType]],IsDList,Table_ExternalData_15[[#Headers],[14]])</f>
        <v>0</v>
      </c>
      <c r="S392" s="10">
        <f>SUMIFS(IsQList,IsIList,Table_ExternalData_15[[#This Row],[item_key]],IsITypeList,Table_ExternalData_15[[#This Row],[IType]],IsDList,Table_ExternalData_15[[#Headers],[15]])</f>
        <v>0</v>
      </c>
      <c r="T392" s="10">
        <f>SUMIFS(IsQList,IsIList,Table_ExternalData_15[[#This Row],[item_key]],IsITypeList,Table_ExternalData_15[[#This Row],[IType]],IsDList,Table_ExternalData_15[[#Headers],[16]])</f>
        <v>20</v>
      </c>
      <c r="U392" s="10">
        <f>SUMIFS(IsQList,IsIList,Table_ExternalData_15[[#This Row],[item_key]],IsITypeList,Table_ExternalData_15[[#This Row],[IType]],IsDList,Table_ExternalData_15[[#Headers],[17]])</f>
        <v>0</v>
      </c>
      <c r="V392" s="10">
        <f>SUMIFS(IsQList,IsIList,Table_ExternalData_15[[#This Row],[item_key]],IsITypeList,Table_ExternalData_15[[#This Row],[IType]],IsDList,Table_ExternalData_15[[#Headers],[18]])</f>
        <v>0</v>
      </c>
      <c r="W392" s="10">
        <f>SUMIFS(IsQList,IsIList,Table_ExternalData_15[[#This Row],[item_key]],IsITypeList,Table_ExternalData_15[[#This Row],[IType]],IsDList,Table_ExternalData_15[[#Headers],[19]])</f>
        <v>0</v>
      </c>
      <c r="X392" s="10">
        <f>SUMIFS(IsQList,IsIList,Table_ExternalData_15[[#This Row],[item_key]],IsITypeList,Table_ExternalData_15[[#This Row],[IType]],IsDList,Table_ExternalData_15[[#Headers],[20]])</f>
        <v>0</v>
      </c>
      <c r="Y392" s="10">
        <f>SUMIFS(IsQList,IsIList,Table_ExternalData_15[[#This Row],[item_key]],IsITypeList,Table_ExternalData_15[[#This Row],[IType]],IsDList,Table_ExternalData_15[[#Headers],[21]])</f>
        <v>0</v>
      </c>
      <c r="Z392" s="10">
        <f>SUMIFS(IsQList,IsIList,Table_ExternalData_15[[#This Row],[item_key]],IsITypeList,Table_ExternalData_15[[#This Row],[IType]],IsDList,Table_ExternalData_15[[#Headers],[22]])</f>
        <v>0</v>
      </c>
      <c r="AA392" s="10">
        <f>SUMIFS(IsQList,IsIList,Table_ExternalData_15[[#This Row],[item_key]],IsITypeList,Table_ExternalData_15[[#This Row],[IType]],IsDList,Table_ExternalData_15[[#Headers],[23]])</f>
        <v>0</v>
      </c>
      <c r="AB392" s="10">
        <f>SUMIFS(IsQList,IsIList,Table_ExternalData_15[[#This Row],[item_key]],IsITypeList,Table_ExternalData_15[[#This Row],[IType]],IsDList,Table_ExternalData_15[[#Headers],[24]])</f>
        <v>0</v>
      </c>
      <c r="AC392" s="10">
        <f>SUMIFS(IsQList,IsIList,Table_ExternalData_15[[#This Row],[item_key]],IsITypeList,Table_ExternalData_15[[#This Row],[IType]],IsDList,Table_ExternalData_15[[#Headers],[25]])</f>
        <v>0</v>
      </c>
      <c r="AD392" s="10">
        <f>SUMIFS(IsQList,IsIList,Table_ExternalData_15[[#This Row],[item_key]],IsITypeList,Table_ExternalData_15[[#This Row],[IType]],IsDList,Table_ExternalData_15[[#Headers],[26]])</f>
        <v>0</v>
      </c>
      <c r="AE392" s="10">
        <f>SUMIFS(IsQList,IsIList,Table_ExternalData_15[[#This Row],[item_key]],IsITypeList,Table_ExternalData_15[[#This Row],[IType]],IsDList,Table_ExternalData_15[[#Headers],[27]])</f>
        <v>0</v>
      </c>
      <c r="AF392" s="10">
        <f>SUMIFS(IsQList,IsIList,Table_ExternalData_15[[#This Row],[item_key]],IsITypeList,Table_ExternalData_15[[#This Row],[IType]],IsDList,Table_ExternalData_15[[#Headers],[28]])</f>
        <v>0</v>
      </c>
      <c r="AG392" s="10">
        <f>SUMIFS(IsQList,IsIList,Table_ExternalData_15[[#This Row],[item_key]],IsITypeList,Table_ExternalData_15[[#This Row],[IType]],IsDList,Table_ExternalData_15[[#Headers],[29]])</f>
        <v>0</v>
      </c>
      <c r="AH392" s="10">
        <f>SUMIFS(IsQList,IsIList,Table_ExternalData_15[[#This Row],[item_key]],IsITypeList,Table_ExternalData_15[[#This Row],[IType]],IsDList,Table_ExternalData_15[[#Headers],[30]])</f>
        <v>28</v>
      </c>
      <c r="AI392" s="10">
        <f>SUMIFS(IsQList,IsIList,Table_ExternalData_15[[#This Row],[item_key]],IsITypeList,Table_ExternalData_15[[#This Row],[IType]],IsDList,Table_ExternalData_15[[#Headers],[31]])</f>
        <v>0</v>
      </c>
      <c r="AJ392" s="10">
        <f>SUM(Table_ExternalData_15[[#This Row],[1]:[31]])</f>
        <v>48</v>
      </c>
    </row>
    <row r="393" spans="1:36">
      <c r="A393" s="1" t="s">
        <v>1173</v>
      </c>
      <c r="B393" s="1" t="s">
        <v>1583</v>
      </c>
      <c r="C393" s="1" t="s">
        <v>1584</v>
      </c>
      <c r="D393" s="11" t="s">
        <v>72</v>
      </c>
      <c r="E393" s="10">
        <f>SUMIFS(IsQList,IsIList,Table_ExternalData_15[[#This Row],[item_key]],IsITypeList,Table_ExternalData_15[[#This Row],[IType]],IsDList,Table_ExternalData_15[[#Headers],[1]])</f>
        <v>0</v>
      </c>
      <c r="F393" s="10">
        <f>SUMIFS(IsQList,IsIList,Table_ExternalData_15[[#This Row],[item_key]],IsITypeList,Table_ExternalData_15[[#This Row],[IType]],IsDList,Table_ExternalData_15[[#Headers],[2]])</f>
        <v>0</v>
      </c>
      <c r="G393" s="10">
        <f>SUMIFS(IsQList,IsIList,Table_ExternalData_15[[#This Row],[item_key]],IsITypeList,Table_ExternalData_15[[#This Row],[IType]],IsDList,Table_ExternalData_15[[#Headers],[3]])</f>
        <v>0</v>
      </c>
      <c r="H393" s="10">
        <f>SUMIFS(IsQList,IsIList,Table_ExternalData_15[[#This Row],[item_key]],IsITypeList,Table_ExternalData_15[[#This Row],[IType]],IsDList,Table_ExternalData_15[[#Headers],[4]])</f>
        <v>10</v>
      </c>
      <c r="I393" s="10">
        <f>SUMIFS(IsQList,IsIList,Table_ExternalData_15[[#This Row],[item_key]],IsITypeList,Table_ExternalData_15[[#This Row],[IType]],IsDList,Table_ExternalData_15[[#Headers],[5]])</f>
        <v>0</v>
      </c>
      <c r="J393" s="10">
        <f>SUMIFS(IsQList,IsIList,Table_ExternalData_15[[#This Row],[item_key]],IsITypeList,Table_ExternalData_15[[#This Row],[IType]],IsDList,Table_ExternalData_15[[#Headers],[6]])</f>
        <v>0</v>
      </c>
      <c r="K393" s="10">
        <f>SUMIFS(IsQList,IsIList,Table_ExternalData_15[[#This Row],[item_key]],IsITypeList,Table_ExternalData_15[[#This Row],[IType]],IsDList,Table_ExternalData_15[[#Headers],[7]])</f>
        <v>0</v>
      </c>
      <c r="L393" s="10">
        <f>SUMIFS(IsQList,IsIList,Table_ExternalData_15[[#This Row],[item_key]],IsITypeList,Table_ExternalData_15[[#This Row],[IType]],IsDList,Table_ExternalData_15[[#Headers],[8]])</f>
        <v>0</v>
      </c>
      <c r="M393" s="10">
        <f>SUMIFS(IsQList,IsIList,Table_ExternalData_15[[#This Row],[item_key]],IsITypeList,Table_ExternalData_15[[#This Row],[IType]],IsDList,Table_ExternalData_15[[#Headers],[9]])</f>
        <v>0</v>
      </c>
      <c r="N393" s="10">
        <f>SUMIFS(IsQList,IsIList,Table_ExternalData_15[[#This Row],[item_key]],IsITypeList,Table_ExternalData_15[[#This Row],[IType]],IsDList,Table_ExternalData_15[[#Headers],[10]])</f>
        <v>3</v>
      </c>
      <c r="O393" s="10">
        <f>SUMIFS(IsQList,IsIList,Table_ExternalData_15[[#This Row],[item_key]],IsITypeList,Table_ExternalData_15[[#This Row],[IType]],IsDList,Table_ExternalData_15[[#Headers],[11]])</f>
        <v>0</v>
      </c>
      <c r="P393" s="10">
        <f>SUMIFS(IsQList,IsIList,Table_ExternalData_15[[#This Row],[item_key]],IsITypeList,Table_ExternalData_15[[#This Row],[IType]],IsDList,Table_ExternalData_15[[#Headers],[12]])</f>
        <v>0</v>
      </c>
      <c r="Q393" s="10">
        <f>SUMIFS(IsQList,IsIList,Table_ExternalData_15[[#This Row],[item_key]],IsITypeList,Table_ExternalData_15[[#This Row],[IType]],IsDList,Table_ExternalData_15[[#Headers],[13]])</f>
        <v>0</v>
      </c>
      <c r="R393" s="10">
        <f>SUMIFS(IsQList,IsIList,Table_ExternalData_15[[#This Row],[item_key]],IsITypeList,Table_ExternalData_15[[#This Row],[IType]],IsDList,Table_ExternalData_15[[#Headers],[14]])</f>
        <v>0</v>
      </c>
      <c r="S393" s="10">
        <f>SUMIFS(IsQList,IsIList,Table_ExternalData_15[[#This Row],[item_key]],IsITypeList,Table_ExternalData_15[[#This Row],[IType]],IsDList,Table_ExternalData_15[[#Headers],[15]])</f>
        <v>0</v>
      </c>
      <c r="T393" s="10">
        <f>SUMIFS(IsQList,IsIList,Table_ExternalData_15[[#This Row],[item_key]],IsITypeList,Table_ExternalData_15[[#This Row],[IType]],IsDList,Table_ExternalData_15[[#Headers],[16]])</f>
        <v>0</v>
      </c>
      <c r="U393" s="10">
        <f>SUMIFS(IsQList,IsIList,Table_ExternalData_15[[#This Row],[item_key]],IsITypeList,Table_ExternalData_15[[#This Row],[IType]],IsDList,Table_ExternalData_15[[#Headers],[17]])</f>
        <v>0</v>
      </c>
      <c r="V393" s="10">
        <f>SUMIFS(IsQList,IsIList,Table_ExternalData_15[[#This Row],[item_key]],IsITypeList,Table_ExternalData_15[[#This Row],[IType]],IsDList,Table_ExternalData_15[[#Headers],[18]])</f>
        <v>0</v>
      </c>
      <c r="W393" s="10">
        <f>SUMIFS(IsQList,IsIList,Table_ExternalData_15[[#This Row],[item_key]],IsITypeList,Table_ExternalData_15[[#This Row],[IType]],IsDList,Table_ExternalData_15[[#Headers],[19]])</f>
        <v>0</v>
      </c>
      <c r="X393" s="10">
        <f>SUMIFS(IsQList,IsIList,Table_ExternalData_15[[#This Row],[item_key]],IsITypeList,Table_ExternalData_15[[#This Row],[IType]],IsDList,Table_ExternalData_15[[#Headers],[20]])</f>
        <v>0</v>
      </c>
      <c r="Y393" s="10">
        <f>SUMIFS(IsQList,IsIList,Table_ExternalData_15[[#This Row],[item_key]],IsITypeList,Table_ExternalData_15[[#This Row],[IType]],IsDList,Table_ExternalData_15[[#Headers],[21]])</f>
        <v>0</v>
      </c>
      <c r="Z393" s="10">
        <f>SUMIFS(IsQList,IsIList,Table_ExternalData_15[[#This Row],[item_key]],IsITypeList,Table_ExternalData_15[[#This Row],[IType]],IsDList,Table_ExternalData_15[[#Headers],[22]])</f>
        <v>0</v>
      </c>
      <c r="AA393" s="10">
        <f>SUMIFS(IsQList,IsIList,Table_ExternalData_15[[#This Row],[item_key]],IsITypeList,Table_ExternalData_15[[#This Row],[IType]],IsDList,Table_ExternalData_15[[#Headers],[23]])</f>
        <v>0</v>
      </c>
      <c r="AB393" s="10">
        <f>SUMIFS(IsQList,IsIList,Table_ExternalData_15[[#This Row],[item_key]],IsITypeList,Table_ExternalData_15[[#This Row],[IType]],IsDList,Table_ExternalData_15[[#Headers],[24]])</f>
        <v>1</v>
      </c>
      <c r="AC393" s="10">
        <f>SUMIFS(IsQList,IsIList,Table_ExternalData_15[[#This Row],[item_key]],IsITypeList,Table_ExternalData_15[[#This Row],[IType]],IsDList,Table_ExternalData_15[[#Headers],[25]])</f>
        <v>0</v>
      </c>
      <c r="AD393" s="10">
        <f>SUMIFS(IsQList,IsIList,Table_ExternalData_15[[#This Row],[item_key]],IsITypeList,Table_ExternalData_15[[#This Row],[IType]],IsDList,Table_ExternalData_15[[#Headers],[26]])</f>
        <v>0</v>
      </c>
      <c r="AE393" s="10">
        <f>SUMIFS(IsQList,IsIList,Table_ExternalData_15[[#This Row],[item_key]],IsITypeList,Table_ExternalData_15[[#This Row],[IType]],IsDList,Table_ExternalData_15[[#Headers],[27]])</f>
        <v>0</v>
      </c>
      <c r="AF393" s="10">
        <f>SUMIFS(IsQList,IsIList,Table_ExternalData_15[[#This Row],[item_key]],IsITypeList,Table_ExternalData_15[[#This Row],[IType]],IsDList,Table_ExternalData_15[[#Headers],[28]])</f>
        <v>0</v>
      </c>
      <c r="AG393" s="10">
        <f>SUMIFS(IsQList,IsIList,Table_ExternalData_15[[#This Row],[item_key]],IsITypeList,Table_ExternalData_15[[#This Row],[IType]],IsDList,Table_ExternalData_15[[#Headers],[29]])</f>
        <v>0</v>
      </c>
      <c r="AH393" s="10">
        <f>SUMIFS(IsQList,IsIList,Table_ExternalData_15[[#This Row],[item_key]],IsITypeList,Table_ExternalData_15[[#This Row],[IType]],IsDList,Table_ExternalData_15[[#Headers],[30]])</f>
        <v>0</v>
      </c>
      <c r="AI393" s="10">
        <f>SUMIFS(IsQList,IsIList,Table_ExternalData_15[[#This Row],[item_key]],IsITypeList,Table_ExternalData_15[[#This Row],[IType]],IsDList,Table_ExternalData_15[[#Headers],[31]])</f>
        <v>0</v>
      </c>
      <c r="AJ393" s="10">
        <f>SUM(Table_ExternalData_15[[#This Row],[1]:[31]])</f>
        <v>14</v>
      </c>
    </row>
    <row r="394" spans="1:36">
      <c r="A394" s="1" t="s">
        <v>1174</v>
      </c>
      <c r="B394" s="1" t="s">
        <v>1585</v>
      </c>
      <c r="C394" s="1" t="s">
        <v>1586</v>
      </c>
      <c r="D394" s="11" t="s">
        <v>72</v>
      </c>
      <c r="E394" s="10">
        <f>SUMIFS(IsQList,IsIList,Table_ExternalData_15[[#This Row],[item_key]],IsITypeList,Table_ExternalData_15[[#This Row],[IType]],IsDList,Table_ExternalData_15[[#Headers],[1]])</f>
        <v>0</v>
      </c>
      <c r="F394" s="10">
        <f>SUMIFS(IsQList,IsIList,Table_ExternalData_15[[#This Row],[item_key]],IsITypeList,Table_ExternalData_15[[#This Row],[IType]],IsDList,Table_ExternalData_15[[#Headers],[2]])</f>
        <v>0</v>
      </c>
      <c r="G394" s="10">
        <f>SUMIFS(IsQList,IsIList,Table_ExternalData_15[[#This Row],[item_key]],IsITypeList,Table_ExternalData_15[[#This Row],[IType]],IsDList,Table_ExternalData_15[[#Headers],[3]])</f>
        <v>0</v>
      </c>
      <c r="H394" s="10">
        <f>SUMIFS(IsQList,IsIList,Table_ExternalData_15[[#This Row],[item_key]],IsITypeList,Table_ExternalData_15[[#This Row],[IType]],IsDList,Table_ExternalData_15[[#Headers],[4]])</f>
        <v>10</v>
      </c>
      <c r="I394" s="10">
        <f>SUMIFS(IsQList,IsIList,Table_ExternalData_15[[#This Row],[item_key]],IsITypeList,Table_ExternalData_15[[#This Row],[IType]],IsDList,Table_ExternalData_15[[#Headers],[5]])</f>
        <v>0</v>
      </c>
      <c r="J394" s="10">
        <f>SUMIFS(IsQList,IsIList,Table_ExternalData_15[[#This Row],[item_key]],IsITypeList,Table_ExternalData_15[[#This Row],[IType]],IsDList,Table_ExternalData_15[[#Headers],[6]])</f>
        <v>0</v>
      </c>
      <c r="K394" s="10">
        <f>SUMIFS(IsQList,IsIList,Table_ExternalData_15[[#This Row],[item_key]],IsITypeList,Table_ExternalData_15[[#This Row],[IType]],IsDList,Table_ExternalData_15[[#Headers],[7]])</f>
        <v>0</v>
      </c>
      <c r="L394" s="10">
        <f>SUMIFS(IsQList,IsIList,Table_ExternalData_15[[#This Row],[item_key]],IsITypeList,Table_ExternalData_15[[#This Row],[IType]],IsDList,Table_ExternalData_15[[#Headers],[8]])</f>
        <v>0</v>
      </c>
      <c r="M394" s="10">
        <f>SUMIFS(IsQList,IsIList,Table_ExternalData_15[[#This Row],[item_key]],IsITypeList,Table_ExternalData_15[[#This Row],[IType]],IsDList,Table_ExternalData_15[[#Headers],[9]])</f>
        <v>0</v>
      </c>
      <c r="N394" s="10">
        <f>SUMIFS(IsQList,IsIList,Table_ExternalData_15[[#This Row],[item_key]],IsITypeList,Table_ExternalData_15[[#This Row],[IType]],IsDList,Table_ExternalData_15[[#Headers],[10]])</f>
        <v>3</v>
      </c>
      <c r="O394" s="10">
        <f>SUMIFS(IsQList,IsIList,Table_ExternalData_15[[#This Row],[item_key]],IsITypeList,Table_ExternalData_15[[#This Row],[IType]],IsDList,Table_ExternalData_15[[#Headers],[11]])</f>
        <v>0</v>
      </c>
      <c r="P394" s="10">
        <f>SUMIFS(IsQList,IsIList,Table_ExternalData_15[[#This Row],[item_key]],IsITypeList,Table_ExternalData_15[[#This Row],[IType]],IsDList,Table_ExternalData_15[[#Headers],[12]])</f>
        <v>0</v>
      </c>
      <c r="Q394" s="10">
        <f>SUMIFS(IsQList,IsIList,Table_ExternalData_15[[#This Row],[item_key]],IsITypeList,Table_ExternalData_15[[#This Row],[IType]],IsDList,Table_ExternalData_15[[#Headers],[13]])</f>
        <v>0</v>
      </c>
      <c r="R394" s="10">
        <f>SUMIFS(IsQList,IsIList,Table_ExternalData_15[[#This Row],[item_key]],IsITypeList,Table_ExternalData_15[[#This Row],[IType]],IsDList,Table_ExternalData_15[[#Headers],[14]])</f>
        <v>0</v>
      </c>
      <c r="S394" s="10">
        <f>SUMIFS(IsQList,IsIList,Table_ExternalData_15[[#This Row],[item_key]],IsITypeList,Table_ExternalData_15[[#This Row],[IType]],IsDList,Table_ExternalData_15[[#Headers],[15]])</f>
        <v>0</v>
      </c>
      <c r="T394" s="10">
        <f>SUMIFS(IsQList,IsIList,Table_ExternalData_15[[#This Row],[item_key]],IsITypeList,Table_ExternalData_15[[#This Row],[IType]],IsDList,Table_ExternalData_15[[#Headers],[16]])</f>
        <v>1</v>
      </c>
      <c r="U394" s="10">
        <f>SUMIFS(IsQList,IsIList,Table_ExternalData_15[[#This Row],[item_key]],IsITypeList,Table_ExternalData_15[[#This Row],[IType]],IsDList,Table_ExternalData_15[[#Headers],[17]])</f>
        <v>0</v>
      </c>
      <c r="V394" s="10">
        <f>SUMIFS(IsQList,IsIList,Table_ExternalData_15[[#This Row],[item_key]],IsITypeList,Table_ExternalData_15[[#This Row],[IType]],IsDList,Table_ExternalData_15[[#Headers],[18]])</f>
        <v>0</v>
      </c>
      <c r="W394" s="10">
        <f>SUMIFS(IsQList,IsIList,Table_ExternalData_15[[#This Row],[item_key]],IsITypeList,Table_ExternalData_15[[#This Row],[IType]],IsDList,Table_ExternalData_15[[#Headers],[19]])</f>
        <v>0</v>
      </c>
      <c r="X394" s="10">
        <f>SUMIFS(IsQList,IsIList,Table_ExternalData_15[[#This Row],[item_key]],IsITypeList,Table_ExternalData_15[[#This Row],[IType]],IsDList,Table_ExternalData_15[[#Headers],[20]])</f>
        <v>0</v>
      </c>
      <c r="Y394" s="10">
        <f>SUMIFS(IsQList,IsIList,Table_ExternalData_15[[#This Row],[item_key]],IsITypeList,Table_ExternalData_15[[#This Row],[IType]],IsDList,Table_ExternalData_15[[#Headers],[21]])</f>
        <v>0</v>
      </c>
      <c r="Z394" s="10">
        <f>SUMIFS(IsQList,IsIList,Table_ExternalData_15[[#This Row],[item_key]],IsITypeList,Table_ExternalData_15[[#This Row],[IType]],IsDList,Table_ExternalData_15[[#Headers],[22]])</f>
        <v>0</v>
      </c>
      <c r="AA394" s="10">
        <f>SUMIFS(IsQList,IsIList,Table_ExternalData_15[[#This Row],[item_key]],IsITypeList,Table_ExternalData_15[[#This Row],[IType]],IsDList,Table_ExternalData_15[[#Headers],[23]])</f>
        <v>0</v>
      </c>
      <c r="AB394" s="10">
        <f>SUMIFS(IsQList,IsIList,Table_ExternalData_15[[#This Row],[item_key]],IsITypeList,Table_ExternalData_15[[#This Row],[IType]],IsDList,Table_ExternalData_15[[#Headers],[24]])</f>
        <v>0</v>
      </c>
      <c r="AC394" s="10">
        <f>SUMIFS(IsQList,IsIList,Table_ExternalData_15[[#This Row],[item_key]],IsITypeList,Table_ExternalData_15[[#This Row],[IType]],IsDList,Table_ExternalData_15[[#Headers],[25]])</f>
        <v>0</v>
      </c>
      <c r="AD394" s="10">
        <f>SUMIFS(IsQList,IsIList,Table_ExternalData_15[[#This Row],[item_key]],IsITypeList,Table_ExternalData_15[[#This Row],[IType]],IsDList,Table_ExternalData_15[[#Headers],[26]])</f>
        <v>0</v>
      </c>
      <c r="AE394" s="10">
        <f>SUMIFS(IsQList,IsIList,Table_ExternalData_15[[#This Row],[item_key]],IsITypeList,Table_ExternalData_15[[#This Row],[IType]],IsDList,Table_ExternalData_15[[#Headers],[27]])</f>
        <v>0</v>
      </c>
      <c r="AF394" s="10">
        <f>SUMIFS(IsQList,IsIList,Table_ExternalData_15[[#This Row],[item_key]],IsITypeList,Table_ExternalData_15[[#This Row],[IType]],IsDList,Table_ExternalData_15[[#Headers],[28]])</f>
        <v>0</v>
      </c>
      <c r="AG394" s="10">
        <f>SUMIFS(IsQList,IsIList,Table_ExternalData_15[[#This Row],[item_key]],IsITypeList,Table_ExternalData_15[[#This Row],[IType]],IsDList,Table_ExternalData_15[[#Headers],[29]])</f>
        <v>0</v>
      </c>
      <c r="AH394" s="10">
        <f>SUMIFS(IsQList,IsIList,Table_ExternalData_15[[#This Row],[item_key]],IsITypeList,Table_ExternalData_15[[#This Row],[IType]],IsDList,Table_ExternalData_15[[#Headers],[30]])</f>
        <v>0</v>
      </c>
      <c r="AI394" s="10">
        <f>SUMIFS(IsQList,IsIList,Table_ExternalData_15[[#This Row],[item_key]],IsITypeList,Table_ExternalData_15[[#This Row],[IType]],IsDList,Table_ExternalData_15[[#Headers],[31]])</f>
        <v>0</v>
      </c>
      <c r="AJ394" s="10">
        <f>SUM(Table_ExternalData_15[[#This Row],[1]:[31]])</f>
        <v>14</v>
      </c>
    </row>
    <row r="395" spans="1:36">
      <c r="A395" s="1" t="s">
        <v>1175</v>
      </c>
      <c r="B395" s="1" t="s">
        <v>1587</v>
      </c>
      <c r="C395" s="1" t="s">
        <v>1588</v>
      </c>
      <c r="D395" s="11" t="s">
        <v>72</v>
      </c>
      <c r="E395" s="10">
        <f>SUMIFS(IsQList,IsIList,Table_ExternalData_15[[#This Row],[item_key]],IsITypeList,Table_ExternalData_15[[#This Row],[IType]],IsDList,Table_ExternalData_15[[#Headers],[1]])</f>
        <v>0</v>
      </c>
      <c r="F395" s="10">
        <f>SUMIFS(IsQList,IsIList,Table_ExternalData_15[[#This Row],[item_key]],IsITypeList,Table_ExternalData_15[[#This Row],[IType]],IsDList,Table_ExternalData_15[[#Headers],[2]])</f>
        <v>0</v>
      </c>
      <c r="G395" s="10">
        <f>SUMIFS(IsQList,IsIList,Table_ExternalData_15[[#This Row],[item_key]],IsITypeList,Table_ExternalData_15[[#This Row],[IType]],IsDList,Table_ExternalData_15[[#Headers],[3]])</f>
        <v>0</v>
      </c>
      <c r="H395" s="10">
        <f>SUMIFS(IsQList,IsIList,Table_ExternalData_15[[#This Row],[item_key]],IsITypeList,Table_ExternalData_15[[#This Row],[IType]],IsDList,Table_ExternalData_15[[#Headers],[4]])</f>
        <v>10</v>
      </c>
      <c r="I395" s="10">
        <f>SUMIFS(IsQList,IsIList,Table_ExternalData_15[[#This Row],[item_key]],IsITypeList,Table_ExternalData_15[[#This Row],[IType]],IsDList,Table_ExternalData_15[[#Headers],[5]])</f>
        <v>0</v>
      </c>
      <c r="J395" s="10">
        <f>SUMIFS(IsQList,IsIList,Table_ExternalData_15[[#This Row],[item_key]],IsITypeList,Table_ExternalData_15[[#This Row],[IType]],IsDList,Table_ExternalData_15[[#Headers],[6]])</f>
        <v>0</v>
      </c>
      <c r="K395" s="10">
        <f>SUMIFS(IsQList,IsIList,Table_ExternalData_15[[#This Row],[item_key]],IsITypeList,Table_ExternalData_15[[#This Row],[IType]],IsDList,Table_ExternalData_15[[#Headers],[7]])</f>
        <v>0</v>
      </c>
      <c r="L395" s="10">
        <f>SUMIFS(IsQList,IsIList,Table_ExternalData_15[[#This Row],[item_key]],IsITypeList,Table_ExternalData_15[[#This Row],[IType]],IsDList,Table_ExternalData_15[[#Headers],[8]])</f>
        <v>0</v>
      </c>
      <c r="M395" s="10">
        <f>SUMIFS(IsQList,IsIList,Table_ExternalData_15[[#This Row],[item_key]],IsITypeList,Table_ExternalData_15[[#This Row],[IType]],IsDList,Table_ExternalData_15[[#Headers],[9]])</f>
        <v>0</v>
      </c>
      <c r="N395" s="10">
        <f>SUMIFS(IsQList,IsIList,Table_ExternalData_15[[#This Row],[item_key]],IsITypeList,Table_ExternalData_15[[#This Row],[IType]],IsDList,Table_ExternalData_15[[#Headers],[10]])</f>
        <v>3</v>
      </c>
      <c r="O395" s="10">
        <f>SUMIFS(IsQList,IsIList,Table_ExternalData_15[[#This Row],[item_key]],IsITypeList,Table_ExternalData_15[[#This Row],[IType]],IsDList,Table_ExternalData_15[[#Headers],[11]])</f>
        <v>0</v>
      </c>
      <c r="P395" s="10">
        <f>SUMIFS(IsQList,IsIList,Table_ExternalData_15[[#This Row],[item_key]],IsITypeList,Table_ExternalData_15[[#This Row],[IType]],IsDList,Table_ExternalData_15[[#Headers],[12]])</f>
        <v>0</v>
      </c>
      <c r="Q395" s="10">
        <f>SUMIFS(IsQList,IsIList,Table_ExternalData_15[[#This Row],[item_key]],IsITypeList,Table_ExternalData_15[[#This Row],[IType]],IsDList,Table_ExternalData_15[[#Headers],[13]])</f>
        <v>0</v>
      </c>
      <c r="R395" s="10">
        <f>SUMIFS(IsQList,IsIList,Table_ExternalData_15[[#This Row],[item_key]],IsITypeList,Table_ExternalData_15[[#This Row],[IType]],IsDList,Table_ExternalData_15[[#Headers],[14]])</f>
        <v>0</v>
      </c>
      <c r="S395" s="10">
        <f>SUMIFS(IsQList,IsIList,Table_ExternalData_15[[#This Row],[item_key]],IsITypeList,Table_ExternalData_15[[#This Row],[IType]],IsDList,Table_ExternalData_15[[#Headers],[15]])</f>
        <v>0</v>
      </c>
      <c r="T395" s="10">
        <f>SUMIFS(IsQList,IsIList,Table_ExternalData_15[[#This Row],[item_key]],IsITypeList,Table_ExternalData_15[[#This Row],[IType]],IsDList,Table_ExternalData_15[[#Headers],[16]])</f>
        <v>1</v>
      </c>
      <c r="U395" s="10">
        <f>SUMIFS(IsQList,IsIList,Table_ExternalData_15[[#This Row],[item_key]],IsITypeList,Table_ExternalData_15[[#This Row],[IType]],IsDList,Table_ExternalData_15[[#Headers],[17]])</f>
        <v>0</v>
      </c>
      <c r="V395" s="10">
        <f>SUMIFS(IsQList,IsIList,Table_ExternalData_15[[#This Row],[item_key]],IsITypeList,Table_ExternalData_15[[#This Row],[IType]],IsDList,Table_ExternalData_15[[#Headers],[18]])</f>
        <v>0</v>
      </c>
      <c r="W395" s="10">
        <f>SUMIFS(IsQList,IsIList,Table_ExternalData_15[[#This Row],[item_key]],IsITypeList,Table_ExternalData_15[[#This Row],[IType]],IsDList,Table_ExternalData_15[[#Headers],[19]])</f>
        <v>0</v>
      </c>
      <c r="X395" s="10">
        <f>SUMIFS(IsQList,IsIList,Table_ExternalData_15[[#This Row],[item_key]],IsITypeList,Table_ExternalData_15[[#This Row],[IType]],IsDList,Table_ExternalData_15[[#Headers],[20]])</f>
        <v>0</v>
      </c>
      <c r="Y395" s="10">
        <f>SUMIFS(IsQList,IsIList,Table_ExternalData_15[[#This Row],[item_key]],IsITypeList,Table_ExternalData_15[[#This Row],[IType]],IsDList,Table_ExternalData_15[[#Headers],[21]])</f>
        <v>0</v>
      </c>
      <c r="Z395" s="10">
        <f>SUMIFS(IsQList,IsIList,Table_ExternalData_15[[#This Row],[item_key]],IsITypeList,Table_ExternalData_15[[#This Row],[IType]],IsDList,Table_ExternalData_15[[#Headers],[22]])</f>
        <v>0</v>
      </c>
      <c r="AA395" s="10">
        <f>SUMIFS(IsQList,IsIList,Table_ExternalData_15[[#This Row],[item_key]],IsITypeList,Table_ExternalData_15[[#This Row],[IType]],IsDList,Table_ExternalData_15[[#Headers],[23]])</f>
        <v>0</v>
      </c>
      <c r="AB395" s="10">
        <f>SUMIFS(IsQList,IsIList,Table_ExternalData_15[[#This Row],[item_key]],IsITypeList,Table_ExternalData_15[[#This Row],[IType]],IsDList,Table_ExternalData_15[[#Headers],[24]])</f>
        <v>0</v>
      </c>
      <c r="AC395" s="10">
        <f>SUMIFS(IsQList,IsIList,Table_ExternalData_15[[#This Row],[item_key]],IsITypeList,Table_ExternalData_15[[#This Row],[IType]],IsDList,Table_ExternalData_15[[#Headers],[25]])</f>
        <v>0</v>
      </c>
      <c r="AD395" s="10">
        <f>SUMIFS(IsQList,IsIList,Table_ExternalData_15[[#This Row],[item_key]],IsITypeList,Table_ExternalData_15[[#This Row],[IType]],IsDList,Table_ExternalData_15[[#Headers],[26]])</f>
        <v>0</v>
      </c>
      <c r="AE395" s="10">
        <f>SUMIFS(IsQList,IsIList,Table_ExternalData_15[[#This Row],[item_key]],IsITypeList,Table_ExternalData_15[[#This Row],[IType]],IsDList,Table_ExternalData_15[[#Headers],[27]])</f>
        <v>0</v>
      </c>
      <c r="AF395" s="10">
        <f>SUMIFS(IsQList,IsIList,Table_ExternalData_15[[#This Row],[item_key]],IsITypeList,Table_ExternalData_15[[#This Row],[IType]],IsDList,Table_ExternalData_15[[#Headers],[28]])</f>
        <v>0</v>
      </c>
      <c r="AG395" s="10">
        <f>SUMIFS(IsQList,IsIList,Table_ExternalData_15[[#This Row],[item_key]],IsITypeList,Table_ExternalData_15[[#This Row],[IType]],IsDList,Table_ExternalData_15[[#Headers],[29]])</f>
        <v>0</v>
      </c>
      <c r="AH395" s="10">
        <f>SUMIFS(IsQList,IsIList,Table_ExternalData_15[[#This Row],[item_key]],IsITypeList,Table_ExternalData_15[[#This Row],[IType]],IsDList,Table_ExternalData_15[[#Headers],[30]])</f>
        <v>0</v>
      </c>
      <c r="AI395" s="10">
        <f>SUMIFS(IsQList,IsIList,Table_ExternalData_15[[#This Row],[item_key]],IsITypeList,Table_ExternalData_15[[#This Row],[IType]],IsDList,Table_ExternalData_15[[#Headers],[31]])</f>
        <v>0</v>
      </c>
      <c r="AJ395" s="10">
        <f>SUM(Table_ExternalData_15[[#This Row],[1]:[31]])</f>
        <v>14</v>
      </c>
    </row>
    <row r="396" spans="1:36">
      <c r="A396" s="1" t="s">
        <v>1180</v>
      </c>
      <c r="B396" s="1" t="s">
        <v>2407</v>
      </c>
      <c r="C396" s="1" t="s">
        <v>2408</v>
      </c>
      <c r="D396" s="11" t="s">
        <v>72</v>
      </c>
      <c r="E396" s="10">
        <f>SUMIFS(IsQList,IsIList,Table_ExternalData_15[[#This Row],[item_key]],IsITypeList,Table_ExternalData_15[[#This Row],[IType]],IsDList,Table_ExternalData_15[[#Headers],[1]])</f>
        <v>0</v>
      </c>
      <c r="F396" s="10">
        <f>SUMIFS(IsQList,IsIList,Table_ExternalData_15[[#This Row],[item_key]],IsITypeList,Table_ExternalData_15[[#This Row],[IType]],IsDList,Table_ExternalData_15[[#Headers],[2]])</f>
        <v>0</v>
      </c>
      <c r="G396" s="10">
        <f>SUMIFS(IsQList,IsIList,Table_ExternalData_15[[#This Row],[item_key]],IsITypeList,Table_ExternalData_15[[#This Row],[IType]],IsDList,Table_ExternalData_15[[#Headers],[3]])</f>
        <v>4440</v>
      </c>
      <c r="H396" s="10">
        <f>SUMIFS(IsQList,IsIList,Table_ExternalData_15[[#This Row],[item_key]],IsITypeList,Table_ExternalData_15[[#This Row],[IType]],IsDList,Table_ExternalData_15[[#Headers],[4]])</f>
        <v>0</v>
      </c>
      <c r="I396" s="10">
        <f>SUMIFS(IsQList,IsIList,Table_ExternalData_15[[#This Row],[item_key]],IsITypeList,Table_ExternalData_15[[#This Row],[IType]],IsDList,Table_ExternalData_15[[#Headers],[5]])</f>
        <v>0</v>
      </c>
      <c r="J396" s="10">
        <f>SUMIFS(IsQList,IsIList,Table_ExternalData_15[[#This Row],[item_key]],IsITypeList,Table_ExternalData_15[[#This Row],[IType]],IsDList,Table_ExternalData_15[[#Headers],[6]])</f>
        <v>0</v>
      </c>
      <c r="K396" s="10">
        <f>SUMIFS(IsQList,IsIList,Table_ExternalData_15[[#This Row],[item_key]],IsITypeList,Table_ExternalData_15[[#This Row],[IType]],IsDList,Table_ExternalData_15[[#Headers],[7]])</f>
        <v>0</v>
      </c>
      <c r="L396" s="10">
        <f>SUMIFS(IsQList,IsIList,Table_ExternalData_15[[#This Row],[item_key]],IsITypeList,Table_ExternalData_15[[#This Row],[IType]],IsDList,Table_ExternalData_15[[#Headers],[8]])</f>
        <v>1200</v>
      </c>
      <c r="M396" s="10">
        <f>SUMIFS(IsQList,IsIList,Table_ExternalData_15[[#This Row],[item_key]],IsITypeList,Table_ExternalData_15[[#This Row],[IType]],IsDList,Table_ExternalData_15[[#Headers],[9]])</f>
        <v>0</v>
      </c>
      <c r="N396" s="10">
        <f>SUMIFS(IsQList,IsIList,Table_ExternalData_15[[#This Row],[item_key]],IsITypeList,Table_ExternalData_15[[#This Row],[IType]],IsDList,Table_ExternalData_15[[#Headers],[10]])</f>
        <v>600</v>
      </c>
      <c r="O396" s="10">
        <f>SUMIFS(IsQList,IsIList,Table_ExternalData_15[[#This Row],[item_key]],IsITypeList,Table_ExternalData_15[[#This Row],[IType]],IsDList,Table_ExternalData_15[[#Headers],[11]])</f>
        <v>0</v>
      </c>
      <c r="P396" s="10">
        <f>SUMIFS(IsQList,IsIList,Table_ExternalData_15[[#This Row],[item_key]],IsITypeList,Table_ExternalData_15[[#This Row],[IType]],IsDList,Table_ExternalData_15[[#Headers],[12]])</f>
        <v>0</v>
      </c>
      <c r="Q396" s="10">
        <f>SUMIFS(IsQList,IsIList,Table_ExternalData_15[[#This Row],[item_key]],IsITypeList,Table_ExternalData_15[[#This Row],[IType]],IsDList,Table_ExternalData_15[[#Headers],[13]])</f>
        <v>4800</v>
      </c>
      <c r="R396" s="10">
        <f>SUMIFS(IsQList,IsIList,Table_ExternalData_15[[#This Row],[item_key]],IsITypeList,Table_ExternalData_15[[#This Row],[IType]],IsDList,Table_ExternalData_15[[#Headers],[14]])</f>
        <v>0</v>
      </c>
      <c r="S396" s="10">
        <f>SUMIFS(IsQList,IsIList,Table_ExternalData_15[[#This Row],[item_key]],IsITypeList,Table_ExternalData_15[[#This Row],[IType]],IsDList,Table_ExternalData_15[[#Headers],[15]])</f>
        <v>1080</v>
      </c>
      <c r="T396" s="10">
        <f>SUMIFS(IsQList,IsIList,Table_ExternalData_15[[#This Row],[item_key]],IsITypeList,Table_ExternalData_15[[#This Row],[IType]],IsDList,Table_ExternalData_15[[#Headers],[16]])</f>
        <v>0</v>
      </c>
      <c r="U396" s="10">
        <f>SUMIFS(IsQList,IsIList,Table_ExternalData_15[[#This Row],[item_key]],IsITypeList,Table_ExternalData_15[[#This Row],[IType]],IsDList,Table_ExternalData_15[[#Headers],[17]])</f>
        <v>0</v>
      </c>
      <c r="V396" s="10">
        <f>SUMIFS(IsQList,IsIList,Table_ExternalData_15[[#This Row],[item_key]],IsITypeList,Table_ExternalData_15[[#This Row],[IType]],IsDList,Table_ExternalData_15[[#Headers],[18]])</f>
        <v>0</v>
      </c>
      <c r="W396" s="10">
        <f>SUMIFS(IsQList,IsIList,Table_ExternalData_15[[#This Row],[item_key]],IsITypeList,Table_ExternalData_15[[#This Row],[IType]],IsDList,Table_ExternalData_15[[#Headers],[19]])</f>
        <v>0</v>
      </c>
      <c r="X396" s="10">
        <f>SUMIFS(IsQList,IsIList,Table_ExternalData_15[[#This Row],[item_key]],IsITypeList,Table_ExternalData_15[[#This Row],[IType]],IsDList,Table_ExternalData_15[[#Headers],[20]])</f>
        <v>0</v>
      </c>
      <c r="Y396" s="10">
        <f>SUMIFS(IsQList,IsIList,Table_ExternalData_15[[#This Row],[item_key]],IsITypeList,Table_ExternalData_15[[#This Row],[IType]],IsDList,Table_ExternalData_15[[#Headers],[21]])</f>
        <v>0</v>
      </c>
      <c r="Z396" s="10">
        <f>SUMIFS(IsQList,IsIList,Table_ExternalData_15[[#This Row],[item_key]],IsITypeList,Table_ExternalData_15[[#This Row],[IType]],IsDList,Table_ExternalData_15[[#Headers],[22]])</f>
        <v>0</v>
      </c>
      <c r="AA396" s="10">
        <f>SUMIFS(IsQList,IsIList,Table_ExternalData_15[[#This Row],[item_key]],IsITypeList,Table_ExternalData_15[[#This Row],[IType]],IsDList,Table_ExternalData_15[[#Headers],[23]])</f>
        <v>0</v>
      </c>
      <c r="AB396" s="10">
        <f>SUMIFS(IsQList,IsIList,Table_ExternalData_15[[#This Row],[item_key]],IsITypeList,Table_ExternalData_15[[#This Row],[IType]],IsDList,Table_ExternalData_15[[#Headers],[24]])</f>
        <v>0</v>
      </c>
      <c r="AC396" s="10">
        <f>SUMIFS(IsQList,IsIList,Table_ExternalData_15[[#This Row],[item_key]],IsITypeList,Table_ExternalData_15[[#This Row],[IType]],IsDList,Table_ExternalData_15[[#Headers],[25]])</f>
        <v>0</v>
      </c>
      <c r="AD396" s="10">
        <f>SUMIFS(IsQList,IsIList,Table_ExternalData_15[[#This Row],[item_key]],IsITypeList,Table_ExternalData_15[[#This Row],[IType]],IsDList,Table_ExternalData_15[[#Headers],[26]])</f>
        <v>0</v>
      </c>
      <c r="AE396" s="10">
        <f>SUMIFS(IsQList,IsIList,Table_ExternalData_15[[#This Row],[item_key]],IsITypeList,Table_ExternalData_15[[#This Row],[IType]],IsDList,Table_ExternalData_15[[#Headers],[27]])</f>
        <v>0</v>
      </c>
      <c r="AF396" s="10">
        <f>SUMIFS(IsQList,IsIList,Table_ExternalData_15[[#This Row],[item_key]],IsITypeList,Table_ExternalData_15[[#This Row],[IType]],IsDList,Table_ExternalData_15[[#Headers],[28]])</f>
        <v>2400</v>
      </c>
      <c r="AG396" s="10">
        <f>SUMIFS(IsQList,IsIList,Table_ExternalData_15[[#This Row],[item_key]],IsITypeList,Table_ExternalData_15[[#This Row],[IType]],IsDList,Table_ExternalData_15[[#Headers],[29]])</f>
        <v>1260</v>
      </c>
      <c r="AH396" s="10">
        <f>SUMIFS(IsQList,IsIList,Table_ExternalData_15[[#This Row],[item_key]],IsITypeList,Table_ExternalData_15[[#This Row],[IType]],IsDList,Table_ExternalData_15[[#Headers],[30]])</f>
        <v>9000</v>
      </c>
      <c r="AI396" s="10">
        <f>SUMIFS(IsQList,IsIList,Table_ExternalData_15[[#This Row],[item_key]],IsITypeList,Table_ExternalData_15[[#This Row],[IType]],IsDList,Table_ExternalData_15[[#Headers],[31]])</f>
        <v>2004</v>
      </c>
      <c r="AJ396" s="10">
        <f>SUM(Table_ExternalData_15[[#This Row],[1]:[31]])</f>
        <v>26784</v>
      </c>
    </row>
    <row r="397" spans="1:36">
      <c r="A397" s="1" t="s">
        <v>1181</v>
      </c>
      <c r="B397" s="1" t="s">
        <v>2409</v>
      </c>
      <c r="C397" s="1" t="s">
        <v>2410</v>
      </c>
      <c r="D397" s="11" t="s">
        <v>72</v>
      </c>
      <c r="E397" s="10">
        <f>SUMIFS(IsQList,IsIList,Table_ExternalData_15[[#This Row],[item_key]],IsITypeList,Table_ExternalData_15[[#This Row],[IType]],IsDList,Table_ExternalData_15[[#Headers],[1]])</f>
        <v>0</v>
      </c>
      <c r="F397" s="10">
        <f>SUMIFS(IsQList,IsIList,Table_ExternalData_15[[#This Row],[item_key]],IsITypeList,Table_ExternalData_15[[#This Row],[IType]],IsDList,Table_ExternalData_15[[#Headers],[2]])</f>
        <v>0</v>
      </c>
      <c r="G397" s="10">
        <f>SUMIFS(IsQList,IsIList,Table_ExternalData_15[[#This Row],[item_key]],IsITypeList,Table_ExternalData_15[[#This Row],[IType]],IsDList,Table_ExternalData_15[[#Headers],[3]])</f>
        <v>4800</v>
      </c>
      <c r="H397" s="10">
        <f>SUMIFS(IsQList,IsIList,Table_ExternalData_15[[#This Row],[item_key]],IsITypeList,Table_ExternalData_15[[#This Row],[IType]],IsDList,Table_ExternalData_15[[#Headers],[4]])</f>
        <v>0</v>
      </c>
      <c r="I397" s="10">
        <f>SUMIFS(IsQList,IsIList,Table_ExternalData_15[[#This Row],[item_key]],IsITypeList,Table_ExternalData_15[[#This Row],[IType]],IsDList,Table_ExternalData_15[[#Headers],[5]])</f>
        <v>0</v>
      </c>
      <c r="J397" s="10">
        <f>SUMIFS(IsQList,IsIList,Table_ExternalData_15[[#This Row],[item_key]],IsITypeList,Table_ExternalData_15[[#This Row],[IType]],IsDList,Table_ExternalData_15[[#Headers],[6]])</f>
        <v>0</v>
      </c>
      <c r="K397" s="10">
        <f>SUMIFS(IsQList,IsIList,Table_ExternalData_15[[#This Row],[item_key]],IsITypeList,Table_ExternalData_15[[#This Row],[IType]],IsDList,Table_ExternalData_15[[#Headers],[7]])</f>
        <v>0</v>
      </c>
      <c r="L397" s="10">
        <f>SUMIFS(IsQList,IsIList,Table_ExternalData_15[[#This Row],[item_key]],IsITypeList,Table_ExternalData_15[[#This Row],[IType]],IsDList,Table_ExternalData_15[[#Headers],[8]])</f>
        <v>0</v>
      </c>
      <c r="M397" s="10">
        <f>SUMIFS(IsQList,IsIList,Table_ExternalData_15[[#This Row],[item_key]],IsITypeList,Table_ExternalData_15[[#This Row],[IType]],IsDList,Table_ExternalData_15[[#Headers],[9]])</f>
        <v>3936</v>
      </c>
      <c r="N397" s="10">
        <f>SUMIFS(IsQList,IsIList,Table_ExternalData_15[[#This Row],[item_key]],IsITypeList,Table_ExternalData_15[[#This Row],[IType]],IsDList,Table_ExternalData_15[[#Headers],[10]])</f>
        <v>0</v>
      </c>
      <c r="O397" s="10">
        <f>SUMIFS(IsQList,IsIList,Table_ExternalData_15[[#This Row],[item_key]],IsITypeList,Table_ExternalData_15[[#This Row],[IType]],IsDList,Table_ExternalData_15[[#Headers],[11]])</f>
        <v>0</v>
      </c>
      <c r="P397" s="10">
        <f>SUMIFS(IsQList,IsIList,Table_ExternalData_15[[#This Row],[item_key]],IsITypeList,Table_ExternalData_15[[#This Row],[IType]],IsDList,Table_ExternalData_15[[#Headers],[12]])</f>
        <v>0</v>
      </c>
      <c r="Q397" s="10">
        <f>SUMIFS(IsQList,IsIList,Table_ExternalData_15[[#This Row],[item_key]],IsITypeList,Table_ExternalData_15[[#This Row],[IType]],IsDList,Table_ExternalData_15[[#Headers],[13]])</f>
        <v>0</v>
      </c>
      <c r="R397" s="10">
        <f>SUMIFS(IsQList,IsIList,Table_ExternalData_15[[#This Row],[item_key]],IsITypeList,Table_ExternalData_15[[#This Row],[IType]],IsDList,Table_ExternalData_15[[#Headers],[14]])</f>
        <v>0</v>
      </c>
      <c r="S397" s="10">
        <f>SUMIFS(IsQList,IsIList,Table_ExternalData_15[[#This Row],[item_key]],IsITypeList,Table_ExternalData_15[[#This Row],[IType]],IsDList,Table_ExternalData_15[[#Headers],[15]])</f>
        <v>0</v>
      </c>
      <c r="T397" s="10">
        <f>SUMIFS(IsQList,IsIList,Table_ExternalData_15[[#This Row],[item_key]],IsITypeList,Table_ExternalData_15[[#This Row],[IType]],IsDList,Table_ExternalData_15[[#Headers],[16]])</f>
        <v>0</v>
      </c>
      <c r="U397" s="10">
        <f>SUMIFS(IsQList,IsIList,Table_ExternalData_15[[#This Row],[item_key]],IsITypeList,Table_ExternalData_15[[#This Row],[IType]],IsDList,Table_ExternalData_15[[#Headers],[17]])</f>
        <v>0</v>
      </c>
      <c r="V397" s="10">
        <f>SUMIFS(IsQList,IsIList,Table_ExternalData_15[[#This Row],[item_key]],IsITypeList,Table_ExternalData_15[[#This Row],[IType]],IsDList,Table_ExternalData_15[[#Headers],[18]])</f>
        <v>0</v>
      </c>
      <c r="W397" s="10">
        <f>SUMIFS(IsQList,IsIList,Table_ExternalData_15[[#This Row],[item_key]],IsITypeList,Table_ExternalData_15[[#This Row],[IType]],IsDList,Table_ExternalData_15[[#Headers],[19]])</f>
        <v>0</v>
      </c>
      <c r="X397" s="10">
        <f>SUMIFS(IsQList,IsIList,Table_ExternalData_15[[#This Row],[item_key]],IsITypeList,Table_ExternalData_15[[#This Row],[IType]],IsDList,Table_ExternalData_15[[#Headers],[20]])</f>
        <v>0</v>
      </c>
      <c r="Y397" s="10">
        <f>SUMIFS(IsQList,IsIList,Table_ExternalData_15[[#This Row],[item_key]],IsITypeList,Table_ExternalData_15[[#This Row],[IType]],IsDList,Table_ExternalData_15[[#Headers],[21]])</f>
        <v>0</v>
      </c>
      <c r="Z397" s="10">
        <f>SUMIFS(IsQList,IsIList,Table_ExternalData_15[[#This Row],[item_key]],IsITypeList,Table_ExternalData_15[[#This Row],[IType]],IsDList,Table_ExternalData_15[[#Headers],[22]])</f>
        <v>0</v>
      </c>
      <c r="AA397" s="10">
        <f>SUMIFS(IsQList,IsIList,Table_ExternalData_15[[#This Row],[item_key]],IsITypeList,Table_ExternalData_15[[#This Row],[IType]],IsDList,Table_ExternalData_15[[#Headers],[23]])</f>
        <v>9600</v>
      </c>
      <c r="AB397" s="10">
        <f>SUMIFS(IsQList,IsIList,Table_ExternalData_15[[#This Row],[item_key]],IsITypeList,Table_ExternalData_15[[#This Row],[IType]],IsDList,Table_ExternalData_15[[#Headers],[24]])</f>
        <v>0</v>
      </c>
      <c r="AC397" s="10">
        <f>SUMIFS(IsQList,IsIList,Table_ExternalData_15[[#This Row],[item_key]],IsITypeList,Table_ExternalData_15[[#This Row],[IType]],IsDList,Table_ExternalData_15[[#Headers],[25]])</f>
        <v>0</v>
      </c>
      <c r="AD397" s="10">
        <f>SUMIFS(IsQList,IsIList,Table_ExternalData_15[[#This Row],[item_key]],IsITypeList,Table_ExternalData_15[[#This Row],[IType]],IsDList,Table_ExternalData_15[[#Headers],[26]])</f>
        <v>0</v>
      </c>
      <c r="AE397" s="10">
        <f>SUMIFS(IsQList,IsIList,Table_ExternalData_15[[#This Row],[item_key]],IsITypeList,Table_ExternalData_15[[#This Row],[IType]],IsDList,Table_ExternalData_15[[#Headers],[27]])</f>
        <v>0</v>
      </c>
      <c r="AF397" s="10">
        <f>SUMIFS(IsQList,IsIList,Table_ExternalData_15[[#This Row],[item_key]],IsITypeList,Table_ExternalData_15[[#This Row],[IType]],IsDList,Table_ExternalData_15[[#Headers],[28]])</f>
        <v>0</v>
      </c>
      <c r="AG397" s="10">
        <f>SUMIFS(IsQList,IsIList,Table_ExternalData_15[[#This Row],[item_key]],IsITypeList,Table_ExternalData_15[[#This Row],[IType]],IsDList,Table_ExternalData_15[[#Headers],[29]])</f>
        <v>900</v>
      </c>
      <c r="AH397" s="10">
        <f>SUMIFS(IsQList,IsIList,Table_ExternalData_15[[#This Row],[item_key]],IsITypeList,Table_ExternalData_15[[#This Row],[IType]],IsDList,Table_ExternalData_15[[#Headers],[30]])</f>
        <v>4800</v>
      </c>
      <c r="AI397" s="10">
        <f>SUMIFS(IsQList,IsIList,Table_ExternalData_15[[#This Row],[item_key]],IsITypeList,Table_ExternalData_15[[#This Row],[IType]],IsDList,Table_ExternalData_15[[#Headers],[31]])</f>
        <v>3288</v>
      </c>
      <c r="AJ397" s="10">
        <f>SUM(Table_ExternalData_15[[#This Row],[1]:[31]])</f>
        <v>27324</v>
      </c>
    </row>
    <row r="398" spans="1:36">
      <c r="A398" s="1" t="s">
        <v>1182</v>
      </c>
      <c r="B398" s="1" t="s">
        <v>2411</v>
      </c>
      <c r="C398" s="1" t="s">
        <v>2412</v>
      </c>
      <c r="D398" s="11" t="s">
        <v>72</v>
      </c>
      <c r="E398" s="10">
        <f>SUMIFS(IsQList,IsIList,Table_ExternalData_15[[#This Row],[item_key]],IsITypeList,Table_ExternalData_15[[#This Row],[IType]],IsDList,Table_ExternalData_15[[#Headers],[1]])</f>
        <v>0</v>
      </c>
      <c r="F398" s="10">
        <f>SUMIFS(IsQList,IsIList,Table_ExternalData_15[[#This Row],[item_key]],IsITypeList,Table_ExternalData_15[[#This Row],[IType]],IsDList,Table_ExternalData_15[[#Headers],[2]])</f>
        <v>0</v>
      </c>
      <c r="G398" s="10">
        <f>SUMIFS(IsQList,IsIList,Table_ExternalData_15[[#This Row],[item_key]],IsITypeList,Table_ExternalData_15[[#This Row],[IType]],IsDList,Table_ExternalData_15[[#Headers],[3]])</f>
        <v>2160</v>
      </c>
      <c r="H398" s="10">
        <f>SUMIFS(IsQList,IsIList,Table_ExternalData_15[[#This Row],[item_key]],IsITypeList,Table_ExternalData_15[[#This Row],[IType]],IsDList,Table_ExternalData_15[[#Headers],[4]])</f>
        <v>0</v>
      </c>
      <c r="I398" s="10">
        <f>SUMIFS(IsQList,IsIList,Table_ExternalData_15[[#This Row],[item_key]],IsITypeList,Table_ExternalData_15[[#This Row],[IType]],IsDList,Table_ExternalData_15[[#Headers],[5]])</f>
        <v>0</v>
      </c>
      <c r="J398" s="10">
        <f>SUMIFS(IsQList,IsIList,Table_ExternalData_15[[#This Row],[item_key]],IsITypeList,Table_ExternalData_15[[#This Row],[IType]],IsDList,Table_ExternalData_15[[#Headers],[6]])</f>
        <v>0</v>
      </c>
      <c r="K398" s="10">
        <f>SUMIFS(IsQList,IsIList,Table_ExternalData_15[[#This Row],[item_key]],IsITypeList,Table_ExternalData_15[[#This Row],[IType]],IsDList,Table_ExternalData_15[[#Headers],[7]])</f>
        <v>0</v>
      </c>
      <c r="L398" s="10">
        <f>SUMIFS(IsQList,IsIList,Table_ExternalData_15[[#This Row],[item_key]],IsITypeList,Table_ExternalData_15[[#This Row],[IType]],IsDList,Table_ExternalData_15[[#Headers],[8]])</f>
        <v>0</v>
      </c>
      <c r="M398" s="10">
        <f>SUMIFS(IsQList,IsIList,Table_ExternalData_15[[#This Row],[item_key]],IsITypeList,Table_ExternalData_15[[#This Row],[IType]],IsDList,Table_ExternalData_15[[#Headers],[9]])</f>
        <v>0</v>
      </c>
      <c r="N398" s="10">
        <f>SUMIFS(IsQList,IsIList,Table_ExternalData_15[[#This Row],[item_key]],IsITypeList,Table_ExternalData_15[[#This Row],[IType]],IsDList,Table_ExternalData_15[[#Headers],[10]])</f>
        <v>600</v>
      </c>
      <c r="O398" s="10">
        <f>SUMIFS(IsQList,IsIList,Table_ExternalData_15[[#This Row],[item_key]],IsITypeList,Table_ExternalData_15[[#This Row],[IType]],IsDList,Table_ExternalData_15[[#Headers],[11]])</f>
        <v>0</v>
      </c>
      <c r="P398" s="10">
        <f>SUMIFS(IsQList,IsIList,Table_ExternalData_15[[#This Row],[item_key]],IsITypeList,Table_ExternalData_15[[#This Row],[IType]],IsDList,Table_ExternalData_15[[#Headers],[12]])</f>
        <v>0</v>
      </c>
      <c r="Q398" s="10">
        <f>SUMIFS(IsQList,IsIList,Table_ExternalData_15[[#This Row],[item_key]],IsITypeList,Table_ExternalData_15[[#This Row],[IType]],IsDList,Table_ExternalData_15[[#Headers],[13]])</f>
        <v>0</v>
      </c>
      <c r="R398" s="10">
        <f>SUMIFS(IsQList,IsIList,Table_ExternalData_15[[#This Row],[item_key]],IsITypeList,Table_ExternalData_15[[#This Row],[IType]],IsDList,Table_ExternalData_15[[#Headers],[14]])</f>
        <v>0</v>
      </c>
      <c r="S398" s="10">
        <f>SUMIFS(IsQList,IsIList,Table_ExternalData_15[[#This Row],[item_key]],IsITypeList,Table_ExternalData_15[[#This Row],[IType]],IsDList,Table_ExternalData_15[[#Headers],[15]])</f>
        <v>0</v>
      </c>
      <c r="T398" s="10">
        <f>SUMIFS(IsQList,IsIList,Table_ExternalData_15[[#This Row],[item_key]],IsITypeList,Table_ExternalData_15[[#This Row],[IType]],IsDList,Table_ExternalData_15[[#Headers],[16]])</f>
        <v>0</v>
      </c>
      <c r="U398" s="10">
        <f>SUMIFS(IsQList,IsIList,Table_ExternalData_15[[#This Row],[item_key]],IsITypeList,Table_ExternalData_15[[#This Row],[IType]],IsDList,Table_ExternalData_15[[#Headers],[17]])</f>
        <v>0</v>
      </c>
      <c r="V398" s="10">
        <f>SUMIFS(IsQList,IsIList,Table_ExternalData_15[[#This Row],[item_key]],IsITypeList,Table_ExternalData_15[[#This Row],[IType]],IsDList,Table_ExternalData_15[[#Headers],[18]])</f>
        <v>0</v>
      </c>
      <c r="W398" s="10">
        <f>SUMIFS(IsQList,IsIList,Table_ExternalData_15[[#This Row],[item_key]],IsITypeList,Table_ExternalData_15[[#This Row],[IType]],IsDList,Table_ExternalData_15[[#Headers],[19]])</f>
        <v>0</v>
      </c>
      <c r="X398" s="10">
        <f>SUMIFS(IsQList,IsIList,Table_ExternalData_15[[#This Row],[item_key]],IsITypeList,Table_ExternalData_15[[#This Row],[IType]],IsDList,Table_ExternalData_15[[#Headers],[20]])</f>
        <v>0</v>
      </c>
      <c r="Y398" s="10">
        <f>SUMIFS(IsQList,IsIList,Table_ExternalData_15[[#This Row],[item_key]],IsITypeList,Table_ExternalData_15[[#This Row],[IType]],IsDList,Table_ExternalData_15[[#Headers],[21]])</f>
        <v>0</v>
      </c>
      <c r="Z398" s="10">
        <f>SUMIFS(IsQList,IsIList,Table_ExternalData_15[[#This Row],[item_key]],IsITypeList,Table_ExternalData_15[[#This Row],[IType]],IsDList,Table_ExternalData_15[[#Headers],[22]])</f>
        <v>0</v>
      </c>
      <c r="AA398" s="10">
        <f>SUMIFS(IsQList,IsIList,Table_ExternalData_15[[#This Row],[item_key]],IsITypeList,Table_ExternalData_15[[#This Row],[IType]],IsDList,Table_ExternalData_15[[#Headers],[23]])</f>
        <v>0</v>
      </c>
      <c r="AB398" s="10">
        <f>SUMIFS(IsQList,IsIList,Table_ExternalData_15[[#This Row],[item_key]],IsITypeList,Table_ExternalData_15[[#This Row],[IType]],IsDList,Table_ExternalData_15[[#Headers],[24]])</f>
        <v>0</v>
      </c>
      <c r="AC398" s="10">
        <f>SUMIFS(IsQList,IsIList,Table_ExternalData_15[[#This Row],[item_key]],IsITypeList,Table_ExternalData_15[[#This Row],[IType]],IsDList,Table_ExternalData_15[[#Headers],[25]])</f>
        <v>0</v>
      </c>
      <c r="AD398" s="10">
        <f>SUMIFS(IsQList,IsIList,Table_ExternalData_15[[#This Row],[item_key]],IsITypeList,Table_ExternalData_15[[#This Row],[IType]],IsDList,Table_ExternalData_15[[#Headers],[26]])</f>
        <v>0</v>
      </c>
      <c r="AE398" s="10">
        <f>SUMIFS(IsQList,IsIList,Table_ExternalData_15[[#This Row],[item_key]],IsITypeList,Table_ExternalData_15[[#This Row],[IType]],IsDList,Table_ExternalData_15[[#Headers],[27]])</f>
        <v>0</v>
      </c>
      <c r="AF398" s="10">
        <f>SUMIFS(IsQList,IsIList,Table_ExternalData_15[[#This Row],[item_key]],IsITypeList,Table_ExternalData_15[[#This Row],[IType]],IsDList,Table_ExternalData_15[[#Headers],[28]])</f>
        <v>0</v>
      </c>
      <c r="AG398" s="10">
        <f>SUMIFS(IsQList,IsIList,Table_ExternalData_15[[#This Row],[item_key]],IsITypeList,Table_ExternalData_15[[#This Row],[IType]],IsDList,Table_ExternalData_15[[#Headers],[29]])</f>
        <v>120</v>
      </c>
      <c r="AH398" s="10">
        <f>SUMIFS(IsQList,IsIList,Table_ExternalData_15[[#This Row],[item_key]],IsITypeList,Table_ExternalData_15[[#This Row],[IType]],IsDList,Table_ExternalData_15[[#Headers],[30]])</f>
        <v>3000</v>
      </c>
      <c r="AI398" s="10">
        <f>SUMIFS(IsQList,IsIList,Table_ExternalData_15[[#This Row],[item_key]],IsITypeList,Table_ExternalData_15[[#This Row],[IType]],IsDList,Table_ExternalData_15[[#Headers],[31]])</f>
        <v>780</v>
      </c>
      <c r="AJ398" s="10">
        <f>SUM(Table_ExternalData_15[[#This Row],[1]:[31]])</f>
        <v>6660</v>
      </c>
    </row>
  </sheetData>
  <mergeCells count="2">
    <mergeCell ref="A1:B1"/>
    <mergeCell ref="E1:I1"/>
  </mergeCells>
  <conditionalFormatting sqref="D5:D398">
    <cfRule type="cellIs" dxfId="43" priority="1" operator="equal">
      <formula>"VST"</formula>
    </cfRule>
    <cfRule type="cellIs" dxfId="42" priority="2" operator="equal">
      <formula>"RTN"</formula>
    </cfRule>
    <cfRule type="cellIs" dxfId="41" priority="3" operator="equal">
      <formula>"S/I"</formula>
    </cfRule>
    <cfRule type="cellIs" dxfId="40" priority="4" operator="equal">
      <formula>"I/S"</formula>
    </cfRule>
    <cfRule type="cellIs" dxfId="39" priority="5" operator="equal">
      <formula>"CST"</formula>
    </cfRule>
    <cfRule type="cellIs" dxfId="38" priority="7" operator="equal">
      <formula>"RTN"</formula>
    </cfRule>
    <cfRule type="cellIs" dxfId="37" priority="8" operator="equal">
      <formula>"R/P"</formula>
    </cfRule>
  </conditionalFormatting>
  <conditionalFormatting sqref="D4:D398">
    <cfRule type="cellIs" dxfId="36" priority="6" operator="equal">
      <formula>"RTN"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Q486"/>
  <sheetViews>
    <sheetView tabSelected="1" workbookViewId="0">
      <pane xSplit="17" ySplit="4" topLeftCell="R5" activePane="bottomRight" state="frozen"/>
      <selection pane="topRight" activeCell="P1" sqref="P1"/>
      <selection pane="bottomLeft" activeCell="A5" sqref="A5"/>
      <selection pane="bottomRight" activeCell="C2" sqref="C2"/>
    </sheetView>
  </sheetViews>
  <sheetFormatPr defaultRowHeight="12" outlineLevelCol="1"/>
  <cols>
    <col min="1" max="1" width="12.28515625" style="1" bestFit="1" customWidth="1"/>
    <col min="2" max="2" width="20.7109375" style="1" customWidth="1"/>
    <col min="3" max="3" width="42.28515625" style="1" customWidth="1"/>
    <col min="4" max="4" width="11.5703125" style="1" bestFit="1" customWidth="1"/>
    <col min="5" max="5" width="7.5703125" style="1" hidden="1" customWidth="1" outlineLevel="1"/>
    <col min="6" max="6" width="8.140625" style="1" hidden="1" customWidth="1" outlineLevel="1"/>
    <col min="7" max="8" width="5.7109375" style="1" hidden="1" customWidth="1" outlineLevel="1"/>
    <col min="9" max="9" width="7.140625" style="1" hidden="1" customWidth="1" outlineLevel="1"/>
    <col min="10" max="10" width="16.28515625" style="1" bestFit="1" customWidth="1" collapsed="1"/>
    <col min="11" max="11" width="6.85546875" style="1" customWidth="1" outlineLevel="1"/>
    <col min="12" max="12" width="6.7109375" style="1" customWidth="1" outlineLevel="1"/>
    <col min="13" max="13" width="6" style="1" customWidth="1" outlineLevel="1"/>
    <col min="14" max="14" width="6.85546875" style="1" customWidth="1" outlineLevel="1"/>
    <col min="15" max="15" width="7.28515625" style="1" customWidth="1" outlineLevel="1"/>
    <col min="16" max="16" width="13.5703125" style="1" bestFit="1" customWidth="1"/>
    <col min="17" max="17" width="18.42578125" style="1" bestFit="1" customWidth="1"/>
    <col min="18" max="16384" width="9.140625" style="1"/>
  </cols>
  <sheetData>
    <row r="1" spans="1:17" s="23" customFormat="1" ht="20.25" thickBot="1">
      <c r="A1" s="25">
        <v>8</v>
      </c>
      <c r="B1" s="27">
        <v>2012</v>
      </c>
      <c r="C1" s="49" t="s">
        <v>172</v>
      </c>
      <c r="D1" s="29"/>
      <c r="E1" s="29"/>
      <c r="J1" s="29"/>
    </row>
    <row r="2" spans="1:17" s="24" customFormat="1" ht="25.5" customHeight="1" thickTop="1" thickBot="1">
      <c r="A2" s="28" t="s">
        <v>83</v>
      </c>
      <c r="B2" s="26">
        <v>2012</v>
      </c>
      <c r="M2" s="30"/>
    </row>
    <row r="4" spans="1:17" s="22" customFormat="1" ht="15.75">
      <c r="A4" s="22" t="s">
        <v>2</v>
      </c>
      <c r="B4" s="22" t="s">
        <v>8</v>
      </c>
      <c r="C4" s="22" t="s">
        <v>9</v>
      </c>
      <c r="D4" s="22" t="s">
        <v>78</v>
      </c>
      <c r="E4" s="22" t="s">
        <v>17</v>
      </c>
      <c r="F4" s="22" t="s">
        <v>74</v>
      </c>
      <c r="G4" s="22" t="s">
        <v>76</v>
      </c>
      <c r="H4" s="22" t="s">
        <v>63</v>
      </c>
      <c r="I4" s="22" t="s">
        <v>18</v>
      </c>
      <c r="J4" s="22" t="s">
        <v>79</v>
      </c>
      <c r="K4" s="22" t="s">
        <v>71</v>
      </c>
      <c r="L4" s="22" t="s">
        <v>68</v>
      </c>
      <c r="M4" s="22" t="s">
        <v>72</v>
      </c>
      <c r="N4" s="22" t="s">
        <v>69</v>
      </c>
      <c r="O4" s="22" t="s">
        <v>70</v>
      </c>
      <c r="P4" s="22" t="s">
        <v>80</v>
      </c>
      <c r="Q4" s="22" t="s">
        <v>77</v>
      </c>
    </row>
    <row r="5" spans="1:17">
      <c r="A5" s="1" t="s">
        <v>176</v>
      </c>
      <c r="B5" s="1" t="s">
        <v>2418</v>
      </c>
      <c r="C5" s="1" t="s">
        <v>2419</v>
      </c>
      <c r="D5" s="10">
        <f>SUMIFS(OPBQList,OPBIList,Table_ExternalData_17[[#This Row],[item_key]])+SUMIFS(GQList,GIList,Table_ExternalData_17[[#This Row],[item_key]],GDList,0)-ABS(SUMIFS(IsQList,IsIList,Table_ExternalData_17[[#This Row],[item_key]],IsDList,0))</f>
        <v>299</v>
      </c>
      <c r="E5" s="10">
        <f>SUMIFS(GQList,GIList,Table_ExternalData_17[[#This Row],[item_key]],GTList,Table_ExternalData_17[[#Headers],[GRN]],GDList,"&lt;&gt;"&amp;0)</f>
        <v>0</v>
      </c>
      <c r="F5" s="10">
        <f>SUMIFS(GQList,GIList,Table_ExternalData_17[[#This Row],[item_key]],GTList,Table_ExternalData_17[[#Headers],[VSTR]],GDList,"&lt;&gt;"&amp;0)</f>
        <v>0</v>
      </c>
      <c r="G5" s="10">
        <f>SUMIFS(GQList,GIList,Table_ExternalData_17[[#This Row],[item_key]],GTList,Table_ExternalData_17[[#Headers],[SR]],GDList,"&lt;&gt;"&amp;0)</f>
        <v>0</v>
      </c>
      <c r="H5" s="10">
        <f>SUMIFS(GQList,GIList,Table_ExternalData_17[[#This Row],[item_key]],GTList,Table_ExternalData_17[[#Headers],[TR]],GDList,"&lt;&gt;"&amp;0)</f>
        <v>0</v>
      </c>
      <c r="I5" s="10">
        <f>SUMIFS(GQList,GIList,Table_ExternalData_17[[#This Row],[item_key]],GTList,Table_ExternalData_17[[#Headers],[RCA]],GDList,"&lt;&gt;"&amp;0)</f>
        <v>0</v>
      </c>
      <c r="J5" s="10">
        <f>SUM(Table_ExternalData_17[[#This Row],[GRN]]+Table_ExternalData_17[[#This Row],[VSTR]]+Table_ExternalData_17[[#This Row],[SR]]+Table_ExternalData_17[[#This Row],[TR]]+Table_ExternalData_17[[#This Row],[RCA]])</f>
        <v>0</v>
      </c>
      <c r="K5" s="10">
        <f>SUMIFS(IsQList,IsIList,Table_ExternalData_17[[#This Row],[item_key]],IsITypeList,Table_ExternalData_17[[#Headers],[R/P]],IsDList,"&lt;&gt;"&amp;0)</f>
        <v>0</v>
      </c>
      <c r="L5" s="10">
        <f>SUMIFS(IsQList,IsIList,Table_ExternalData_17[[#This Row],[item_key]],IsITypeList,Table_ExternalData_17[[#Headers],[CST]],IsDList,"&lt;&gt;"&amp;0)</f>
        <v>0</v>
      </c>
      <c r="M5" s="10">
        <f>SUMIFS(IsQList,IsIList,Table_ExternalData_15[[#This Row],[item_key]],IsITypeList,Table_ExternalData_17[[#Headers],[S/I]],IsDList,"&lt;&gt;"&amp;0)</f>
        <v>8</v>
      </c>
      <c r="N5" s="10">
        <f>SUMIFS(IsQList,IsIList,Table_ExternalData_15[[#This Row],[item_key]],IsITypeList,Table_ExternalData_17[[#Headers],[VST]],IsDList,"&lt;&gt;"&amp;0)</f>
        <v>0</v>
      </c>
      <c r="O5" s="10">
        <f>ABS(SUMIFS(IsQList,IsIList,Table_ExternalData_17[[#This Row],[item_key]],IsITypeList,Table_ExternalData_17[[#Headers],[RTN]],IsDList,"&lt;&gt;"&amp;0))</f>
        <v>0</v>
      </c>
      <c r="P5" s="10">
        <f>SUM(Table_ExternalData_17[[#This Row],[R/P]:[RTN]])</f>
        <v>8</v>
      </c>
      <c r="Q5" s="10">
        <f>SUM((Table_ExternalData_17[[#This Row],[Opening]]+Table_ExternalData_17[[#This Row],[Total Receipt]])-ABS(Table_ExternalData_17[[#This Row],[Total Issue]]))</f>
        <v>291</v>
      </c>
    </row>
    <row r="6" spans="1:17">
      <c r="A6" s="1" t="s">
        <v>179</v>
      </c>
      <c r="B6" s="1" t="s">
        <v>2420</v>
      </c>
      <c r="C6" s="1" t="s">
        <v>2421</v>
      </c>
      <c r="D6" s="10">
        <f>SUMIFS(OPBQList,OPBIList,Table_ExternalData_17[[#This Row],[item_key]])+SUMIFS(GQList,GIList,Table_ExternalData_17[[#This Row],[item_key]],GDList,0)-ABS(SUMIFS(IsQList,IsIList,Table_ExternalData_17[[#This Row],[item_key]],IsDList,0))</f>
        <v>2786</v>
      </c>
      <c r="E6" s="10">
        <f>SUMIFS(GQList,GIList,Table_ExternalData_17[[#This Row],[item_key]],GTList,Table_ExternalData_17[[#Headers],[GRN]],GDList,"&lt;&gt;"&amp;0)</f>
        <v>0</v>
      </c>
      <c r="F6" s="10">
        <f>SUMIFS(GQList,GIList,Table_ExternalData_17[[#This Row],[item_key]],GTList,Table_ExternalData_17[[#Headers],[VSTR]],GDList,"&lt;&gt;"&amp;0)</f>
        <v>0</v>
      </c>
      <c r="G6" s="10">
        <f>SUMIFS(GQList,GIList,Table_ExternalData_17[[#This Row],[item_key]],GTList,Table_ExternalData_17[[#Headers],[SR]],GDList,"&lt;&gt;"&amp;0)</f>
        <v>0</v>
      </c>
      <c r="H6" s="10">
        <f>SUMIFS(GQList,GIList,Table_ExternalData_17[[#This Row],[item_key]],GTList,Table_ExternalData_17[[#Headers],[TR]],GDList,"&lt;&gt;"&amp;0)</f>
        <v>0</v>
      </c>
      <c r="I6" s="10">
        <f>SUMIFS(GQList,GIList,Table_ExternalData_17[[#This Row],[item_key]],GTList,Table_ExternalData_17[[#Headers],[RCA]],GDList,"&lt;&gt;"&amp;0)</f>
        <v>0</v>
      </c>
      <c r="J6" s="10">
        <f>SUM(Table_ExternalData_17[[#This Row],[GRN]]+Table_ExternalData_17[[#This Row],[VSTR]]+Table_ExternalData_17[[#This Row],[SR]]+Table_ExternalData_17[[#This Row],[TR]]+Table_ExternalData_17[[#This Row],[RCA]])</f>
        <v>0</v>
      </c>
      <c r="K6" s="10">
        <f>SUMIFS(IsQList,IsIList,Table_ExternalData_17[[#This Row],[item_key]],IsITypeList,Table_ExternalData_17[[#Headers],[R/P]],IsDList,"&lt;&gt;"&amp;0)</f>
        <v>0</v>
      </c>
      <c r="L6" s="10">
        <f>SUMIFS(IsQList,IsIList,Table_ExternalData_17[[#This Row],[item_key]],IsITypeList,Table_ExternalData_17[[#Headers],[CST]],IsDList,"&lt;&gt;"&amp;0)</f>
        <v>0</v>
      </c>
      <c r="M6" s="10">
        <f>SUMIFS(IsQList,IsIList,Table_ExternalData_15[[#This Row],[item_key]],IsITypeList,Table_ExternalData_17[[#Headers],[S/I]],IsDList,"&lt;&gt;"&amp;0)</f>
        <v>1</v>
      </c>
      <c r="N6" s="10">
        <f>SUMIFS(IsQList,IsIList,Table_ExternalData_15[[#This Row],[item_key]],IsITypeList,Table_ExternalData_17[[#Headers],[VST]],IsDList,"&lt;&gt;"&amp;0)</f>
        <v>0</v>
      </c>
      <c r="O6" s="10">
        <f>ABS(SUMIFS(IsQList,IsIList,Table_ExternalData_17[[#This Row],[item_key]],IsITypeList,Table_ExternalData_17[[#Headers],[RTN]],IsDList,"&lt;&gt;"&amp;0))</f>
        <v>0</v>
      </c>
      <c r="P6" s="10">
        <f>SUM(Table_ExternalData_17[[#This Row],[R/P]:[RTN]])</f>
        <v>1</v>
      </c>
      <c r="Q6" s="10">
        <f>SUM((Table_ExternalData_17[[#This Row],[Opening]]+Table_ExternalData_17[[#This Row],[Total Receipt]])-ABS(Table_ExternalData_17[[#This Row],[Total Issue]]))</f>
        <v>2785</v>
      </c>
    </row>
    <row r="7" spans="1:17">
      <c r="A7" s="35" t="s">
        <v>180</v>
      </c>
      <c r="B7" s="35" t="s">
        <v>2422</v>
      </c>
      <c r="C7" s="35" t="s">
        <v>2423</v>
      </c>
      <c r="D7" s="37">
        <f>SUMIFS(OPBQList,OPBIList,Table_ExternalData_17[[#This Row],[item_key]])+SUMIFS(GQList,GIList,Table_ExternalData_17[[#This Row],[item_key]],GDList,0)-ABS(SUMIFS(IsQList,IsIList,Table_ExternalData_17[[#This Row],[item_key]],IsDList,0))</f>
        <v>440</v>
      </c>
      <c r="E7" s="37">
        <f>SUMIFS(GQList,GIList,Table_ExternalData_17[[#This Row],[item_key]],GTList,Table_ExternalData_17[[#Headers],[GRN]],GDList,"&lt;&gt;"&amp;0)</f>
        <v>0</v>
      </c>
      <c r="F7" s="37">
        <f>SUMIFS(GQList,GIList,Table_ExternalData_17[[#This Row],[item_key]],GTList,Table_ExternalData_17[[#Headers],[VSTR]],GDList,"&lt;&gt;"&amp;0)</f>
        <v>0</v>
      </c>
      <c r="G7" s="37">
        <f>SUMIFS(GQList,GIList,Table_ExternalData_17[[#This Row],[item_key]],GTList,Table_ExternalData_17[[#Headers],[SR]],GDList,"&lt;&gt;"&amp;0)</f>
        <v>0</v>
      </c>
      <c r="H7" s="37">
        <f>SUMIFS(GQList,GIList,Table_ExternalData_17[[#This Row],[item_key]],GTList,Table_ExternalData_17[[#Headers],[TR]],GDList,"&lt;&gt;"&amp;0)</f>
        <v>0</v>
      </c>
      <c r="I7" s="37">
        <f>SUMIFS(GQList,GIList,Table_ExternalData_17[[#This Row],[item_key]],GTList,Table_ExternalData_17[[#Headers],[RCA]],GDList,"&lt;&gt;"&amp;0)</f>
        <v>0</v>
      </c>
      <c r="J7" s="37">
        <f>SUM(Table_ExternalData_17[[#This Row],[GRN]]+Table_ExternalData_17[[#This Row],[VSTR]]+Table_ExternalData_17[[#This Row],[SR]]+Table_ExternalData_17[[#This Row],[TR]]+Table_ExternalData_17[[#This Row],[RCA]])</f>
        <v>0</v>
      </c>
      <c r="K7" s="37">
        <f>SUMIFS(IsQList,IsIList,Table_ExternalData_17[[#This Row],[item_key]],IsITypeList,Table_ExternalData_17[[#Headers],[R/P]],IsDList,"&lt;&gt;"&amp;0)</f>
        <v>0</v>
      </c>
      <c r="L7" s="37">
        <f>SUMIFS(IsQList,IsIList,Table_ExternalData_17[[#This Row],[item_key]],IsITypeList,Table_ExternalData_17[[#Headers],[CST]],IsDList,"&lt;&gt;"&amp;0)</f>
        <v>0</v>
      </c>
      <c r="M7" s="37">
        <f>SUMIFS(IsQList,IsIList,Table_ExternalData_15[[#This Row],[item_key]],IsITypeList,Table_ExternalData_17[[#Headers],[S/I]],IsDList,"&lt;&gt;"&amp;0)</f>
        <v>559</v>
      </c>
      <c r="N7" s="37">
        <f>SUMIFS(IsQList,IsIList,Table_ExternalData_15[[#This Row],[item_key]],IsITypeList,Table_ExternalData_17[[#Headers],[VST]],IsDList,"&lt;&gt;"&amp;0)</f>
        <v>0</v>
      </c>
      <c r="O7" s="37">
        <f>ABS(SUMIFS(IsQList,IsIList,Table_ExternalData_17[[#This Row],[item_key]],IsITypeList,Table_ExternalData_17[[#Headers],[RTN]],IsDList,"&lt;&gt;"&amp;0))</f>
        <v>0</v>
      </c>
      <c r="P7" s="37">
        <f>SUM(Table_ExternalData_17[[#This Row],[R/P]:[RTN]])</f>
        <v>559</v>
      </c>
      <c r="Q7" s="37">
        <f>SUM((Table_ExternalData_17[[#This Row],[Opening]]+Table_ExternalData_17[[#This Row],[Total Receipt]])-ABS(Table_ExternalData_17[[#This Row],[Total Issue]]))</f>
        <v>-119</v>
      </c>
    </row>
    <row r="8" spans="1:17">
      <c r="A8" s="35" t="s">
        <v>1633</v>
      </c>
      <c r="B8" s="35" t="s">
        <v>2424</v>
      </c>
      <c r="C8" s="35" t="s">
        <v>2425</v>
      </c>
      <c r="D8" s="37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" s="37">
        <f>SUMIFS(GQList,GIList,Table_ExternalData_17[[#This Row],[item_key]],GTList,Table_ExternalData_17[[#Headers],[GRN]],GDList,"&lt;&gt;"&amp;0)</f>
        <v>50</v>
      </c>
      <c r="F8" s="37">
        <f>SUMIFS(GQList,GIList,Table_ExternalData_17[[#This Row],[item_key]],GTList,Table_ExternalData_17[[#Headers],[VSTR]],GDList,"&lt;&gt;"&amp;0)</f>
        <v>0</v>
      </c>
      <c r="G8" s="37">
        <f>SUMIFS(GQList,GIList,Table_ExternalData_17[[#This Row],[item_key]],GTList,Table_ExternalData_17[[#Headers],[SR]],GDList,"&lt;&gt;"&amp;0)</f>
        <v>0</v>
      </c>
      <c r="H8" s="37">
        <f>SUMIFS(GQList,GIList,Table_ExternalData_17[[#This Row],[item_key]],GTList,Table_ExternalData_17[[#Headers],[TR]],GDList,"&lt;&gt;"&amp;0)</f>
        <v>0</v>
      </c>
      <c r="I8" s="37">
        <f>SUMIFS(GQList,GIList,Table_ExternalData_17[[#This Row],[item_key]],GTList,Table_ExternalData_17[[#Headers],[RCA]],GDList,"&lt;&gt;"&amp;0)</f>
        <v>0</v>
      </c>
      <c r="J8" s="37">
        <f>SUM(Table_ExternalData_17[[#This Row],[GRN]]+Table_ExternalData_17[[#This Row],[VSTR]]+Table_ExternalData_17[[#This Row],[SR]]+Table_ExternalData_17[[#This Row],[TR]]+Table_ExternalData_17[[#This Row],[RCA]])</f>
        <v>50</v>
      </c>
      <c r="K8" s="37">
        <f>SUMIFS(IsQList,IsIList,Table_ExternalData_17[[#This Row],[item_key]],IsITypeList,Table_ExternalData_17[[#Headers],[R/P]],IsDList,"&lt;&gt;"&amp;0)</f>
        <v>0</v>
      </c>
      <c r="L8" s="37">
        <f>SUMIFS(IsQList,IsIList,Table_ExternalData_17[[#This Row],[item_key]],IsITypeList,Table_ExternalData_17[[#Headers],[CST]],IsDList,"&lt;&gt;"&amp;0)</f>
        <v>0</v>
      </c>
      <c r="M8" s="37">
        <f>SUMIFS(IsQList,IsIList,Table_ExternalData_15[[#This Row],[item_key]],IsITypeList,Table_ExternalData_17[[#Headers],[S/I]],IsDList,"&lt;&gt;"&amp;0)</f>
        <v>35</v>
      </c>
      <c r="N8" s="37">
        <f>SUMIFS(IsQList,IsIList,Table_ExternalData_15[[#This Row],[item_key]],IsITypeList,Table_ExternalData_17[[#Headers],[VST]],IsDList,"&lt;&gt;"&amp;0)</f>
        <v>0</v>
      </c>
      <c r="O8" s="37">
        <f>ABS(SUMIFS(IsQList,IsIList,Table_ExternalData_17[[#This Row],[item_key]],IsITypeList,Table_ExternalData_17[[#Headers],[RTN]],IsDList,"&lt;&gt;"&amp;0))</f>
        <v>0</v>
      </c>
      <c r="P8" s="37">
        <f>SUM(Table_ExternalData_17[[#This Row],[R/P]:[RTN]])</f>
        <v>35</v>
      </c>
      <c r="Q8" s="37">
        <f>SUM((Table_ExternalData_17[[#This Row],[Opening]]+Table_ExternalData_17[[#This Row],[Total Receipt]])-ABS(Table_ExternalData_17[[#This Row],[Total Issue]]))</f>
        <v>15</v>
      </c>
    </row>
    <row r="9" spans="1:17">
      <c r="A9" s="35" t="s">
        <v>1637</v>
      </c>
      <c r="B9" s="35" t="s">
        <v>2426</v>
      </c>
      <c r="C9" s="35" t="s">
        <v>2427</v>
      </c>
      <c r="D9" s="37">
        <f>SUMIFS(OPBQList,OPBIList,Table_ExternalData_17[[#This Row],[item_key]])+SUMIFS(GQList,GIList,Table_ExternalData_17[[#This Row],[item_key]],GDList,0)-ABS(SUMIFS(IsQList,IsIList,Table_ExternalData_17[[#This Row],[item_key]],IsDList,0))</f>
        <v>14</v>
      </c>
      <c r="E9" s="37">
        <f>SUMIFS(GQList,GIList,Table_ExternalData_17[[#This Row],[item_key]],GTList,Table_ExternalData_17[[#Headers],[GRN]],GDList,"&lt;&gt;"&amp;0)</f>
        <v>0</v>
      </c>
      <c r="F9" s="37">
        <f>SUMIFS(GQList,GIList,Table_ExternalData_17[[#This Row],[item_key]],GTList,Table_ExternalData_17[[#Headers],[VSTR]],GDList,"&lt;&gt;"&amp;0)</f>
        <v>0</v>
      </c>
      <c r="G9" s="37">
        <f>SUMIFS(GQList,GIList,Table_ExternalData_17[[#This Row],[item_key]],GTList,Table_ExternalData_17[[#Headers],[SR]],GDList,"&lt;&gt;"&amp;0)</f>
        <v>0</v>
      </c>
      <c r="H9" s="37">
        <f>SUMIFS(GQList,GIList,Table_ExternalData_17[[#This Row],[item_key]],GTList,Table_ExternalData_17[[#Headers],[TR]],GDList,"&lt;&gt;"&amp;0)</f>
        <v>0</v>
      </c>
      <c r="I9" s="37">
        <f>SUMIFS(GQList,GIList,Table_ExternalData_17[[#This Row],[item_key]],GTList,Table_ExternalData_17[[#Headers],[RCA]],GDList,"&lt;&gt;"&amp;0)</f>
        <v>0</v>
      </c>
      <c r="J9" s="37">
        <f>SUM(Table_ExternalData_17[[#This Row],[GRN]]+Table_ExternalData_17[[#This Row],[VSTR]]+Table_ExternalData_17[[#This Row],[SR]]+Table_ExternalData_17[[#This Row],[TR]]+Table_ExternalData_17[[#This Row],[RCA]])</f>
        <v>0</v>
      </c>
      <c r="K9" s="37">
        <f>SUMIFS(IsQList,IsIList,Table_ExternalData_17[[#This Row],[item_key]],IsITypeList,Table_ExternalData_17[[#Headers],[R/P]],IsDList,"&lt;&gt;"&amp;0)</f>
        <v>0</v>
      </c>
      <c r="L9" s="37">
        <f>SUMIFS(IsQList,IsIList,Table_ExternalData_17[[#This Row],[item_key]],IsITypeList,Table_ExternalData_17[[#Headers],[CST]],IsDList,"&lt;&gt;"&amp;0)</f>
        <v>0</v>
      </c>
      <c r="M9" s="37">
        <f>SUMIFS(IsQList,IsIList,Table_ExternalData_15[[#This Row],[item_key]],IsITypeList,Table_ExternalData_17[[#Headers],[S/I]],IsDList,"&lt;&gt;"&amp;0)</f>
        <v>6</v>
      </c>
      <c r="N9" s="37">
        <f>SUMIFS(IsQList,IsIList,Table_ExternalData_15[[#This Row],[item_key]],IsITypeList,Table_ExternalData_17[[#Headers],[VST]],IsDList,"&lt;&gt;"&amp;0)</f>
        <v>0</v>
      </c>
      <c r="O9" s="37">
        <f>ABS(SUMIFS(IsQList,IsIList,Table_ExternalData_17[[#This Row],[item_key]],IsITypeList,Table_ExternalData_17[[#Headers],[RTN]],IsDList,"&lt;&gt;"&amp;0))</f>
        <v>0</v>
      </c>
      <c r="P9" s="37">
        <f>SUM(Table_ExternalData_17[[#This Row],[R/P]:[RTN]])</f>
        <v>6</v>
      </c>
      <c r="Q9" s="37">
        <f>SUM((Table_ExternalData_17[[#This Row],[Opening]]+Table_ExternalData_17[[#This Row],[Total Receipt]])-ABS(Table_ExternalData_17[[#This Row],[Total Issue]]))</f>
        <v>8</v>
      </c>
    </row>
    <row r="10" spans="1:17">
      <c r="A10" s="1" t="s">
        <v>185</v>
      </c>
      <c r="B10" s="1" t="s">
        <v>2428</v>
      </c>
      <c r="C10" s="1" t="s">
        <v>2429</v>
      </c>
      <c r="D10" s="10">
        <f>SUMIFS(OPBQList,OPBIList,Table_ExternalData_17[[#This Row],[item_key]])+SUMIFS(GQList,GIList,Table_ExternalData_17[[#This Row],[item_key]],GDList,0)-ABS(SUMIFS(IsQList,IsIList,Table_ExternalData_17[[#This Row],[item_key]],IsDList,0))</f>
        <v>559</v>
      </c>
      <c r="E10" s="10">
        <f>SUMIFS(GQList,GIList,Table_ExternalData_17[[#This Row],[item_key]],GTList,Table_ExternalData_17[[#Headers],[GRN]],GDList,"&lt;&gt;"&amp;0)</f>
        <v>0</v>
      </c>
      <c r="F10" s="10">
        <f>SUMIFS(GQList,GIList,Table_ExternalData_17[[#This Row],[item_key]],GTList,Table_ExternalData_17[[#Headers],[VSTR]],GDList,"&lt;&gt;"&amp;0)</f>
        <v>0</v>
      </c>
      <c r="G10" s="10">
        <f>SUMIFS(GQList,GIList,Table_ExternalData_17[[#This Row],[item_key]],GTList,Table_ExternalData_17[[#Headers],[SR]],GDList,"&lt;&gt;"&amp;0)</f>
        <v>0</v>
      </c>
      <c r="H10" s="10">
        <f>SUMIFS(GQList,GIList,Table_ExternalData_17[[#This Row],[item_key]],GTList,Table_ExternalData_17[[#Headers],[TR]],GDList,"&lt;&gt;"&amp;0)</f>
        <v>0</v>
      </c>
      <c r="I10" s="10">
        <f>SUMIFS(GQList,GIList,Table_ExternalData_17[[#This Row],[item_key]],GTList,Table_ExternalData_17[[#Headers],[RCA]],GDList,"&lt;&gt;"&amp;0)</f>
        <v>0</v>
      </c>
      <c r="J10" s="10">
        <f>SUM(Table_ExternalData_17[[#This Row],[GRN]]+Table_ExternalData_17[[#This Row],[VSTR]]+Table_ExternalData_17[[#This Row],[SR]]+Table_ExternalData_17[[#This Row],[TR]]+Table_ExternalData_17[[#This Row],[RCA]])</f>
        <v>0</v>
      </c>
      <c r="K10" s="10">
        <f>SUMIFS(IsQList,IsIList,Table_ExternalData_17[[#This Row],[item_key]],IsITypeList,Table_ExternalData_17[[#Headers],[R/P]],IsDList,"&lt;&gt;"&amp;0)</f>
        <v>0</v>
      </c>
      <c r="L10" s="10">
        <f>SUMIFS(IsQList,IsIList,Table_ExternalData_17[[#This Row],[item_key]],IsITypeList,Table_ExternalData_17[[#Headers],[CST]],IsDList,"&lt;&gt;"&amp;0)</f>
        <v>0</v>
      </c>
      <c r="M10" s="10">
        <f>SUMIFS(IsQList,IsIList,Table_ExternalData_15[[#This Row],[item_key]],IsITypeList,Table_ExternalData_17[[#Headers],[S/I]],IsDList,"&lt;&gt;"&amp;0)</f>
        <v>11</v>
      </c>
      <c r="N10" s="10">
        <f>SUMIFS(IsQList,IsIList,Table_ExternalData_15[[#This Row],[item_key]],IsITypeList,Table_ExternalData_17[[#Headers],[VST]],IsDList,"&lt;&gt;"&amp;0)</f>
        <v>0</v>
      </c>
      <c r="O10" s="10">
        <f>ABS(SUMIFS(IsQList,IsIList,Table_ExternalData_17[[#This Row],[item_key]],IsITypeList,Table_ExternalData_17[[#Headers],[RTN]],IsDList,"&lt;&gt;"&amp;0))</f>
        <v>0</v>
      </c>
      <c r="P10" s="10">
        <f>SUM(Table_ExternalData_17[[#This Row],[R/P]:[RTN]])</f>
        <v>11</v>
      </c>
      <c r="Q10" s="10">
        <f>SUM((Table_ExternalData_17[[#This Row],[Opening]]+Table_ExternalData_17[[#This Row],[Total Receipt]])-ABS(Table_ExternalData_17[[#This Row],[Total Issue]]))</f>
        <v>548</v>
      </c>
    </row>
    <row r="11" spans="1:17">
      <c r="A11" s="1" t="s">
        <v>187</v>
      </c>
      <c r="B11" s="1" t="s">
        <v>2430</v>
      </c>
      <c r="C11" s="1" t="s">
        <v>2431</v>
      </c>
      <c r="D11" s="10">
        <f>SUMIFS(OPBQList,OPBIList,Table_ExternalData_17[[#This Row],[item_key]])+SUMIFS(GQList,GIList,Table_ExternalData_17[[#This Row],[item_key]],GDList,0)-ABS(SUMIFS(IsQList,IsIList,Table_ExternalData_17[[#This Row],[item_key]],IsDList,0))</f>
        <v>1086</v>
      </c>
      <c r="E11" s="10">
        <f>SUMIFS(GQList,GIList,Table_ExternalData_17[[#This Row],[item_key]],GTList,Table_ExternalData_17[[#Headers],[GRN]],GDList,"&lt;&gt;"&amp;0)</f>
        <v>0</v>
      </c>
      <c r="F11" s="10">
        <f>SUMIFS(GQList,GIList,Table_ExternalData_17[[#This Row],[item_key]],GTList,Table_ExternalData_17[[#Headers],[VSTR]],GDList,"&lt;&gt;"&amp;0)</f>
        <v>0</v>
      </c>
      <c r="G11" s="10">
        <f>SUMIFS(GQList,GIList,Table_ExternalData_17[[#This Row],[item_key]],GTList,Table_ExternalData_17[[#Headers],[SR]],GDList,"&lt;&gt;"&amp;0)</f>
        <v>0</v>
      </c>
      <c r="H11" s="10">
        <f>SUMIFS(GQList,GIList,Table_ExternalData_17[[#This Row],[item_key]],GTList,Table_ExternalData_17[[#Headers],[TR]],GDList,"&lt;&gt;"&amp;0)</f>
        <v>0</v>
      </c>
      <c r="I11" s="10">
        <f>SUMIFS(GQList,GIList,Table_ExternalData_17[[#This Row],[item_key]],GTList,Table_ExternalData_17[[#Headers],[RCA]],GDList,"&lt;&gt;"&amp;0)</f>
        <v>0</v>
      </c>
      <c r="J11" s="10">
        <f>SUM(Table_ExternalData_17[[#This Row],[GRN]]+Table_ExternalData_17[[#This Row],[VSTR]]+Table_ExternalData_17[[#This Row],[SR]]+Table_ExternalData_17[[#This Row],[TR]]+Table_ExternalData_17[[#This Row],[RCA]])</f>
        <v>0</v>
      </c>
      <c r="K11" s="10">
        <f>SUMIFS(IsQList,IsIList,Table_ExternalData_17[[#This Row],[item_key]],IsITypeList,Table_ExternalData_17[[#Headers],[R/P]],IsDList,"&lt;&gt;"&amp;0)</f>
        <v>0</v>
      </c>
      <c r="L11" s="10">
        <f>SUMIFS(IsQList,IsIList,Table_ExternalData_17[[#This Row],[item_key]],IsITypeList,Table_ExternalData_17[[#Headers],[CST]],IsDList,"&lt;&gt;"&amp;0)</f>
        <v>0</v>
      </c>
      <c r="M11" s="10">
        <f>SUMIFS(IsQList,IsIList,Table_ExternalData_15[[#This Row],[item_key]],IsITypeList,Table_ExternalData_17[[#Headers],[S/I]],IsDList,"&lt;&gt;"&amp;0)</f>
        <v>10</v>
      </c>
      <c r="N11" s="10">
        <f>SUMIFS(IsQList,IsIList,Table_ExternalData_15[[#This Row],[item_key]],IsITypeList,Table_ExternalData_17[[#Headers],[VST]],IsDList,"&lt;&gt;"&amp;0)</f>
        <v>0</v>
      </c>
      <c r="O11" s="10">
        <f>ABS(SUMIFS(IsQList,IsIList,Table_ExternalData_17[[#This Row],[item_key]],IsITypeList,Table_ExternalData_17[[#Headers],[RTN]],IsDList,"&lt;&gt;"&amp;0))</f>
        <v>0</v>
      </c>
      <c r="P11" s="10">
        <f>SUM(Table_ExternalData_17[[#This Row],[R/P]:[RTN]])</f>
        <v>10</v>
      </c>
      <c r="Q11" s="10">
        <f>SUM((Table_ExternalData_17[[#This Row],[Opening]]+Table_ExternalData_17[[#This Row],[Total Receipt]])-ABS(Table_ExternalData_17[[#This Row],[Total Issue]]))</f>
        <v>1076</v>
      </c>
    </row>
    <row r="12" spans="1:17">
      <c r="A12" s="1" t="s">
        <v>188</v>
      </c>
      <c r="B12" s="1" t="s">
        <v>1201</v>
      </c>
      <c r="C12" s="1" t="s">
        <v>1202</v>
      </c>
      <c r="D12" s="10">
        <f>SUMIFS(OPBQList,OPBIList,Table_ExternalData_17[[#This Row],[item_key]])+SUMIFS(GQList,GIList,Table_ExternalData_17[[#This Row],[item_key]],GDList,0)-ABS(SUMIFS(IsQList,IsIList,Table_ExternalData_17[[#This Row],[item_key]],IsDList,0))</f>
        <v>35</v>
      </c>
      <c r="E12" s="10">
        <f>SUMIFS(GQList,GIList,Table_ExternalData_17[[#This Row],[item_key]],GTList,Table_ExternalData_17[[#Headers],[GRN]],GDList,"&lt;&gt;"&amp;0)</f>
        <v>0</v>
      </c>
      <c r="F12" s="10">
        <f>SUMIFS(GQList,GIList,Table_ExternalData_17[[#This Row],[item_key]],GTList,Table_ExternalData_17[[#Headers],[VSTR]],GDList,"&lt;&gt;"&amp;0)</f>
        <v>0</v>
      </c>
      <c r="G12" s="10">
        <f>SUMIFS(GQList,GIList,Table_ExternalData_17[[#This Row],[item_key]],GTList,Table_ExternalData_17[[#Headers],[SR]],GDList,"&lt;&gt;"&amp;0)</f>
        <v>0</v>
      </c>
      <c r="H12" s="10">
        <f>SUMIFS(GQList,GIList,Table_ExternalData_17[[#This Row],[item_key]],GTList,Table_ExternalData_17[[#Headers],[TR]],GDList,"&lt;&gt;"&amp;0)</f>
        <v>0</v>
      </c>
      <c r="I12" s="10">
        <f>SUMIFS(GQList,GIList,Table_ExternalData_17[[#This Row],[item_key]],GTList,Table_ExternalData_17[[#Headers],[RCA]],GDList,"&lt;&gt;"&amp;0)</f>
        <v>0</v>
      </c>
      <c r="J12" s="10">
        <f>SUM(Table_ExternalData_17[[#This Row],[GRN]]+Table_ExternalData_17[[#This Row],[VSTR]]+Table_ExternalData_17[[#This Row],[SR]]+Table_ExternalData_17[[#This Row],[TR]]+Table_ExternalData_17[[#This Row],[RCA]])</f>
        <v>0</v>
      </c>
      <c r="K12" s="10">
        <f>SUMIFS(IsQList,IsIList,Table_ExternalData_17[[#This Row],[item_key]],IsITypeList,Table_ExternalData_17[[#Headers],[R/P]],IsDList,"&lt;&gt;"&amp;0)</f>
        <v>0</v>
      </c>
      <c r="L12" s="10">
        <f>SUMIFS(IsQList,IsIList,Table_ExternalData_17[[#This Row],[item_key]],IsITypeList,Table_ExternalData_17[[#Headers],[CST]],IsDList,"&lt;&gt;"&amp;0)</f>
        <v>0</v>
      </c>
      <c r="M12" s="10">
        <f>SUMIFS(IsQList,IsIList,Table_ExternalData_15[[#This Row],[item_key]],IsITypeList,Table_ExternalData_17[[#Headers],[S/I]],IsDList,"&lt;&gt;"&amp;0)</f>
        <v>30</v>
      </c>
      <c r="N12" s="10">
        <f>SUMIFS(IsQList,IsIList,Table_ExternalData_15[[#This Row],[item_key]],IsITypeList,Table_ExternalData_17[[#Headers],[VST]],IsDList,"&lt;&gt;"&amp;0)</f>
        <v>0</v>
      </c>
      <c r="O12" s="10">
        <f>ABS(SUMIFS(IsQList,IsIList,Table_ExternalData_17[[#This Row],[item_key]],IsITypeList,Table_ExternalData_17[[#Headers],[RTN]],IsDList,"&lt;&gt;"&amp;0))</f>
        <v>0</v>
      </c>
      <c r="P12" s="10">
        <f>SUM(Table_ExternalData_17[[#This Row],[R/P]:[RTN]])</f>
        <v>30</v>
      </c>
      <c r="Q12" s="10">
        <f>SUM((Table_ExternalData_17[[#This Row],[Opening]]+Table_ExternalData_17[[#This Row],[Total Receipt]])-ABS(Table_ExternalData_17[[#This Row],[Total Issue]]))</f>
        <v>5</v>
      </c>
    </row>
    <row r="13" spans="1:17">
      <c r="A13" s="1" t="s">
        <v>1640</v>
      </c>
      <c r="B13" s="1" t="s">
        <v>2432</v>
      </c>
      <c r="C13" s="1" t="s">
        <v>2433</v>
      </c>
      <c r="D13" s="10">
        <f>SUMIFS(OPBQList,OPBIList,Table_ExternalData_17[[#This Row],[item_key]])+SUMIFS(GQList,GIList,Table_ExternalData_17[[#This Row],[item_key]],GDList,0)-ABS(SUMIFS(IsQList,IsIList,Table_ExternalData_17[[#This Row],[item_key]],IsDList,0))</f>
        <v>58</v>
      </c>
      <c r="E13" s="10">
        <f>SUMIFS(GQList,GIList,Table_ExternalData_17[[#This Row],[item_key]],GTList,Table_ExternalData_17[[#Headers],[GRN]],GDList,"&lt;&gt;"&amp;0)</f>
        <v>0</v>
      </c>
      <c r="F13" s="10">
        <f>SUMIFS(GQList,GIList,Table_ExternalData_17[[#This Row],[item_key]],GTList,Table_ExternalData_17[[#Headers],[VSTR]],GDList,"&lt;&gt;"&amp;0)</f>
        <v>0</v>
      </c>
      <c r="G13" s="10">
        <f>SUMIFS(GQList,GIList,Table_ExternalData_17[[#This Row],[item_key]],GTList,Table_ExternalData_17[[#Headers],[SR]],GDList,"&lt;&gt;"&amp;0)</f>
        <v>0</v>
      </c>
      <c r="H13" s="10">
        <f>SUMIFS(GQList,GIList,Table_ExternalData_17[[#This Row],[item_key]],GTList,Table_ExternalData_17[[#Headers],[TR]],GDList,"&lt;&gt;"&amp;0)</f>
        <v>0</v>
      </c>
      <c r="I13" s="10">
        <f>SUMIFS(GQList,GIList,Table_ExternalData_17[[#This Row],[item_key]],GTList,Table_ExternalData_17[[#Headers],[RCA]],GDList,"&lt;&gt;"&amp;0)</f>
        <v>0</v>
      </c>
      <c r="J13" s="10">
        <f>SUM(Table_ExternalData_17[[#This Row],[GRN]]+Table_ExternalData_17[[#This Row],[VSTR]]+Table_ExternalData_17[[#This Row],[SR]]+Table_ExternalData_17[[#This Row],[TR]]+Table_ExternalData_17[[#This Row],[RCA]])</f>
        <v>0</v>
      </c>
      <c r="K13" s="10">
        <f>SUMIFS(IsQList,IsIList,Table_ExternalData_17[[#This Row],[item_key]],IsITypeList,Table_ExternalData_17[[#Headers],[R/P]],IsDList,"&lt;&gt;"&amp;0)</f>
        <v>0</v>
      </c>
      <c r="L13" s="10">
        <f>SUMIFS(IsQList,IsIList,Table_ExternalData_17[[#This Row],[item_key]],IsITypeList,Table_ExternalData_17[[#Headers],[CST]],IsDList,"&lt;&gt;"&amp;0)</f>
        <v>0</v>
      </c>
      <c r="M13" s="10">
        <f>SUMIFS(IsQList,IsIList,Table_ExternalData_15[[#This Row],[item_key]],IsITypeList,Table_ExternalData_17[[#Headers],[S/I]],IsDList,"&lt;&gt;"&amp;0)</f>
        <v>73</v>
      </c>
      <c r="N13" s="10">
        <f>SUMIFS(IsQList,IsIList,Table_ExternalData_15[[#This Row],[item_key]],IsITypeList,Table_ExternalData_17[[#Headers],[VST]],IsDList,"&lt;&gt;"&amp;0)</f>
        <v>0</v>
      </c>
      <c r="O13" s="10">
        <f>ABS(SUMIFS(IsQList,IsIList,Table_ExternalData_17[[#This Row],[item_key]],IsITypeList,Table_ExternalData_17[[#Headers],[RTN]],IsDList,"&lt;&gt;"&amp;0))</f>
        <v>0</v>
      </c>
      <c r="P13" s="10">
        <f>SUM(Table_ExternalData_17[[#This Row],[R/P]:[RTN]])</f>
        <v>73</v>
      </c>
      <c r="Q13" s="10">
        <f>SUM((Table_ExternalData_17[[#This Row],[Opening]]+Table_ExternalData_17[[#This Row],[Total Receipt]])-ABS(Table_ExternalData_17[[#This Row],[Total Issue]]))</f>
        <v>-15</v>
      </c>
    </row>
    <row r="14" spans="1:17">
      <c r="A14" s="1" t="s">
        <v>191</v>
      </c>
      <c r="B14" s="1" t="s">
        <v>1203</v>
      </c>
      <c r="C14" s="1" t="s">
        <v>1204</v>
      </c>
      <c r="D14" s="10">
        <f>SUMIFS(OPBQList,OPBIList,Table_ExternalData_17[[#This Row],[item_key]])+SUMIFS(GQList,GIList,Table_ExternalData_17[[#This Row],[item_key]],GDList,0)-ABS(SUMIFS(IsQList,IsIList,Table_ExternalData_17[[#This Row],[item_key]],IsDList,0))</f>
        <v>142</v>
      </c>
      <c r="E14" s="10">
        <f>SUMIFS(GQList,GIList,Table_ExternalData_17[[#This Row],[item_key]],GTList,Table_ExternalData_17[[#Headers],[GRN]],GDList,"&lt;&gt;"&amp;0)</f>
        <v>0</v>
      </c>
      <c r="F14" s="10">
        <f>SUMIFS(GQList,GIList,Table_ExternalData_17[[#This Row],[item_key]],GTList,Table_ExternalData_17[[#Headers],[VSTR]],GDList,"&lt;&gt;"&amp;0)</f>
        <v>0</v>
      </c>
      <c r="G14" s="10">
        <f>SUMIFS(GQList,GIList,Table_ExternalData_17[[#This Row],[item_key]],GTList,Table_ExternalData_17[[#Headers],[SR]],GDList,"&lt;&gt;"&amp;0)</f>
        <v>0</v>
      </c>
      <c r="H14" s="10">
        <f>SUMIFS(GQList,GIList,Table_ExternalData_17[[#This Row],[item_key]],GTList,Table_ExternalData_17[[#Headers],[TR]],GDList,"&lt;&gt;"&amp;0)</f>
        <v>0</v>
      </c>
      <c r="I14" s="10">
        <f>SUMIFS(GQList,GIList,Table_ExternalData_17[[#This Row],[item_key]],GTList,Table_ExternalData_17[[#Headers],[RCA]],GDList,"&lt;&gt;"&amp;0)</f>
        <v>0</v>
      </c>
      <c r="J14" s="10">
        <f>SUM(Table_ExternalData_17[[#This Row],[GRN]]+Table_ExternalData_17[[#This Row],[VSTR]]+Table_ExternalData_17[[#This Row],[SR]]+Table_ExternalData_17[[#This Row],[TR]]+Table_ExternalData_17[[#This Row],[RCA]])</f>
        <v>0</v>
      </c>
      <c r="K14" s="10">
        <f>SUMIFS(IsQList,IsIList,Table_ExternalData_17[[#This Row],[item_key]],IsITypeList,Table_ExternalData_17[[#Headers],[R/P]],IsDList,"&lt;&gt;"&amp;0)</f>
        <v>0</v>
      </c>
      <c r="L14" s="10">
        <f>SUMIFS(IsQList,IsIList,Table_ExternalData_17[[#This Row],[item_key]],IsITypeList,Table_ExternalData_17[[#Headers],[CST]],IsDList,"&lt;&gt;"&amp;0)</f>
        <v>0</v>
      </c>
      <c r="M14" s="10">
        <f>SUMIFS(IsQList,IsIList,Table_ExternalData_15[[#This Row],[item_key]],IsITypeList,Table_ExternalData_17[[#Headers],[S/I]],IsDList,"&lt;&gt;"&amp;0)</f>
        <v>0</v>
      </c>
      <c r="N14" s="10">
        <f>SUMIFS(IsQList,IsIList,Table_ExternalData_15[[#This Row],[item_key]],IsITypeList,Table_ExternalData_17[[#Headers],[VST]],IsDList,"&lt;&gt;"&amp;0)</f>
        <v>0</v>
      </c>
      <c r="O14" s="10">
        <f>ABS(SUMIFS(IsQList,IsIList,Table_ExternalData_17[[#This Row],[item_key]],IsITypeList,Table_ExternalData_17[[#Headers],[RTN]],IsDList,"&lt;&gt;"&amp;0))</f>
        <v>0</v>
      </c>
      <c r="P14" s="10">
        <f>SUM(Table_ExternalData_17[[#This Row],[R/P]:[RTN]])</f>
        <v>0</v>
      </c>
      <c r="Q14" s="10">
        <f>SUM((Table_ExternalData_17[[#This Row],[Opening]]+Table_ExternalData_17[[#This Row],[Total Receipt]])-ABS(Table_ExternalData_17[[#This Row],[Total Issue]]))</f>
        <v>142</v>
      </c>
    </row>
    <row r="15" spans="1:17">
      <c r="A15" s="1" t="s">
        <v>192</v>
      </c>
      <c r="B15" s="1" t="s">
        <v>1205</v>
      </c>
      <c r="C15" s="1" t="s">
        <v>1206</v>
      </c>
      <c r="D15" s="10">
        <f>SUMIFS(OPBQList,OPBIList,Table_ExternalData_17[[#This Row],[item_key]])+SUMIFS(GQList,GIList,Table_ExternalData_17[[#This Row],[item_key]],GDList,0)-ABS(SUMIFS(IsQList,IsIList,Table_ExternalData_17[[#This Row],[item_key]],IsDList,0))</f>
        <v>40</v>
      </c>
      <c r="E15" s="10">
        <f>SUMIFS(GQList,GIList,Table_ExternalData_17[[#This Row],[item_key]],GTList,Table_ExternalData_17[[#Headers],[GRN]],GDList,"&lt;&gt;"&amp;0)</f>
        <v>0</v>
      </c>
      <c r="F15" s="10">
        <f>SUMIFS(GQList,GIList,Table_ExternalData_17[[#This Row],[item_key]],GTList,Table_ExternalData_17[[#Headers],[VSTR]],GDList,"&lt;&gt;"&amp;0)</f>
        <v>0</v>
      </c>
      <c r="G15" s="10">
        <f>SUMIFS(GQList,GIList,Table_ExternalData_17[[#This Row],[item_key]],GTList,Table_ExternalData_17[[#Headers],[SR]],GDList,"&lt;&gt;"&amp;0)</f>
        <v>0</v>
      </c>
      <c r="H15" s="10">
        <f>SUMIFS(GQList,GIList,Table_ExternalData_17[[#This Row],[item_key]],GTList,Table_ExternalData_17[[#Headers],[TR]],GDList,"&lt;&gt;"&amp;0)</f>
        <v>0</v>
      </c>
      <c r="I15" s="10">
        <f>SUMIFS(GQList,GIList,Table_ExternalData_17[[#This Row],[item_key]],GTList,Table_ExternalData_17[[#Headers],[RCA]],GDList,"&lt;&gt;"&amp;0)</f>
        <v>0</v>
      </c>
      <c r="J15" s="10">
        <f>SUM(Table_ExternalData_17[[#This Row],[GRN]]+Table_ExternalData_17[[#This Row],[VSTR]]+Table_ExternalData_17[[#This Row],[SR]]+Table_ExternalData_17[[#This Row],[TR]]+Table_ExternalData_17[[#This Row],[RCA]])</f>
        <v>0</v>
      </c>
      <c r="K15" s="10">
        <f>SUMIFS(IsQList,IsIList,Table_ExternalData_17[[#This Row],[item_key]],IsITypeList,Table_ExternalData_17[[#Headers],[R/P]],IsDList,"&lt;&gt;"&amp;0)</f>
        <v>0</v>
      </c>
      <c r="L15" s="10">
        <f>SUMIFS(IsQList,IsIList,Table_ExternalData_17[[#This Row],[item_key]],IsITypeList,Table_ExternalData_17[[#Headers],[CST]],IsDList,"&lt;&gt;"&amp;0)</f>
        <v>0</v>
      </c>
      <c r="M15" s="10">
        <f>SUMIFS(IsQList,IsIList,Table_ExternalData_15[[#This Row],[item_key]],IsITypeList,Table_ExternalData_17[[#Headers],[S/I]],IsDList,"&lt;&gt;"&amp;0)</f>
        <v>5</v>
      </c>
      <c r="N15" s="10">
        <f>SUMIFS(IsQList,IsIList,Table_ExternalData_15[[#This Row],[item_key]],IsITypeList,Table_ExternalData_17[[#Headers],[VST]],IsDList,"&lt;&gt;"&amp;0)</f>
        <v>0</v>
      </c>
      <c r="O15" s="10">
        <f>ABS(SUMIFS(IsQList,IsIList,Table_ExternalData_17[[#This Row],[item_key]],IsITypeList,Table_ExternalData_17[[#Headers],[RTN]],IsDList,"&lt;&gt;"&amp;0))</f>
        <v>0</v>
      </c>
      <c r="P15" s="10">
        <f>SUM(Table_ExternalData_17[[#This Row],[R/P]:[RTN]])</f>
        <v>5</v>
      </c>
      <c r="Q15" s="10">
        <f>SUM((Table_ExternalData_17[[#This Row],[Opening]]+Table_ExternalData_17[[#This Row],[Total Receipt]])-ABS(Table_ExternalData_17[[#This Row],[Total Issue]]))</f>
        <v>35</v>
      </c>
    </row>
    <row r="16" spans="1:17">
      <c r="A16" s="1" t="s">
        <v>193</v>
      </c>
      <c r="B16" s="1" t="s">
        <v>2434</v>
      </c>
      <c r="C16" s="1" t="s">
        <v>2435</v>
      </c>
      <c r="D16" s="10">
        <f>SUMIFS(OPBQList,OPBIList,Table_ExternalData_17[[#This Row],[item_key]])+SUMIFS(GQList,GIList,Table_ExternalData_17[[#This Row],[item_key]],GDList,0)-ABS(SUMIFS(IsQList,IsIList,Table_ExternalData_17[[#This Row],[item_key]],IsDList,0))</f>
        <v>293</v>
      </c>
      <c r="E16" s="10">
        <f>SUMIFS(GQList,GIList,Table_ExternalData_17[[#This Row],[item_key]],GTList,Table_ExternalData_17[[#Headers],[GRN]],GDList,"&lt;&gt;"&amp;0)</f>
        <v>200</v>
      </c>
      <c r="F16" s="10">
        <f>SUMIFS(GQList,GIList,Table_ExternalData_17[[#This Row],[item_key]],GTList,Table_ExternalData_17[[#Headers],[VSTR]],GDList,"&lt;&gt;"&amp;0)</f>
        <v>0</v>
      </c>
      <c r="G16" s="10">
        <f>SUMIFS(GQList,GIList,Table_ExternalData_17[[#This Row],[item_key]],GTList,Table_ExternalData_17[[#Headers],[SR]],GDList,"&lt;&gt;"&amp;0)</f>
        <v>0</v>
      </c>
      <c r="H16" s="10">
        <f>SUMIFS(GQList,GIList,Table_ExternalData_17[[#This Row],[item_key]],GTList,Table_ExternalData_17[[#Headers],[TR]],GDList,"&lt;&gt;"&amp;0)</f>
        <v>0</v>
      </c>
      <c r="I16" s="10">
        <f>SUMIFS(GQList,GIList,Table_ExternalData_17[[#This Row],[item_key]],GTList,Table_ExternalData_17[[#Headers],[RCA]],GDList,"&lt;&gt;"&amp;0)</f>
        <v>0</v>
      </c>
      <c r="J16" s="10">
        <f>SUM(Table_ExternalData_17[[#This Row],[GRN]]+Table_ExternalData_17[[#This Row],[VSTR]]+Table_ExternalData_17[[#This Row],[SR]]+Table_ExternalData_17[[#This Row],[TR]]+Table_ExternalData_17[[#This Row],[RCA]])</f>
        <v>200</v>
      </c>
      <c r="K16" s="10">
        <f>SUMIFS(IsQList,IsIList,Table_ExternalData_17[[#This Row],[item_key]],IsITypeList,Table_ExternalData_17[[#Headers],[R/P]],IsDList,"&lt;&gt;"&amp;0)</f>
        <v>0</v>
      </c>
      <c r="L16" s="10">
        <f>SUMIFS(IsQList,IsIList,Table_ExternalData_17[[#This Row],[item_key]],IsITypeList,Table_ExternalData_17[[#Headers],[CST]],IsDList,"&lt;&gt;"&amp;0)</f>
        <v>0</v>
      </c>
      <c r="M16" s="10">
        <f>SUMIFS(IsQList,IsIList,Table_ExternalData_15[[#This Row],[item_key]],IsITypeList,Table_ExternalData_17[[#Headers],[S/I]],IsDList,"&lt;&gt;"&amp;0)</f>
        <v>20</v>
      </c>
      <c r="N16" s="10">
        <f>SUMIFS(IsQList,IsIList,Table_ExternalData_15[[#This Row],[item_key]],IsITypeList,Table_ExternalData_17[[#Headers],[VST]],IsDList,"&lt;&gt;"&amp;0)</f>
        <v>0</v>
      </c>
      <c r="O16" s="10">
        <f>ABS(SUMIFS(IsQList,IsIList,Table_ExternalData_17[[#This Row],[item_key]],IsITypeList,Table_ExternalData_17[[#Headers],[RTN]],IsDList,"&lt;&gt;"&amp;0))</f>
        <v>0</v>
      </c>
      <c r="P16" s="10">
        <f>SUM(Table_ExternalData_17[[#This Row],[R/P]:[RTN]])</f>
        <v>20</v>
      </c>
      <c r="Q16" s="10">
        <f>SUM((Table_ExternalData_17[[#This Row],[Opening]]+Table_ExternalData_17[[#This Row],[Total Receipt]])-ABS(Table_ExternalData_17[[#This Row],[Total Issue]]))</f>
        <v>473</v>
      </c>
    </row>
    <row r="17" spans="1:17">
      <c r="A17" s="1" t="s">
        <v>1642</v>
      </c>
      <c r="B17" s="1" t="s">
        <v>2436</v>
      </c>
      <c r="C17" s="1" t="s">
        <v>2437</v>
      </c>
      <c r="D1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7" s="10">
        <f>SUMIFS(GQList,GIList,Table_ExternalData_17[[#This Row],[item_key]],GTList,Table_ExternalData_17[[#Headers],[GRN]],GDList,"&lt;&gt;"&amp;0)</f>
        <v>300</v>
      </c>
      <c r="F17" s="10">
        <f>SUMIFS(GQList,GIList,Table_ExternalData_17[[#This Row],[item_key]],GTList,Table_ExternalData_17[[#Headers],[VSTR]],GDList,"&lt;&gt;"&amp;0)</f>
        <v>0</v>
      </c>
      <c r="G17" s="10">
        <f>SUMIFS(GQList,GIList,Table_ExternalData_17[[#This Row],[item_key]],GTList,Table_ExternalData_17[[#Headers],[SR]],GDList,"&lt;&gt;"&amp;0)</f>
        <v>0</v>
      </c>
      <c r="H17" s="10">
        <f>SUMIFS(GQList,GIList,Table_ExternalData_17[[#This Row],[item_key]],GTList,Table_ExternalData_17[[#Headers],[TR]],GDList,"&lt;&gt;"&amp;0)</f>
        <v>0</v>
      </c>
      <c r="I17" s="10">
        <f>SUMIFS(GQList,GIList,Table_ExternalData_17[[#This Row],[item_key]],GTList,Table_ExternalData_17[[#Headers],[RCA]],GDList,"&lt;&gt;"&amp;0)</f>
        <v>0</v>
      </c>
      <c r="J17" s="10">
        <f>SUM(Table_ExternalData_17[[#This Row],[GRN]]+Table_ExternalData_17[[#This Row],[VSTR]]+Table_ExternalData_17[[#This Row],[SR]]+Table_ExternalData_17[[#This Row],[TR]]+Table_ExternalData_17[[#This Row],[RCA]])</f>
        <v>300</v>
      </c>
      <c r="K17" s="10">
        <f>SUMIFS(IsQList,IsIList,Table_ExternalData_17[[#This Row],[item_key]],IsITypeList,Table_ExternalData_17[[#Headers],[R/P]],IsDList,"&lt;&gt;"&amp;0)</f>
        <v>0</v>
      </c>
      <c r="L17" s="10">
        <f>SUMIFS(IsQList,IsIList,Table_ExternalData_17[[#This Row],[item_key]],IsITypeList,Table_ExternalData_17[[#Headers],[CST]],IsDList,"&lt;&gt;"&amp;0)</f>
        <v>0</v>
      </c>
      <c r="M17" s="10">
        <f>SUMIFS(IsQList,IsIList,Table_ExternalData_15[[#This Row],[item_key]],IsITypeList,Table_ExternalData_17[[#Headers],[S/I]],IsDList,"&lt;&gt;"&amp;0)</f>
        <v>0</v>
      </c>
      <c r="N17" s="10">
        <f>SUMIFS(IsQList,IsIList,Table_ExternalData_15[[#This Row],[item_key]],IsITypeList,Table_ExternalData_17[[#Headers],[VST]],IsDList,"&lt;&gt;"&amp;0)</f>
        <v>0</v>
      </c>
      <c r="O17" s="10">
        <f>ABS(SUMIFS(IsQList,IsIList,Table_ExternalData_17[[#This Row],[item_key]],IsITypeList,Table_ExternalData_17[[#Headers],[RTN]],IsDList,"&lt;&gt;"&amp;0))</f>
        <v>0</v>
      </c>
      <c r="P17" s="10">
        <f>SUM(Table_ExternalData_17[[#This Row],[R/P]:[RTN]])</f>
        <v>0</v>
      </c>
      <c r="Q17" s="10">
        <f>SUM((Table_ExternalData_17[[#This Row],[Opening]]+Table_ExternalData_17[[#This Row],[Total Receipt]])-ABS(Table_ExternalData_17[[#This Row],[Total Issue]]))</f>
        <v>300</v>
      </c>
    </row>
    <row r="18" spans="1:17">
      <c r="A18" s="1" t="s">
        <v>217</v>
      </c>
      <c r="B18" s="1" t="s">
        <v>2438</v>
      </c>
      <c r="C18" s="1" t="s">
        <v>2439</v>
      </c>
      <c r="D18" s="10">
        <f>SUMIFS(OPBQList,OPBIList,Table_ExternalData_17[[#This Row],[item_key]])+SUMIFS(GQList,GIList,Table_ExternalData_17[[#This Row],[item_key]],GDList,0)-ABS(SUMIFS(IsQList,IsIList,Table_ExternalData_17[[#This Row],[item_key]],IsDList,0))</f>
        <v>151</v>
      </c>
      <c r="E18" s="10">
        <f>SUMIFS(GQList,GIList,Table_ExternalData_17[[#This Row],[item_key]],GTList,Table_ExternalData_17[[#Headers],[GRN]],GDList,"&lt;&gt;"&amp;0)</f>
        <v>0</v>
      </c>
      <c r="F18" s="10">
        <f>SUMIFS(GQList,GIList,Table_ExternalData_17[[#This Row],[item_key]],GTList,Table_ExternalData_17[[#Headers],[VSTR]],GDList,"&lt;&gt;"&amp;0)</f>
        <v>0</v>
      </c>
      <c r="G18" s="10">
        <f>SUMIFS(GQList,GIList,Table_ExternalData_17[[#This Row],[item_key]],GTList,Table_ExternalData_17[[#Headers],[SR]],GDList,"&lt;&gt;"&amp;0)</f>
        <v>0</v>
      </c>
      <c r="H18" s="10">
        <f>SUMIFS(GQList,GIList,Table_ExternalData_17[[#This Row],[item_key]],GTList,Table_ExternalData_17[[#Headers],[TR]],GDList,"&lt;&gt;"&amp;0)</f>
        <v>0</v>
      </c>
      <c r="I18" s="10">
        <f>SUMIFS(GQList,GIList,Table_ExternalData_17[[#This Row],[item_key]],GTList,Table_ExternalData_17[[#Headers],[RCA]],GDList,"&lt;&gt;"&amp;0)</f>
        <v>0</v>
      </c>
      <c r="J18" s="10">
        <f>SUM(Table_ExternalData_17[[#This Row],[GRN]]+Table_ExternalData_17[[#This Row],[VSTR]]+Table_ExternalData_17[[#This Row],[SR]]+Table_ExternalData_17[[#This Row],[TR]]+Table_ExternalData_17[[#This Row],[RCA]])</f>
        <v>0</v>
      </c>
      <c r="K18" s="10">
        <f>SUMIFS(IsQList,IsIList,Table_ExternalData_17[[#This Row],[item_key]],IsITypeList,Table_ExternalData_17[[#Headers],[R/P]],IsDList,"&lt;&gt;"&amp;0)</f>
        <v>0</v>
      </c>
      <c r="L18" s="10">
        <f>SUMIFS(IsQList,IsIList,Table_ExternalData_17[[#This Row],[item_key]],IsITypeList,Table_ExternalData_17[[#Headers],[CST]],IsDList,"&lt;&gt;"&amp;0)</f>
        <v>0</v>
      </c>
      <c r="M18" s="10">
        <f>SUMIFS(IsQList,IsIList,Table_ExternalData_15[[#This Row],[item_key]],IsITypeList,Table_ExternalData_17[[#Headers],[S/I]],IsDList,"&lt;&gt;"&amp;0)</f>
        <v>106</v>
      </c>
      <c r="N18" s="10">
        <f>SUMIFS(IsQList,IsIList,Table_ExternalData_15[[#This Row],[item_key]],IsITypeList,Table_ExternalData_17[[#Headers],[VST]],IsDList,"&lt;&gt;"&amp;0)</f>
        <v>0</v>
      </c>
      <c r="O18" s="10">
        <f>ABS(SUMIFS(IsQList,IsIList,Table_ExternalData_17[[#This Row],[item_key]],IsITypeList,Table_ExternalData_17[[#Headers],[RTN]],IsDList,"&lt;&gt;"&amp;0))</f>
        <v>0</v>
      </c>
      <c r="P18" s="10">
        <f>SUM(Table_ExternalData_17[[#This Row],[R/P]:[RTN]])</f>
        <v>106</v>
      </c>
      <c r="Q18" s="10">
        <f>SUM((Table_ExternalData_17[[#This Row],[Opening]]+Table_ExternalData_17[[#This Row],[Total Receipt]])-ABS(Table_ExternalData_17[[#This Row],[Total Issue]]))</f>
        <v>45</v>
      </c>
    </row>
    <row r="19" spans="1:17">
      <c r="A19" s="1" t="s">
        <v>1646</v>
      </c>
      <c r="B19" s="1" t="s">
        <v>2440</v>
      </c>
      <c r="C19" s="1" t="s">
        <v>2441</v>
      </c>
      <c r="D19" s="10">
        <f>SUMIFS(OPBQList,OPBIList,Table_ExternalData_17[[#This Row],[item_key]])+SUMIFS(GQList,GIList,Table_ExternalData_17[[#This Row],[item_key]],GDList,0)-ABS(SUMIFS(IsQList,IsIList,Table_ExternalData_17[[#This Row],[item_key]],IsDList,0))</f>
        <v>697</v>
      </c>
      <c r="E19" s="10">
        <f>SUMIFS(GQList,GIList,Table_ExternalData_17[[#This Row],[item_key]],GTList,Table_ExternalData_17[[#Headers],[GRN]],GDList,"&lt;&gt;"&amp;0)</f>
        <v>0</v>
      </c>
      <c r="F19" s="10">
        <f>SUMIFS(GQList,GIList,Table_ExternalData_17[[#This Row],[item_key]],GTList,Table_ExternalData_17[[#Headers],[VSTR]],GDList,"&lt;&gt;"&amp;0)</f>
        <v>0</v>
      </c>
      <c r="G19" s="10">
        <f>SUMIFS(GQList,GIList,Table_ExternalData_17[[#This Row],[item_key]],GTList,Table_ExternalData_17[[#Headers],[SR]],GDList,"&lt;&gt;"&amp;0)</f>
        <v>0</v>
      </c>
      <c r="H19" s="10">
        <f>SUMIFS(GQList,GIList,Table_ExternalData_17[[#This Row],[item_key]],GTList,Table_ExternalData_17[[#Headers],[TR]],GDList,"&lt;&gt;"&amp;0)</f>
        <v>0</v>
      </c>
      <c r="I19" s="10">
        <f>SUMIFS(GQList,GIList,Table_ExternalData_17[[#This Row],[item_key]],GTList,Table_ExternalData_17[[#Headers],[RCA]],GDList,"&lt;&gt;"&amp;0)</f>
        <v>0</v>
      </c>
      <c r="J19" s="10">
        <f>SUM(Table_ExternalData_17[[#This Row],[GRN]]+Table_ExternalData_17[[#This Row],[VSTR]]+Table_ExternalData_17[[#This Row],[SR]]+Table_ExternalData_17[[#This Row],[TR]]+Table_ExternalData_17[[#This Row],[RCA]])</f>
        <v>0</v>
      </c>
      <c r="K19" s="10">
        <f>SUMIFS(IsQList,IsIList,Table_ExternalData_17[[#This Row],[item_key]],IsITypeList,Table_ExternalData_17[[#Headers],[R/P]],IsDList,"&lt;&gt;"&amp;0)</f>
        <v>0</v>
      </c>
      <c r="L19" s="10">
        <f>SUMIFS(IsQList,IsIList,Table_ExternalData_17[[#This Row],[item_key]],IsITypeList,Table_ExternalData_17[[#Headers],[CST]],IsDList,"&lt;&gt;"&amp;0)</f>
        <v>0</v>
      </c>
      <c r="M19" s="10">
        <f>SUMIFS(IsQList,IsIList,Table_ExternalData_15[[#This Row],[item_key]],IsITypeList,Table_ExternalData_17[[#Headers],[S/I]],IsDList,"&lt;&gt;"&amp;0)</f>
        <v>20</v>
      </c>
      <c r="N19" s="10">
        <f>SUMIFS(IsQList,IsIList,Table_ExternalData_15[[#This Row],[item_key]],IsITypeList,Table_ExternalData_17[[#Headers],[VST]],IsDList,"&lt;&gt;"&amp;0)</f>
        <v>0</v>
      </c>
      <c r="O19" s="10">
        <f>ABS(SUMIFS(IsQList,IsIList,Table_ExternalData_17[[#This Row],[item_key]],IsITypeList,Table_ExternalData_17[[#Headers],[RTN]],IsDList,"&lt;&gt;"&amp;0))</f>
        <v>0</v>
      </c>
      <c r="P19" s="10">
        <f>SUM(Table_ExternalData_17[[#This Row],[R/P]:[RTN]])</f>
        <v>20</v>
      </c>
      <c r="Q19" s="10">
        <f>SUM((Table_ExternalData_17[[#This Row],[Opening]]+Table_ExternalData_17[[#This Row],[Total Receipt]])-ABS(Table_ExternalData_17[[#This Row],[Total Issue]]))</f>
        <v>677</v>
      </c>
    </row>
    <row r="20" spans="1:17">
      <c r="A20" s="1" t="s">
        <v>221</v>
      </c>
      <c r="B20" s="1" t="s">
        <v>1207</v>
      </c>
      <c r="C20" s="1" t="s">
        <v>1208</v>
      </c>
      <c r="D20" s="10">
        <f>SUMIFS(OPBQList,OPBIList,Table_ExternalData_17[[#This Row],[item_key]])+SUMIFS(GQList,GIList,Table_ExternalData_17[[#This Row],[item_key]],GDList,0)-ABS(SUMIFS(IsQList,IsIList,Table_ExternalData_17[[#This Row],[item_key]],IsDList,0))</f>
        <v>42</v>
      </c>
      <c r="E20" s="10">
        <f>SUMIFS(GQList,GIList,Table_ExternalData_17[[#This Row],[item_key]],GTList,Table_ExternalData_17[[#Headers],[GRN]],GDList,"&lt;&gt;"&amp;0)</f>
        <v>0</v>
      </c>
      <c r="F20" s="10">
        <f>SUMIFS(GQList,GIList,Table_ExternalData_17[[#This Row],[item_key]],GTList,Table_ExternalData_17[[#Headers],[VSTR]],GDList,"&lt;&gt;"&amp;0)</f>
        <v>0</v>
      </c>
      <c r="G20" s="10">
        <f>SUMIFS(GQList,GIList,Table_ExternalData_17[[#This Row],[item_key]],GTList,Table_ExternalData_17[[#Headers],[SR]],GDList,"&lt;&gt;"&amp;0)</f>
        <v>0</v>
      </c>
      <c r="H20" s="10">
        <f>SUMIFS(GQList,GIList,Table_ExternalData_17[[#This Row],[item_key]],GTList,Table_ExternalData_17[[#Headers],[TR]],GDList,"&lt;&gt;"&amp;0)</f>
        <v>0</v>
      </c>
      <c r="I20" s="10">
        <f>SUMIFS(GQList,GIList,Table_ExternalData_17[[#This Row],[item_key]],GTList,Table_ExternalData_17[[#Headers],[RCA]],GDList,"&lt;&gt;"&amp;0)</f>
        <v>0</v>
      </c>
      <c r="J20" s="10">
        <f>SUM(Table_ExternalData_17[[#This Row],[GRN]]+Table_ExternalData_17[[#This Row],[VSTR]]+Table_ExternalData_17[[#This Row],[SR]]+Table_ExternalData_17[[#This Row],[TR]]+Table_ExternalData_17[[#This Row],[RCA]])</f>
        <v>0</v>
      </c>
      <c r="K20" s="10">
        <f>SUMIFS(IsQList,IsIList,Table_ExternalData_17[[#This Row],[item_key]],IsITypeList,Table_ExternalData_17[[#Headers],[R/P]],IsDList,"&lt;&gt;"&amp;0)</f>
        <v>0</v>
      </c>
      <c r="L20" s="10">
        <f>SUMIFS(IsQList,IsIList,Table_ExternalData_17[[#This Row],[item_key]],IsITypeList,Table_ExternalData_17[[#Headers],[CST]],IsDList,"&lt;&gt;"&amp;0)</f>
        <v>0</v>
      </c>
      <c r="M20" s="10">
        <f>SUMIFS(IsQList,IsIList,Table_ExternalData_15[[#This Row],[item_key]],IsITypeList,Table_ExternalData_17[[#Headers],[S/I]],IsDList,"&lt;&gt;"&amp;0)</f>
        <v>12</v>
      </c>
      <c r="N20" s="10">
        <f>SUMIFS(IsQList,IsIList,Table_ExternalData_15[[#This Row],[item_key]],IsITypeList,Table_ExternalData_17[[#Headers],[VST]],IsDList,"&lt;&gt;"&amp;0)</f>
        <v>0</v>
      </c>
      <c r="O20" s="10">
        <f>ABS(SUMIFS(IsQList,IsIList,Table_ExternalData_17[[#This Row],[item_key]],IsITypeList,Table_ExternalData_17[[#Headers],[RTN]],IsDList,"&lt;&gt;"&amp;0))</f>
        <v>0</v>
      </c>
      <c r="P20" s="10">
        <f>SUM(Table_ExternalData_17[[#This Row],[R/P]:[RTN]])</f>
        <v>12</v>
      </c>
      <c r="Q20" s="10">
        <f>SUM((Table_ExternalData_17[[#This Row],[Opening]]+Table_ExternalData_17[[#This Row],[Total Receipt]])-ABS(Table_ExternalData_17[[#This Row],[Total Issue]]))</f>
        <v>30</v>
      </c>
    </row>
    <row r="21" spans="1:17">
      <c r="A21" s="1" t="s">
        <v>222</v>
      </c>
      <c r="B21" s="1" t="s">
        <v>2442</v>
      </c>
      <c r="C21" s="1" t="s">
        <v>2443</v>
      </c>
      <c r="D2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1" s="10">
        <f>SUMIFS(GQList,GIList,Table_ExternalData_17[[#This Row],[item_key]],GTList,Table_ExternalData_17[[#Headers],[GRN]],GDList,"&lt;&gt;"&amp;0)</f>
        <v>0</v>
      </c>
      <c r="F21" s="10">
        <f>SUMIFS(GQList,GIList,Table_ExternalData_17[[#This Row],[item_key]],GTList,Table_ExternalData_17[[#Headers],[VSTR]],GDList,"&lt;&gt;"&amp;0)</f>
        <v>0</v>
      </c>
      <c r="G21" s="10">
        <f>SUMIFS(GQList,GIList,Table_ExternalData_17[[#This Row],[item_key]],GTList,Table_ExternalData_17[[#Headers],[SR]],GDList,"&lt;&gt;"&amp;0)</f>
        <v>0</v>
      </c>
      <c r="H21" s="10">
        <f>SUMIFS(GQList,GIList,Table_ExternalData_17[[#This Row],[item_key]],GTList,Table_ExternalData_17[[#Headers],[TR]],GDList,"&lt;&gt;"&amp;0)</f>
        <v>0</v>
      </c>
      <c r="I21" s="10">
        <f>SUMIFS(GQList,GIList,Table_ExternalData_17[[#This Row],[item_key]],GTList,Table_ExternalData_17[[#Headers],[RCA]],GDList,"&lt;&gt;"&amp;0)</f>
        <v>0</v>
      </c>
      <c r="J21" s="10">
        <f>SUM(Table_ExternalData_17[[#This Row],[GRN]]+Table_ExternalData_17[[#This Row],[VSTR]]+Table_ExternalData_17[[#This Row],[SR]]+Table_ExternalData_17[[#This Row],[TR]]+Table_ExternalData_17[[#This Row],[RCA]])</f>
        <v>0</v>
      </c>
      <c r="K21" s="10">
        <f>SUMIFS(IsQList,IsIList,Table_ExternalData_17[[#This Row],[item_key]],IsITypeList,Table_ExternalData_17[[#Headers],[R/P]],IsDList,"&lt;&gt;"&amp;0)</f>
        <v>0</v>
      </c>
      <c r="L21" s="10">
        <f>SUMIFS(IsQList,IsIList,Table_ExternalData_17[[#This Row],[item_key]],IsITypeList,Table_ExternalData_17[[#Headers],[CST]],IsDList,"&lt;&gt;"&amp;0)</f>
        <v>0</v>
      </c>
      <c r="M21" s="10">
        <f>SUMIFS(IsQList,IsIList,Table_ExternalData_15[[#This Row],[item_key]],IsITypeList,Table_ExternalData_17[[#Headers],[S/I]],IsDList,"&lt;&gt;"&amp;0)</f>
        <v>600</v>
      </c>
      <c r="N21" s="10">
        <f>SUMIFS(IsQList,IsIList,Table_ExternalData_15[[#This Row],[item_key]],IsITypeList,Table_ExternalData_17[[#Headers],[VST]],IsDList,"&lt;&gt;"&amp;0)</f>
        <v>0</v>
      </c>
      <c r="O21" s="10">
        <f>ABS(SUMIFS(IsQList,IsIList,Table_ExternalData_17[[#This Row],[item_key]],IsITypeList,Table_ExternalData_17[[#Headers],[RTN]],IsDList,"&lt;&gt;"&amp;0))</f>
        <v>0</v>
      </c>
      <c r="P21" s="10">
        <f>SUM(Table_ExternalData_17[[#This Row],[R/P]:[RTN]])</f>
        <v>600</v>
      </c>
      <c r="Q21" s="10">
        <f>SUM((Table_ExternalData_17[[#This Row],[Opening]]+Table_ExternalData_17[[#This Row],[Total Receipt]])-ABS(Table_ExternalData_17[[#This Row],[Total Issue]]))</f>
        <v>-600</v>
      </c>
    </row>
    <row r="22" spans="1:17">
      <c r="A22" s="1" t="s">
        <v>234</v>
      </c>
      <c r="B22" s="1" t="s">
        <v>2444</v>
      </c>
      <c r="C22" s="1" t="s">
        <v>1608</v>
      </c>
      <c r="D22" s="10">
        <f>SUMIFS(OPBQList,OPBIList,Table_ExternalData_17[[#This Row],[item_key]])+SUMIFS(GQList,GIList,Table_ExternalData_17[[#This Row],[item_key]],GDList,0)-ABS(SUMIFS(IsQList,IsIList,Table_ExternalData_17[[#This Row],[item_key]],IsDList,0))</f>
        <v>66</v>
      </c>
      <c r="E22" s="10">
        <f>SUMIFS(GQList,GIList,Table_ExternalData_17[[#This Row],[item_key]],GTList,Table_ExternalData_17[[#Headers],[GRN]],GDList,"&lt;&gt;"&amp;0)</f>
        <v>0</v>
      </c>
      <c r="F22" s="10">
        <f>SUMIFS(GQList,GIList,Table_ExternalData_17[[#This Row],[item_key]],GTList,Table_ExternalData_17[[#Headers],[VSTR]],GDList,"&lt;&gt;"&amp;0)</f>
        <v>0</v>
      </c>
      <c r="G22" s="10">
        <f>SUMIFS(GQList,GIList,Table_ExternalData_17[[#This Row],[item_key]],GTList,Table_ExternalData_17[[#Headers],[SR]],GDList,"&lt;&gt;"&amp;0)</f>
        <v>0</v>
      </c>
      <c r="H22" s="10">
        <f>SUMIFS(GQList,GIList,Table_ExternalData_17[[#This Row],[item_key]],GTList,Table_ExternalData_17[[#Headers],[TR]],GDList,"&lt;&gt;"&amp;0)</f>
        <v>0</v>
      </c>
      <c r="I22" s="10">
        <f>SUMIFS(GQList,GIList,Table_ExternalData_17[[#This Row],[item_key]],GTList,Table_ExternalData_17[[#Headers],[RCA]],GDList,"&lt;&gt;"&amp;0)</f>
        <v>0</v>
      </c>
      <c r="J22" s="10">
        <f>SUM(Table_ExternalData_17[[#This Row],[GRN]]+Table_ExternalData_17[[#This Row],[VSTR]]+Table_ExternalData_17[[#This Row],[SR]]+Table_ExternalData_17[[#This Row],[TR]]+Table_ExternalData_17[[#This Row],[RCA]])</f>
        <v>0</v>
      </c>
      <c r="K22" s="10">
        <f>SUMIFS(IsQList,IsIList,Table_ExternalData_17[[#This Row],[item_key]],IsITypeList,Table_ExternalData_17[[#Headers],[R/P]],IsDList,"&lt;&gt;"&amp;0)</f>
        <v>0</v>
      </c>
      <c r="L22" s="10">
        <f>SUMIFS(IsQList,IsIList,Table_ExternalData_17[[#This Row],[item_key]],IsITypeList,Table_ExternalData_17[[#Headers],[CST]],IsDList,"&lt;&gt;"&amp;0)</f>
        <v>0</v>
      </c>
      <c r="M22" s="10">
        <f>SUMIFS(IsQList,IsIList,Table_ExternalData_15[[#This Row],[item_key]],IsITypeList,Table_ExternalData_17[[#Headers],[S/I]],IsDList,"&lt;&gt;"&amp;0)</f>
        <v>200</v>
      </c>
      <c r="N22" s="10">
        <f>SUMIFS(IsQList,IsIList,Table_ExternalData_15[[#This Row],[item_key]],IsITypeList,Table_ExternalData_17[[#Headers],[VST]],IsDList,"&lt;&gt;"&amp;0)</f>
        <v>0</v>
      </c>
      <c r="O22" s="10">
        <f>ABS(SUMIFS(IsQList,IsIList,Table_ExternalData_17[[#This Row],[item_key]],IsITypeList,Table_ExternalData_17[[#Headers],[RTN]],IsDList,"&lt;&gt;"&amp;0))</f>
        <v>0</v>
      </c>
      <c r="P22" s="10">
        <f>SUM(Table_ExternalData_17[[#This Row],[R/P]:[RTN]])</f>
        <v>200</v>
      </c>
      <c r="Q22" s="10">
        <f>SUM((Table_ExternalData_17[[#This Row],[Opening]]+Table_ExternalData_17[[#This Row],[Total Receipt]])-ABS(Table_ExternalData_17[[#This Row],[Total Issue]]))</f>
        <v>-134</v>
      </c>
    </row>
    <row r="23" spans="1:17">
      <c r="A23" s="1" t="s">
        <v>235</v>
      </c>
      <c r="B23" s="1" t="s">
        <v>1210</v>
      </c>
      <c r="C23" s="1" t="s">
        <v>1209</v>
      </c>
      <c r="D23" s="10">
        <f>SUMIFS(OPBQList,OPBIList,Table_ExternalData_17[[#This Row],[item_key]])+SUMIFS(GQList,GIList,Table_ExternalData_17[[#This Row],[item_key]],GDList,0)-ABS(SUMIFS(IsQList,IsIList,Table_ExternalData_17[[#This Row],[item_key]],IsDList,0))</f>
        <v>1561</v>
      </c>
      <c r="E23" s="10">
        <f>SUMIFS(GQList,GIList,Table_ExternalData_17[[#This Row],[item_key]],GTList,Table_ExternalData_17[[#Headers],[GRN]],GDList,"&lt;&gt;"&amp;0)</f>
        <v>0</v>
      </c>
      <c r="F23" s="10">
        <f>SUMIFS(GQList,GIList,Table_ExternalData_17[[#This Row],[item_key]],GTList,Table_ExternalData_17[[#Headers],[VSTR]],GDList,"&lt;&gt;"&amp;0)</f>
        <v>0</v>
      </c>
      <c r="G23" s="10">
        <f>SUMIFS(GQList,GIList,Table_ExternalData_17[[#This Row],[item_key]],GTList,Table_ExternalData_17[[#Headers],[SR]],GDList,"&lt;&gt;"&amp;0)</f>
        <v>0</v>
      </c>
      <c r="H23" s="10">
        <f>SUMIFS(GQList,GIList,Table_ExternalData_17[[#This Row],[item_key]],GTList,Table_ExternalData_17[[#Headers],[TR]],GDList,"&lt;&gt;"&amp;0)</f>
        <v>0</v>
      </c>
      <c r="I23" s="10">
        <f>SUMIFS(GQList,GIList,Table_ExternalData_17[[#This Row],[item_key]],GTList,Table_ExternalData_17[[#Headers],[RCA]],GDList,"&lt;&gt;"&amp;0)</f>
        <v>0</v>
      </c>
      <c r="J23" s="10">
        <f>SUM(Table_ExternalData_17[[#This Row],[GRN]]+Table_ExternalData_17[[#This Row],[VSTR]]+Table_ExternalData_17[[#This Row],[SR]]+Table_ExternalData_17[[#This Row],[TR]]+Table_ExternalData_17[[#This Row],[RCA]])</f>
        <v>0</v>
      </c>
      <c r="K23" s="10">
        <f>SUMIFS(IsQList,IsIList,Table_ExternalData_17[[#This Row],[item_key]],IsITypeList,Table_ExternalData_17[[#Headers],[R/P]],IsDList,"&lt;&gt;"&amp;0)</f>
        <v>0</v>
      </c>
      <c r="L23" s="10">
        <f>SUMIFS(IsQList,IsIList,Table_ExternalData_17[[#This Row],[item_key]],IsITypeList,Table_ExternalData_17[[#Headers],[CST]],IsDList,"&lt;&gt;"&amp;0)</f>
        <v>0</v>
      </c>
      <c r="M23" s="10">
        <f>SUMIFS(IsQList,IsIList,Table_ExternalData_15[[#This Row],[item_key]],IsITypeList,Table_ExternalData_17[[#Headers],[S/I]],IsDList,"&lt;&gt;"&amp;0)</f>
        <v>30</v>
      </c>
      <c r="N23" s="10">
        <f>SUMIFS(IsQList,IsIList,Table_ExternalData_15[[#This Row],[item_key]],IsITypeList,Table_ExternalData_17[[#Headers],[VST]],IsDList,"&lt;&gt;"&amp;0)</f>
        <v>0</v>
      </c>
      <c r="O23" s="10">
        <f>ABS(SUMIFS(IsQList,IsIList,Table_ExternalData_17[[#This Row],[item_key]],IsITypeList,Table_ExternalData_17[[#Headers],[RTN]],IsDList,"&lt;&gt;"&amp;0))</f>
        <v>0</v>
      </c>
      <c r="P23" s="10">
        <f>SUM(Table_ExternalData_17[[#This Row],[R/P]:[RTN]])</f>
        <v>30</v>
      </c>
      <c r="Q23" s="10">
        <f>SUM((Table_ExternalData_17[[#This Row],[Opening]]+Table_ExternalData_17[[#This Row],[Total Receipt]])-ABS(Table_ExternalData_17[[#This Row],[Total Issue]]))</f>
        <v>1531</v>
      </c>
    </row>
    <row r="24" spans="1:17">
      <c r="A24" s="1" t="s">
        <v>237</v>
      </c>
      <c r="B24" s="1" t="s">
        <v>1211</v>
      </c>
      <c r="C24" s="1" t="s">
        <v>1209</v>
      </c>
      <c r="D24" s="10">
        <f>SUMIFS(OPBQList,OPBIList,Table_ExternalData_17[[#This Row],[item_key]])+SUMIFS(GQList,GIList,Table_ExternalData_17[[#This Row],[item_key]],GDList,0)-ABS(SUMIFS(IsQList,IsIList,Table_ExternalData_17[[#This Row],[item_key]],IsDList,0))</f>
        <v>861</v>
      </c>
      <c r="E24" s="10">
        <f>SUMIFS(GQList,GIList,Table_ExternalData_17[[#This Row],[item_key]],GTList,Table_ExternalData_17[[#Headers],[GRN]],GDList,"&lt;&gt;"&amp;0)</f>
        <v>0</v>
      </c>
      <c r="F24" s="10">
        <f>SUMIFS(GQList,GIList,Table_ExternalData_17[[#This Row],[item_key]],GTList,Table_ExternalData_17[[#Headers],[VSTR]],GDList,"&lt;&gt;"&amp;0)</f>
        <v>0</v>
      </c>
      <c r="G24" s="10">
        <f>SUMIFS(GQList,GIList,Table_ExternalData_17[[#This Row],[item_key]],GTList,Table_ExternalData_17[[#Headers],[SR]],GDList,"&lt;&gt;"&amp;0)</f>
        <v>0</v>
      </c>
      <c r="H24" s="10">
        <f>SUMIFS(GQList,GIList,Table_ExternalData_17[[#This Row],[item_key]],GTList,Table_ExternalData_17[[#Headers],[TR]],GDList,"&lt;&gt;"&amp;0)</f>
        <v>0</v>
      </c>
      <c r="I24" s="10">
        <f>SUMIFS(GQList,GIList,Table_ExternalData_17[[#This Row],[item_key]],GTList,Table_ExternalData_17[[#Headers],[RCA]],GDList,"&lt;&gt;"&amp;0)</f>
        <v>0</v>
      </c>
      <c r="J24" s="10">
        <f>SUM(Table_ExternalData_17[[#This Row],[GRN]]+Table_ExternalData_17[[#This Row],[VSTR]]+Table_ExternalData_17[[#This Row],[SR]]+Table_ExternalData_17[[#This Row],[TR]]+Table_ExternalData_17[[#This Row],[RCA]])</f>
        <v>0</v>
      </c>
      <c r="K24" s="10">
        <f>SUMIFS(IsQList,IsIList,Table_ExternalData_17[[#This Row],[item_key]],IsITypeList,Table_ExternalData_17[[#Headers],[R/P]],IsDList,"&lt;&gt;"&amp;0)</f>
        <v>0</v>
      </c>
      <c r="L24" s="10">
        <f>SUMIFS(IsQList,IsIList,Table_ExternalData_17[[#This Row],[item_key]],IsITypeList,Table_ExternalData_17[[#Headers],[CST]],IsDList,"&lt;&gt;"&amp;0)</f>
        <v>0</v>
      </c>
      <c r="M24" s="10">
        <f>SUMIFS(IsQList,IsIList,Table_ExternalData_15[[#This Row],[item_key]],IsITypeList,Table_ExternalData_17[[#Headers],[S/I]],IsDList,"&lt;&gt;"&amp;0)</f>
        <v>3</v>
      </c>
      <c r="N24" s="10">
        <f>SUMIFS(IsQList,IsIList,Table_ExternalData_15[[#This Row],[item_key]],IsITypeList,Table_ExternalData_17[[#Headers],[VST]],IsDList,"&lt;&gt;"&amp;0)</f>
        <v>0</v>
      </c>
      <c r="O24" s="10">
        <f>ABS(SUMIFS(IsQList,IsIList,Table_ExternalData_17[[#This Row],[item_key]],IsITypeList,Table_ExternalData_17[[#Headers],[RTN]],IsDList,"&lt;&gt;"&amp;0))</f>
        <v>0</v>
      </c>
      <c r="P24" s="10">
        <f>SUM(Table_ExternalData_17[[#This Row],[R/P]:[RTN]])</f>
        <v>3</v>
      </c>
      <c r="Q24" s="10">
        <f>SUM((Table_ExternalData_17[[#This Row],[Opening]]+Table_ExternalData_17[[#This Row],[Total Receipt]])-ABS(Table_ExternalData_17[[#This Row],[Total Issue]]))</f>
        <v>858</v>
      </c>
    </row>
    <row r="25" spans="1:17">
      <c r="A25" s="1" t="s">
        <v>1653</v>
      </c>
      <c r="B25" s="1" t="s">
        <v>2445</v>
      </c>
      <c r="C25" s="1" t="s">
        <v>2446</v>
      </c>
      <c r="D25" s="10">
        <f>SUMIFS(OPBQList,OPBIList,Table_ExternalData_17[[#This Row],[item_key]])+SUMIFS(GQList,GIList,Table_ExternalData_17[[#This Row],[item_key]],GDList,0)-ABS(SUMIFS(IsQList,IsIList,Table_ExternalData_17[[#This Row],[item_key]],IsDList,0))</f>
        <v>15</v>
      </c>
      <c r="E25" s="10">
        <f>SUMIFS(GQList,GIList,Table_ExternalData_17[[#This Row],[item_key]],GTList,Table_ExternalData_17[[#Headers],[GRN]],GDList,"&lt;&gt;"&amp;0)</f>
        <v>97</v>
      </c>
      <c r="F25" s="10">
        <f>SUMIFS(GQList,GIList,Table_ExternalData_17[[#This Row],[item_key]],GTList,Table_ExternalData_17[[#Headers],[VSTR]],GDList,"&lt;&gt;"&amp;0)</f>
        <v>0</v>
      </c>
      <c r="G25" s="10">
        <f>SUMIFS(GQList,GIList,Table_ExternalData_17[[#This Row],[item_key]],GTList,Table_ExternalData_17[[#Headers],[SR]],GDList,"&lt;&gt;"&amp;0)</f>
        <v>0</v>
      </c>
      <c r="H25" s="10">
        <f>SUMIFS(GQList,GIList,Table_ExternalData_17[[#This Row],[item_key]],GTList,Table_ExternalData_17[[#Headers],[TR]],GDList,"&lt;&gt;"&amp;0)</f>
        <v>0</v>
      </c>
      <c r="I25" s="10">
        <f>SUMIFS(GQList,GIList,Table_ExternalData_17[[#This Row],[item_key]],GTList,Table_ExternalData_17[[#Headers],[RCA]],GDList,"&lt;&gt;"&amp;0)</f>
        <v>0</v>
      </c>
      <c r="J25" s="10">
        <f>SUM(Table_ExternalData_17[[#This Row],[GRN]]+Table_ExternalData_17[[#This Row],[VSTR]]+Table_ExternalData_17[[#This Row],[SR]]+Table_ExternalData_17[[#This Row],[TR]]+Table_ExternalData_17[[#This Row],[RCA]])</f>
        <v>97</v>
      </c>
      <c r="K25" s="10">
        <f>SUMIFS(IsQList,IsIList,Table_ExternalData_17[[#This Row],[item_key]],IsITypeList,Table_ExternalData_17[[#Headers],[R/P]],IsDList,"&lt;&gt;"&amp;0)</f>
        <v>0</v>
      </c>
      <c r="L25" s="10">
        <f>SUMIFS(IsQList,IsIList,Table_ExternalData_17[[#This Row],[item_key]],IsITypeList,Table_ExternalData_17[[#Headers],[CST]],IsDList,"&lt;&gt;"&amp;0)</f>
        <v>0</v>
      </c>
      <c r="M25" s="10">
        <f>SUMIFS(IsQList,IsIList,Table_ExternalData_15[[#This Row],[item_key]],IsITypeList,Table_ExternalData_17[[#Headers],[S/I]],IsDList,"&lt;&gt;"&amp;0)</f>
        <v>63</v>
      </c>
      <c r="N25" s="10">
        <f>SUMIFS(IsQList,IsIList,Table_ExternalData_15[[#This Row],[item_key]],IsITypeList,Table_ExternalData_17[[#Headers],[VST]],IsDList,"&lt;&gt;"&amp;0)</f>
        <v>0</v>
      </c>
      <c r="O25" s="10">
        <f>ABS(SUMIFS(IsQList,IsIList,Table_ExternalData_17[[#This Row],[item_key]],IsITypeList,Table_ExternalData_17[[#Headers],[RTN]],IsDList,"&lt;&gt;"&amp;0))</f>
        <v>0</v>
      </c>
      <c r="P25" s="10">
        <f>SUM(Table_ExternalData_17[[#This Row],[R/P]:[RTN]])</f>
        <v>63</v>
      </c>
      <c r="Q25" s="10">
        <f>SUM((Table_ExternalData_17[[#This Row],[Opening]]+Table_ExternalData_17[[#This Row],[Total Receipt]])-ABS(Table_ExternalData_17[[#This Row],[Total Issue]]))</f>
        <v>49</v>
      </c>
    </row>
    <row r="26" spans="1:17">
      <c r="A26" s="1" t="s">
        <v>240</v>
      </c>
      <c r="B26" s="1" t="s">
        <v>2447</v>
      </c>
      <c r="C26" s="1" t="s">
        <v>2448</v>
      </c>
      <c r="D26" s="10">
        <f>SUMIFS(OPBQList,OPBIList,Table_ExternalData_17[[#This Row],[item_key]])+SUMIFS(GQList,GIList,Table_ExternalData_17[[#This Row],[item_key]],GDList,0)-ABS(SUMIFS(IsQList,IsIList,Table_ExternalData_17[[#This Row],[item_key]],IsDList,0))</f>
        <v>152</v>
      </c>
      <c r="E26" s="10">
        <f>SUMIFS(GQList,GIList,Table_ExternalData_17[[#This Row],[item_key]],GTList,Table_ExternalData_17[[#Headers],[GRN]],GDList,"&lt;&gt;"&amp;0)</f>
        <v>0</v>
      </c>
      <c r="F26" s="10">
        <f>SUMIFS(GQList,GIList,Table_ExternalData_17[[#This Row],[item_key]],GTList,Table_ExternalData_17[[#Headers],[VSTR]],GDList,"&lt;&gt;"&amp;0)</f>
        <v>0</v>
      </c>
      <c r="G26" s="10">
        <f>SUMIFS(GQList,GIList,Table_ExternalData_17[[#This Row],[item_key]],GTList,Table_ExternalData_17[[#Headers],[SR]],GDList,"&lt;&gt;"&amp;0)</f>
        <v>0</v>
      </c>
      <c r="H26" s="10">
        <f>SUMIFS(GQList,GIList,Table_ExternalData_17[[#This Row],[item_key]],GTList,Table_ExternalData_17[[#Headers],[TR]],GDList,"&lt;&gt;"&amp;0)</f>
        <v>0</v>
      </c>
      <c r="I26" s="10">
        <f>SUMIFS(GQList,GIList,Table_ExternalData_17[[#This Row],[item_key]],GTList,Table_ExternalData_17[[#Headers],[RCA]],GDList,"&lt;&gt;"&amp;0)</f>
        <v>0</v>
      </c>
      <c r="J26" s="10">
        <f>SUM(Table_ExternalData_17[[#This Row],[GRN]]+Table_ExternalData_17[[#This Row],[VSTR]]+Table_ExternalData_17[[#This Row],[SR]]+Table_ExternalData_17[[#This Row],[TR]]+Table_ExternalData_17[[#This Row],[RCA]])</f>
        <v>0</v>
      </c>
      <c r="K26" s="10">
        <f>SUMIFS(IsQList,IsIList,Table_ExternalData_17[[#This Row],[item_key]],IsITypeList,Table_ExternalData_17[[#Headers],[R/P]],IsDList,"&lt;&gt;"&amp;0)</f>
        <v>0</v>
      </c>
      <c r="L26" s="10">
        <f>SUMIFS(IsQList,IsIList,Table_ExternalData_17[[#This Row],[item_key]],IsITypeList,Table_ExternalData_17[[#Headers],[CST]],IsDList,"&lt;&gt;"&amp;0)</f>
        <v>0</v>
      </c>
      <c r="M26" s="10">
        <f>SUMIFS(IsQList,IsIList,Table_ExternalData_15[[#This Row],[item_key]],IsITypeList,Table_ExternalData_17[[#Headers],[S/I]],IsDList,"&lt;&gt;"&amp;0)</f>
        <v>31</v>
      </c>
      <c r="N26" s="10">
        <f>SUMIFS(IsQList,IsIList,Table_ExternalData_15[[#This Row],[item_key]],IsITypeList,Table_ExternalData_17[[#Headers],[VST]],IsDList,"&lt;&gt;"&amp;0)</f>
        <v>0</v>
      </c>
      <c r="O26" s="10">
        <f>ABS(SUMIFS(IsQList,IsIList,Table_ExternalData_17[[#This Row],[item_key]],IsITypeList,Table_ExternalData_17[[#Headers],[RTN]],IsDList,"&lt;&gt;"&amp;0))</f>
        <v>0</v>
      </c>
      <c r="P26" s="10">
        <f>SUM(Table_ExternalData_17[[#This Row],[R/P]:[RTN]])</f>
        <v>31</v>
      </c>
      <c r="Q26" s="10">
        <f>SUM((Table_ExternalData_17[[#This Row],[Opening]]+Table_ExternalData_17[[#This Row],[Total Receipt]])-ABS(Table_ExternalData_17[[#This Row],[Total Issue]]))</f>
        <v>121</v>
      </c>
    </row>
    <row r="27" spans="1:17">
      <c r="A27" s="1" t="s">
        <v>242</v>
      </c>
      <c r="B27" s="1" t="s">
        <v>1212</v>
      </c>
      <c r="C27" s="1" t="s">
        <v>1213</v>
      </c>
      <c r="D2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7" s="10">
        <f>SUMIFS(GQList,GIList,Table_ExternalData_17[[#This Row],[item_key]],GTList,Table_ExternalData_17[[#Headers],[GRN]],GDList,"&lt;&gt;"&amp;0)</f>
        <v>99</v>
      </c>
      <c r="F27" s="10">
        <f>SUMIFS(GQList,GIList,Table_ExternalData_17[[#This Row],[item_key]],GTList,Table_ExternalData_17[[#Headers],[VSTR]],GDList,"&lt;&gt;"&amp;0)</f>
        <v>0</v>
      </c>
      <c r="G27" s="10">
        <f>SUMIFS(GQList,GIList,Table_ExternalData_17[[#This Row],[item_key]],GTList,Table_ExternalData_17[[#Headers],[SR]],GDList,"&lt;&gt;"&amp;0)</f>
        <v>0</v>
      </c>
      <c r="H27" s="10">
        <f>SUMIFS(GQList,GIList,Table_ExternalData_17[[#This Row],[item_key]],GTList,Table_ExternalData_17[[#Headers],[TR]],GDList,"&lt;&gt;"&amp;0)</f>
        <v>0</v>
      </c>
      <c r="I27" s="10">
        <f>SUMIFS(GQList,GIList,Table_ExternalData_17[[#This Row],[item_key]],GTList,Table_ExternalData_17[[#Headers],[RCA]],GDList,"&lt;&gt;"&amp;0)</f>
        <v>0</v>
      </c>
      <c r="J27" s="10">
        <f>SUM(Table_ExternalData_17[[#This Row],[GRN]]+Table_ExternalData_17[[#This Row],[VSTR]]+Table_ExternalData_17[[#This Row],[SR]]+Table_ExternalData_17[[#This Row],[TR]]+Table_ExternalData_17[[#This Row],[RCA]])</f>
        <v>99</v>
      </c>
      <c r="K27" s="10">
        <f>SUMIFS(IsQList,IsIList,Table_ExternalData_17[[#This Row],[item_key]],IsITypeList,Table_ExternalData_17[[#Headers],[R/P]],IsDList,"&lt;&gt;"&amp;0)</f>
        <v>0</v>
      </c>
      <c r="L27" s="10">
        <f>SUMIFS(IsQList,IsIList,Table_ExternalData_17[[#This Row],[item_key]],IsITypeList,Table_ExternalData_17[[#Headers],[CST]],IsDList,"&lt;&gt;"&amp;0)</f>
        <v>0</v>
      </c>
      <c r="M27" s="10">
        <f>SUMIFS(IsQList,IsIList,Table_ExternalData_15[[#This Row],[item_key]],IsITypeList,Table_ExternalData_17[[#Headers],[S/I]],IsDList,"&lt;&gt;"&amp;0)</f>
        <v>65</v>
      </c>
      <c r="N27" s="10">
        <f>SUMIFS(IsQList,IsIList,Table_ExternalData_15[[#This Row],[item_key]],IsITypeList,Table_ExternalData_17[[#Headers],[VST]],IsDList,"&lt;&gt;"&amp;0)</f>
        <v>0</v>
      </c>
      <c r="O27" s="10">
        <f>ABS(SUMIFS(IsQList,IsIList,Table_ExternalData_17[[#This Row],[item_key]],IsITypeList,Table_ExternalData_17[[#Headers],[RTN]],IsDList,"&lt;&gt;"&amp;0))</f>
        <v>0</v>
      </c>
      <c r="P27" s="10">
        <f>SUM(Table_ExternalData_17[[#This Row],[R/P]:[RTN]])</f>
        <v>65</v>
      </c>
      <c r="Q27" s="10">
        <f>SUM((Table_ExternalData_17[[#This Row],[Opening]]+Table_ExternalData_17[[#This Row],[Total Receipt]])-ABS(Table_ExternalData_17[[#This Row],[Total Issue]]))</f>
        <v>34</v>
      </c>
    </row>
    <row r="28" spans="1:17">
      <c r="A28" s="1" t="s">
        <v>243</v>
      </c>
      <c r="B28" s="1" t="s">
        <v>2449</v>
      </c>
      <c r="C28" s="1" t="s">
        <v>1595</v>
      </c>
      <c r="D28" s="10">
        <f>SUMIFS(OPBQList,OPBIList,Table_ExternalData_17[[#This Row],[item_key]])+SUMIFS(GQList,GIList,Table_ExternalData_17[[#This Row],[item_key]],GDList,0)-ABS(SUMIFS(IsQList,IsIList,Table_ExternalData_17[[#This Row],[item_key]],IsDList,0))</f>
        <v>2204</v>
      </c>
      <c r="E28" s="10">
        <f>SUMIFS(GQList,GIList,Table_ExternalData_17[[#This Row],[item_key]],GTList,Table_ExternalData_17[[#Headers],[GRN]],GDList,"&lt;&gt;"&amp;0)</f>
        <v>0</v>
      </c>
      <c r="F28" s="10">
        <f>SUMIFS(GQList,GIList,Table_ExternalData_17[[#This Row],[item_key]],GTList,Table_ExternalData_17[[#Headers],[VSTR]],GDList,"&lt;&gt;"&amp;0)</f>
        <v>0</v>
      </c>
      <c r="G28" s="10">
        <f>SUMIFS(GQList,GIList,Table_ExternalData_17[[#This Row],[item_key]],GTList,Table_ExternalData_17[[#Headers],[SR]],GDList,"&lt;&gt;"&amp;0)</f>
        <v>0</v>
      </c>
      <c r="H28" s="10">
        <f>SUMIFS(GQList,GIList,Table_ExternalData_17[[#This Row],[item_key]],GTList,Table_ExternalData_17[[#Headers],[TR]],GDList,"&lt;&gt;"&amp;0)</f>
        <v>0</v>
      </c>
      <c r="I28" s="10">
        <f>SUMIFS(GQList,GIList,Table_ExternalData_17[[#This Row],[item_key]],GTList,Table_ExternalData_17[[#Headers],[RCA]],GDList,"&lt;&gt;"&amp;0)</f>
        <v>0</v>
      </c>
      <c r="J28" s="10">
        <f>SUM(Table_ExternalData_17[[#This Row],[GRN]]+Table_ExternalData_17[[#This Row],[VSTR]]+Table_ExternalData_17[[#This Row],[SR]]+Table_ExternalData_17[[#This Row],[TR]]+Table_ExternalData_17[[#This Row],[RCA]])</f>
        <v>0</v>
      </c>
      <c r="K28" s="10">
        <f>SUMIFS(IsQList,IsIList,Table_ExternalData_17[[#This Row],[item_key]],IsITypeList,Table_ExternalData_17[[#Headers],[R/P]],IsDList,"&lt;&gt;"&amp;0)</f>
        <v>0</v>
      </c>
      <c r="L28" s="10">
        <f>SUMIFS(IsQList,IsIList,Table_ExternalData_17[[#This Row],[item_key]],IsITypeList,Table_ExternalData_17[[#Headers],[CST]],IsDList,"&lt;&gt;"&amp;0)</f>
        <v>0</v>
      </c>
      <c r="M28" s="10">
        <f>SUMIFS(IsQList,IsIList,Table_ExternalData_15[[#This Row],[item_key]],IsITypeList,Table_ExternalData_17[[#Headers],[S/I]],IsDList,"&lt;&gt;"&amp;0)</f>
        <v>0</v>
      </c>
      <c r="N28" s="10">
        <f>SUMIFS(IsQList,IsIList,Table_ExternalData_15[[#This Row],[item_key]],IsITypeList,Table_ExternalData_17[[#Headers],[VST]],IsDList,"&lt;&gt;"&amp;0)</f>
        <v>0</v>
      </c>
      <c r="O28" s="10">
        <f>ABS(SUMIFS(IsQList,IsIList,Table_ExternalData_17[[#This Row],[item_key]],IsITypeList,Table_ExternalData_17[[#Headers],[RTN]],IsDList,"&lt;&gt;"&amp;0))</f>
        <v>0</v>
      </c>
      <c r="P28" s="10">
        <f>SUM(Table_ExternalData_17[[#This Row],[R/P]:[RTN]])</f>
        <v>0</v>
      </c>
      <c r="Q28" s="10">
        <f>SUM((Table_ExternalData_17[[#This Row],[Opening]]+Table_ExternalData_17[[#This Row],[Total Receipt]])-ABS(Table_ExternalData_17[[#This Row],[Total Issue]]))</f>
        <v>2204</v>
      </c>
    </row>
    <row r="29" spans="1:17">
      <c r="A29" s="1" t="s">
        <v>244</v>
      </c>
      <c r="B29" s="1" t="s">
        <v>1214</v>
      </c>
      <c r="C29" s="1" t="s">
        <v>1215</v>
      </c>
      <c r="D29" s="10">
        <f>SUMIFS(OPBQList,OPBIList,Table_ExternalData_17[[#This Row],[item_key]])+SUMIFS(GQList,GIList,Table_ExternalData_17[[#This Row],[item_key]],GDList,0)-ABS(SUMIFS(IsQList,IsIList,Table_ExternalData_17[[#This Row],[item_key]],IsDList,0))</f>
        <v>79</v>
      </c>
      <c r="E29" s="10">
        <f>SUMIFS(GQList,GIList,Table_ExternalData_17[[#This Row],[item_key]],GTList,Table_ExternalData_17[[#Headers],[GRN]],GDList,"&lt;&gt;"&amp;0)</f>
        <v>0</v>
      </c>
      <c r="F29" s="10">
        <f>SUMIFS(GQList,GIList,Table_ExternalData_17[[#This Row],[item_key]],GTList,Table_ExternalData_17[[#Headers],[VSTR]],GDList,"&lt;&gt;"&amp;0)</f>
        <v>0</v>
      </c>
      <c r="G29" s="10">
        <f>SUMIFS(GQList,GIList,Table_ExternalData_17[[#This Row],[item_key]],GTList,Table_ExternalData_17[[#Headers],[SR]],GDList,"&lt;&gt;"&amp;0)</f>
        <v>0</v>
      </c>
      <c r="H29" s="10">
        <f>SUMIFS(GQList,GIList,Table_ExternalData_17[[#This Row],[item_key]],GTList,Table_ExternalData_17[[#Headers],[TR]],GDList,"&lt;&gt;"&amp;0)</f>
        <v>0</v>
      </c>
      <c r="I29" s="10">
        <f>SUMIFS(GQList,GIList,Table_ExternalData_17[[#This Row],[item_key]],GTList,Table_ExternalData_17[[#Headers],[RCA]],GDList,"&lt;&gt;"&amp;0)</f>
        <v>0</v>
      </c>
      <c r="J29" s="10">
        <f>SUM(Table_ExternalData_17[[#This Row],[GRN]]+Table_ExternalData_17[[#This Row],[VSTR]]+Table_ExternalData_17[[#This Row],[SR]]+Table_ExternalData_17[[#This Row],[TR]]+Table_ExternalData_17[[#This Row],[RCA]])</f>
        <v>0</v>
      </c>
      <c r="K29" s="10">
        <f>SUMIFS(IsQList,IsIList,Table_ExternalData_17[[#This Row],[item_key]],IsITypeList,Table_ExternalData_17[[#Headers],[R/P]],IsDList,"&lt;&gt;"&amp;0)</f>
        <v>0</v>
      </c>
      <c r="L29" s="10">
        <f>SUMIFS(IsQList,IsIList,Table_ExternalData_17[[#This Row],[item_key]],IsITypeList,Table_ExternalData_17[[#Headers],[CST]],IsDList,"&lt;&gt;"&amp;0)</f>
        <v>0</v>
      </c>
      <c r="M29" s="10">
        <f>SUMIFS(IsQList,IsIList,Table_ExternalData_15[[#This Row],[item_key]],IsITypeList,Table_ExternalData_17[[#Headers],[S/I]],IsDList,"&lt;&gt;"&amp;0)</f>
        <v>50</v>
      </c>
      <c r="N29" s="10">
        <f>SUMIFS(IsQList,IsIList,Table_ExternalData_15[[#This Row],[item_key]],IsITypeList,Table_ExternalData_17[[#Headers],[VST]],IsDList,"&lt;&gt;"&amp;0)</f>
        <v>0</v>
      </c>
      <c r="O29" s="10">
        <f>ABS(SUMIFS(IsQList,IsIList,Table_ExternalData_17[[#This Row],[item_key]],IsITypeList,Table_ExternalData_17[[#Headers],[RTN]],IsDList,"&lt;&gt;"&amp;0))</f>
        <v>0</v>
      </c>
      <c r="P29" s="10">
        <f>SUM(Table_ExternalData_17[[#This Row],[R/P]:[RTN]])</f>
        <v>50</v>
      </c>
      <c r="Q29" s="10">
        <f>SUM((Table_ExternalData_17[[#This Row],[Opening]]+Table_ExternalData_17[[#This Row],[Total Receipt]])-ABS(Table_ExternalData_17[[#This Row],[Total Issue]]))</f>
        <v>29</v>
      </c>
    </row>
    <row r="30" spans="1:17">
      <c r="A30" s="1" t="s">
        <v>245</v>
      </c>
      <c r="B30" s="1" t="s">
        <v>1216</v>
      </c>
      <c r="C30" s="1" t="s">
        <v>1217</v>
      </c>
      <c r="D30" s="10">
        <f>SUMIFS(OPBQList,OPBIList,Table_ExternalData_17[[#This Row],[item_key]])+SUMIFS(GQList,GIList,Table_ExternalData_17[[#This Row],[item_key]],GDList,0)-ABS(SUMIFS(IsQList,IsIList,Table_ExternalData_17[[#This Row],[item_key]],IsDList,0))</f>
        <v>132</v>
      </c>
      <c r="E30" s="10">
        <f>SUMIFS(GQList,GIList,Table_ExternalData_17[[#This Row],[item_key]],GTList,Table_ExternalData_17[[#Headers],[GRN]],GDList,"&lt;&gt;"&amp;0)</f>
        <v>0</v>
      </c>
      <c r="F30" s="10">
        <f>SUMIFS(GQList,GIList,Table_ExternalData_17[[#This Row],[item_key]],GTList,Table_ExternalData_17[[#Headers],[VSTR]],GDList,"&lt;&gt;"&amp;0)</f>
        <v>0</v>
      </c>
      <c r="G30" s="10">
        <f>SUMIFS(GQList,GIList,Table_ExternalData_17[[#This Row],[item_key]],GTList,Table_ExternalData_17[[#Headers],[SR]],GDList,"&lt;&gt;"&amp;0)</f>
        <v>0</v>
      </c>
      <c r="H30" s="10">
        <f>SUMIFS(GQList,GIList,Table_ExternalData_17[[#This Row],[item_key]],GTList,Table_ExternalData_17[[#Headers],[TR]],GDList,"&lt;&gt;"&amp;0)</f>
        <v>0</v>
      </c>
      <c r="I30" s="10">
        <f>SUMIFS(GQList,GIList,Table_ExternalData_17[[#This Row],[item_key]],GTList,Table_ExternalData_17[[#Headers],[RCA]],GDList,"&lt;&gt;"&amp;0)</f>
        <v>0</v>
      </c>
      <c r="J30" s="10">
        <f>SUM(Table_ExternalData_17[[#This Row],[GRN]]+Table_ExternalData_17[[#This Row],[VSTR]]+Table_ExternalData_17[[#This Row],[SR]]+Table_ExternalData_17[[#This Row],[TR]]+Table_ExternalData_17[[#This Row],[RCA]])</f>
        <v>0</v>
      </c>
      <c r="K30" s="10">
        <f>SUMIFS(IsQList,IsIList,Table_ExternalData_17[[#This Row],[item_key]],IsITypeList,Table_ExternalData_17[[#Headers],[R/P]],IsDList,"&lt;&gt;"&amp;0)</f>
        <v>0</v>
      </c>
      <c r="L30" s="10">
        <f>SUMIFS(IsQList,IsIList,Table_ExternalData_17[[#This Row],[item_key]],IsITypeList,Table_ExternalData_17[[#Headers],[CST]],IsDList,"&lt;&gt;"&amp;0)</f>
        <v>0</v>
      </c>
      <c r="M30" s="10">
        <f>SUMIFS(IsQList,IsIList,Table_ExternalData_15[[#This Row],[item_key]],IsITypeList,Table_ExternalData_17[[#Headers],[S/I]],IsDList,"&lt;&gt;"&amp;0)</f>
        <v>5</v>
      </c>
      <c r="N30" s="10">
        <f>SUMIFS(IsQList,IsIList,Table_ExternalData_15[[#This Row],[item_key]],IsITypeList,Table_ExternalData_17[[#Headers],[VST]],IsDList,"&lt;&gt;"&amp;0)</f>
        <v>0</v>
      </c>
      <c r="O30" s="10">
        <f>ABS(SUMIFS(IsQList,IsIList,Table_ExternalData_17[[#This Row],[item_key]],IsITypeList,Table_ExternalData_17[[#Headers],[RTN]],IsDList,"&lt;&gt;"&amp;0))</f>
        <v>0</v>
      </c>
      <c r="P30" s="10">
        <f>SUM(Table_ExternalData_17[[#This Row],[R/P]:[RTN]])</f>
        <v>5</v>
      </c>
      <c r="Q30" s="10">
        <f>SUM((Table_ExternalData_17[[#This Row],[Opening]]+Table_ExternalData_17[[#This Row],[Total Receipt]])-ABS(Table_ExternalData_17[[#This Row],[Total Issue]]))</f>
        <v>127</v>
      </c>
    </row>
    <row r="31" spans="1:17">
      <c r="A31" s="1" t="s">
        <v>249</v>
      </c>
      <c r="B31" s="1" t="s">
        <v>1218</v>
      </c>
      <c r="C31" s="1" t="s">
        <v>1219</v>
      </c>
      <c r="D31" s="10">
        <f>SUMIFS(OPBQList,OPBIList,Table_ExternalData_17[[#This Row],[item_key]])+SUMIFS(GQList,GIList,Table_ExternalData_17[[#This Row],[item_key]],GDList,0)-ABS(SUMIFS(IsQList,IsIList,Table_ExternalData_17[[#This Row],[item_key]],IsDList,0))</f>
        <v>701</v>
      </c>
      <c r="E31" s="10">
        <f>SUMIFS(GQList,GIList,Table_ExternalData_17[[#This Row],[item_key]],GTList,Table_ExternalData_17[[#Headers],[GRN]],GDList,"&lt;&gt;"&amp;0)</f>
        <v>0</v>
      </c>
      <c r="F31" s="10">
        <f>SUMIFS(GQList,GIList,Table_ExternalData_17[[#This Row],[item_key]],GTList,Table_ExternalData_17[[#Headers],[VSTR]],GDList,"&lt;&gt;"&amp;0)</f>
        <v>0</v>
      </c>
      <c r="G31" s="10">
        <f>SUMIFS(GQList,GIList,Table_ExternalData_17[[#This Row],[item_key]],GTList,Table_ExternalData_17[[#Headers],[SR]],GDList,"&lt;&gt;"&amp;0)</f>
        <v>0</v>
      </c>
      <c r="H31" s="10">
        <f>SUMIFS(GQList,GIList,Table_ExternalData_17[[#This Row],[item_key]],GTList,Table_ExternalData_17[[#Headers],[TR]],GDList,"&lt;&gt;"&amp;0)</f>
        <v>0</v>
      </c>
      <c r="I31" s="10">
        <f>SUMIFS(GQList,GIList,Table_ExternalData_17[[#This Row],[item_key]],GTList,Table_ExternalData_17[[#Headers],[RCA]],GDList,"&lt;&gt;"&amp;0)</f>
        <v>0</v>
      </c>
      <c r="J31" s="10">
        <f>SUM(Table_ExternalData_17[[#This Row],[GRN]]+Table_ExternalData_17[[#This Row],[VSTR]]+Table_ExternalData_17[[#This Row],[SR]]+Table_ExternalData_17[[#This Row],[TR]]+Table_ExternalData_17[[#This Row],[RCA]])</f>
        <v>0</v>
      </c>
      <c r="K31" s="10">
        <f>SUMIFS(IsQList,IsIList,Table_ExternalData_17[[#This Row],[item_key]],IsITypeList,Table_ExternalData_17[[#Headers],[R/P]],IsDList,"&lt;&gt;"&amp;0)</f>
        <v>0</v>
      </c>
      <c r="L31" s="10">
        <f>SUMIFS(IsQList,IsIList,Table_ExternalData_17[[#This Row],[item_key]],IsITypeList,Table_ExternalData_17[[#Headers],[CST]],IsDList,"&lt;&gt;"&amp;0)</f>
        <v>0</v>
      </c>
      <c r="M31" s="10">
        <f>SUMIFS(IsQList,IsIList,Table_ExternalData_15[[#This Row],[item_key]],IsITypeList,Table_ExternalData_17[[#Headers],[S/I]],IsDList,"&lt;&gt;"&amp;0)</f>
        <v>130</v>
      </c>
      <c r="N31" s="10">
        <f>SUMIFS(IsQList,IsIList,Table_ExternalData_15[[#This Row],[item_key]],IsITypeList,Table_ExternalData_17[[#Headers],[VST]],IsDList,"&lt;&gt;"&amp;0)</f>
        <v>0</v>
      </c>
      <c r="O31" s="10">
        <f>ABS(SUMIFS(IsQList,IsIList,Table_ExternalData_17[[#This Row],[item_key]],IsITypeList,Table_ExternalData_17[[#Headers],[RTN]],IsDList,"&lt;&gt;"&amp;0))</f>
        <v>0</v>
      </c>
      <c r="P31" s="10">
        <f>SUM(Table_ExternalData_17[[#This Row],[R/P]:[RTN]])</f>
        <v>130</v>
      </c>
      <c r="Q31" s="10">
        <f>SUM((Table_ExternalData_17[[#This Row],[Opening]]+Table_ExternalData_17[[#This Row],[Total Receipt]])-ABS(Table_ExternalData_17[[#This Row],[Total Issue]]))</f>
        <v>571</v>
      </c>
    </row>
    <row r="32" spans="1:17">
      <c r="A32" s="1" t="s">
        <v>250</v>
      </c>
      <c r="B32" s="1" t="s">
        <v>1220</v>
      </c>
      <c r="C32" s="1" t="s">
        <v>1219</v>
      </c>
      <c r="D32" s="10">
        <f>SUMIFS(OPBQList,OPBIList,Table_ExternalData_17[[#This Row],[item_key]])+SUMIFS(GQList,GIList,Table_ExternalData_17[[#This Row],[item_key]],GDList,0)-ABS(SUMIFS(IsQList,IsIList,Table_ExternalData_17[[#This Row],[item_key]],IsDList,0))</f>
        <v>700</v>
      </c>
      <c r="E32" s="10">
        <f>SUMIFS(GQList,GIList,Table_ExternalData_17[[#This Row],[item_key]],GTList,Table_ExternalData_17[[#Headers],[GRN]],GDList,"&lt;&gt;"&amp;0)</f>
        <v>0</v>
      </c>
      <c r="F32" s="10">
        <f>SUMIFS(GQList,GIList,Table_ExternalData_17[[#This Row],[item_key]],GTList,Table_ExternalData_17[[#Headers],[VSTR]],GDList,"&lt;&gt;"&amp;0)</f>
        <v>0</v>
      </c>
      <c r="G32" s="10">
        <f>SUMIFS(GQList,GIList,Table_ExternalData_17[[#This Row],[item_key]],GTList,Table_ExternalData_17[[#Headers],[SR]],GDList,"&lt;&gt;"&amp;0)</f>
        <v>0</v>
      </c>
      <c r="H32" s="10">
        <f>SUMIFS(GQList,GIList,Table_ExternalData_17[[#This Row],[item_key]],GTList,Table_ExternalData_17[[#Headers],[TR]],GDList,"&lt;&gt;"&amp;0)</f>
        <v>0</v>
      </c>
      <c r="I32" s="10">
        <f>SUMIFS(GQList,GIList,Table_ExternalData_17[[#This Row],[item_key]],GTList,Table_ExternalData_17[[#Headers],[RCA]],GDList,"&lt;&gt;"&amp;0)</f>
        <v>0</v>
      </c>
      <c r="J32" s="10">
        <f>SUM(Table_ExternalData_17[[#This Row],[GRN]]+Table_ExternalData_17[[#This Row],[VSTR]]+Table_ExternalData_17[[#This Row],[SR]]+Table_ExternalData_17[[#This Row],[TR]]+Table_ExternalData_17[[#This Row],[RCA]])</f>
        <v>0</v>
      </c>
      <c r="K32" s="10">
        <f>SUMIFS(IsQList,IsIList,Table_ExternalData_17[[#This Row],[item_key]],IsITypeList,Table_ExternalData_17[[#Headers],[R/P]],IsDList,"&lt;&gt;"&amp;0)</f>
        <v>0</v>
      </c>
      <c r="L32" s="10">
        <f>SUMIFS(IsQList,IsIList,Table_ExternalData_17[[#This Row],[item_key]],IsITypeList,Table_ExternalData_17[[#Headers],[CST]],IsDList,"&lt;&gt;"&amp;0)</f>
        <v>0</v>
      </c>
      <c r="M32" s="10">
        <f>SUMIFS(IsQList,IsIList,Table_ExternalData_15[[#This Row],[item_key]],IsITypeList,Table_ExternalData_17[[#Headers],[S/I]],IsDList,"&lt;&gt;"&amp;0)</f>
        <v>14</v>
      </c>
      <c r="N32" s="10">
        <f>SUMIFS(IsQList,IsIList,Table_ExternalData_15[[#This Row],[item_key]],IsITypeList,Table_ExternalData_17[[#Headers],[VST]],IsDList,"&lt;&gt;"&amp;0)</f>
        <v>0</v>
      </c>
      <c r="O32" s="10">
        <f>ABS(SUMIFS(IsQList,IsIList,Table_ExternalData_17[[#This Row],[item_key]],IsITypeList,Table_ExternalData_17[[#Headers],[RTN]],IsDList,"&lt;&gt;"&amp;0))</f>
        <v>0</v>
      </c>
      <c r="P32" s="10">
        <f>SUM(Table_ExternalData_17[[#This Row],[R/P]:[RTN]])</f>
        <v>14</v>
      </c>
      <c r="Q32" s="10">
        <f>SUM((Table_ExternalData_17[[#This Row],[Opening]]+Table_ExternalData_17[[#This Row],[Total Receipt]])-ABS(Table_ExternalData_17[[#This Row],[Total Issue]]))</f>
        <v>686</v>
      </c>
    </row>
    <row r="33" spans="1:17">
      <c r="A33" s="1" t="s">
        <v>251</v>
      </c>
      <c r="B33" s="1" t="s">
        <v>2450</v>
      </c>
      <c r="C33" s="1" t="s">
        <v>2451</v>
      </c>
      <c r="D33" s="10">
        <f>SUMIFS(OPBQList,OPBIList,Table_ExternalData_17[[#This Row],[item_key]])+SUMIFS(GQList,GIList,Table_ExternalData_17[[#This Row],[item_key]],GDList,0)-ABS(SUMIFS(IsQList,IsIList,Table_ExternalData_17[[#This Row],[item_key]],IsDList,0))</f>
        <v>298</v>
      </c>
      <c r="E33" s="10">
        <f>SUMIFS(GQList,GIList,Table_ExternalData_17[[#This Row],[item_key]],GTList,Table_ExternalData_17[[#Headers],[GRN]],GDList,"&lt;&gt;"&amp;0)</f>
        <v>0</v>
      </c>
      <c r="F33" s="10">
        <f>SUMIFS(GQList,GIList,Table_ExternalData_17[[#This Row],[item_key]],GTList,Table_ExternalData_17[[#Headers],[VSTR]],GDList,"&lt;&gt;"&amp;0)</f>
        <v>0</v>
      </c>
      <c r="G33" s="10">
        <f>SUMIFS(GQList,GIList,Table_ExternalData_17[[#This Row],[item_key]],GTList,Table_ExternalData_17[[#Headers],[SR]],GDList,"&lt;&gt;"&amp;0)</f>
        <v>0</v>
      </c>
      <c r="H33" s="10">
        <f>SUMIFS(GQList,GIList,Table_ExternalData_17[[#This Row],[item_key]],GTList,Table_ExternalData_17[[#Headers],[TR]],GDList,"&lt;&gt;"&amp;0)</f>
        <v>0</v>
      </c>
      <c r="I33" s="10">
        <f>SUMIFS(GQList,GIList,Table_ExternalData_17[[#This Row],[item_key]],GTList,Table_ExternalData_17[[#Headers],[RCA]],GDList,"&lt;&gt;"&amp;0)</f>
        <v>0</v>
      </c>
      <c r="J33" s="10">
        <f>SUM(Table_ExternalData_17[[#This Row],[GRN]]+Table_ExternalData_17[[#This Row],[VSTR]]+Table_ExternalData_17[[#This Row],[SR]]+Table_ExternalData_17[[#This Row],[TR]]+Table_ExternalData_17[[#This Row],[RCA]])</f>
        <v>0</v>
      </c>
      <c r="K33" s="10">
        <f>SUMIFS(IsQList,IsIList,Table_ExternalData_17[[#This Row],[item_key]],IsITypeList,Table_ExternalData_17[[#Headers],[R/P]],IsDList,"&lt;&gt;"&amp;0)</f>
        <v>0</v>
      </c>
      <c r="L33" s="10">
        <f>SUMIFS(IsQList,IsIList,Table_ExternalData_17[[#This Row],[item_key]],IsITypeList,Table_ExternalData_17[[#Headers],[CST]],IsDList,"&lt;&gt;"&amp;0)</f>
        <v>0</v>
      </c>
      <c r="M33" s="10">
        <f>SUMIFS(IsQList,IsIList,Table_ExternalData_15[[#This Row],[item_key]],IsITypeList,Table_ExternalData_17[[#Headers],[S/I]],IsDList,"&lt;&gt;"&amp;0)</f>
        <v>13</v>
      </c>
      <c r="N33" s="10">
        <f>SUMIFS(IsQList,IsIList,Table_ExternalData_15[[#This Row],[item_key]],IsITypeList,Table_ExternalData_17[[#Headers],[VST]],IsDList,"&lt;&gt;"&amp;0)</f>
        <v>0</v>
      </c>
      <c r="O33" s="10">
        <f>ABS(SUMIFS(IsQList,IsIList,Table_ExternalData_17[[#This Row],[item_key]],IsITypeList,Table_ExternalData_17[[#Headers],[RTN]],IsDList,"&lt;&gt;"&amp;0))</f>
        <v>0</v>
      </c>
      <c r="P33" s="10">
        <f>SUM(Table_ExternalData_17[[#This Row],[R/P]:[RTN]])</f>
        <v>13</v>
      </c>
      <c r="Q33" s="10">
        <f>SUM((Table_ExternalData_17[[#This Row],[Opening]]+Table_ExternalData_17[[#This Row],[Total Receipt]])-ABS(Table_ExternalData_17[[#This Row],[Total Issue]]))</f>
        <v>285</v>
      </c>
    </row>
    <row r="34" spans="1:17">
      <c r="A34" s="1" t="s">
        <v>252</v>
      </c>
      <c r="B34" s="1" t="s">
        <v>2367</v>
      </c>
      <c r="C34" s="1" t="s">
        <v>2368</v>
      </c>
      <c r="D34" s="10">
        <f>SUMIFS(OPBQList,OPBIList,Table_ExternalData_17[[#This Row],[item_key]])+SUMIFS(GQList,GIList,Table_ExternalData_17[[#This Row],[item_key]],GDList,0)-ABS(SUMIFS(IsQList,IsIList,Table_ExternalData_17[[#This Row],[item_key]],IsDList,0))</f>
        <v>63</v>
      </c>
      <c r="E34" s="10">
        <f>SUMIFS(GQList,GIList,Table_ExternalData_17[[#This Row],[item_key]],GTList,Table_ExternalData_17[[#Headers],[GRN]],GDList,"&lt;&gt;"&amp;0)</f>
        <v>0</v>
      </c>
      <c r="F34" s="10">
        <f>SUMIFS(GQList,GIList,Table_ExternalData_17[[#This Row],[item_key]],GTList,Table_ExternalData_17[[#Headers],[VSTR]],GDList,"&lt;&gt;"&amp;0)</f>
        <v>0</v>
      </c>
      <c r="G34" s="10">
        <f>SUMIFS(GQList,GIList,Table_ExternalData_17[[#This Row],[item_key]],GTList,Table_ExternalData_17[[#Headers],[SR]],GDList,"&lt;&gt;"&amp;0)</f>
        <v>0</v>
      </c>
      <c r="H34" s="10">
        <f>SUMIFS(GQList,GIList,Table_ExternalData_17[[#This Row],[item_key]],GTList,Table_ExternalData_17[[#Headers],[TR]],GDList,"&lt;&gt;"&amp;0)</f>
        <v>0</v>
      </c>
      <c r="I34" s="10">
        <f>SUMIFS(GQList,GIList,Table_ExternalData_17[[#This Row],[item_key]],GTList,Table_ExternalData_17[[#Headers],[RCA]],GDList,"&lt;&gt;"&amp;0)</f>
        <v>0</v>
      </c>
      <c r="J34" s="10">
        <f>SUM(Table_ExternalData_17[[#This Row],[GRN]]+Table_ExternalData_17[[#This Row],[VSTR]]+Table_ExternalData_17[[#This Row],[SR]]+Table_ExternalData_17[[#This Row],[TR]]+Table_ExternalData_17[[#This Row],[RCA]])</f>
        <v>0</v>
      </c>
      <c r="K34" s="10">
        <f>SUMIFS(IsQList,IsIList,Table_ExternalData_17[[#This Row],[item_key]],IsITypeList,Table_ExternalData_17[[#Headers],[R/P]],IsDList,"&lt;&gt;"&amp;0)</f>
        <v>0</v>
      </c>
      <c r="L34" s="10">
        <f>SUMIFS(IsQList,IsIList,Table_ExternalData_17[[#This Row],[item_key]],IsITypeList,Table_ExternalData_17[[#Headers],[CST]],IsDList,"&lt;&gt;"&amp;0)</f>
        <v>0</v>
      </c>
      <c r="M34" s="10">
        <f>SUMIFS(IsQList,IsIList,Table_ExternalData_15[[#This Row],[item_key]],IsITypeList,Table_ExternalData_17[[#Headers],[S/I]],IsDList,"&lt;&gt;"&amp;0)</f>
        <v>0</v>
      </c>
      <c r="N34" s="10">
        <f>SUMIFS(IsQList,IsIList,Table_ExternalData_15[[#This Row],[item_key]],IsITypeList,Table_ExternalData_17[[#Headers],[VST]],IsDList,"&lt;&gt;"&amp;0)</f>
        <v>0</v>
      </c>
      <c r="O34" s="10">
        <f>ABS(SUMIFS(IsQList,IsIList,Table_ExternalData_17[[#This Row],[item_key]],IsITypeList,Table_ExternalData_17[[#Headers],[RTN]],IsDList,"&lt;&gt;"&amp;0))</f>
        <v>0</v>
      </c>
      <c r="P34" s="10">
        <f>SUM(Table_ExternalData_17[[#This Row],[R/P]:[RTN]])</f>
        <v>0</v>
      </c>
      <c r="Q34" s="10">
        <f>SUM((Table_ExternalData_17[[#This Row],[Opening]]+Table_ExternalData_17[[#This Row],[Total Receipt]])-ABS(Table_ExternalData_17[[#This Row],[Total Issue]]))</f>
        <v>63</v>
      </c>
    </row>
    <row r="35" spans="1:17">
      <c r="A35" s="1" t="s">
        <v>253</v>
      </c>
      <c r="B35" s="1" t="s">
        <v>2452</v>
      </c>
      <c r="C35" s="1" t="s">
        <v>2453</v>
      </c>
      <c r="D35" s="10">
        <f>SUMIFS(OPBQList,OPBIList,Table_ExternalData_17[[#This Row],[item_key]])+SUMIFS(GQList,GIList,Table_ExternalData_17[[#This Row],[item_key]],GDList,0)-ABS(SUMIFS(IsQList,IsIList,Table_ExternalData_17[[#This Row],[item_key]],IsDList,0))</f>
        <v>880</v>
      </c>
      <c r="E35" s="10">
        <f>SUMIFS(GQList,GIList,Table_ExternalData_17[[#This Row],[item_key]],GTList,Table_ExternalData_17[[#Headers],[GRN]],GDList,"&lt;&gt;"&amp;0)</f>
        <v>0</v>
      </c>
      <c r="F35" s="10">
        <f>SUMIFS(GQList,GIList,Table_ExternalData_17[[#This Row],[item_key]],GTList,Table_ExternalData_17[[#Headers],[VSTR]],GDList,"&lt;&gt;"&amp;0)</f>
        <v>0</v>
      </c>
      <c r="G35" s="10">
        <f>SUMIFS(GQList,GIList,Table_ExternalData_17[[#This Row],[item_key]],GTList,Table_ExternalData_17[[#Headers],[SR]],GDList,"&lt;&gt;"&amp;0)</f>
        <v>0</v>
      </c>
      <c r="H35" s="10">
        <f>SUMIFS(GQList,GIList,Table_ExternalData_17[[#This Row],[item_key]],GTList,Table_ExternalData_17[[#Headers],[TR]],GDList,"&lt;&gt;"&amp;0)</f>
        <v>0</v>
      </c>
      <c r="I35" s="10">
        <f>SUMIFS(GQList,GIList,Table_ExternalData_17[[#This Row],[item_key]],GTList,Table_ExternalData_17[[#Headers],[RCA]],GDList,"&lt;&gt;"&amp;0)</f>
        <v>0</v>
      </c>
      <c r="J35" s="10">
        <f>SUM(Table_ExternalData_17[[#This Row],[GRN]]+Table_ExternalData_17[[#This Row],[VSTR]]+Table_ExternalData_17[[#This Row],[SR]]+Table_ExternalData_17[[#This Row],[TR]]+Table_ExternalData_17[[#This Row],[RCA]])</f>
        <v>0</v>
      </c>
      <c r="K35" s="10">
        <f>SUMIFS(IsQList,IsIList,Table_ExternalData_17[[#This Row],[item_key]],IsITypeList,Table_ExternalData_17[[#Headers],[R/P]],IsDList,"&lt;&gt;"&amp;0)</f>
        <v>0</v>
      </c>
      <c r="L35" s="10">
        <f>SUMIFS(IsQList,IsIList,Table_ExternalData_17[[#This Row],[item_key]],IsITypeList,Table_ExternalData_17[[#Headers],[CST]],IsDList,"&lt;&gt;"&amp;0)</f>
        <v>0</v>
      </c>
      <c r="M35" s="10">
        <f>SUMIFS(IsQList,IsIList,Table_ExternalData_15[[#This Row],[item_key]],IsITypeList,Table_ExternalData_17[[#Headers],[S/I]],IsDList,"&lt;&gt;"&amp;0)</f>
        <v>6</v>
      </c>
      <c r="N35" s="10">
        <f>SUMIFS(IsQList,IsIList,Table_ExternalData_15[[#This Row],[item_key]],IsITypeList,Table_ExternalData_17[[#Headers],[VST]],IsDList,"&lt;&gt;"&amp;0)</f>
        <v>0</v>
      </c>
      <c r="O35" s="10">
        <f>ABS(SUMIFS(IsQList,IsIList,Table_ExternalData_17[[#This Row],[item_key]],IsITypeList,Table_ExternalData_17[[#Headers],[RTN]],IsDList,"&lt;&gt;"&amp;0))</f>
        <v>0</v>
      </c>
      <c r="P35" s="10">
        <f>SUM(Table_ExternalData_17[[#This Row],[R/P]:[RTN]])</f>
        <v>6</v>
      </c>
      <c r="Q35" s="10">
        <f>SUM((Table_ExternalData_17[[#This Row],[Opening]]+Table_ExternalData_17[[#This Row],[Total Receipt]])-ABS(Table_ExternalData_17[[#This Row],[Total Issue]]))</f>
        <v>874</v>
      </c>
    </row>
    <row r="36" spans="1:17">
      <c r="A36" s="1" t="s">
        <v>258</v>
      </c>
      <c r="B36" s="1" t="s">
        <v>1221</v>
      </c>
      <c r="C36" s="1" t="s">
        <v>1222</v>
      </c>
      <c r="D36" s="10">
        <f>SUMIFS(OPBQList,OPBIList,Table_ExternalData_17[[#This Row],[item_key]])+SUMIFS(GQList,GIList,Table_ExternalData_17[[#This Row],[item_key]],GDList,0)-ABS(SUMIFS(IsQList,IsIList,Table_ExternalData_17[[#This Row],[item_key]],IsDList,0))</f>
        <v>65</v>
      </c>
      <c r="E36" s="10">
        <f>SUMIFS(GQList,GIList,Table_ExternalData_17[[#This Row],[item_key]],GTList,Table_ExternalData_17[[#Headers],[GRN]],GDList,"&lt;&gt;"&amp;0)</f>
        <v>0</v>
      </c>
      <c r="F36" s="10">
        <f>SUMIFS(GQList,GIList,Table_ExternalData_17[[#This Row],[item_key]],GTList,Table_ExternalData_17[[#Headers],[VSTR]],GDList,"&lt;&gt;"&amp;0)</f>
        <v>0</v>
      </c>
      <c r="G36" s="10">
        <f>SUMIFS(GQList,GIList,Table_ExternalData_17[[#This Row],[item_key]],GTList,Table_ExternalData_17[[#Headers],[SR]],GDList,"&lt;&gt;"&amp;0)</f>
        <v>0</v>
      </c>
      <c r="H36" s="10">
        <f>SUMIFS(GQList,GIList,Table_ExternalData_17[[#This Row],[item_key]],GTList,Table_ExternalData_17[[#Headers],[TR]],GDList,"&lt;&gt;"&amp;0)</f>
        <v>0</v>
      </c>
      <c r="I36" s="10">
        <f>SUMIFS(GQList,GIList,Table_ExternalData_17[[#This Row],[item_key]],GTList,Table_ExternalData_17[[#Headers],[RCA]],GDList,"&lt;&gt;"&amp;0)</f>
        <v>0</v>
      </c>
      <c r="J36" s="10">
        <f>SUM(Table_ExternalData_17[[#This Row],[GRN]]+Table_ExternalData_17[[#This Row],[VSTR]]+Table_ExternalData_17[[#This Row],[SR]]+Table_ExternalData_17[[#This Row],[TR]]+Table_ExternalData_17[[#This Row],[RCA]])</f>
        <v>0</v>
      </c>
      <c r="K36" s="10">
        <f>SUMIFS(IsQList,IsIList,Table_ExternalData_17[[#This Row],[item_key]],IsITypeList,Table_ExternalData_17[[#Headers],[R/P]],IsDList,"&lt;&gt;"&amp;0)</f>
        <v>0</v>
      </c>
      <c r="L36" s="10">
        <f>SUMIFS(IsQList,IsIList,Table_ExternalData_17[[#This Row],[item_key]],IsITypeList,Table_ExternalData_17[[#Headers],[CST]],IsDList,"&lt;&gt;"&amp;0)</f>
        <v>0</v>
      </c>
      <c r="M36" s="10">
        <f>SUMIFS(IsQList,IsIList,Table_ExternalData_15[[#This Row],[item_key]],IsITypeList,Table_ExternalData_17[[#Headers],[S/I]],IsDList,"&lt;&gt;"&amp;0)</f>
        <v>10</v>
      </c>
      <c r="N36" s="10">
        <f>SUMIFS(IsQList,IsIList,Table_ExternalData_15[[#This Row],[item_key]],IsITypeList,Table_ExternalData_17[[#Headers],[VST]],IsDList,"&lt;&gt;"&amp;0)</f>
        <v>0</v>
      </c>
      <c r="O36" s="10">
        <f>ABS(SUMIFS(IsQList,IsIList,Table_ExternalData_17[[#This Row],[item_key]],IsITypeList,Table_ExternalData_17[[#Headers],[RTN]],IsDList,"&lt;&gt;"&amp;0))</f>
        <v>0</v>
      </c>
      <c r="P36" s="10">
        <f>SUM(Table_ExternalData_17[[#This Row],[R/P]:[RTN]])</f>
        <v>10</v>
      </c>
      <c r="Q36" s="10">
        <f>SUM((Table_ExternalData_17[[#This Row],[Opening]]+Table_ExternalData_17[[#This Row],[Total Receipt]])-ABS(Table_ExternalData_17[[#This Row],[Total Issue]]))</f>
        <v>55</v>
      </c>
    </row>
    <row r="37" spans="1:17">
      <c r="A37" s="1" t="s">
        <v>259</v>
      </c>
      <c r="B37" s="1" t="s">
        <v>1223</v>
      </c>
      <c r="C37" s="1" t="s">
        <v>1224</v>
      </c>
      <c r="D3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7" s="10">
        <f>SUMIFS(GQList,GIList,Table_ExternalData_17[[#This Row],[item_key]],GTList,Table_ExternalData_17[[#Headers],[GRN]],GDList,"&lt;&gt;"&amp;0)</f>
        <v>0</v>
      </c>
      <c r="F37" s="10">
        <f>SUMIFS(GQList,GIList,Table_ExternalData_17[[#This Row],[item_key]],GTList,Table_ExternalData_17[[#Headers],[VSTR]],GDList,"&lt;&gt;"&amp;0)</f>
        <v>0</v>
      </c>
      <c r="G37" s="10">
        <f>SUMIFS(GQList,GIList,Table_ExternalData_17[[#This Row],[item_key]],GTList,Table_ExternalData_17[[#Headers],[SR]],GDList,"&lt;&gt;"&amp;0)</f>
        <v>0</v>
      </c>
      <c r="H37" s="10">
        <f>SUMIFS(GQList,GIList,Table_ExternalData_17[[#This Row],[item_key]],GTList,Table_ExternalData_17[[#Headers],[TR]],GDList,"&lt;&gt;"&amp;0)</f>
        <v>0</v>
      </c>
      <c r="I37" s="10">
        <f>SUMIFS(GQList,GIList,Table_ExternalData_17[[#This Row],[item_key]],GTList,Table_ExternalData_17[[#Headers],[RCA]],GDList,"&lt;&gt;"&amp;0)</f>
        <v>0</v>
      </c>
      <c r="J37" s="10">
        <f>SUM(Table_ExternalData_17[[#This Row],[GRN]]+Table_ExternalData_17[[#This Row],[VSTR]]+Table_ExternalData_17[[#This Row],[SR]]+Table_ExternalData_17[[#This Row],[TR]]+Table_ExternalData_17[[#This Row],[RCA]])</f>
        <v>0</v>
      </c>
      <c r="K37" s="10">
        <f>SUMIFS(IsQList,IsIList,Table_ExternalData_17[[#This Row],[item_key]],IsITypeList,Table_ExternalData_17[[#Headers],[R/P]],IsDList,"&lt;&gt;"&amp;0)</f>
        <v>0</v>
      </c>
      <c r="L37" s="10">
        <f>SUMIFS(IsQList,IsIList,Table_ExternalData_17[[#This Row],[item_key]],IsITypeList,Table_ExternalData_17[[#Headers],[CST]],IsDList,"&lt;&gt;"&amp;0)</f>
        <v>0</v>
      </c>
      <c r="M37" s="10">
        <f>SUMIFS(IsQList,IsIList,Table_ExternalData_15[[#This Row],[item_key]],IsITypeList,Table_ExternalData_17[[#Headers],[S/I]],IsDList,"&lt;&gt;"&amp;0)</f>
        <v>110</v>
      </c>
      <c r="N37" s="10">
        <f>SUMIFS(IsQList,IsIList,Table_ExternalData_15[[#This Row],[item_key]],IsITypeList,Table_ExternalData_17[[#Headers],[VST]],IsDList,"&lt;&gt;"&amp;0)</f>
        <v>0</v>
      </c>
      <c r="O37" s="10">
        <f>ABS(SUMIFS(IsQList,IsIList,Table_ExternalData_17[[#This Row],[item_key]],IsITypeList,Table_ExternalData_17[[#Headers],[RTN]],IsDList,"&lt;&gt;"&amp;0))</f>
        <v>0</v>
      </c>
      <c r="P37" s="10">
        <f>SUM(Table_ExternalData_17[[#This Row],[R/P]:[RTN]])</f>
        <v>110</v>
      </c>
      <c r="Q37" s="10">
        <f>SUM((Table_ExternalData_17[[#This Row],[Opening]]+Table_ExternalData_17[[#This Row],[Total Receipt]])-ABS(Table_ExternalData_17[[#This Row],[Total Issue]]))</f>
        <v>-110</v>
      </c>
    </row>
    <row r="38" spans="1:17">
      <c r="A38" s="1" t="s">
        <v>272</v>
      </c>
      <c r="B38" s="1" t="s">
        <v>2454</v>
      </c>
      <c r="C38" s="1" t="s">
        <v>2455</v>
      </c>
      <c r="D38" s="10">
        <f>SUMIFS(OPBQList,OPBIList,Table_ExternalData_17[[#This Row],[item_key]])+SUMIFS(GQList,GIList,Table_ExternalData_17[[#This Row],[item_key]],GDList,0)-ABS(SUMIFS(IsQList,IsIList,Table_ExternalData_17[[#This Row],[item_key]],IsDList,0))</f>
        <v>7593</v>
      </c>
      <c r="E38" s="10">
        <f>SUMIFS(GQList,GIList,Table_ExternalData_17[[#This Row],[item_key]],GTList,Table_ExternalData_17[[#Headers],[GRN]],GDList,"&lt;&gt;"&amp;0)</f>
        <v>0</v>
      </c>
      <c r="F38" s="10">
        <f>SUMIFS(GQList,GIList,Table_ExternalData_17[[#This Row],[item_key]],GTList,Table_ExternalData_17[[#Headers],[VSTR]],GDList,"&lt;&gt;"&amp;0)</f>
        <v>0</v>
      </c>
      <c r="G38" s="10">
        <f>SUMIFS(GQList,GIList,Table_ExternalData_17[[#This Row],[item_key]],GTList,Table_ExternalData_17[[#Headers],[SR]],GDList,"&lt;&gt;"&amp;0)</f>
        <v>0</v>
      </c>
      <c r="H38" s="10">
        <f>SUMIFS(GQList,GIList,Table_ExternalData_17[[#This Row],[item_key]],GTList,Table_ExternalData_17[[#Headers],[TR]],GDList,"&lt;&gt;"&amp;0)</f>
        <v>0</v>
      </c>
      <c r="I38" s="10">
        <f>SUMIFS(GQList,GIList,Table_ExternalData_17[[#This Row],[item_key]],GTList,Table_ExternalData_17[[#Headers],[RCA]],GDList,"&lt;&gt;"&amp;0)</f>
        <v>0</v>
      </c>
      <c r="J38" s="10">
        <f>SUM(Table_ExternalData_17[[#This Row],[GRN]]+Table_ExternalData_17[[#This Row],[VSTR]]+Table_ExternalData_17[[#This Row],[SR]]+Table_ExternalData_17[[#This Row],[TR]]+Table_ExternalData_17[[#This Row],[RCA]])</f>
        <v>0</v>
      </c>
      <c r="K38" s="10">
        <f>SUMIFS(IsQList,IsIList,Table_ExternalData_17[[#This Row],[item_key]],IsITypeList,Table_ExternalData_17[[#Headers],[R/P]],IsDList,"&lt;&gt;"&amp;0)</f>
        <v>0</v>
      </c>
      <c r="L38" s="10">
        <f>SUMIFS(IsQList,IsIList,Table_ExternalData_17[[#This Row],[item_key]],IsITypeList,Table_ExternalData_17[[#Headers],[CST]],IsDList,"&lt;&gt;"&amp;0)</f>
        <v>0</v>
      </c>
      <c r="M38" s="10">
        <f>SUMIFS(IsQList,IsIList,Table_ExternalData_15[[#This Row],[item_key]],IsITypeList,Table_ExternalData_17[[#Headers],[S/I]],IsDList,"&lt;&gt;"&amp;0)</f>
        <v>221</v>
      </c>
      <c r="N38" s="10">
        <f>SUMIFS(IsQList,IsIList,Table_ExternalData_15[[#This Row],[item_key]],IsITypeList,Table_ExternalData_17[[#Headers],[VST]],IsDList,"&lt;&gt;"&amp;0)</f>
        <v>0</v>
      </c>
      <c r="O38" s="10">
        <f>ABS(SUMIFS(IsQList,IsIList,Table_ExternalData_17[[#This Row],[item_key]],IsITypeList,Table_ExternalData_17[[#Headers],[RTN]],IsDList,"&lt;&gt;"&amp;0))</f>
        <v>0</v>
      </c>
      <c r="P38" s="10">
        <f>SUM(Table_ExternalData_17[[#This Row],[R/P]:[RTN]])</f>
        <v>221</v>
      </c>
      <c r="Q38" s="10">
        <f>SUM((Table_ExternalData_17[[#This Row],[Opening]]+Table_ExternalData_17[[#This Row],[Total Receipt]])-ABS(Table_ExternalData_17[[#This Row],[Total Issue]]))</f>
        <v>7372</v>
      </c>
    </row>
    <row r="39" spans="1:17">
      <c r="A39" s="1" t="s">
        <v>280</v>
      </c>
      <c r="B39" s="1" t="s">
        <v>2456</v>
      </c>
      <c r="C39" s="1" t="s">
        <v>2457</v>
      </c>
      <c r="D39" s="10">
        <f>SUMIFS(OPBQList,OPBIList,Table_ExternalData_17[[#This Row],[item_key]])+SUMIFS(GQList,GIList,Table_ExternalData_17[[#This Row],[item_key]],GDList,0)-ABS(SUMIFS(IsQList,IsIList,Table_ExternalData_17[[#This Row],[item_key]],IsDList,0))</f>
        <v>420</v>
      </c>
      <c r="E39" s="10">
        <f>SUMIFS(GQList,GIList,Table_ExternalData_17[[#This Row],[item_key]],GTList,Table_ExternalData_17[[#Headers],[GRN]],GDList,"&lt;&gt;"&amp;0)</f>
        <v>0</v>
      </c>
      <c r="F39" s="10">
        <f>SUMIFS(GQList,GIList,Table_ExternalData_17[[#This Row],[item_key]],GTList,Table_ExternalData_17[[#Headers],[VSTR]],GDList,"&lt;&gt;"&amp;0)</f>
        <v>0</v>
      </c>
      <c r="G39" s="10">
        <f>SUMIFS(GQList,GIList,Table_ExternalData_17[[#This Row],[item_key]],GTList,Table_ExternalData_17[[#Headers],[SR]],GDList,"&lt;&gt;"&amp;0)</f>
        <v>0</v>
      </c>
      <c r="H39" s="10">
        <f>SUMIFS(GQList,GIList,Table_ExternalData_17[[#This Row],[item_key]],GTList,Table_ExternalData_17[[#Headers],[TR]],GDList,"&lt;&gt;"&amp;0)</f>
        <v>0</v>
      </c>
      <c r="I39" s="10">
        <f>SUMIFS(GQList,GIList,Table_ExternalData_17[[#This Row],[item_key]],GTList,Table_ExternalData_17[[#Headers],[RCA]],GDList,"&lt;&gt;"&amp;0)</f>
        <v>0</v>
      </c>
      <c r="J39" s="10">
        <f>SUM(Table_ExternalData_17[[#This Row],[GRN]]+Table_ExternalData_17[[#This Row],[VSTR]]+Table_ExternalData_17[[#This Row],[SR]]+Table_ExternalData_17[[#This Row],[TR]]+Table_ExternalData_17[[#This Row],[RCA]])</f>
        <v>0</v>
      </c>
      <c r="K39" s="10">
        <f>SUMIFS(IsQList,IsIList,Table_ExternalData_17[[#This Row],[item_key]],IsITypeList,Table_ExternalData_17[[#Headers],[R/P]],IsDList,"&lt;&gt;"&amp;0)</f>
        <v>0</v>
      </c>
      <c r="L39" s="10">
        <f>SUMIFS(IsQList,IsIList,Table_ExternalData_17[[#This Row],[item_key]],IsITypeList,Table_ExternalData_17[[#Headers],[CST]],IsDList,"&lt;&gt;"&amp;0)</f>
        <v>0</v>
      </c>
      <c r="M39" s="10">
        <f>SUMIFS(IsQList,IsIList,Table_ExternalData_15[[#This Row],[item_key]],IsITypeList,Table_ExternalData_17[[#Headers],[S/I]],IsDList,"&lt;&gt;"&amp;0)</f>
        <v>200</v>
      </c>
      <c r="N39" s="10">
        <f>SUMIFS(IsQList,IsIList,Table_ExternalData_15[[#This Row],[item_key]],IsITypeList,Table_ExternalData_17[[#Headers],[VST]],IsDList,"&lt;&gt;"&amp;0)</f>
        <v>0</v>
      </c>
      <c r="O39" s="10">
        <f>ABS(SUMIFS(IsQList,IsIList,Table_ExternalData_17[[#This Row],[item_key]],IsITypeList,Table_ExternalData_17[[#Headers],[RTN]],IsDList,"&lt;&gt;"&amp;0))</f>
        <v>0</v>
      </c>
      <c r="P39" s="10">
        <f>SUM(Table_ExternalData_17[[#This Row],[R/P]:[RTN]])</f>
        <v>200</v>
      </c>
      <c r="Q39" s="10">
        <f>SUM((Table_ExternalData_17[[#This Row],[Opening]]+Table_ExternalData_17[[#This Row],[Total Receipt]])-ABS(Table_ExternalData_17[[#This Row],[Total Issue]]))</f>
        <v>220</v>
      </c>
    </row>
    <row r="40" spans="1:17">
      <c r="A40" s="1" t="s">
        <v>281</v>
      </c>
      <c r="B40" s="1" t="s">
        <v>2458</v>
      </c>
      <c r="C40" s="1" t="s">
        <v>2457</v>
      </c>
      <c r="D40" s="10">
        <f>SUMIFS(OPBQList,OPBIList,Table_ExternalData_17[[#This Row],[item_key]])+SUMIFS(GQList,GIList,Table_ExternalData_17[[#This Row],[item_key]],GDList,0)-ABS(SUMIFS(IsQList,IsIList,Table_ExternalData_17[[#This Row],[item_key]],IsDList,0))</f>
        <v>355</v>
      </c>
      <c r="E40" s="10">
        <f>SUMIFS(GQList,GIList,Table_ExternalData_17[[#This Row],[item_key]],GTList,Table_ExternalData_17[[#Headers],[GRN]],GDList,"&lt;&gt;"&amp;0)</f>
        <v>0</v>
      </c>
      <c r="F40" s="10">
        <f>SUMIFS(GQList,GIList,Table_ExternalData_17[[#This Row],[item_key]],GTList,Table_ExternalData_17[[#Headers],[VSTR]],GDList,"&lt;&gt;"&amp;0)</f>
        <v>0</v>
      </c>
      <c r="G40" s="10">
        <f>SUMIFS(GQList,GIList,Table_ExternalData_17[[#This Row],[item_key]],GTList,Table_ExternalData_17[[#Headers],[SR]],GDList,"&lt;&gt;"&amp;0)</f>
        <v>0</v>
      </c>
      <c r="H40" s="10">
        <f>SUMIFS(GQList,GIList,Table_ExternalData_17[[#This Row],[item_key]],GTList,Table_ExternalData_17[[#Headers],[TR]],GDList,"&lt;&gt;"&amp;0)</f>
        <v>0</v>
      </c>
      <c r="I40" s="10">
        <f>SUMIFS(GQList,GIList,Table_ExternalData_17[[#This Row],[item_key]],GTList,Table_ExternalData_17[[#Headers],[RCA]],GDList,"&lt;&gt;"&amp;0)</f>
        <v>0</v>
      </c>
      <c r="J40" s="10">
        <f>SUM(Table_ExternalData_17[[#This Row],[GRN]]+Table_ExternalData_17[[#This Row],[VSTR]]+Table_ExternalData_17[[#This Row],[SR]]+Table_ExternalData_17[[#This Row],[TR]]+Table_ExternalData_17[[#This Row],[RCA]])</f>
        <v>0</v>
      </c>
      <c r="K40" s="10">
        <f>SUMIFS(IsQList,IsIList,Table_ExternalData_17[[#This Row],[item_key]],IsITypeList,Table_ExternalData_17[[#Headers],[R/P]],IsDList,"&lt;&gt;"&amp;0)</f>
        <v>0</v>
      </c>
      <c r="L40" s="10">
        <f>SUMIFS(IsQList,IsIList,Table_ExternalData_17[[#This Row],[item_key]],IsITypeList,Table_ExternalData_17[[#Headers],[CST]],IsDList,"&lt;&gt;"&amp;0)</f>
        <v>0</v>
      </c>
      <c r="M40" s="10">
        <f>SUMIFS(IsQList,IsIList,Table_ExternalData_15[[#This Row],[item_key]],IsITypeList,Table_ExternalData_17[[#Headers],[S/I]],IsDList,"&lt;&gt;"&amp;0)</f>
        <v>85</v>
      </c>
      <c r="N40" s="10">
        <f>SUMIFS(IsQList,IsIList,Table_ExternalData_15[[#This Row],[item_key]],IsITypeList,Table_ExternalData_17[[#Headers],[VST]],IsDList,"&lt;&gt;"&amp;0)</f>
        <v>0</v>
      </c>
      <c r="O40" s="10">
        <f>ABS(SUMIFS(IsQList,IsIList,Table_ExternalData_17[[#This Row],[item_key]],IsITypeList,Table_ExternalData_17[[#Headers],[RTN]],IsDList,"&lt;&gt;"&amp;0))</f>
        <v>0</v>
      </c>
      <c r="P40" s="10">
        <f>SUM(Table_ExternalData_17[[#This Row],[R/P]:[RTN]])</f>
        <v>85</v>
      </c>
      <c r="Q40" s="10">
        <f>SUM((Table_ExternalData_17[[#This Row],[Opening]]+Table_ExternalData_17[[#This Row],[Total Receipt]])-ABS(Table_ExternalData_17[[#This Row],[Total Issue]]))</f>
        <v>270</v>
      </c>
    </row>
    <row r="41" spans="1:17">
      <c r="A41" s="1" t="s">
        <v>289</v>
      </c>
      <c r="B41" s="1" t="s">
        <v>1225</v>
      </c>
      <c r="C41" s="1" t="s">
        <v>1226</v>
      </c>
      <c r="D41" s="10">
        <f>SUMIFS(OPBQList,OPBIList,Table_ExternalData_17[[#This Row],[item_key]])+SUMIFS(GQList,GIList,Table_ExternalData_17[[#This Row],[item_key]],GDList,0)-ABS(SUMIFS(IsQList,IsIList,Table_ExternalData_17[[#This Row],[item_key]],IsDList,0))</f>
        <v>33</v>
      </c>
      <c r="E41" s="10">
        <f>SUMIFS(GQList,GIList,Table_ExternalData_17[[#This Row],[item_key]],GTList,Table_ExternalData_17[[#Headers],[GRN]],GDList,"&lt;&gt;"&amp;0)</f>
        <v>0</v>
      </c>
      <c r="F41" s="10">
        <f>SUMIFS(GQList,GIList,Table_ExternalData_17[[#This Row],[item_key]],GTList,Table_ExternalData_17[[#Headers],[VSTR]],GDList,"&lt;&gt;"&amp;0)</f>
        <v>0</v>
      </c>
      <c r="G41" s="10">
        <f>SUMIFS(GQList,GIList,Table_ExternalData_17[[#This Row],[item_key]],GTList,Table_ExternalData_17[[#Headers],[SR]],GDList,"&lt;&gt;"&amp;0)</f>
        <v>0</v>
      </c>
      <c r="H41" s="10">
        <f>SUMIFS(GQList,GIList,Table_ExternalData_17[[#This Row],[item_key]],GTList,Table_ExternalData_17[[#Headers],[TR]],GDList,"&lt;&gt;"&amp;0)</f>
        <v>0</v>
      </c>
      <c r="I41" s="10">
        <f>SUMIFS(GQList,GIList,Table_ExternalData_17[[#This Row],[item_key]],GTList,Table_ExternalData_17[[#Headers],[RCA]],GDList,"&lt;&gt;"&amp;0)</f>
        <v>0</v>
      </c>
      <c r="J41" s="10">
        <f>SUM(Table_ExternalData_17[[#This Row],[GRN]]+Table_ExternalData_17[[#This Row],[VSTR]]+Table_ExternalData_17[[#This Row],[SR]]+Table_ExternalData_17[[#This Row],[TR]]+Table_ExternalData_17[[#This Row],[RCA]])</f>
        <v>0</v>
      </c>
      <c r="K41" s="10">
        <f>SUMIFS(IsQList,IsIList,Table_ExternalData_17[[#This Row],[item_key]],IsITypeList,Table_ExternalData_17[[#Headers],[R/P]],IsDList,"&lt;&gt;"&amp;0)</f>
        <v>0</v>
      </c>
      <c r="L41" s="10">
        <f>SUMIFS(IsQList,IsIList,Table_ExternalData_17[[#This Row],[item_key]],IsITypeList,Table_ExternalData_17[[#Headers],[CST]],IsDList,"&lt;&gt;"&amp;0)</f>
        <v>0</v>
      </c>
      <c r="M41" s="10">
        <f>SUMIFS(IsQList,IsIList,Table_ExternalData_15[[#This Row],[item_key]],IsITypeList,Table_ExternalData_17[[#Headers],[S/I]],IsDList,"&lt;&gt;"&amp;0)</f>
        <v>59</v>
      </c>
      <c r="N41" s="10">
        <f>SUMIFS(IsQList,IsIList,Table_ExternalData_15[[#This Row],[item_key]],IsITypeList,Table_ExternalData_17[[#Headers],[VST]],IsDList,"&lt;&gt;"&amp;0)</f>
        <v>0</v>
      </c>
      <c r="O41" s="10">
        <f>ABS(SUMIFS(IsQList,IsIList,Table_ExternalData_17[[#This Row],[item_key]],IsITypeList,Table_ExternalData_17[[#Headers],[RTN]],IsDList,"&lt;&gt;"&amp;0))</f>
        <v>0</v>
      </c>
      <c r="P41" s="10">
        <f>SUM(Table_ExternalData_17[[#This Row],[R/P]:[RTN]])</f>
        <v>59</v>
      </c>
      <c r="Q41" s="10">
        <f>SUM((Table_ExternalData_17[[#This Row],[Opening]]+Table_ExternalData_17[[#This Row],[Total Receipt]])-ABS(Table_ExternalData_17[[#This Row],[Total Issue]]))</f>
        <v>-26</v>
      </c>
    </row>
    <row r="42" spans="1:17">
      <c r="A42" s="1" t="s">
        <v>290</v>
      </c>
      <c r="B42" s="1" t="s">
        <v>2459</v>
      </c>
      <c r="C42" s="1" t="s">
        <v>2460</v>
      </c>
      <c r="D42" s="10">
        <f>SUMIFS(OPBQList,OPBIList,Table_ExternalData_17[[#This Row],[item_key]])+SUMIFS(GQList,GIList,Table_ExternalData_17[[#This Row],[item_key]],GDList,0)-ABS(SUMIFS(IsQList,IsIList,Table_ExternalData_17[[#This Row],[item_key]],IsDList,0))</f>
        <v>209</v>
      </c>
      <c r="E42" s="10">
        <f>SUMIFS(GQList,GIList,Table_ExternalData_17[[#This Row],[item_key]],GTList,Table_ExternalData_17[[#Headers],[GRN]],GDList,"&lt;&gt;"&amp;0)</f>
        <v>0</v>
      </c>
      <c r="F42" s="10">
        <f>SUMIFS(GQList,GIList,Table_ExternalData_17[[#This Row],[item_key]],GTList,Table_ExternalData_17[[#Headers],[VSTR]],GDList,"&lt;&gt;"&amp;0)</f>
        <v>0</v>
      </c>
      <c r="G42" s="10">
        <f>SUMIFS(GQList,GIList,Table_ExternalData_17[[#This Row],[item_key]],GTList,Table_ExternalData_17[[#Headers],[SR]],GDList,"&lt;&gt;"&amp;0)</f>
        <v>0</v>
      </c>
      <c r="H42" s="10">
        <f>SUMIFS(GQList,GIList,Table_ExternalData_17[[#This Row],[item_key]],GTList,Table_ExternalData_17[[#Headers],[TR]],GDList,"&lt;&gt;"&amp;0)</f>
        <v>0</v>
      </c>
      <c r="I42" s="10">
        <f>SUMIFS(GQList,GIList,Table_ExternalData_17[[#This Row],[item_key]],GTList,Table_ExternalData_17[[#Headers],[RCA]],GDList,"&lt;&gt;"&amp;0)</f>
        <v>0</v>
      </c>
      <c r="J42" s="10">
        <f>SUM(Table_ExternalData_17[[#This Row],[GRN]]+Table_ExternalData_17[[#This Row],[VSTR]]+Table_ExternalData_17[[#This Row],[SR]]+Table_ExternalData_17[[#This Row],[TR]]+Table_ExternalData_17[[#This Row],[RCA]])</f>
        <v>0</v>
      </c>
      <c r="K42" s="10">
        <f>SUMIFS(IsQList,IsIList,Table_ExternalData_17[[#This Row],[item_key]],IsITypeList,Table_ExternalData_17[[#Headers],[R/P]],IsDList,"&lt;&gt;"&amp;0)</f>
        <v>0</v>
      </c>
      <c r="L42" s="10">
        <f>SUMIFS(IsQList,IsIList,Table_ExternalData_17[[#This Row],[item_key]],IsITypeList,Table_ExternalData_17[[#Headers],[CST]],IsDList,"&lt;&gt;"&amp;0)</f>
        <v>0</v>
      </c>
      <c r="M42" s="10">
        <f>SUMIFS(IsQList,IsIList,Table_ExternalData_15[[#This Row],[item_key]],IsITypeList,Table_ExternalData_17[[#Headers],[S/I]],IsDList,"&lt;&gt;"&amp;0)</f>
        <v>11</v>
      </c>
      <c r="N42" s="10">
        <f>SUMIFS(IsQList,IsIList,Table_ExternalData_15[[#This Row],[item_key]],IsITypeList,Table_ExternalData_17[[#Headers],[VST]],IsDList,"&lt;&gt;"&amp;0)</f>
        <v>0</v>
      </c>
      <c r="O42" s="10">
        <f>ABS(SUMIFS(IsQList,IsIList,Table_ExternalData_17[[#This Row],[item_key]],IsITypeList,Table_ExternalData_17[[#Headers],[RTN]],IsDList,"&lt;&gt;"&amp;0))</f>
        <v>0</v>
      </c>
      <c r="P42" s="10">
        <f>SUM(Table_ExternalData_17[[#This Row],[R/P]:[RTN]])</f>
        <v>11</v>
      </c>
      <c r="Q42" s="10">
        <f>SUM((Table_ExternalData_17[[#This Row],[Opening]]+Table_ExternalData_17[[#This Row],[Total Receipt]])-ABS(Table_ExternalData_17[[#This Row],[Total Issue]]))</f>
        <v>198</v>
      </c>
    </row>
    <row r="43" spans="1:17">
      <c r="A43" s="1" t="s">
        <v>301</v>
      </c>
      <c r="B43" s="1" t="s">
        <v>2461</v>
      </c>
      <c r="C43" s="1" t="s">
        <v>2462</v>
      </c>
      <c r="D43" s="10">
        <f>SUMIFS(OPBQList,OPBIList,Table_ExternalData_17[[#This Row],[item_key]])+SUMIFS(GQList,GIList,Table_ExternalData_17[[#This Row],[item_key]],GDList,0)-ABS(SUMIFS(IsQList,IsIList,Table_ExternalData_17[[#This Row],[item_key]],IsDList,0))</f>
        <v>44</v>
      </c>
      <c r="E43" s="10">
        <f>SUMIFS(GQList,GIList,Table_ExternalData_17[[#This Row],[item_key]],GTList,Table_ExternalData_17[[#Headers],[GRN]],GDList,"&lt;&gt;"&amp;0)</f>
        <v>0</v>
      </c>
      <c r="F43" s="10">
        <f>SUMIFS(GQList,GIList,Table_ExternalData_17[[#This Row],[item_key]],GTList,Table_ExternalData_17[[#Headers],[VSTR]],GDList,"&lt;&gt;"&amp;0)</f>
        <v>0</v>
      </c>
      <c r="G43" s="10">
        <f>SUMIFS(GQList,GIList,Table_ExternalData_17[[#This Row],[item_key]],GTList,Table_ExternalData_17[[#Headers],[SR]],GDList,"&lt;&gt;"&amp;0)</f>
        <v>0</v>
      </c>
      <c r="H43" s="10">
        <f>SUMIFS(GQList,GIList,Table_ExternalData_17[[#This Row],[item_key]],GTList,Table_ExternalData_17[[#Headers],[TR]],GDList,"&lt;&gt;"&amp;0)</f>
        <v>0</v>
      </c>
      <c r="I43" s="10">
        <f>SUMIFS(GQList,GIList,Table_ExternalData_17[[#This Row],[item_key]],GTList,Table_ExternalData_17[[#Headers],[RCA]],GDList,"&lt;&gt;"&amp;0)</f>
        <v>0</v>
      </c>
      <c r="J43" s="10">
        <f>SUM(Table_ExternalData_17[[#This Row],[GRN]]+Table_ExternalData_17[[#This Row],[VSTR]]+Table_ExternalData_17[[#This Row],[SR]]+Table_ExternalData_17[[#This Row],[TR]]+Table_ExternalData_17[[#This Row],[RCA]])</f>
        <v>0</v>
      </c>
      <c r="K43" s="10">
        <f>SUMIFS(IsQList,IsIList,Table_ExternalData_17[[#This Row],[item_key]],IsITypeList,Table_ExternalData_17[[#Headers],[R/P]],IsDList,"&lt;&gt;"&amp;0)</f>
        <v>0</v>
      </c>
      <c r="L43" s="10">
        <f>SUMIFS(IsQList,IsIList,Table_ExternalData_17[[#This Row],[item_key]],IsITypeList,Table_ExternalData_17[[#Headers],[CST]],IsDList,"&lt;&gt;"&amp;0)</f>
        <v>0</v>
      </c>
      <c r="M43" s="10">
        <f>SUMIFS(IsQList,IsIList,Table_ExternalData_15[[#This Row],[item_key]],IsITypeList,Table_ExternalData_17[[#Headers],[S/I]],IsDList,"&lt;&gt;"&amp;0)</f>
        <v>0</v>
      </c>
      <c r="N43" s="10">
        <f>SUMIFS(IsQList,IsIList,Table_ExternalData_15[[#This Row],[item_key]],IsITypeList,Table_ExternalData_17[[#Headers],[VST]],IsDList,"&lt;&gt;"&amp;0)</f>
        <v>0</v>
      </c>
      <c r="O43" s="10">
        <f>ABS(SUMIFS(IsQList,IsIList,Table_ExternalData_17[[#This Row],[item_key]],IsITypeList,Table_ExternalData_17[[#Headers],[RTN]],IsDList,"&lt;&gt;"&amp;0))</f>
        <v>0</v>
      </c>
      <c r="P43" s="10">
        <f>SUM(Table_ExternalData_17[[#This Row],[R/P]:[RTN]])</f>
        <v>0</v>
      </c>
      <c r="Q43" s="10">
        <f>SUM((Table_ExternalData_17[[#This Row],[Opening]]+Table_ExternalData_17[[#This Row],[Total Receipt]])-ABS(Table_ExternalData_17[[#This Row],[Total Issue]]))</f>
        <v>44</v>
      </c>
    </row>
    <row r="44" spans="1:17">
      <c r="A44" s="1" t="s">
        <v>302</v>
      </c>
      <c r="B44" s="1" t="s">
        <v>2356</v>
      </c>
      <c r="C44" s="1" t="s">
        <v>2357</v>
      </c>
      <c r="D44" s="10">
        <f>SUMIFS(OPBQList,OPBIList,Table_ExternalData_17[[#This Row],[item_key]])+SUMIFS(GQList,GIList,Table_ExternalData_17[[#This Row],[item_key]],GDList,0)-ABS(SUMIFS(IsQList,IsIList,Table_ExternalData_17[[#This Row],[item_key]],IsDList,0))</f>
        <v>31</v>
      </c>
      <c r="E44" s="10">
        <f>SUMIFS(GQList,GIList,Table_ExternalData_17[[#This Row],[item_key]],GTList,Table_ExternalData_17[[#Headers],[GRN]],GDList,"&lt;&gt;"&amp;0)</f>
        <v>0</v>
      </c>
      <c r="F44" s="10">
        <f>SUMIFS(GQList,GIList,Table_ExternalData_17[[#This Row],[item_key]],GTList,Table_ExternalData_17[[#Headers],[VSTR]],GDList,"&lt;&gt;"&amp;0)</f>
        <v>0</v>
      </c>
      <c r="G44" s="10">
        <f>SUMIFS(GQList,GIList,Table_ExternalData_17[[#This Row],[item_key]],GTList,Table_ExternalData_17[[#Headers],[SR]],GDList,"&lt;&gt;"&amp;0)</f>
        <v>0</v>
      </c>
      <c r="H44" s="10">
        <f>SUMIFS(GQList,GIList,Table_ExternalData_17[[#This Row],[item_key]],GTList,Table_ExternalData_17[[#Headers],[TR]],GDList,"&lt;&gt;"&amp;0)</f>
        <v>0</v>
      </c>
      <c r="I44" s="10">
        <f>SUMIFS(GQList,GIList,Table_ExternalData_17[[#This Row],[item_key]],GTList,Table_ExternalData_17[[#Headers],[RCA]],GDList,"&lt;&gt;"&amp;0)</f>
        <v>0</v>
      </c>
      <c r="J44" s="10">
        <f>SUM(Table_ExternalData_17[[#This Row],[GRN]]+Table_ExternalData_17[[#This Row],[VSTR]]+Table_ExternalData_17[[#This Row],[SR]]+Table_ExternalData_17[[#This Row],[TR]]+Table_ExternalData_17[[#This Row],[RCA]])</f>
        <v>0</v>
      </c>
      <c r="K44" s="10">
        <f>SUMIFS(IsQList,IsIList,Table_ExternalData_17[[#This Row],[item_key]],IsITypeList,Table_ExternalData_17[[#Headers],[R/P]],IsDList,"&lt;&gt;"&amp;0)</f>
        <v>0</v>
      </c>
      <c r="L44" s="10">
        <f>SUMIFS(IsQList,IsIList,Table_ExternalData_17[[#This Row],[item_key]],IsITypeList,Table_ExternalData_17[[#Headers],[CST]],IsDList,"&lt;&gt;"&amp;0)</f>
        <v>0</v>
      </c>
      <c r="M44" s="10">
        <f>SUMIFS(IsQList,IsIList,Table_ExternalData_15[[#This Row],[item_key]],IsITypeList,Table_ExternalData_17[[#Headers],[S/I]],IsDList,"&lt;&gt;"&amp;0)</f>
        <v>0</v>
      </c>
      <c r="N44" s="10">
        <f>SUMIFS(IsQList,IsIList,Table_ExternalData_15[[#This Row],[item_key]],IsITypeList,Table_ExternalData_17[[#Headers],[VST]],IsDList,"&lt;&gt;"&amp;0)</f>
        <v>0</v>
      </c>
      <c r="O44" s="10">
        <f>ABS(SUMIFS(IsQList,IsIList,Table_ExternalData_17[[#This Row],[item_key]],IsITypeList,Table_ExternalData_17[[#Headers],[RTN]],IsDList,"&lt;&gt;"&amp;0))</f>
        <v>0</v>
      </c>
      <c r="P44" s="10">
        <f>SUM(Table_ExternalData_17[[#This Row],[R/P]:[RTN]])</f>
        <v>0</v>
      </c>
      <c r="Q44" s="10">
        <f>SUM((Table_ExternalData_17[[#This Row],[Opening]]+Table_ExternalData_17[[#This Row],[Total Receipt]])-ABS(Table_ExternalData_17[[#This Row],[Total Issue]]))</f>
        <v>31</v>
      </c>
    </row>
    <row r="45" spans="1:17">
      <c r="A45" s="1" t="s">
        <v>303</v>
      </c>
      <c r="B45" s="1" t="s">
        <v>1227</v>
      </c>
      <c r="C45" s="1" t="s">
        <v>1228</v>
      </c>
      <c r="D45" s="10">
        <f>SUMIFS(OPBQList,OPBIList,Table_ExternalData_17[[#This Row],[item_key]])+SUMIFS(GQList,GIList,Table_ExternalData_17[[#This Row],[item_key]],GDList,0)-ABS(SUMIFS(IsQList,IsIList,Table_ExternalData_17[[#This Row],[item_key]],IsDList,0))</f>
        <v>25</v>
      </c>
      <c r="E45" s="10">
        <f>SUMIFS(GQList,GIList,Table_ExternalData_17[[#This Row],[item_key]],GTList,Table_ExternalData_17[[#Headers],[GRN]],GDList,"&lt;&gt;"&amp;0)</f>
        <v>0</v>
      </c>
      <c r="F45" s="10">
        <f>SUMIFS(GQList,GIList,Table_ExternalData_17[[#This Row],[item_key]],GTList,Table_ExternalData_17[[#Headers],[VSTR]],GDList,"&lt;&gt;"&amp;0)</f>
        <v>0</v>
      </c>
      <c r="G45" s="10">
        <f>SUMIFS(GQList,GIList,Table_ExternalData_17[[#This Row],[item_key]],GTList,Table_ExternalData_17[[#Headers],[SR]],GDList,"&lt;&gt;"&amp;0)</f>
        <v>0</v>
      </c>
      <c r="H45" s="10">
        <f>SUMIFS(GQList,GIList,Table_ExternalData_17[[#This Row],[item_key]],GTList,Table_ExternalData_17[[#Headers],[TR]],GDList,"&lt;&gt;"&amp;0)</f>
        <v>0</v>
      </c>
      <c r="I45" s="10">
        <f>SUMIFS(GQList,GIList,Table_ExternalData_17[[#This Row],[item_key]],GTList,Table_ExternalData_17[[#Headers],[RCA]],GDList,"&lt;&gt;"&amp;0)</f>
        <v>0</v>
      </c>
      <c r="J45" s="10">
        <f>SUM(Table_ExternalData_17[[#This Row],[GRN]]+Table_ExternalData_17[[#This Row],[VSTR]]+Table_ExternalData_17[[#This Row],[SR]]+Table_ExternalData_17[[#This Row],[TR]]+Table_ExternalData_17[[#This Row],[RCA]])</f>
        <v>0</v>
      </c>
      <c r="K45" s="10">
        <f>SUMIFS(IsQList,IsIList,Table_ExternalData_17[[#This Row],[item_key]],IsITypeList,Table_ExternalData_17[[#Headers],[R/P]],IsDList,"&lt;&gt;"&amp;0)</f>
        <v>0</v>
      </c>
      <c r="L45" s="10">
        <f>SUMIFS(IsQList,IsIList,Table_ExternalData_17[[#This Row],[item_key]],IsITypeList,Table_ExternalData_17[[#Headers],[CST]],IsDList,"&lt;&gt;"&amp;0)</f>
        <v>0</v>
      </c>
      <c r="M45" s="10">
        <f>SUMIFS(IsQList,IsIList,Table_ExternalData_15[[#This Row],[item_key]],IsITypeList,Table_ExternalData_17[[#Headers],[S/I]],IsDList,"&lt;&gt;"&amp;0)</f>
        <v>480</v>
      </c>
      <c r="N45" s="10">
        <f>SUMIFS(IsQList,IsIList,Table_ExternalData_15[[#This Row],[item_key]],IsITypeList,Table_ExternalData_17[[#Headers],[VST]],IsDList,"&lt;&gt;"&amp;0)</f>
        <v>0</v>
      </c>
      <c r="O45" s="10">
        <f>ABS(SUMIFS(IsQList,IsIList,Table_ExternalData_17[[#This Row],[item_key]],IsITypeList,Table_ExternalData_17[[#Headers],[RTN]],IsDList,"&lt;&gt;"&amp;0))</f>
        <v>0</v>
      </c>
      <c r="P45" s="10">
        <f>SUM(Table_ExternalData_17[[#This Row],[R/P]:[RTN]])</f>
        <v>480</v>
      </c>
      <c r="Q45" s="10">
        <f>SUM((Table_ExternalData_17[[#This Row],[Opening]]+Table_ExternalData_17[[#This Row],[Total Receipt]])-ABS(Table_ExternalData_17[[#This Row],[Total Issue]]))</f>
        <v>-455</v>
      </c>
    </row>
    <row r="46" spans="1:17">
      <c r="A46" s="1" t="s">
        <v>304</v>
      </c>
      <c r="B46" s="1" t="s">
        <v>1229</v>
      </c>
      <c r="C46" s="1" t="s">
        <v>1230</v>
      </c>
      <c r="D4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" s="10">
        <f>SUMIFS(GQList,GIList,Table_ExternalData_17[[#This Row],[item_key]],GTList,Table_ExternalData_17[[#Headers],[GRN]],GDList,"&lt;&gt;"&amp;0)</f>
        <v>0</v>
      </c>
      <c r="F46" s="10">
        <f>SUMIFS(GQList,GIList,Table_ExternalData_17[[#This Row],[item_key]],GTList,Table_ExternalData_17[[#Headers],[VSTR]],GDList,"&lt;&gt;"&amp;0)</f>
        <v>0</v>
      </c>
      <c r="G46" s="10">
        <f>SUMIFS(GQList,GIList,Table_ExternalData_17[[#This Row],[item_key]],GTList,Table_ExternalData_17[[#Headers],[SR]],GDList,"&lt;&gt;"&amp;0)</f>
        <v>0</v>
      </c>
      <c r="H46" s="10">
        <f>SUMIFS(GQList,GIList,Table_ExternalData_17[[#This Row],[item_key]],GTList,Table_ExternalData_17[[#Headers],[TR]],GDList,"&lt;&gt;"&amp;0)</f>
        <v>0</v>
      </c>
      <c r="I46" s="10">
        <f>SUMIFS(GQList,GIList,Table_ExternalData_17[[#This Row],[item_key]],GTList,Table_ExternalData_17[[#Headers],[RCA]],GDList,"&lt;&gt;"&amp;0)</f>
        <v>0</v>
      </c>
      <c r="J46" s="10">
        <f>SUM(Table_ExternalData_17[[#This Row],[GRN]]+Table_ExternalData_17[[#This Row],[VSTR]]+Table_ExternalData_17[[#This Row],[SR]]+Table_ExternalData_17[[#This Row],[TR]]+Table_ExternalData_17[[#This Row],[RCA]])</f>
        <v>0</v>
      </c>
      <c r="K46" s="10">
        <f>SUMIFS(IsQList,IsIList,Table_ExternalData_17[[#This Row],[item_key]],IsITypeList,Table_ExternalData_17[[#Headers],[R/P]],IsDList,"&lt;&gt;"&amp;0)</f>
        <v>0</v>
      </c>
      <c r="L46" s="10">
        <f>SUMIFS(IsQList,IsIList,Table_ExternalData_17[[#This Row],[item_key]],IsITypeList,Table_ExternalData_17[[#Headers],[CST]],IsDList,"&lt;&gt;"&amp;0)</f>
        <v>0</v>
      </c>
      <c r="M46" s="10">
        <f>SUMIFS(IsQList,IsIList,Table_ExternalData_15[[#This Row],[item_key]],IsITypeList,Table_ExternalData_17[[#Headers],[S/I]],IsDList,"&lt;&gt;"&amp;0)</f>
        <v>26</v>
      </c>
      <c r="N46" s="10">
        <f>SUMIFS(IsQList,IsIList,Table_ExternalData_15[[#This Row],[item_key]],IsITypeList,Table_ExternalData_17[[#Headers],[VST]],IsDList,"&lt;&gt;"&amp;0)</f>
        <v>0</v>
      </c>
      <c r="O46" s="10">
        <f>ABS(SUMIFS(IsQList,IsIList,Table_ExternalData_17[[#This Row],[item_key]],IsITypeList,Table_ExternalData_17[[#Headers],[RTN]],IsDList,"&lt;&gt;"&amp;0))</f>
        <v>0</v>
      </c>
      <c r="P46" s="10">
        <f>SUM(Table_ExternalData_17[[#This Row],[R/P]:[RTN]])</f>
        <v>26</v>
      </c>
      <c r="Q46" s="10">
        <f>SUM((Table_ExternalData_17[[#This Row],[Opening]]+Table_ExternalData_17[[#This Row],[Total Receipt]])-ABS(Table_ExternalData_17[[#This Row],[Total Issue]]))</f>
        <v>-26</v>
      </c>
    </row>
    <row r="47" spans="1:17">
      <c r="A47" s="1" t="s">
        <v>306</v>
      </c>
      <c r="B47" s="1" t="s">
        <v>1231</v>
      </c>
      <c r="C47" s="1" t="s">
        <v>1232</v>
      </c>
      <c r="D47" s="10">
        <f>SUMIFS(OPBQList,OPBIList,Table_ExternalData_17[[#This Row],[item_key]])+SUMIFS(GQList,GIList,Table_ExternalData_17[[#This Row],[item_key]],GDList,0)-ABS(SUMIFS(IsQList,IsIList,Table_ExternalData_17[[#This Row],[item_key]],IsDList,0))</f>
        <v>14</v>
      </c>
      <c r="E47" s="10">
        <f>SUMIFS(GQList,GIList,Table_ExternalData_17[[#This Row],[item_key]],GTList,Table_ExternalData_17[[#Headers],[GRN]],GDList,"&lt;&gt;"&amp;0)</f>
        <v>0</v>
      </c>
      <c r="F47" s="10">
        <f>SUMIFS(GQList,GIList,Table_ExternalData_17[[#This Row],[item_key]],GTList,Table_ExternalData_17[[#Headers],[VSTR]],GDList,"&lt;&gt;"&amp;0)</f>
        <v>0</v>
      </c>
      <c r="G47" s="10">
        <f>SUMIFS(GQList,GIList,Table_ExternalData_17[[#This Row],[item_key]],GTList,Table_ExternalData_17[[#Headers],[SR]],GDList,"&lt;&gt;"&amp;0)</f>
        <v>0</v>
      </c>
      <c r="H47" s="10">
        <f>SUMIFS(GQList,GIList,Table_ExternalData_17[[#This Row],[item_key]],GTList,Table_ExternalData_17[[#Headers],[TR]],GDList,"&lt;&gt;"&amp;0)</f>
        <v>0</v>
      </c>
      <c r="I47" s="10">
        <f>SUMIFS(GQList,GIList,Table_ExternalData_17[[#This Row],[item_key]],GTList,Table_ExternalData_17[[#Headers],[RCA]],GDList,"&lt;&gt;"&amp;0)</f>
        <v>0</v>
      </c>
      <c r="J47" s="10">
        <f>SUM(Table_ExternalData_17[[#This Row],[GRN]]+Table_ExternalData_17[[#This Row],[VSTR]]+Table_ExternalData_17[[#This Row],[SR]]+Table_ExternalData_17[[#This Row],[TR]]+Table_ExternalData_17[[#This Row],[RCA]])</f>
        <v>0</v>
      </c>
      <c r="K47" s="10">
        <f>SUMIFS(IsQList,IsIList,Table_ExternalData_17[[#This Row],[item_key]],IsITypeList,Table_ExternalData_17[[#Headers],[R/P]],IsDList,"&lt;&gt;"&amp;0)</f>
        <v>0</v>
      </c>
      <c r="L47" s="10">
        <f>SUMIFS(IsQList,IsIList,Table_ExternalData_17[[#This Row],[item_key]],IsITypeList,Table_ExternalData_17[[#Headers],[CST]],IsDList,"&lt;&gt;"&amp;0)</f>
        <v>0</v>
      </c>
      <c r="M47" s="10">
        <f>SUMIFS(IsQList,IsIList,Table_ExternalData_15[[#This Row],[item_key]],IsITypeList,Table_ExternalData_17[[#Headers],[S/I]],IsDList,"&lt;&gt;"&amp;0)</f>
        <v>0</v>
      </c>
      <c r="N47" s="10">
        <f>SUMIFS(IsQList,IsIList,Table_ExternalData_15[[#This Row],[item_key]],IsITypeList,Table_ExternalData_17[[#Headers],[VST]],IsDList,"&lt;&gt;"&amp;0)</f>
        <v>0</v>
      </c>
      <c r="O47" s="10">
        <f>ABS(SUMIFS(IsQList,IsIList,Table_ExternalData_17[[#This Row],[item_key]],IsITypeList,Table_ExternalData_17[[#Headers],[RTN]],IsDList,"&lt;&gt;"&amp;0))</f>
        <v>0</v>
      </c>
      <c r="P47" s="10">
        <f>SUM(Table_ExternalData_17[[#This Row],[R/P]:[RTN]])</f>
        <v>0</v>
      </c>
      <c r="Q47" s="10">
        <f>SUM((Table_ExternalData_17[[#This Row],[Opening]]+Table_ExternalData_17[[#This Row],[Total Receipt]])-ABS(Table_ExternalData_17[[#This Row],[Total Issue]]))</f>
        <v>14</v>
      </c>
    </row>
    <row r="48" spans="1:17">
      <c r="A48" s="1" t="s">
        <v>307</v>
      </c>
      <c r="B48" s="1" t="s">
        <v>1621</v>
      </c>
      <c r="C48" s="1" t="s">
        <v>1589</v>
      </c>
      <c r="D48" s="10">
        <f>SUMIFS(OPBQList,OPBIList,Table_ExternalData_17[[#This Row],[item_key]])+SUMIFS(GQList,GIList,Table_ExternalData_17[[#This Row],[item_key]],GDList,0)-ABS(SUMIFS(IsQList,IsIList,Table_ExternalData_17[[#This Row],[item_key]],IsDList,0))</f>
        <v>344</v>
      </c>
      <c r="E48" s="10">
        <f>SUMIFS(GQList,GIList,Table_ExternalData_17[[#This Row],[item_key]],GTList,Table_ExternalData_17[[#Headers],[GRN]],GDList,"&lt;&gt;"&amp;0)</f>
        <v>0</v>
      </c>
      <c r="F48" s="10">
        <f>SUMIFS(GQList,GIList,Table_ExternalData_17[[#This Row],[item_key]],GTList,Table_ExternalData_17[[#Headers],[VSTR]],GDList,"&lt;&gt;"&amp;0)</f>
        <v>0</v>
      </c>
      <c r="G48" s="10">
        <f>SUMIFS(GQList,GIList,Table_ExternalData_17[[#This Row],[item_key]],GTList,Table_ExternalData_17[[#Headers],[SR]],GDList,"&lt;&gt;"&amp;0)</f>
        <v>0</v>
      </c>
      <c r="H48" s="10">
        <f>SUMIFS(GQList,GIList,Table_ExternalData_17[[#This Row],[item_key]],GTList,Table_ExternalData_17[[#Headers],[TR]],GDList,"&lt;&gt;"&amp;0)</f>
        <v>0</v>
      </c>
      <c r="I48" s="10">
        <f>SUMIFS(GQList,GIList,Table_ExternalData_17[[#This Row],[item_key]],GTList,Table_ExternalData_17[[#Headers],[RCA]],GDList,"&lt;&gt;"&amp;0)</f>
        <v>0</v>
      </c>
      <c r="J48" s="10">
        <f>SUM(Table_ExternalData_17[[#This Row],[GRN]]+Table_ExternalData_17[[#This Row],[VSTR]]+Table_ExternalData_17[[#This Row],[SR]]+Table_ExternalData_17[[#This Row],[TR]]+Table_ExternalData_17[[#This Row],[RCA]])</f>
        <v>0</v>
      </c>
      <c r="K48" s="10">
        <f>SUMIFS(IsQList,IsIList,Table_ExternalData_17[[#This Row],[item_key]],IsITypeList,Table_ExternalData_17[[#Headers],[R/P]],IsDList,"&lt;&gt;"&amp;0)</f>
        <v>0</v>
      </c>
      <c r="L48" s="10">
        <f>SUMIFS(IsQList,IsIList,Table_ExternalData_17[[#This Row],[item_key]],IsITypeList,Table_ExternalData_17[[#Headers],[CST]],IsDList,"&lt;&gt;"&amp;0)</f>
        <v>0</v>
      </c>
      <c r="M48" s="10">
        <f>SUMIFS(IsQList,IsIList,Table_ExternalData_15[[#This Row],[item_key]],IsITypeList,Table_ExternalData_17[[#Headers],[S/I]],IsDList,"&lt;&gt;"&amp;0)</f>
        <v>630</v>
      </c>
      <c r="N48" s="10">
        <f>SUMIFS(IsQList,IsIList,Table_ExternalData_15[[#This Row],[item_key]],IsITypeList,Table_ExternalData_17[[#Headers],[VST]],IsDList,"&lt;&gt;"&amp;0)</f>
        <v>0</v>
      </c>
      <c r="O48" s="10">
        <f>ABS(SUMIFS(IsQList,IsIList,Table_ExternalData_17[[#This Row],[item_key]],IsITypeList,Table_ExternalData_17[[#Headers],[RTN]],IsDList,"&lt;&gt;"&amp;0))</f>
        <v>0</v>
      </c>
      <c r="P48" s="10">
        <f>SUM(Table_ExternalData_17[[#This Row],[R/P]:[RTN]])</f>
        <v>630</v>
      </c>
      <c r="Q48" s="10">
        <f>SUM((Table_ExternalData_17[[#This Row],[Opening]]+Table_ExternalData_17[[#This Row],[Total Receipt]])-ABS(Table_ExternalData_17[[#This Row],[Total Issue]]))</f>
        <v>-286</v>
      </c>
    </row>
    <row r="49" spans="1:17">
      <c r="A49" s="1" t="s">
        <v>308</v>
      </c>
      <c r="B49" s="1" t="s">
        <v>2463</v>
      </c>
      <c r="C49" s="1" t="s">
        <v>1589</v>
      </c>
      <c r="D49" s="10">
        <f>SUMIFS(OPBQList,OPBIList,Table_ExternalData_17[[#This Row],[item_key]])+SUMIFS(GQList,GIList,Table_ExternalData_17[[#This Row],[item_key]],GDList,0)-ABS(SUMIFS(IsQList,IsIList,Table_ExternalData_17[[#This Row],[item_key]],IsDList,0))</f>
        <v>344</v>
      </c>
      <c r="E49" s="10">
        <f>SUMIFS(GQList,GIList,Table_ExternalData_17[[#This Row],[item_key]],GTList,Table_ExternalData_17[[#Headers],[GRN]],GDList,"&lt;&gt;"&amp;0)</f>
        <v>0</v>
      </c>
      <c r="F49" s="10">
        <f>SUMIFS(GQList,GIList,Table_ExternalData_17[[#This Row],[item_key]],GTList,Table_ExternalData_17[[#Headers],[VSTR]],GDList,"&lt;&gt;"&amp;0)</f>
        <v>0</v>
      </c>
      <c r="G49" s="10">
        <f>SUMIFS(GQList,GIList,Table_ExternalData_17[[#This Row],[item_key]],GTList,Table_ExternalData_17[[#Headers],[SR]],GDList,"&lt;&gt;"&amp;0)</f>
        <v>0</v>
      </c>
      <c r="H49" s="10">
        <f>SUMIFS(GQList,GIList,Table_ExternalData_17[[#This Row],[item_key]],GTList,Table_ExternalData_17[[#Headers],[TR]],GDList,"&lt;&gt;"&amp;0)</f>
        <v>0</v>
      </c>
      <c r="I49" s="10">
        <f>SUMIFS(GQList,GIList,Table_ExternalData_17[[#This Row],[item_key]],GTList,Table_ExternalData_17[[#Headers],[RCA]],GDList,"&lt;&gt;"&amp;0)</f>
        <v>0</v>
      </c>
      <c r="J49" s="10">
        <f>SUM(Table_ExternalData_17[[#This Row],[GRN]]+Table_ExternalData_17[[#This Row],[VSTR]]+Table_ExternalData_17[[#This Row],[SR]]+Table_ExternalData_17[[#This Row],[TR]]+Table_ExternalData_17[[#This Row],[RCA]])</f>
        <v>0</v>
      </c>
      <c r="K49" s="10">
        <f>SUMIFS(IsQList,IsIList,Table_ExternalData_17[[#This Row],[item_key]],IsITypeList,Table_ExternalData_17[[#Headers],[R/P]],IsDList,"&lt;&gt;"&amp;0)</f>
        <v>0</v>
      </c>
      <c r="L49" s="10">
        <f>SUMIFS(IsQList,IsIList,Table_ExternalData_17[[#This Row],[item_key]],IsITypeList,Table_ExternalData_17[[#Headers],[CST]],IsDList,"&lt;&gt;"&amp;0)</f>
        <v>0</v>
      </c>
      <c r="M49" s="10">
        <f>SUMIFS(IsQList,IsIList,Table_ExternalData_15[[#This Row],[item_key]],IsITypeList,Table_ExternalData_17[[#Headers],[S/I]],IsDList,"&lt;&gt;"&amp;0)</f>
        <v>14</v>
      </c>
      <c r="N49" s="10">
        <f>SUMIFS(IsQList,IsIList,Table_ExternalData_15[[#This Row],[item_key]],IsITypeList,Table_ExternalData_17[[#Headers],[VST]],IsDList,"&lt;&gt;"&amp;0)</f>
        <v>0</v>
      </c>
      <c r="O49" s="10">
        <f>ABS(SUMIFS(IsQList,IsIList,Table_ExternalData_17[[#This Row],[item_key]],IsITypeList,Table_ExternalData_17[[#Headers],[RTN]],IsDList,"&lt;&gt;"&amp;0))</f>
        <v>0</v>
      </c>
      <c r="P49" s="10">
        <f>SUM(Table_ExternalData_17[[#This Row],[R/P]:[RTN]])</f>
        <v>14</v>
      </c>
      <c r="Q49" s="10">
        <f>SUM((Table_ExternalData_17[[#This Row],[Opening]]+Table_ExternalData_17[[#This Row],[Total Receipt]])-ABS(Table_ExternalData_17[[#This Row],[Total Issue]]))</f>
        <v>330</v>
      </c>
    </row>
    <row r="50" spans="1:17">
      <c r="A50" s="1" t="s">
        <v>309</v>
      </c>
      <c r="B50" s="1" t="s">
        <v>1233</v>
      </c>
      <c r="C50" s="1" t="s">
        <v>1234</v>
      </c>
      <c r="D50" s="10">
        <f>SUMIFS(OPBQList,OPBIList,Table_ExternalData_17[[#This Row],[item_key]])+SUMIFS(GQList,GIList,Table_ExternalData_17[[#This Row],[item_key]],GDList,0)-ABS(SUMIFS(IsQList,IsIList,Table_ExternalData_17[[#This Row],[item_key]],IsDList,0))</f>
        <v>78</v>
      </c>
      <c r="E50" s="10">
        <f>SUMIFS(GQList,GIList,Table_ExternalData_17[[#This Row],[item_key]],GTList,Table_ExternalData_17[[#Headers],[GRN]],GDList,"&lt;&gt;"&amp;0)</f>
        <v>0</v>
      </c>
      <c r="F50" s="10">
        <f>SUMIFS(GQList,GIList,Table_ExternalData_17[[#This Row],[item_key]],GTList,Table_ExternalData_17[[#Headers],[VSTR]],GDList,"&lt;&gt;"&amp;0)</f>
        <v>0</v>
      </c>
      <c r="G50" s="10">
        <f>SUMIFS(GQList,GIList,Table_ExternalData_17[[#This Row],[item_key]],GTList,Table_ExternalData_17[[#Headers],[SR]],GDList,"&lt;&gt;"&amp;0)</f>
        <v>0</v>
      </c>
      <c r="H50" s="10">
        <f>SUMIFS(GQList,GIList,Table_ExternalData_17[[#This Row],[item_key]],GTList,Table_ExternalData_17[[#Headers],[TR]],GDList,"&lt;&gt;"&amp;0)</f>
        <v>0</v>
      </c>
      <c r="I50" s="10">
        <f>SUMIFS(GQList,GIList,Table_ExternalData_17[[#This Row],[item_key]],GTList,Table_ExternalData_17[[#Headers],[RCA]],GDList,"&lt;&gt;"&amp;0)</f>
        <v>0</v>
      </c>
      <c r="J50" s="10">
        <f>SUM(Table_ExternalData_17[[#This Row],[GRN]]+Table_ExternalData_17[[#This Row],[VSTR]]+Table_ExternalData_17[[#This Row],[SR]]+Table_ExternalData_17[[#This Row],[TR]]+Table_ExternalData_17[[#This Row],[RCA]])</f>
        <v>0</v>
      </c>
      <c r="K50" s="10">
        <f>SUMIFS(IsQList,IsIList,Table_ExternalData_17[[#This Row],[item_key]],IsITypeList,Table_ExternalData_17[[#Headers],[R/P]],IsDList,"&lt;&gt;"&amp;0)</f>
        <v>0</v>
      </c>
      <c r="L50" s="10">
        <f>SUMIFS(IsQList,IsIList,Table_ExternalData_17[[#This Row],[item_key]],IsITypeList,Table_ExternalData_17[[#Headers],[CST]],IsDList,"&lt;&gt;"&amp;0)</f>
        <v>0</v>
      </c>
      <c r="M50" s="10">
        <f>SUMIFS(IsQList,IsIList,Table_ExternalData_15[[#This Row],[item_key]],IsITypeList,Table_ExternalData_17[[#Headers],[S/I]],IsDList,"&lt;&gt;"&amp;0)</f>
        <v>0</v>
      </c>
      <c r="N50" s="10">
        <f>SUMIFS(IsQList,IsIList,Table_ExternalData_15[[#This Row],[item_key]],IsITypeList,Table_ExternalData_17[[#Headers],[VST]],IsDList,"&lt;&gt;"&amp;0)</f>
        <v>0</v>
      </c>
      <c r="O50" s="10">
        <f>ABS(SUMIFS(IsQList,IsIList,Table_ExternalData_17[[#This Row],[item_key]],IsITypeList,Table_ExternalData_17[[#Headers],[RTN]],IsDList,"&lt;&gt;"&amp;0))</f>
        <v>0</v>
      </c>
      <c r="P50" s="10">
        <f>SUM(Table_ExternalData_17[[#This Row],[R/P]:[RTN]])</f>
        <v>0</v>
      </c>
      <c r="Q50" s="10">
        <f>SUM((Table_ExternalData_17[[#This Row],[Opening]]+Table_ExternalData_17[[#This Row],[Total Receipt]])-ABS(Table_ExternalData_17[[#This Row],[Total Issue]]))</f>
        <v>78</v>
      </c>
    </row>
    <row r="51" spans="1:17">
      <c r="A51" s="1" t="s">
        <v>310</v>
      </c>
      <c r="B51" s="1" t="s">
        <v>1235</v>
      </c>
      <c r="C51" s="1" t="s">
        <v>1236</v>
      </c>
      <c r="D51" s="10">
        <f>SUMIFS(OPBQList,OPBIList,Table_ExternalData_17[[#This Row],[item_key]])+SUMIFS(GQList,GIList,Table_ExternalData_17[[#This Row],[item_key]],GDList,0)-ABS(SUMIFS(IsQList,IsIList,Table_ExternalData_17[[#This Row],[item_key]],IsDList,0))</f>
        <v>230</v>
      </c>
      <c r="E51" s="10">
        <f>SUMIFS(GQList,GIList,Table_ExternalData_17[[#This Row],[item_key]],GTList,Table_ExternalData_17[[#Headers],[GRN]],GDList,"&lt;&gt;"&amp;0)</f>
        <v>0</v>
      </c>
      <c r="F51" s="10">
        <f>SUMIFS(GQList,GIList,Table_ExternalData_17[[#This Row],[item_key]],GTList,Table_ExternalData_17[[#Headers],[VSTR]],GDList,"&lt;&gt;"&amp;0)</f>
        <v>0</v>
      </c>
      <c r="G51" s="10">
        <f>SUMIFS(GQList,GIList,Table_ExternalData_17[[#This Row],[item_key]],GTList,Table_ExternalData_17[[#Headers],[SR]],GDList,"&lt;&gt;"&amp;0)</f>
        <v>0</v>
      </c>
      <c r="H51" s="10">
        <f>SUMIFS(GQList,GIList,Table_ExternalData_17[[#This Row],[item_key]],GTList,Table_ExternalData_17[[#Headers],[TR]],GDList,"&lt;&gt;"&amp;0)</f>
        <v>0</v>
      </c>
      <c r="I51" s="10">
        <f>SUMIFS(GQList,GIList,Table_ExternalData_17[[#This Row],[item_key]],GTList,Table_ExternalData_17[[#Headers],[RCA]],GDList,"&lt;&gt;"&amp;0)</f>
        <v>0</v>
      </c>
      <c r="J51" s="10">
        <f>SUM(Table_ExternalData_17[[#This Row],[GRN]]+Table_ExternalData_17[[#This Row],[VSTR]]+Table_ExternalData_17[[#This Row],[SR]]+Table_ExternalData_17[[#This Row],[TR]]+Table_ExternalData_17[[#This Row],[RCA]])</f>
        <v>0</v>
      </c>
      <c r="K51" s="10">
        <f>SUMIFS(IsQList,IsIList,Table_ExternalData_17[[#This Row],[item_key]],IsITypeList,Table_ExternalData_17[[#Headers],[R/P]],IsDList,"&lt;&gt;"&amp;0)</f>
        <v>0</v>
      </c>
      <c r="L51" s="10">
        <f>SUMIFS(IsQList,IsIList,Table_ExternalData_17[[#This Row],[item_key]],IsITypeList,Table_ExternalData_17[[#Headers],[CST]],IsDList,"&lt;&gt;"&amp;0)</f>
        <v>0</v>
      </c>
      <c r="M51" s="10">
        <f>SUMIFS(IsQList,IsIList,Table_ExternalData_15[[#This Row],[item_key]],IsITypeList,Table_ExternalData_17[[#Headers],[S/I]],IsDList,"&lt;&gt;"&amp;0)</f>
        <v>60</v>
      </c>
      <c r="N51" s="10">
        <f>SUMIFS(IsQList,IsIList,Table_ExternalData_15[[#This Row],[item_key]],IsITypeList,Table_ExternalData_17[[#Headers],[VST]],IsDList,"&lt;&gt;"&amp;0)</f>
        <v>0</v>
      </c>
      <c r="O51" s="10">
        <f>ABS(SUMIFS(IsQList,IsIList,Table_ExternalData_17[[#This Row],[item_key]],IsITypeList,Table_ExternalData_17[[#Headers],[RTN]],IsDList,"&lt;&gt;"&amp;0))</f>
        <v>0</v>
      </c>
      <c r="P51" s="10">
        <f>SUM(Table_ExternalData_17[[#This Row],[R/P]:[RTN]])</f>
        <v>60</v>
      </c>
      <c r="Q51" s="10">
        <f>SUM((Table_ExternalData_17[[#This Row],[Opening]]+Table_ExternalData_17[[#This Row],[Total Receipt]])-ABS(Table_ExternalData_17[[#This Row],[Total Issue]]))</f>
        <v>170</v>
      </c>
    </row>
    <row r="52" spans="1:17">
      <c r="A52" s="1" t="s">
        <v>1667</v>
      </c>
      <c r="B52" s="1" t="s">
        <v>1237</v>
      </c>
      <c r="C52" s="1" t="s">
        <v>2464</v>
      </c>
      <c r="D52" s="10">
        <f>SUMIFS(OPBQList,OPBIList,Table_ExternalData_17[[#This Row],[item_key]])+SUMIFS(GQList,GIList,Table_ExternalData_17[[#This Row],[item_key]],GDList,0)-ABS(SUMIFS(IsQList,IsIList,Table_ExternalData_17[[#This Row],[item_key]],IsDList,0))</f>
        <v>378</v>
      </c>
      <c r="E52" s="10">
        <f>SUMIFS(GQList,GIList,Table_ExternalData_17[[#This Row],[item_key]],GTList,Table_ExternalData_17[[#Headers],[GRN]],GDList,"&lt;&gt;"&amp;0)</f>
        <v>0</v>
      </c>
      <c r="F52" s="10">
        <f>SUMIFS(GQList,GIList,Table_ExternalData_17[[#This Row],[item_key]],GTList,Table_ExternalData_17[[#Headers],[VSTR]],GDList,"&lt;&gt;"&amp;0)</f>
        <v>0</v>
      </c>
      <c r="G52" s="10">
        <f>SUMIFS(GQList,GIList,Table_ExternalData_17[[#This Row],[item_key]],GTList,Table_ExternalData_17[[#Headers],[SR]],GDList,"&lt;&gt;"&amp;0)</f>
        <v>0</v>
      </c>
      <c r="H52" s="10">
        <f>SUMIFS(GQList,GIList,Table_ExternalData_17[[#This Row],[item_key]],GTList,Table_ExternalData_17[[#Headers],[TR]],GDList,"&lt;&gt;"&amp;0)</f>
        <v>0</v>
      </c>
      <c r="I52" s="10">
        <f>SUMIFS(GQList,GIList,Table_ExternalData_17[[#This Row],[item_key]],GTList,Table_ExternalData_17[[#Headers],[RCA]],GDList,"&lt;&gt;"&amp;0)</f>
        <v>0</v>
      </c>
      <c r="J52" s="10">
        <f>SUM(Table_ExternalData_17[[#This Row],[GRN]]+Table_ExternalData_17[[#This Row],[VSTR]]+Table_ExternalData_17[[#This Row],[SR]]+Table_ExternalData_17[[#This Row],[TR]]+Table_ExternalData_17[[#This Row],[RCA]])</f>
        <v>0</v>
      </c>
      <c r="K52" s="10">
        <f>SUMIFS(IsQList,IsIList,Table_ExternalData_17[[#This Row],[item_key]],IsITypeList,Table_ExternalData_17[[#Headers],[R/P]],IsDList,"&lt;&gt;"&amp;0)</f>
        <v>0</v>
      </c>
      <c r="L52" s="10">
        <f>SUMIFS(IsQList,IsIList,Table_ExternalData_17[[#This Row],[item_key]],IsITypeList,Table_ExternalData_17[[#Headers],[CST]],IsDList,"&lt;&gt;"&amp;0)</f>
        <v>0</v>
      </c>
      <c r="M52" s="10">
        <f>SUMIFS(IsQList,IsIList,Table_ExternalData_15[[#This Row],[item_key]],IsITypeList,Table_ExternalData_17[[#Headers],[S/I]],IsDList,"&lt;&gt;"&amp;0)</f>
        <v>0</v>
      </c>
      <c r="N52" s="10">
        <f>SUMIFS(IsQList,IsIList,Table_ExternalData_15[[#This Row],[item_key]],IsITypeList,Table_ExternalData_17[[#Headers],[VST]],IsDList,"&lt;&gt;"&amp;0)</f>
        <v>0</v>
      </c>
      <c r="O52" s="10">
        <f>ABS(SUMIFS(IsQList,IsIList,Table_ExternalData_17[[#This Row],[item_key]],IsITypeList,Table_ExternalData_17[[#Headers],[RTN]],IsDList,"&lt;&gt;"&amp;0))</f>
        <v>0</v>
      </c>
      <c r="P52" s="10">
        <f>SUM(Table_ExternalData_17[[#This Row],[R/P]:[RTN]])</f>
        <v>0</v>
      </c>
      <c r="Q52" s="10">
        <f>SUM((Table_ExternalData_17[[#This Row],[Opening]]+Table_ExternalData_17[[#This Row],[Total Receipt]])-ABS(Table_ExternalData_17[[#This Row],[Total Issue]]))</f>
        <v>378</v>
      </c>
    </row>
    <row r="53" spans="1:17">
      <c r="A53" s="1" t="s">
        <v>312</v>
      </c>
      <c r="B53" s="1" t="s">
        <v>1238</v>
      </c>
      <c r="C53" s="1" t="s">
        <v>1239</v>
      </c>
      <c r="D53" s="10">
        <f>SUMIFS(OPBQList,OPBIList,Table_ExternalData_17[[#This Row],[item_key]])+SUMIFS(GQList,GIList,Table_ExternalData_17[[#This Row],[item_key]],GDList,0)-ABS(SUMIFS(IsQList,IsIList,Table_ExternalData_17[[#This Row],[item_key]],IsDList,0))</f>
        <v>121</v>
      </c>
      <c r="E53" s="10">
        <f>SUMIFS(GQList,GIList,Table_ExternalData_17[[#This Row],[item_key]],GTList,Table_ExternalData_17[[#Headers],[GRN]],GDList,"&lt;&gt;"&amp;0)</f>
        <v>100</v>
      </c>
      <c r="F53" s="10">
        <f>SUMIFS(GQList,GIList,Table_ExternalData_17[[#This Row],[item_key]],GTList,Table_ExternalData_17[[#Headers],[VSTR]],GDList,"&lt;&gt;"&amp;0)</f>
        <v>0</v>
      </c>
      <c r="G53" s="10">
        <f>SUMIFS(GQList,GIList,Table_ExternalData_17[[#This Row],[item_key]],GTList,Table_ExternalData_17[[#Headers],[SR]],GDList,"&lt;&gt;"&amp;0)</f>
        <v>0</v>
      </c>
      <c r="H53" s="10">
        <f>SUMIFS(GQList,GIList,Table_ExternalData_17[[#This Row],[item_key]],GTList,Table_ExternalData_17[[#Headers],[TR]],GDList,"&lt;&gt;"&amp;0)</f>
        <v>0</v>
      </c>
      <c r="I53" s="10">
        <f>SUMIFS(GQList,GIList,Table_ExternalData_17[[#This Row],[item_key]],GTList,Table_ExternalData_17[[#Headers],[RCA]],GDList,"&lt;&gt;"&amp;0)</f>
        <v>0</v>
      </c>
      <c r="J53" s="10">
        <f>SUM(Table_ExternalData_17[[#This Row],[GRN]]+Table_ExternalData_17[[#This Row],[VSTR]]+Table_ExternalData_17[[#This Row],[SR]]+Table_ExternalData_17[[#This Row],[TR]]+Table_ExternalData_17[[#This Row],[RCA]])</f>
        <v>100</v>
      </c>
      <c r="K53" s="10">
        <f>SUMIFS(IsQList,IsIList,Table_ExternalData_17[[#This Row],[item_key]],IsITypeList,Table_ExternalData_17[[#Headers],[R/P]],IsDList,"&lt;&gt;"&amp;0)</f>
        <v>0</v>
      </c>
      <c r="L53" s="10">
        <f>SUMIFS(IsQList,IsIList,Table_ExternalData_17[[#This Row],[item_key]],IsITypeList,Table_ExternalData_17[[#Headers],[CST]],IsDList,"&lt;&gt;"&amp;0)</f>
        <v>0</v>
      </c>
      <c r="M53" s="10">
        <f>SUMIFS(IsQList,IsIList,Table_ExternalData_15[[#This Row],[item_key]],IsITypeList,Table_ExternalData_17[[#Headers],[S/I]],IsDList,"&lt;&gt;"&amp;0)</f>
        <v>0</v>
      </c>
      <c r="N53" s="10">
        <f>SUMIFS(IsQList,IsIList,Table_ExternalData_15[[#This Row],[item_key]],IsITypeList,Table_ExternalData_17[[#Headers],[VST]],IsDList,"&lt;&gt;"&amp;0)</f>
        <v>0</v>
      </c>
      <c r="O53" s="10">
        <f>ABS(SUMIFS(IsQList,IsIList,Table_ExternalData_17[[#This Row],[item_key]],IsITypeList,Table_ExternalData_17[[#Headers],[RTN]],IsDList,"&lt;&gt;"&amp;0))</f>
        <v>0</v>
      </c>
      <c r="P53" s="10">
        <f>SUM(Table_ExternalData_17[[#This Row],[R/P]:[RTN]])</f>
        <v>0</v>
      </c>
      <c r="Q53" s="10">
        <f>SUM((Table_ExternalData_17[[#This Row],[Opening]]+Table_ExternalData_17[[#This Row],[Total Receipt]])-ABS(Table_ExternalData_17[[#This Row],[Total Issue]]))</f>
        <v>221</v>
      </c>
    </row>
    <row r="54" spans="1:17">
      <c r="A54" s="1" t="s">
        <v>313</v>
      </c>
      <c r="B54" s="1" t="s">
        <v>2465</v>
      </c>
      <c r="C54" s="1" t="s">
        <v>2466</v>
      </c>
      <c r="D54" s="10">
        <f>SUMIFS(OPBQList,OPBIList,Table_ExternalData_17[[#This Row],[item_key]])+SUMIFS(GQList,GIList,Table_ExternalData_17[[#This Row],[item_key]],GDList,0)-ABS(SUMIFS(IsQList,IsIList,Table_ExternalData_17[[#This Row],[item_key]],IsDList,0))</f>
        <v>1765</v>
      </c>
      <c r="E54" s="10">
        <f>SUMIFS(GQList,GIList,Table_ExternalData_17[[#This Row],[item_key]],GTList,Table_ExternalData_17[[#Headers],[GRN]],GDList,"&lt;&gt;"&amp;0)</f>
        <v>0</v>
      </c>
      <c r="F54" s="10">
        <f>SUMIFS(GQList,GIList,Table_ExternalData_17[[#This Row],[item_key]],GTList,Table_ExternalData_17[[#Headers],[VSTR]],GDList,"&lt;&gt;"&amp;0)</f>
        <v>0</v>
      </c>
      <c r="G54" s="10">
        <f>SUMIFS(GQList,GIList,Table_ExternalData_17[[#This Row],[item_key]],GTList,Table_ExternalData_17[[#Headers],[SR]],GDList,"&lt;&gt;"&amp;0)</f>
        <v>0</v>
      </c>
      <c r="H54" s="10">
        <f>SUMIFS(GQList,GIList,Table_ExternalData_17[[#This Row],[item_key]],GTList,Table_ExternalData_17[[#Headers],[TR]],GDList,"&lt;&gt;"&amp;0)</f>
        <v>0</v>
      </c>
      <c r="I54" s="10">
        <f>SUMIFS(GQList,GIList,Table_ExternalData_17[[#This Row],[item_key]],GTList,Table_ExternalData_17[[#Headers],[RCA]],GDList,"&lt;&gt;"&amp;0)</f>
        <v>0</v>
      </c>
      <c r="J54" s="10">
        <f>SUM(Table_ExternalData_17[[#This Row],[GRN]]+Table_ExternalData_17[[#This Row],[VSTR]]+Table_ExternalData_17[[#This Row],[SR]]+Table_ExternalData_17[[#This Row],[TR]]+Table_ExternalData_17[[#This Row],[RCA]])</f>
        <v>0</v>
      </c>
      <c r="K54" s="10">
        <f>SUMIFS(IsQList,IsIList,Table_ExternalData_17[[#This Row],[item_key]],IsITypeList,Table_ExternalData_17[[#Headers],[R/P]],IsDList,"&lt;&gt;"&amp;0)</f>
        <v>0</v>
      </c>
      <c r="L54" s="10">
        <f>SUMIFS(IsQList,IsIList,Table_ExternalData_17[[#This Row],[item_key]],IsITypeList,Table_ExternalData_17[[#Headers],[CST]],IsDList,"&lt;&gt;"&amp;0)</f>
        <v>0</v>
      </c>
      <c r="M54" s="10">
        <f>SUMIFS(IsQList,IsIList,Table_ExternalData_15[[#This Row],[item_key]],IsITypeList,Table_ExternalData_17[[#Headers],[S/I]],IsDList,"&lt;&gt;"&amp;0)</f>
        <v>5</v>
      </c>
      <c r="N54" s="10">
        <f>SUMIFS(IsQList,IsIList,Table_ExternalData_15[[#This Row],[item_key]],IsITypeList,Table_ExternalData_17[[#Headers],[VST]],IsDList,"&lt;&gt;"&amp;0)</f>
        <v>0</v>
      </c>
      <c r="O54" s="10">
        <f>ABS(SUMIFS(IsQList,IsIList,Table_ExternalData_17[[#This Row],[item_key]],IsITypeList,Table_ExternalData_17[[#Headers],[RTN]],IsDList,"&lt;&gt;"&amp;0))</f>
        <v>0</v>
      </c>
      <c r="P54" s="10">
        <f>SUM(Table_ExternalData_17[[#This Row],[R/P]:[RTN]])</f>
        <v>5</v>
      </c>
      <c r="Q54" s="10">
        <f>SUM((Table_ExternalData_17[[#This Row],[Opening]]+Table_ExternalData_17[[#This Row],[Total Receipt]])-ABS(Table_ExternalData_17[[#This Row],[Total Issue]]))</f>
        <v>1760</v>
      </c>
    </row>
    <row r="55" spans="1:17">
      <c r="A55" s="1" t="s">
        <v>1677</v>
      </c>
      <c r="B55" s="1" t="s">
        <v>2393</v>
      </c>
      <c r="C55" s="1" t="s">
        <v>2394</v>
      </c>
      <c r="D55" s="10">
        <f>SUMIFS(OPBQList,OPBIList,Table_ExternalData_17[[#This Row],[item_key]])+SUMIFS(GQList,GIList,Table_ExternalData_17[[#This Row],[item_key]],GDList,0)-ABS(SUMIFS(IsQList,IsIList,Table_ExternalData_17[[#This Row],[item_key]],IsDList,0))</f>
        <v>207</v>
      </c>
      <c r="E55" s="10">
        <f>SUMIFS(GQList,GIList,Table_ExternalData_17[[#This Row],[item_key]],GTList,Table_ExternalData_17[[#Headers],[GRN]],GDList,"&lt;&gt;"&amp;0)</f>
        <v>0</v>
      </c>
      <c r="F55" s="10">
        <f>SUMIFS(GQList,GIList,Table_ExternalData_17[[#This Row],[item_key]],GTList,Table_ExternalData_17[[#Headers],[VSTR]],GDList,"&lt;&gt;"&amp;0)</f>
        <v>0</v>
      </c>
      <c r="G55" s="10">
        <f>SUMIFS(GQList,GIList,Table_ExternalData_17[[#This Row],[item_key]],GTList,Table_ExternalData_17[[#Headers],[SR]],GDList,"&lt;&gt;"&amp;0)</f>
        <v>0</v>
      </c>
      <c r="H55" s="10">
        <f>SUMIFS(GQList,GIList,Table_ExternalData_17[[#This Row],[item_key]],GTList,Table_ExternalData_17[[#Headers],[TR]],GDList,"&lt;&gt;"&amp;0)</f>
        <v>0</v>
      </c>
      <c r="I55" s="10">
        <f>SUMIFS(GQList,GIList,Table_ExternalData_17[[#This Row],[item_key]],GTList,Table_ExternalData_17[[#Headers],[RCA]],GDList,"&lt;&gt;"&amp;0)</f>
        <v>0</v>
      </c>
      <c r="J55" s="10">
        <f>SUM(Table_ExternalData_17[[#This Row],[GRN]]+Table_ExternalData_17[[#This Row],[VSTR]]+Table_ExternalData_17[[#This Row],[SR]]+Table_ExternalData_17[[#This Row],[TR]]+Table_ExternalData_17[[#This Row],[RCA]])</f>
        <v>0</v>
      </c>
      <c r="K55" s="10">
        <f>SUMIFS(IsQList,IsIList,Table_ExternalData_17[[#This Row],[item_key]],IsITypeList,Table_ExternalData_17[[#Headers],[R/P]],IsDList,"&lt;&gt;"&amp;0)</f>
        <v>0</v>
      </c>
      <c r="L55" s="10">
        <f>SUMIFS(IsQList,IsIList,Table_ExternalData_17[[#This Row],[item_key]],IsITypeList,Table_ExternalData_17[[#Headers],[CST]],IsDList,"&lt;&gt;"&amp;0)</f>
        <v>0</v>
      </c>
      <c r="M55" s="10">
        <f>SUMIFS(IsQList,IsIList,Table_ExternalData_15[[#This Row],[item_key]],IsITypeList,Table_ExternalData_17[[#Headers],[S/I]],IsDList,"&lt;&gt;"&amp;0)</f>
        <v>63</v>
      </c>
      <c r="N55" s="10">
        <f>SUMIFS(IsQList,IsIList,Table_ExternalData_15[[#This Row],[item_key]],IsITypeList,Table_ExternalData_17[[#Headers],[VST]],IsDList,"&lt;&gt;"&amp;0)</f>
        <v>0</v>
      </c>
      <c r="O55" s="10">
        <f>ABS(SUMIFS(IsQList,IsIList,Table_ExternalData_17[[#This Row],[item_key]],IsITypeList,Table_ExternalData_17[[#Headers],[RTN]],IsDList,"&lt;&gt;"&amp;0))</f>
        <v>0</v>
      </c>
      <c r="P55" s="10">
        <f>SUM(Table_ExternalData_17[[#This Row],[R/P]:[RTN]])</f>
        <v>63</v>
      </c>
      <c r="Q55" s="10">
        <f>SUM((Table_ExternalData_17[[#This Row],[Opening]]+Table_ExternalData_17[[#This Row],[Total Receipt]])-ABS(Table_ExternalData_17[[#This Row],[Total Issue]]))</f>
        <v>144</v>
      </c>
    </row>
    <row r="56" spans="1:17">
      <c r="A56" s="1" t="s">
        <v>323</v>
      </c>
      <c r="B56" s="1" t="s">
        <v>2467</v>
      </c>
      <c r="C56" s="1" t="s">
        <v>2468</v>
      </c>
      <c r="D56" s="10">
        <f>SUMIFS(OPBQList,OPBIList,Table_ExternalData_17[[#This Row],[item_key]])+SUMIFS(GQList,GIList,Table_ExternalData_17[[#This Row],[item_key]],GDList,0)-ABS(SUMIFS(IsQList,IsIList,Table_ExternalData_17[[#This Row],[item_key]],IsDList,0))</f>
        <v>108</v>
      </c>
      <c r="E56" s="10">
        <f>SUMIFS(GQList,GIList,Table_ExternalData_17[[#This Row],[item_key]],GTList,Table_ExternalData_17[[#Headers],[GRN]],GDList,"&lt;&gt;"&amp;0)</f>
        <v>0</v>
      </c>
      <c r="F56" s="10">
        <f>SUMIFS(GQList,GIList,Table_ExternalData_17[[#This Row],[item_key]],GTList,Table_ExternalData_17[[#Headers],[VSTR]],GDList,"&lt;&gt;"&amp;0)</f>
        <v>0</v>
      </c>
      <c r="G56" s="10">
        <f>SUMIFS(GQList,GIList,Table_ExternalData_17[[#This Row],[item_key]],GTList,Table_ExternalData_17[[#Headers],[SR]],GDList,"&lt;&gt;"&amp;0)</f>
        <v>0</v>
      </c>
      <c r="H56" s="10">
        <f>SUMIFS(GQList,GIList,Table_ExternalData_17[[#This Row],[item_key]],GTList,Table_ExternalData_17[[#Headers],[TR]],GDList,"&lt;&gt;"&amp;0)</f>
        <v>0</v>
      </c>
      <c r="I56" s="10">
        <f>SUMIFS(GQList,GIList,Table_ExternalData_17[[#This Row],[item_key]],GTList,Table_ExternalData_17[[#Headers],[RCA]],GDList,"&lt;&gt;"&amp;0)</f>
        <v>0</v>
      </c>
      <c r="J56" s="10">
        <f>SUM(Table_ExternalData_17[[#This Row],[GRN]]+Table_ExternalData_17[[#This Row],[VSTR]]+Table_ExternalData_17[[#This Row],[SR]]+Table_ExternalData_17[[#This Row],[TR]]+Table_ExternalData_17[[#This Row],[RCA]])</f>
        <v>0</v>
      </c>
      <c r="K56" s="10">
        <f>SUMIFS(IsQList,IsIList,Table_ExternalData_17[[#This Row],[item_key]],IsITypeList,Table_ExternalData_17[[#Headers],[R/P]],IsDList,"&lt;&gt;"&amp;0)</f>
        <v>0</v>
      </c>
      <c r="L56" s="10">
        <f>SUMIFS(IsQList,IsIList,Table_ExternalData_17[[#This Row],[item_key]],IsITypeList,Table_ExternalData_17[[#Headers],[CST]],IsDList,"&lt;&gt;"&amp;0)</f>
        <v>0</v>
      </c>
      <c r="M56" s="10">
        <f>SUMIFS(IsQList,IsIList,Table_ExternalData_15[[#This Row],[item_key]],IsITypeList,Table_ExternalData_17[[#Headers],[S/I]],IsDList,"&lt;&gt;"&amp;0)</f>
        <v>0</v>
      </c>
      <c r="N56" s="10">
        <f>SUMIFS(IsQList,IsIList,Table_ExternalData_15[[#This Row],[item_key]],IsITypeList,Table_ExternalData_17[[#Headers],[VST]],IsDList,"&lt;&gt;"&amp;0)</f>
        <v>0</v>
      </c>
      <c r="O56" s="10">
        <f>ABS(SUMIFS(IsQList,IsIList,Table_ExternalData_17[[#This Row],[item_key]],IsITypeList,Table_ExternalData_17[[#Headers],[RTN]],IsDList,"&lt;&gt;"&amp;0))</f>
        <v>0</v>
      </c>
      <c r="P56" s="10">
        <f>SUM(Table_ExternalData_17[[#This Row],[R/P]:[RTN]])</f>
        <v>0</v>
      </c>
      <c r="Q56" s="10">
        <f>SUM((Table_ExternalData_17[[#This Row],[Opening]]+Table_ExternalData_17[[#This Row],[Total Receipt]])-ABS(Table_ExternalData_17[[#This Row],[Total Issue]]))</f>
        <v>108</v>
      </c>
    </row>
    <row r="57" spans="1:17">
      <c r="A57" s="1" t="s">
        <v>324</v>
      </c>
      <c r="B57" s="1" t="s">
        <v>1240</v>
      </c>
      <c r="C57" s="1" t="s">
        <v>1241</v>
      </c>
      <c r="D57" s="10">
        <f>SUMIFS(OPBQList,OPBIList,Table_ExternalData_17[[#This Row],[item_key]])+SUMIFS(GQList,GIList,Table_ExternalData_17[[#This Row],[item_key]],GDList,0)-ABS(SUMIFS(IsQList,IsIList,Table_ExternalData_17[[#This Row],[item_key]],IsDList,0))</f>
        <v>11</v>
      </c>
      <c r="E57" s="10">
        <f>SUMIFS(GQList,GIList,Table_ExternalData_17[[#This Row],[item_key]],GTList,Table_ExternalData_17[[#Headers],[GRN]],GDList,"&lt;&gt;"&amp;0)</f>
        <v>5</v>
      </c>
      <c r="F57" s="10">
        <f>SUMIFS(GQList,GIList,Table_ExternalData_17[[#This Row],[item_key]],GTList,Table_ExternalData_17[[#Headers],[VSTR]],GDList,"&lt;&gt;"&amp;0)</f>
        <v>0</v>
      </c>
      <c r="G57" s="10">
        <f>SUMIFS(GQList,GIList,Table_ExternalData_17[[#This Row],[item_key]],GTList,Table_ExternalData_17[[#Headers],[SR]],GDList,"&lt;&gt;"&amp;0)</f>
        <v>0</v>
      </c>
      <c r="H57" s="10">
        <f>SUMIFS(GQList,GIList,Table_ExternalData_17[[#This Row],[item_key]],GTList,Table_ExternalData_17[[#Headers],[TR]],GDList,"&lt;&gt;"&amp;0)</f>
        <v>0</v>
      </c>
      <c r="I57" s="10">
        <f>SUMIFS(GQList,GIList,Table_ExternalData_17[[#This Row],[item_key]],GTList,Table_ExternalData_17[[#Headers],[RCA]],GDList,"&lt;&gt;"&amp;0)</f>
        <v>0</v>
      </c>
      <c r="J57" s="10">
        <f>SUM(Table_ExternalData_17[[#This Row],[GRN]]+Table_ExternalData_17[[#This Row],[VSTR]]+Table_ExternalData_17[[#This Row],[SR]]+Table_ExternalData_17[[#This Row],[TR]]+Table_ExternalData_17[[#This Row],[RCA]])</f>
        <v>5</v>
      </c>
      <c r="K57" s="10">
        <f>SUMIFS(IsQList,IsIList,Table_ExternalData_17[[#This Row],[item_key]],IsITypeList,Table_ExternalData_17[[#Headers],[R/P]],IsDList,"&lt;&gt;"&amp;0)</f>
        <v>0</v>
      </c>
      <c r="L57" s="10">
        <f>SUMIFS(IsQList,IsIList,Table_ExternalData_17[[#This Row],[item_key]],IsITypeList,Table_ExternalData_17[[#Headers],[CST]],IsDList,"&lt;&gt;"&amp;0)</f>
        <v>0</v>
      </c>
      <c r="M57" s="10">
        <f>SUMIFS(IsQList,IsIList,Table_ExternalData_15[[#This Row],[item_key]],IsITypeList,Table_ExternalData_17[[#Headers],[S/I]],IsDList,"&lt;&gt;"&amp;0)</f>
        <v>153</v>
      </c>
      <c r="N57" s="10">
        <f>SUMIFS(IsQList,IsIList,Table_ExternalData_15[[#This Row],[item_key]],IsITypeList,Table_ExternalData_17[[#Headers],[VST]],IsDList,"&lt;&gt;"&amp;0)</f>
        <v>0</v>
      </c>
      <c r="O57" s="10">
        <f>ABS(SUMIFS(IsQList,IsIList,Table_ExternalData_17[[#This Row],[item_key]],IsITypeList,Table_ExternalData_17[[#Headers],[RTN]],IsDList,"&lt;&gt;"&amp;0))</f>
        <v>0</v>
      </c>
      <c r="P57" s="10">
        <f>SUM(Table_ExternalData_17[[#This Row],[R/P]:[RTN]])</f>
        <v>153</v>
      </c>
      <c r="Q57" s="10">
        <f>SUM((Table_ExternalData_17[[#This Row],[Opening]]+Table_ExternalData_17[[#This Row],[Total Receipt]])-ABS(Table_ExternalData_17[[#This Row],[Total Issue]]))</f>
        <v>-137</v>
      </c>
    </row>
    <row r="58" spans="1:17">
      <c r="A58" s="1" t="s">
        <v>325</v>
      </c>
      <c r="B58" s="1" t="s">
        <v>2369</v>
      </c>
      <c r="C58" s="1" t="s">
        <v>2363</v>
      </c>
      <c r="D58" s="10">
        <f>SUMIFS(OPBQList,OPBIList,Table_ExternalData_17[[#This Row],[item_key]])+SUMIFS(GQList,GIList,Table_ExternalData_17[[#This Row],[item_key]],GDList,0)-ABS(SUMIFS(IsQList,IsIList,Table_ExternalData_17[[#This Row],[item_key]],IsDList,0))</f>
        <v>125</v>
      </c>
      <c r="E58" s="10">
        <f>SUMIFS(GQList,GIList,Table_ExternalData_17[[#This Row],[item_key]],GTList,Table_ExternalData_17[[#Headers],[GRN]],GDList,"&lt;&gt;"&amp;0)</f>
        <v>0</v>
      </c>
      <c r="F58" s="10">
        <f>SUMIFS(GQList,GIList,Table_ExternalData_17[[#This Row],[item_key]],GTList,Table_ExternalData_17[[#Headers],[VSTR]],GDList,"&lt;&gt;"&amp;0)</f>
        <v>0</v>
      </c>
      <c r="G58" s="10">
        <f>SUMIFS(GQList,GIList,Table_ExternalData_17[[#This Row],[item_key]],GTList,Table_ExternalData_17[[#Headers],[SR]],GDList,"&lt;&gt;"&amp;0)</f>
        <v>0</v>
      </c>
      <c r="H58" s="10">
        <f>SUMIFS(GQList,GIList,Table_ExternalData_17[[#This Row],[item_key]],GTList,Table_ExternalData_17[[#Headers],[TR]],GDList,"&lt;&gt;"&amp;0)</f>
        <v>0</v>
      </c>
      <c r="I58" s="10">
        <f>SUMIFS(GQList,GIList,Table_ExternalData_17[[#This Row],[item_key]],GTList,Table_ExternalData_17[[#Headers],[RCA]],GDList,"&lt;&gt;"&amp;0)</f>
        <v>0</v>
      </c>
      <c r="J58" s="10">
        <f>SUM(Table_ExternalData_17[[#This Row],[GRN]]+Table_ExternalData_17[[#This Row],[VSTR]]+Table_ExternalData_17[[#This Row],[SR]]+Table_ExternalData_17[[#This Row],[TR]]+Table_ExternalData_17[[#This Row],[RCA]])</f>
        <v>0</v>
      </c>
      <c r="K58" s="10">
        <f>SUMIFS(IsQList,IsIList,Table_ExternalData_17[[#This Row],[item_key]],IsITypeList,Table_ExternalData_17[[#Headers],[R/P]],IsDList,"&lt;&gt;"&amp;0)</f>
        <v>0</v>
      </c>
      <c r="L58" s="10">
        <f>SUMIFS(IsQList,IsIList,Table_ExternalData_17[[#This Row],[item_key]],IsITypeList,Table_ExternalData_17[[#Headers],[CST]],IsDList,"&lt;&gt;"&amp;0)</f>
        <v>0</v>
      </c>
      <c r="M58" s="10">
        <f>SUMIFS(IsQList,IsIList,Table_ExternalData_15[[#This Row],[item_key]],IsITypeList,Table_ExternalData_17[[#Headers],[S/I]],IsDList,"&lt;&gt;"&amp;0)</f>
        <v>0</v>
      </c>
      <c r="N58" s="10">
        <f>SUMIFS(IsQList,IsIList,Table_ExternalData_15[[#This Row],[item_key]],IsITypeList,Table_ExternalData_17[[#Headers],[VST]],IsDList,"&lt;&gt;"&amp;0)</f>
        <v>0</v>
      </c>
      <c r="O58" s="10">
        <f>ABS(SUMIFS(IsQList,IsIList,Table_ExternalData_17[[#This Row],[item_key]],IsITypeList,Table_ExternalData_17[[#Headers],[RTN]],IsDList,"&lt;&gt;"&amp;0))</f>
        <v>0</v>
      </c>
      <c r="P58" s="10">
        <f>SUM(Table_ExternalData_17[[#This Row],[R/P]:[RTN]])</f>
        <v>0</v>
      </c>
      <c r="Q58" s="10">
        <f>SUM((Table_ExternalData_17[[#This Row],[Opening]]+Table_ExternalData_17[[#This Row],[Total Receipt]])-ABS(Table_ExternalData_17[[#This Row],[Total Issue]]))</f>
        <v>125</v>
      </c>
    </row>
    <row r="59" spans="1:17">
      <c r="A59" s="1" t="s">
        <v>326</v>
      </c>
      <c r="B59" s="1" t="s">
        <v>1242</v>
      </c>
      <c r="C59" s="1" t="s">
        <v>1243</v>
      </c>
      <c r="D5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59" s="10">
        <f>SUMIFS(GQList,GIList,Table_ExternalData_17[[#This Row],[item_key]],GTList,Table_ExternalData_17[[#Headers],[GRN]],GDList,"&lt;&gt;"&amp;0)</f>
        <v>0</v>
      </c>
      <c r="F59" s="10">
        <f>SUMIFS(GQList,GIList,Table_ExternalData_17[[#This Row],[item_key]],GTList,Table_ExternalData_17[[#Headers],[VSTR]],GDList,"&lt;&gt;"&amp;0)</f>
        <v>0</v>
      </c>
      <c r="G59" s="10">
        <f>SUMIFS(GQList,GIList,Table_ExternalData_17[[#This Row],[item_key]],GTList,Table_ExternalData_17[[#Headers],[SR]],GDList,"&lt;&gt;"&amp;0)</f>
        <v>0</v>
      </c>
      <c r="H59" s="10">
        <f>SUMIFS(GQList,GIList,Table_ExternalData_17[[#This Row],[item_key]],GTList,Table_ExternalData_17[[#Headers],[TR]],GDList,"&lt;&gt;"&amp;0)</f>
        <v>0</v>
      </c>
      <c r="I59" s="10">
        <f>SUMIFS(GQList,GIList,Table_ExternalData_17[[#This Row],[item_key]],GTList,Table_ExternalData_17[[#Headers],[RCA]],GDList,"&lt;&gt;"&amp;0)</f>
        <v>0</v>
      </c>
      <c r="J59" s="10">
        <f>SUM(Table_ExternalData_17[[#This Row],[GRN]]+Table_ExternalData_17[[#This Row],[VSTR]]+Table_ExternalData_17[[#This Row],[SR]]+Table_ExternalData_17[[#This Row],[TR]]+Table_ExternalData_17[[#This Row],[RCA]])</f>
        <v>0</v>
      </c>
      <c r="K59" s="10">
        <f>SUMIFS(IsQList,IsIList,Table_ExternalData_17[[#This Row],[item_key]],IsITypeList,Table_ExternalData_17[[#Headers],[R/P]],IsDList,"&lt;&gt;"&amp;0)</f>
        <v>0</v>
      </c>
      <c r="L59" s="10">
        <f>SUMIFS(IsQList,IsIList,Table_ExternalData_17[[#This Row],[item_key]],IsITypeList,Table_ExternalData_17[[#Headers],[CST]],IsDList,"&lt;&gt;"&amp;0)</f>
        <v>0</v>
      </c>
      <c r="M59" s="10">
        <f>SUMIFS(IsQList,IsIList,Table_ExternalData_15[[#This Row],[item_key]],IsITypeList,Table_ExternalData_17[[#Headers],[S/I]],IsDList,"&lt;&gt;"&amp;0)</f>
        <v>3</v>
      </c>
      <c r="N59" s="10">
        <f>SUMIFS(IsQList,IsIList,Table_ExternalData_15[[#This Row],[item_key]],IsITypeList,Table_ExternalData_17[[#Headers],[VST]],IsDList,"&lt;&gt;"&amp;0)</f>
        <v>0</v>
      </c>
      <c r="O59" s="10">
        <f>ABS(SUMIFS(IsQList,IsIList,Table_ExternalData_17[[#This Row],[item_key]],IsITypeList,Table_ExternalData_17[[#Headers],[RTN]],IsDList,"&lt;&gt;"&amp;0))</f>
        <v>0</v>
      </c>
      <c r="P59" s="10">
        <f>SUM(Table_ExternalData_17[[#This Row],[R/P]:[RTN]])</f>
        <v>3</v>
      </c>
      <c r="Q59" s="10">
        <f>SUM((Table_ExternalData_17[[#This Row],[Opening]]+Table_ExternalData_17[[#This Row],[Total Receipt]])-ABS(Table_ExternalData_17[[#This Row],[Total Issue]]))</f>
        <v>-3</v>
      </c>
    </row>
    <row r="60" spans="1:17">
      <c r="A60" s="1" t="s">
        <v>327</v>
      </c>
      <c r="B60" s="1" t="s">
        <v>2469</v>
      </c>
      <c r="C60" s="1" t="s">
        <v>2470</v>
      </c>
      <c r="D60" s="10">
        <f>SUMIFS(OPBQList,OPBIList,Table_ExternalData_17[[#This Row],[item_key]])+SUMIFS(GQList,GIList,Table_ExternalData_17[[#This Row],[item_key]],GDList,0)-ABS(SUMIFS(IsQList,IsIList,Table_ExternalData_17[[#This Row],[item_key]],IsDList,0))</f>
        <v>7610</v>
      </c>
      <c r="E60" s="10">
        <f>SUMIFS(GQList,GIList,Table_ExternalData_17[[#This Row],[item_key]],GTList,Table_ExternalData_17[[#Headers],[GRN]],GDList,"&lt;&gt;"&amp;0)</f>
        <v>0</v>
      </c>
      <c r="F60" s="10">
        <f>SUMIFS(GQList,GIList,Table_ExternalData_17[[#This Row],[item_key]],GTList,Table_ExternalData_17[[#Headers],[VSTR]],GDList,"&lt;&gt;"&amp;0)</f>
        <v>0</v>
      </c>
      <c r="G60" s="10">
        <f>SUMIFS(GQList,GIList,Table_ExternalData_17[[#This Row],[item_key]],GTList,Table_ExternalData_17[[#Headers],[SR]],GDList,"&lt;&gt;"&amp;0)</f>
        <v>0</v>
      </c>
      <c r="H60" s="10">
        <f>SUMIFS(GQList,GIList,Table_ExternalData_17[[#This Row],[item_key]],GTList,Table_ExternalData_17[[#Headers],[TR]],GDList,"&lt;&gt;"&amp;0)</f>
        <v>0</v>
      </c>
      <c r="I60" s="10">
        <f>SUMIFS(GQList,GIList,Table_ExternalData_17[[#This Row],[item_key]],GTList,Table_ExternalData_17[[#Headers],[RCA]],GDList,"&lt;&gt;"&amp;0)</f>
        <v>0</v>
      </c>
      <c r="J60" s="10">
        <f>SUM(Table_ExternalData_17[[#This Row],[GRN]]+Table_ExternalData_17[[#This Row],[VSTR]]+Table_ExternalData_17[[#This Row],[SR]]+Table_ExternalData_17[[#This Row],[TR]]+Table_ExternalData_17[[#This Row],[RCA]])</f>
        <v>0</v>
      </c>
      <c r="K60" s="10">
        <f>SUMIFS(IsQList,IsIList,Table_ExternalData_17[[#This Row],[item_key]],IsITypeList,Table_ExternalData_17[[#Headers],[R/P]],IsDList,"&lt;&gt;"&amp;0)</f>
        <v>0</v>
      </c>
      <c r="L60" s="10">
        <f>SUMIFS(IsQList,IsIList,Table_ExternalData_17[[#This Row],[item_key]],IsITypeList,Table_ExternalData_17[[#Headers],[CST]],IsDList,"&lt;&gt;"&amp;0)</f>
        <v>0</v>
      </c>
      <c r="M60" s="10">
        <f>SUMIFS(IsQList,IsIList,Table_ExternalData_15[[#This Row],[item_key]],IsITypeList,Table_ExternalData_17[[#Headers],[S/I]],IsDList,"&lt;&gt;"&amp;0)</f>
        <v>20</v>
      </c>
      <c r="N60" s="10">
        <f>SUMIFS(IsQList,IsIList,Table_ExternalData_15[[#This Row],[item_key]],IsITypeList,Table_ExternalData_17[[#Headers],[VST]],IsDList,"&lt;&gt;"&amp;0)</f>
        <v>0</v>
      </c>
      <c r="O60" s="10">
        <f>ABS(SUMIFS(IsQList,IsIList,Table_ExternalData_17[[#This Row],[item_key]],IsITypeList,Table_ExternalData_17[[#Headers],[RTN]],IsDList,"&lt;&gt;"&amp;0))</f>
        <v>0</v>
      </c>
      <c r="P60" s="10">
        <f>SUM(Table_ExternalData_17[[#This Row],[R/P]:[RTN]])</f>
        <v>20</v>
      </c>
      <c r="Q60" s="10">
        <f>SUM((Table_ExternalData_17[[#This Row],[Opening]]+Table_ExternalData_17[[#This Row],[Total Receipt]])-ABS(Table_ExternalData_17[[#This Row],[Total Issue]]))</f>
        <v>7590</v>
      </c>
    </row>
    <row r="61" spans="1:17">
      <c r="A61" s="1" t="s">
        <v>330</v>
      </c>
      <c r="B61" s="1" t="s">
        <v>2384</v>
      </c>
      <c r="C61" s="1" t="s">
        <v>1379</v>
      </c>
      <c r="D61" s="10">
        <f>SUMIFS(OPBQList,OPBIList,Table_ExternalData_17[[#This Row],[item_key]])+SUMIFS(GQList,GIList,Table_ExternalData_17[[#This Row],[item_key]],GDList,0)-ABS(SUMIFS(IsQList,IsIList,Table_ExternalData_17[[#This Row],[item_key]],IsDList,0))</f>
        <v>311</v>
      </c>
      <c r="E61" s="10">
        <f>SUMIFS(GQList,GIList,Table_ExternalData_17[[#This Row],[item_key]],GTList,Table_ExternalData_17[[#Headers],[GRN]],GDList,"&lt;&gt;"&amp;0)</f>
        <v>600</v>
      </c>
      <c r="F61" s="10">
        <f>SUMIFS(GQList,GIList,Table_ExternalData_17[[#This Row],[item_key]],GTList,Table_ExternalData_17[[#Headers],[VSTR]],GDList,"&lt;&gt;"&amp;0)</f>
        <v>0</v>
      </c>
      <c r="G61" s="10">
        <f>SUMIFS(GQList,GIList,Table_ExternalData_17[[#This Row],[item_key]],GTList,Table_ExternalData_17[[#Headers],[SR]],GDList,"&lt;&gt;"&amp;0)</f>
        <v>0</v>
      </c>
      <c r="H61" s="10">
        <f>SUMIFS(GQList,GIList,Table_ExternalData_17[[#This Row],[item_key]],GTList,Table_ExternalData_17[[#Headers],[TR]],GDList,"&lt;&gt;"&amp;0)</f>
        <v>0</v>
      </c>
      <c r="I61" s="10">
        <f>SUMIFS(GQList,GIList,Table_ExternalData_17[[#This Row],[item_key]],GTList,Table_ExternalData_17[[#Headers],[RCA]],GDList,"&lt;&gt;"&amp;0)</f>
        <v>0</v>
      </c>
      <c r="J61" s="10">
        <f>SUM(Table_ExternalData_17[[#This Row],[GRN]]+Table_ExternalData_17[[#This Row],[VSTR]]+Table_ExternalData_17[[#This Row],[SR]]+Table_ExternalData_17[[#This Row],[TR]]+Table_ExternalData_17[[#This Row],[RCA]])</f>
        <v>600</v>
      </c>
      <c r="K61" s="10">
        <f>SUMIFS(IsQList,IsIList,Table_ExternalData_17[[#This Row],[item_key]],IsITypeList,Table_ExternalData_17[[#Headers],[R/P]],IsDList,"&lt;&gt;"&amp;0)</f>
        <v>0</v>
      </c>
      <c r="L61" s="10">
        <f>SUMIFS(IsQList,IsIList,Table_ExternalData_17[[#This Row],[item_key]],IsITypeList,Table_ExternalData_17[[#Headers],[CST]],IsDList,"&lt;&gt;"&amp;0)</f>
        <v>0</v>
      </c>
      <c r="M61" s="10">
        <f>SUMIFS(IsQList,IsIList,Table_ExternalData_15[[#This Row],[item_key]],IsITypeList,Table_ExternalData_17[[#Headers],[S/I]],IsDList,"&lt;&gt;"&amp;0)</f>
        <v>2</v>
      </c>
      <c r="N61" s="10">
        <f>SUMIFS(IsQList,IsIList,Table_ExternalData_15[[#This Row],[item_key]],IsITypeList,Table_ExternalData_17[[#Headers],[VST]],IsDList,"&lt;&gt;"&amp;0)</f>
        <v>0</v>
      </c>
      <c r="O61" s="10">
        <f>ABS(SUMIFS(IsQList,IsIList,Table_ExternalData_17[[#This Row],[item_key]],IsITypeList,Table_ExternalData_17[[#Headers],[RTN]],IsDList,"&lt;&gt;"&amp;0))</f>
        <v>0</v>
      </c>
      <c r="P61" s="10">
        <f>SUM(Table_ExternalData_17[[#This Row],[R/P]:[RTN]])</f>
        <v>2</v>
      </c>
      <c r="Q61" s="10">
        <f>SUM((Table_ExternalData_17[[#This Row],[Opening]]+Table_ExternalData_17[[#This Row],[Total Receipt]])-ABS(Table_ExternalData_17[[#This Row],[Total Issue]]))</f>
        <v>909</v>
      </c>
    </row>
    <row r="62" spans="1:17">
      <c r="A62" s="1" t="s">
        <v>333</v>
      </c>
      <c r="B62" s="1" t="s">
        <v>2471</v>
      </c>
      <c r="C62" s="1" t="s">
        <v>2472</v>
      </c>
      <c r="D6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62" s="10">
        <f>SUMIFS(GQList,GIList,Table_ExternalData_17[[#This Row],[item_key]],GTList,Table_ExternalData_17[[#Headers],[GRN]],GDList,"&lt;&gt;"&amp;0)</f>
        <v>26</v>
      </c>
      <c r="F62" s="10">
        <f>SUMIFS(GQList,GIList,Table_ExternalData_17[[#This Row],[item_key]],GTList,Table_ExternalData_17[[#Headers],[VSTR]],GDList,"&lt;&gt;"&amp;0)</f>
        <v>0</v>
      </c>
      <c r="G62" s="10">
        <f>SUMIFS(GQList,GIList,Table_ExternalData_17[[#This Row],[item_key]],GTList,Table_ExternalData_17[[#Headers],[SR]],GDList,"&lt;&gt;"&amp;0)</f>
        <v>0</v>
      </c>
      <c r="H62" s="10">
        <f>SUMIFS(GQList,GIList,Table_ExternalData_17[[#This Row],[item_key]],GTList,Table_ExternalData_17[[#Headers],[TR]],GDList,"&lt;&gt;"&amp;0)</f>
        <v>0</v>
      </c>
      <c r="I62" s="10">
        <f>SUMIFS(GQList,GIList,Table_ExternalData_17[[#This Row],[item_key]],GTList,Table_ExternalData_17[[#Headers],[RCA]],GDList,"&lt;&gt;"&amp;0)</f>
        <v>0</v>
      </c>
      <c r="J62" s="10">
        <f>SUM(Table_ExternalData_17[[#This Row],[GRN]]+Table_ExternalData_17[[#This Row],[VSTR]]+Table_ExternalData_17[[#This Row],[SR]]+Table_ExternalData_17[[#This Row],[TR]]+Table_ExternalData_17[[#This Row],[RCA]])</f>
        <v>26</v>
      </c>
      <c r="K62" s="10">
        <f>SUMIFS(IsQList,IsIList,Table_ExternalData_17[[#This Row],[item_key]],IsITypeList,Table_ExternalData_17[[#Headers],[R/P]],IsDList,"&lt;&gt;"&amp;0)</f>
        <v>0</v>
      </c>
      <c r="L62" s="10">
        <f>SUMIFS(IsQList,IsIList,Table_ExternalData_17[[#This Row],[item_key]],IsITypeList,Table_ExternalData_17[[#Headers],[CST]],IsDList,"&lt;&gt;"&amp;0)</f>
        <v>0</v>
      </c>
      <c r="M62" s="10">
        <f>SUMIFS(IsQList,IsIList,Table_ExternalData_15[[#This Row],[item_key]],IsITypeList,Table_ExternalData_17[[#Headers],[S/I]],IsDList,"&lt;&gt;"&amp;0)</f>
        <v>72</v>
      </c>
      <c r="N62" s="10">
        <f>SUMIFS(IsQList,IsIList,Table_ExternalData_15[[#This Row],[item_key]],IsITypeList,Table_ExternalData_17[[#Headers],[VST]],IsDList,"&lt;&gt;"&amp;0)</f>
        <v>0</v>
      </c>
      <c r="O62" s="10">
        <f>ABS(SUMIFS(IsQList,IsIList,Table_ExternalData_17[[#This Row],[item_key]],IsITypeList,Table_ExternalData_17[[#Headers],[RTN]],IsDList,"&lt;&gt;"&amp;0))</f>
        <v>0</v>
      </c>
      <c r="P62" s="10">
        <f>SUM(Table_ExternalData_17[[#This Row],[R/P]:[RTN]])</f>
        <v>72</v>
      </c>
      <c r="Q62" s="10">
        <f>SUM((Table_ExternalData_17[[#This Row],[Opening]]+Table_ExternalData_17[[#This Row],[Total Receipt]])-ABS(Table_ExternalData_17[[#This Row],[Total Issue]]))</f>
        <v>-46</v>
      </c>
    </row>
    <row r="63" spans="1:17">
      <c r="A63" s="1" t="s">
        <v>334</v>
      </c>
      <c r="B63" s="1" t="s">
        <v>2473</v>
      </c>
      <c r="C63" s="1" t="s">
        <v>2474</v>
      </c>
      <c r="D6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63" s="10">
        <f>SUMIFS(GQList,GIList,Table_ExternalData_17[[#This Row],[item_key]],GTList,Table_ExternalData_17[[#Headers],[GRN]],GDList,"&lt;&gt;"&amp;0)</f>
        <v>0</v>
      </c>
      <c r="F63" s="10">
        <f>SUMIFS(GQList,GIList,Table_ExternalData_17[[#This Row],[item_key]],GTList,Table_ExternalData_17[[#Headers],[VSTR]],GDList,"&lt;&gt;"&amp;0)</f>
        <v>0</v>
      </c>
      <c r="G63" s="10">
        <f>SUMIFS(GQList,GIList,Table_ExternalData_17[[#This Row],[item_key]],GTList,Table_ExternalData_17[[#Headers],[SR]],GDList,"&lt;&gt;"&amp;0)</f>
        <v>0</v>
      </c>
      <c r="H63" s="10">
        <f>SUMIFS(GQList,GIList,Table_ExternalData_17[[#This Row],[item_key]],GTList,Table_ExternalData_17[[#Headers],[TR]],GDList,"&lt;&gt;"&amp;0)</f>
        <v>0</v>
      </c>
      <c r="I63" s="10">
        <f>SUMIFS(GQList,GIList,Table_ExternalData_17[[#This Row],[item_key]],GTList,Table_ExternalData_17[[#Headers],[RCA]],GDList,"&lt;&gt;"&amp;0)</f>
        <v>0</v>
      </c>
      <c r="J63" s="10">
        <f>SUM(Table_ExternalData_17[[#This Row],[GRN]]+Table_ExternalData_17[[#This Row],[VSTR]]+Table_ExternalData_17[[#This Row],[SR]]+Table_ExternalData_17[[#This Row],[TR]]+Table_ExternalData_17[[#This Row],[RCA]])</f>
        <v>0</v>
      </c>
      <c r="K63" s="10">
        <f>SUMIFS(IsQList,IsIList,Table_ExternalData_17[[#This Row],[item_key]],IsITypeList,Table_ExternalData_17[[#Headers],[R/P]],IsDList,"&lt;&gt;"&amp;0)</f>
        <v>0</v>
      </c>
      <c r="L63" s="10">
        <f>SUMIFS(IsQList,IsIList,Table_ExternalData_17[[#This Row],[item_key]],IsITypeList,Table_ExternalData_17[[#Headers],[CST]],IsDList,"&lt;&gt;"&amp;0)</f>
        <v>0</v>
      </c>
      <c r="M63" s="10">
        <f>SUMIFS(IsQList,IsIList,Table_ExternalData_15[[#This Row],[item_key]],IsITypeList,Table_ExternalData_17[[#Headers],[S/I]],IsDList,"&lt;&gt;"&amp;0)</f>
        <v>230</v>
      </c>
      <c r="N63" s="10">
        <f>SUMIFS(IsQList,IsIList,Table_ExternalData_15[[#This Row],[item_key]],IsITypeList,Table_ExternalData_17[[#Headers],[VST]],IsDList,"&lt;&gt;"&amp;0)</f>
        <v>0</v>
      </c>
      <c r="O63" s="10">
        <f>ABS(SUMIFS(IsQList,IsIList,Table_ExternalData_17[[#This Row],[item_key]],IsITypeList,Table_ExternalData_17[[#Headers],[RTN]],IsDList,"&lt;&gt;"&amp;0))</f>
        <v>0</v>
      </c>
      <c r="P63" s="10">
        <f>SUM(Table_ExternalData_17[[#This Row],[R/P]:[RTN]])</f>
        <v>230</v>
      </c>
      <c r="Q63" s="10">
        <f>SUM((Table_ExternalData_17[[#This Row],[Opening]]+Table_ExternalData_17[[#This Row],[Total Receipt]])-ABS(Table_ExternalData_17[[#This Row],[Total Issue]]))</f>
        <v>-230</v>
      </c>
    </row>
    <row r="64" spans="1:17">
      <c r="A64" s="1" t="s">
        <v>337</v>
      </c>
      <c r="B64" s="1" t="s">
        <v>2475</v>
      </c>
      <c r="C64" s="1" t="s">
        <v>2476</v>
      </c>
      <c r="D64" s="10">
        <f>SUMIFS(OPBQList,OPBIList,Table_ExternalData_17[[#This Row],[item_key]])+SUMIFS(GQList,GIList,Table_ExternalData_17[[#This Row],[item_key]],GDList,0)-ABS(SUMIFS(IsQList,IsIList,Table_ExternalData_17[[#This Row],[item_key]],IsDList,0))</f>
        <v>855</v>
      </c>
      <c r="E64" s="10">
        <f>SUMIFS(GQList,GIList,Table_ExternalData_17[[#This Row],[item_key]],GTList,Table_ExternalData_17[[#Headers],[GRN]],GDList,"&lt;&gt;"&amp;0)</f>
        <v>0</v>
      </c>
      <c r="F64" s="10">
        <f>SUMIFS(GQList,GIList,Table_ExternalData_17[[#This Row],[item_key]],GTList,Table_ExternalData_17[[#Headers],[VSTR]],GDList,"&lt;&gt;"&amp;0)</f>
        <v>0</v>
      </c>
      <c r="G64" s="10">
        <f>SUMIFS(GQList,GIList,Table_ExternalData_17[[#This Row],[item_key]],GTList,Table_ExternalData_17[[#Headers],[SR]],GDList,"&lt;&gt;"&amp;0)</f>
        <v>0</v>
      </c>
      <c r="H64" s="10">
        <f>SUMIFS(GQList,GIList,Table_ExternalData_17[[#This Row],[item_key]],GTList,Table_ExternalData_17[[#Headers],[TR]],GDList,"&lt;&gt;"&amp;0)</f>
        <v>0</v>
      </c>
      <c r="I64" s="10">
        <f>SUMIFS(GQList,GIList,Table_ExternalData_17[[#This Row],[item_key]],GTList,Table_ExternalData_17[[#Headers],[RCA]],GDList,"&lt;&gt;"&amp;0)</f>
        <v>0</v>
      </c>
      <c r="J64" s="10">
        <f>SUM(Table_ExternalData_17[[#This Row],[GRN]]+Table_ExternalData_17[[#This Row],[VSTR]]+Table_ExternalData_17[[#This Row],[SR]]+Table_ExternalData_17[[#This Row],[TR]]+Table_ExternalData_17[[#This Row],[RCA]])</f>
        <v>0</v>
      </c>
      <c r="K64" s="10">
        <f>SUMIFS(IsQList,IsIList,Table_ExternalData_17[[#This Row],[item_key]],IsITypeList,Table_ExternalData_17[[#Headers],[R/P]],IsDList,"&lt;&gt;"&amp;0)</f>
        <v>0</v>
      </c>
      <c r="L64" s="10">
        <f>SUMIFS(IsQList,IsIList,Table_ExternalData_17[[#This Row],[item_key]],IsITypeList,Table_ExternalData_17[[#Headers],[CST]],IsDList,"&lt;&gt;"&amp;0)</f>
        <v>0</v>
      </c>
      <c r="M64" s="10">
        <f>SUMIFS(IsQList,IsIList,Table_ExternalData_15[[#This Row],[item_key]],IsITypeList,Table_ExternalData_17[[#Headers],[S/I]],IsDList,"&lt;&gt;"&amp;0)</f>
        <v>26</v>
      </c>
      <c r="N64" s="10">
        <f>SUMIFS(IsQList,IsIList,Table_ExternalData_15[[#This Row],[item_key]],IsITypeList,Table_ExternalData_17[[#Headers],[VST]],IsDList,"&lt;&gt;"&amp;0)</f>
        <v>0</v>
      </c>
      <c r="O64" s="10">
        <f>ABS(SUMIFS(IsQList,IsIList,Table_ExternalData_17[[#This Row],[item_key]],IsITypeList,Table_ExternalData_17[[#Headers],[RTN]],IsDList,"&lt;&gt;"&amp;0))</f>
        <v>0</v>
      </c>
      <c r="P64" s="10">
        <f>SUM(Table_ExternalData_17[[#This Row],[R/P]:[RTN]])</f>
        <v>26</v>
      </c>
      <c r="Q64" s="10">
        <f>SUM((Table_ExternalData_17[[#This Row],[Opening]]+Table_ExternalData_17[[#This Row],[Total Receipt]])-ABS(Table_ExternalData_17[[#This Row],[Total Issue]]))</f>
        <v>829</v>
      </c>
    </row>
    <row r="65" spans="1:17">
      <c r="A65" s="1" t="s">
        <v>341</v>
      </c>
      <c r="B65" s="1" t="s">
        <v>2477</v>
      </c>
      <c r="C65" s="1" t="s">
        <v>1244</v>
      </c>
      <c r="D65" s="10">
        <f>SUMIFS(OPBQList,OPBIList,Table_ExternalData_17[[#This Row],[item_key]])+SUMIFS(GQList,GIList,Table_ExternalData_17[[#This Row],[item_key]],GDList,0)-ABS(SUMIFS(IsQList,IsIList,Table_ExternalData_17[[#This Row],[item_key]],IsDList,0))</f>
        <v>3</v>
      </c>
      <c r="E65" s="10">
        <f>SUMIFS(GQList,GIList,Table_ExternalData_17[[#This Row],[item_key]],GTList,Table_ExternalData_17[[#Headers],[GRN]],GDList,"&lt;&gt;"&amp;0)</f>
        <v>0</v>
      </c>
      <c r="F65" s="10">
        <f>SUMIFS(GQList,GIList,Table_ExternalData_17[[#This Row],[item_key]],GTList,Table_ExternalData_17[[#Headers],[VSTR]],GDList,"&lt;&gt;"&amp;0)</f>
        <v>0</v>
      </c>
      <c r="G65" s="10">
        <f>SUMIFS(GQList,GIList,Table_ExternalData_17[[#This Row],[item_key]],GTList,Table_ExternalData_17[[#Headers],[SR]],GDList,"&lt;&gt;"&amp;0)</f>
        <v>0</v>
      </c>
      <c r="H65" s="10">
        <f>SUMIFS(GQList,GIList,Table_ExternalData_17[[#This Row],[item_key]],GTList,Table_ExternalData_17[[#Headers],[TR]],GDList,"&lt;&gt;"&amp;0)</f>
        <v>0</v>
      </c>
      <c r="I65" s="10">
        <f>SUMIFS(GQList,GIList,Table_ExternalData_17[[#This Row],[item_key]],GTList,Table_ExternalData_17[[#Headers],[RCA]],GDList,"&lt;&gt;"&amp;0)</f>
        <v>0</v>
      </c>
      <c r="J65" s="10">
        <f>SUM(Table_ExternalData_17[[#This Row],[GRN]]+Table_ExternalData_17[[#This Row],[VSTR]]+Table_ExternalData_17[[#This Row],[SR]]+Table_ExternalData_17[[#This Row],[TR]]+Table_ExternalData_17[[#This Row],[RCA]])</f>
        <v>0</v>
      </c>
      <c r="K65" s="10">
        <f>SUMIFS(IsQList,IsIList,Table_ExternalData_17[[#This Row],[item_key]],IsITypeList,Table_ExternalData_17[[#Headers],[R/P]],IsDList,"&lt;&gt;"&amp;0)</f>
        <v>0</v>
      </c>
      <c r="L65" s="10">
        <f>SUMIFS(IsQList,IsIList,Table_ExternalData_17[[#This Row],[item_key]],IsITypeList,Table_ExternalData_17[[#Headers],[CST]],IsDList,"&lt;&gt;"&amp;0)</f>
        <v>0</v>
      </c>
      <c r="M65" s="10">
        <f>SUMIFS(IsQList,IsIList,Table_ExternalData_15[[#This Row],[item_key]],IsITypeList,Table_ExternalData_17[[#Headers],[S/I]],IsDList,"&lt;&gt;"&amp;0)</f>
        <v>30</v>
      </c>
      <c r="N65" s="10">
        <f>SUMIFS(IsQList,IsIList,Table_ExternalData_15[[#This Row],[item_key]],IsITypeList,Table_ExternalData_17[[#Headers],[VST]],IsDList,"&lt;&gt;"&amp;0)</f>
        <v>0</v>
      </c>
      <c r="O65" s="10">
        <f>ABS(SUMIFS(IsQList,IsIList,Table_ExternalData_17[[#This Row],[item_key]],IsITypeList,Table_ExternalData_17[[#Headers],[RTN]],IsDList,"&lt;&gt;"&amp;0))</f>
        <v>0</v>
      </c>
      <c r="P65" s="10">
        <f>SUM(Table_ExternalData_17[[#This Row],[R/P]:[RTN]])</f>
        <v>30</v>
      </c>
      <c r="Q65" s="10">
        <f>SUM((Table_ExternalData_17[[#This Row],[Opening]]+Table_ExternalData_17[[#This Row],[Total Receipt]])-ABS(Table_ExternalData_17[[#This Row],[Total Issue]]))</f>
        <v>-27</v>
      </c>
    </row>
    <row r="66" spans="1:17">
      <c r="A66" s="1" t="s">
        <v>342</v>
      </c>
      <c r="B66" s="1" t="s">
        <v>2478</v>
      </c>
      <c r="C66" s="1" t="s">
        <v>2479</v>
      </c>
      <c r="D66" s="10">
        <f>SUMIFS(OPBQList,OPBIList,Table_ExternalData_17[[#This Row],[item_key]])+SUMIFS(GQList,GIList,Table_ExternalData_17[[#This Row],[item_key]],GDList,0)-ABS(SUMIFS(IsQList,IsIList,Table_ExternalData_17[[#This Row],[item_key]],IsDList,0))</f>
        <v>47</v>
      </c>
      <c r="E66" s="10">
        <f>SUMIFS(GQList,GIList,Table_ExternalData_17[[#This Row],[item_key]],GTList,Table_ExternalData_17[[#Headers],[GRN]],GDList,"&lt;&gt;"&amp;0)</f>
        <v>0</v>
      </c>
      <c r="F66" s="10">
        <f>SUMIFS(GQList,GIList,Table_ExternalData_17[[#This Row],[item_key]],GTList,Table_ExternalData_17[[#Headers],[VSTR]],GDList,"&lt;&gt;"&amp;0)</f>
        <v>0</v>
      </c>
      <c r="G66" s="10">
        <f>SUMIFS(GQList,GIList,Table_ExternalData_17[[#This Row],[item_key]],GTList,Table_ExternalData_17[[#Headers],[SR]],GDList,"&lt;&gt;"&amp;0)</f>
        <v>0</v>
      </c>
      <c r="H66" s="10">
        <f>SUMIFS(GQList,GIList,Table_ExternalData_17[[#This Row],[item_key]],GTList,Table_ExternalData_17[[#Headers],[TR]],GDList,"&lt;&gt;"&amp;0)</f>
        <v>0</v>
      </c>
      <c r="I66" s="10">
        <f>SUMIFS(GQList,GIList,Table_ExternalData_17[[#This Row],[item_key]],GTList,Table_ExternalData_17[[#Headers],[RCA]],GDList,"&lt;&gt;"&amp;0)</f>
        <v>0</v>
      </c>
      <c r="J66" s="10">
        <f>SUM(Table_ExternalData_17[[#This Row],[GRN]]+Table_ExternalData_17[[#This Row],[VSTR]]+Table_ExternalData_17[[#This Row],[SR]]+Table_ExternalData_17[[#This Row],[TR]]+Table_ExternalData_17[[#This Row],[RCA]])</f>
        <v>0</v>
      </c>
      <c r="K66" s="10">
        <f>SUMIFS(IsQList,IsIList,Table_ExternalData_17[[#This Row],[item_key]],IsITypeList,Table_ExternalData_17[[#Headers],[R/P]],IsDList,"&lt;&gt;"&amp;0)</f>
        <v>0</v>
      </c>
      <c r="L66" s="10">
        <f>SUMIFS(IsQList,IsIList,Table_ExternalData_17[[#This Row],[item_key]],IsITypeList,Table_ExternalData_17[[#Headers],[CST]],IsDList,"&lt;&gt;"&amp;0)</f>
        <v>0</v>
      </c>
      <c r="M66" s="10">
        <f>SUMIFS(IsQList,IsIList,Table_ExternalData_15[[#This Row],[item_key]],IsITypeList,Table_ExternalData_17[[#Headers],[S/I]],IsDList,"&lt;&gt;"&amp;0)</f>
        <v>116</v>
      </c>
      <c r="N66" s="10">
        <f>SUMIFS(IsQList,IsIList,Table_ExternalData_15[[#This Row],[item_key]],IsITypeList,Table_ExternalData_17[[#Headers],[VST]],IsDList,"&lt;&gt;"&amp;0)</f>
        <v>0</v>
      </c>
      <c r="O66" s="10">
        <f>ABS(SUMIFS(IsQList,IsIList,Table_ExternalData_17[[#This Row],[item_key]],IsITypeList,Table_ExternalData_17[[#Headers],[RTN]],IsDList,"&lt;&gt;"&amp;0))</f>
        <v>0</v>
      </c>
      <c r="P66" s="10">
        <f>SUM(Table_ExternalData_17[[#This Row],[R/P]:[RTN]])</f>
        <v>116</v>
      </c>
      <c r="Q66" s="10">
        <f>SUM((Table_ExternalData_17[[#This Row],[Opening]]+Table_ExternalData_17[[#This Row],[Total Receipt]])-ABS(Table_ExternalData_17[[#This Row],[Total Issue]]))</f>
        <v>-69</v>
      </c>
    </row>
    <row r="67" spans="1:17">
      <c r="A67" s="1" t="s">
        <v>1682</v>
      </c>
      <c r="B67" s="1" t="s">
        <v>2480</v>
      </c>
      <c r="C67" s="1" t="s">
        <v>2481</v>
      </c>
      <c r="D67" s="10">
        <f>SUMIFS(OPBQList,OPBIList,Table_ExternalData_17[[#This Row],[item_key]])+SUMIFS(GQList,GIList,Table_ExternalData_17[[#This Row],[item_key]],GDList,0)-ABS(SUMIFS(IsQList,IsIList,Table_ExternalData_17[[#This Row],[item_key]],IsDList,0))</f>
        <v>11</v>
      </c>
      <c r="E67" s="10">
        <f>SUMIFS(GQList,GIList,Table_ExternalData_17[[#This Row],[item_key]],GTList,Table_ExternalData_17[[#Headers],[GRN]],GDList,"&lt;&gt;"&amp;0)</f>
        <v>0</v>
      </c>
      <c r="F67" s="10">
        <f>SUMIFS(GQList,GIList,Table_ExternalData_17[[#This Row],[item_key]],GTList,Table_ExternalData_17[[#Headers],[VSTR]],GDList,"&lt;&gt;"&amp;0)</f>
        <v>0</v>
      </c>
      <c r="G67" s="10">
        <f>SUMIFS(GQList,GIList,Table_ExternalData_17[[#This Row],[item_key]],GTList,Table_ExternalData_17[[#Headers],[SR]],GDList,"&lt;&gt;"&amp;0)</f>
        <v>0</v>
      </c>
      <c r="H67" s="10">
        <f>SUMIFS(GQList,GIList,Table_ExternalData_17[[#This Row],[item_key]],GTList,Table_ExternalData_17[[#Headers],[TR]],GDList,"&lt;&gt;"&amp;0)</f>
        <v>0</v>
      </c>
      <c r="I67" s="10">
        <f>SUMIFS(GQList,GIList,Table_ExternalData_17[[#This Row],[item_key]],GTList,Table_ExternalData_17[[#Headers],[RCA]],GDList,"&lt;&gt;"&amp;0)</f>
        <v>0</v>
      </c>
      <c r="J67" s="10">
        <f>SUM(Table_ExternalData_17[[#This Row],[GRN]]+Table_ExternalData_17[[#This Row],[VSTR]]+Table_ExternalData_17[[#This Row],[SR]]+Table_ExternalData_17[[#This Row],[TR]]+Table_ExternalData_17[[#This Row],[RCA]])</f>
        <v>0</v>
      </c>
      <c r="K67" s="10">
        <f>SUMIFS(IsQList,IsIList,Table_ExternalData_17[[#This Row],[item_key]],IsITypeList,Table_ExternalData_17[[#Headers],[R/P]],IsDList,"&lt;&gt;"&amp;0)</f>
        <v>0</v>
      </c>
      <c r="L67" s="10">
        <f>SUMIFS(IsQList,IsIList,Table_ExternalData_17[[#This Row],[item_key]],IsITypeList,Table_ExternalData_17[[#Headers],[CST]],IsDList,"&lt;&gt;"&amp;0)</f>
        <v>0</v>
      </c>
      <c r="M67" s="10">
        <f>SUMIFS(IsQList,IsIList,Table_ExternalData_15[[#This Row],[item_key]],IsITypeList,Table_ExternalData_17[[#Headers],[S/I]],IsDList,"&lt;&gt;"&amp;0)</f>
        <v>200</v>
      </c>
      <c r="N67" s="10">
        <f>SUMIFS(IsQList,IsIList,Table_ExternalData_15[[#This Row],[item_key]],IsITypeList,Table_ExternalData_17[[#Headers],[VST]],IsDList,"&lt;&gt;"&amp;0)</f>
        <v>0</v>
      </c>
      <c r="O67" s="10">
        <f>ABS(SUMIFS(IsQList,IsIList,Table_ExternalData_17[[#This Row],[item_key]],IsITypeList,Table_ExternalData_17[[#Headers],[RTN]],IsDList,"&lt;&gt;"&amp;0))</f>
        <v>0</v>
      </c>
      <c r="P67" s="10">
        <f>SUM(Table_ExternalData_17[[#This Row],[R/P]:[RTN]])</f>
        <v>200</v>
      </c>
      <c r="Q67" s="10">
        <f>SUM((Table_ExternalData_17[[#This Row],[Opening]]+Table_ExternalData_17[[#This Row],[Total Receipt]])-ABS(Table_ExternalData_17[[#This Row],[Total Issue]]))</f>
        <v>-189</v>
      </c>
    </row>
    <row r="68" spans="1:17">
      <c r="A68" s="1" t="s">
        <v>345</v>
      </c>
      <c r="B68" s="1" t="s">
        <v>2482</v>
      </c>
      <c r="C68" s="1" t="s">
        <v>2483</v>
      </c>
      <c r="D68" s="10">
        <f>SUMIFS(OPBQList,OPBIList,Table_ExternalData_17[[#This Row],[item_key]])+SUMIFS(GQList,GIList,Table_ExternalData_17[[#This Row],[item_key]],GDList,0)-ABS(SUMIFS(IsQList,IsIList,Table_ExternalData_17[[#This Row],[item_key]],IsDList,0))</f>
        <v>243</v>
      </c>
      <c r="E68" s="10">
        <f>SUMIFS(GQList,GIList,Table_ExternalData_17[[#This Row],[item_key]],GTList,Table_ExternalData_17[[#Headers],[GRN]],GDList,"&lt;&gt;"&amp;0)</f>
        <v>0</v>
      </c>
      <c r="F68" s="10">
        <f>SUMIFS(GQList,GIList,Table_ExternalData_17[[#This Row],[item_key]],GTList,Table_ExternalData_17[[#Headers],[VSTR]],GDList,"&lt;&gt;"&amp;0)</f>
        <v>0</v>
      </c>
      <c r="G68" s="10">
        <f>SUMIFS(GQList,GIList,Table_ExternalData_17[[#This Row],[item_key]],GTList,Table_ExternalData_17[[#Headers],[SR]],GDList,"&lt;&gt;"&amp;0)</f>
        <v>0</v>
      </c>
      <c r="H68" s="10">
        <f>SUMIFS(GQList,GIList,Table_ExternalData_17[[#This Row],[item_key]],GTList,Table_ExternalData_17[[#Headers],[TR]],GDList,"&lt;&gt;"&amp;0)</f>
        <v>0</v>
      </c>
      <c r="I68" s="10">
        <f>SUMIFS(GQList,GIList,Table_ExternalData_17[[#This Row],[item_key]],GTList,Table_ExternalData_17[[#Headers],[RCA]],GDList,"&lt;&gt;"&amp;0)</f>
        <v>0</v>
      </c>
      <c r="J68" s="10">
        <f>SUM(Table_ExternalData_17[[#This Row],[GRN]]+Table_ExternalData_17[[#This Row],[VSTR]]+Table_ExternalData_17[[#This Row],[SR]]+Table_ExternalData_17[[#This Row],[TR]]+Table_ExternalData_17[[#This Row],[RCA]])</f>
        <v>0</v>
      </c>
      <c r="K68" s="10">
        <f>SUMIFS(IsQList,IsIList,Table_ExternalData_17[[#This Row],[item_key]],IsITypeList,Table_ExternalData_17[[#Headers],[R/P]],IsDList,"&lt;&gt;"&amp;0)</f>
        <v>0</v>
      </c>
      <c r="L68" s="10">
        <f>SUMIFS(IsQList,IsIList,Table_ExternalData_17[[#This Row],[item_key]],IsITypeList,Table_ExternalData_17[[#Headers],[CST]],IsDList,"&lt;&gt;"&amp;0)</f>
        <v>0</v>
      </c>
      <c r="M68" s="10">
        <f>SUMIFS(IsQList,IsIList,Table_ExternalData_15[[#This Row],[item_key]],IsITypeList,Table_ExternalData_17[[#Headers],[S/I]],IsDList,"&lt;&gt;"&amp;0)</f>
        <v>29</v>
      </c>
      <c r="N68" s="10">
        <f>SUMIFS(IsQList,IsIList,Table_ExternalData_15[[#This Row],[item_key]],IsITypeList,Table_ExternalData_17[[#Headers],[VST]],IsDList,"&lt;&gt;"&amp;0)</f>
        <v>0</v>
      </c>
      <c r="O68" s="10">
        <f>ABS(SUMIFS(IsQList,IsIList,Table_ExternalData_17[[#This Row],[item_key]],IsITypeList,Table_ExternalData_17[[#Headers],[RTN]],IsDList,"&lt;&gt;"&amp;0))</f>
        <v>0</v>
      </c>
      <c r="P68" s="10">
        <f>SUM(Table_ExternalData_17[[#This Row],[R/P]:[RTN]])</f>
        <v>29</v>
      </c>
      <c r="Q68" s="10">
        <f>SUM((Table_ExternalData_17[[#This Row],[Opening]]+Table_ExternalData_17[[#This Row],[Total Receipt]])-ABS(Table_ExternalData_17[[#This Row],[Total Issue]]))</f>
        <v>214</v>
      </c>
    </row>
    <row r="69" spans="1:17">
      <c r="A69" s="1" t="s">
        <v>348</v>
      </c>
      <c r="B69" s="1" t="s">
        <v>2484</v>
      </c>
      <c r="C69" s="1" t="s">
        <v>2485</v>
      </c>
      <c r="D69" s="10">
        <f>SUMIFS(OPBQList,OPBIList,Table_ExternalData_17[[#This Row],[item_key]])+SUMIFS(GQList,GIList,Table_ExternalData_17[[#This Row],[item_key]],GDList,0)-ABS(SUMIFS(IsQList,IsIList,Table_ExternalData_17[[#This Row],[item_key]],IsDList,0))</f>
        <v>184</v>
      </c>
      <c r="E69" s="10">
        <f>SUMIFS(GQList,GIList,Table_ExternalData_17[[#This Row],[item_key]],GTList,Table_ExternalData_17[[#Headers],[GRN]],GDList,"&lt;&gt;"&amp;0)</f>
        <v>0</v>
      </c>
      <c r="F69" s="10">
        <f>SUMIFS(GQList,GIList,Table_ExternalData_17[[#This Row],[item_key]],GTList,Table_ExternalData_17[[#Headers],[VSTR]],GDList,"&lt;&gt;"&amp;0)</f>
        <v>0</v>
      </c>
      <c r="G69" s="10">
        <f>SUMIFS(GQList,GIList,Table_ExternalData_17[[#This Row],[item_key]],GTList,Table_ExternalData_17[[#Headers],[SR]],GDList,"&lt;&gt;"&amp;0)</f>
        <v>0</v>
      </c>
      <c r="H69" s="10">
        <f>SUMIFS(GQList,GIList,Table_ExternalData_17[[#This Row],[item_key]],GTList,Table_ExternalData_17[[#Headers],[TR]],GDList,"&lt;&gt;"&amp;0)</f>
        <v>0</v>
      </c>
      <c r="I69" s="10">
        <f>SUMIFS(GQList,GIList,Table_ExternalData_17[[#This Row],[item_key]],GTList,Table_ExternalData_17[[#Headers],[RCA]],GDList,"&lt;&gt;"&amp;0)</f>
        <v>0</v>
      </c>
      <c r="J69" s="10">
        <f>SUM(Table_ExternalData_17[[#This Row],[GRN]]+Table_ExternalData_17[[#This Row],[VSTR]]+Table_ExternalData_17[[#This Row],[SR]]+Table_ExternalData_17[[#This Row],[TR]]+Table_ExternalData_17[[#This Row],[RCA]])</f>
        <v>0</v>
      </c>
      <c r="K69" s="10">
        <f>SUMIFS(IsQList,IsIList,Table_ExternalData_17[[#This Row],[item_key]],IsITypeList,Table_ExternalData_17[[#Headers],[R/P]],IsDList,"&lt;&gt;"&amp;0)</f>
        <v>0</v>
      </c>
      <c r="L69" s="10">
        <f>SUMIFS(IsQList,IsIList,Table_ExternalData_17[[#This Row],[item_key]],IsITypeList,Table_ExternalData_17[[#Headers],[CST]],IsDList,"&lt;&gt;"&amp;0)</f>
        <v>0</v>
      </c>
      <c r="M69" s="10">
        <f>SUMIFS(IsQList,IsIList,Table_ExternalData_15[[#This Row],[item_key]],IsITypeList,Table_ExternalData_17[[#Headers],[S/I]],IsDList,"&lt;&gt;"&amp;0)</f>
        <v>0</v>
      </c>
      <c r="N69" s="10">
        <f>SUMIFS(IsQList,IsIList,Table_ExternalData_15[[#This Row],[item_key]],IsITypeList,Table_ExternalData_17[[#Headers],[VST]],IsDList,"&lt;&gt;"&amp;0)</f>
        <v>0</v>
      </c>
      <c r="O69" s="10">
        <f>ABS(SUMIFS(IsQList,IsIList,Table_ExternalData_17[[#This Row],[item_key]],IsITypeList,Table_ExternalData_17[[#Headers],[RTN]],IsDList,"&lt;&gt;"&amp;0))</f>
        <v>0</v>
      </c>
      <c r="P69" s="10">
        <f>SUM(Table_ExternalData_17[[#This Row],[R/P]:[RTN]])</f>
        <v>0</v>
      </c>
      <c r="Q69" s="10">
        <f>SUM((Table_ExternalData_17[[#This Row],[Opening]]+Table_ExternalData_17[[#This Row],[Total Receipt]])-ABS(Table_ExternalData_17[[#This Row],[Total Issue]]))</f>
        <v>184</v>
      </c>
    </row>
    <row r="70" spans="1:17">
      <c r="A70" s="1" t="s">
        <v>352</v>
      </c>
      <c r="B70" s="1" t="s">
        <v>1245</v>
      </c>
      <c r="C70" s="1" t="s">
        <v>1246</v>
      </c>
      <c r="D70" s="10">
        <f>SUMIFS(OPBQList,OPBIList,Table_ExternalData_17[[#This Row],[item_key]])+SUMIFS(GQList,GIList,Table_ExternalData_17[[#This Row],[item_key]],GDList,0)-ABS(SUMIFS(IsQList,IsIList,Table_ExternalData_17[[#This Row],[item_key]],IsDList,0))</f>
        <v>15</v>
      </c>
      <c r="E70" s="10">
        <f>SUMIFS(GQList,GIList,Table_ExternalData_17[[#This Row],[item_key]],GTList,Table_ExternalData_17[[#Headers],[GRN]],GDList,"&lt;&gt;"&amp;0)</f>
        <v>0</v>
      </c>
      <c r="F70" s="10">
        <f>SUMIFS(GQList,GIList,Table_ExternalData_17[[#This Row],[item_key]],GTList,Table_ExternalData_17[[#Headers],[VSTR]],GDList,"&lt;&gt;"&amp;0)</f>
        <v>0</v>
      </c>
      <c r="G70" s="10">
        <f>SUMIFS(GQList,GIList,Table_ExternalData_17[[#This Row],[item_key]],GTList,Table_ExternalData_17[[#Headers],[SR]],GDList,"&lt;&gt;"&amp;0)</f>
        <v>0</v>
      </c>
      <c r="H70" s="10">
        <f>SUMIFS(GQList,GIList,Table_ExternalData_17[[#This Row],[item_key]],GTList,Table_ExternalData_17[[#Headers],[TR]],GDList,"&lt;&gt;"&amp;0)</f>
        <v>0</v>
      </c>
      <c r="I70" s="10">
        <f>SUMIFS(GQList,GIList,Table_ExternalData_17[[#This Row],[item_key]],GTList,Table_ExternalData_17[[#Headers],[RCA]],GDList,"&lt;&gt;"&amp;0)</f>
        <v>0</v>
      </c>
      <c r="J70" s="10">
        <f>SUM(Table_ExternalData_17[[#This Row],[GRN]]+Table_ExternalData_17[[#This Row],[VSTR]]+Table_ExternalData_17[[#This Row],[SR]]+Table_ExternalData_17[[#This Row],[TR]]+Table_ExternalData_17[[#This Row],[RCA]])</f>
        <v>0</v>
      </c>
      <c r="K70" s="10">
        <f>SUMIFS(IsQList,IsIList,Table_ExternalData_17[[#This Row],[item_key]],IsITypeList,Table_ExternalData_17[[#Headers],[R/P]],IsDList,"&lt;&gt;"&amp;0)</f>
        <v>0</v>
      </c>
      <c r="L70" s="10">
        <f>SUMIFS(IsQList,IsIList,Table_ExternalData_17[[#This Row],[item_key]],IsITypeList,Table_ExternalData_17[[#Headers],[CST]],IsDList,"&lt;&gt;"&amp;0)</f>
        <v>0</v>
      </c>
      <c r="M70" s="10">
        <f>SUMIFS(IsQList,IsIList,Table_ExternalData_15[[#This Row],[item_key]],IsITypeList,Table_ExternalData_17[[#Headers],[S/I]],IsDList,"&lt;&gt;"&amp;0)</f>
        <v>0</v>
      </c>
      <c r="N70" s="10">
        <f>SUMIFS(IsQList,IsIList,Table_ExternalData_15[[#This Row],[item_key]],IsITypeList,Table_ExternalData_17[[#Headers],[VST]],IsDList,"&lt;&gt;"&amp;0)</f>
        <v>0</v>
      </c>
      <c r="O70" s="10">
        <f>ABS(SUMIFS(IsQList,IsIList,Table_ExternalData_17[[#This Row],[item_key]],IsITypeList,Table_ExternalData_17[[#Headers],[RTN]],IsDList,"&lt;&gt;"&amp;0))</f>
        <v>0</v>
      </c>
      <c r="P70" s="10">
        <f>SUM(Table_ExternalData_17[[#This Row],[R/P]:[RTN]])</f>
        <v>0</v>
      </c>
      <c r="Q70" s="10">
        <f>SUM((Table_ExternalData_17[[#This Row],[Opening]]+Table_ExternalData_17[[#This Row],[Total Receipt]])-ABS(Table_ExternalData_17[[#This Row],[Total Issue]]))</f>
        <v>15</v>
      </c>
    </row>
    <row r="71" spans="1:17">
      <c r="A71" s="1" t="s">
        <v>353</v>
      </c>
      <c r="B71" s="1" t="s">
        <v>2395</v>
      </c>
      <c r="C71" s="1" t="s">
        <v>2396</v>
      </c>
      <c r="D71" s="10">
        <f>SUMIFS(OPBQList,OPBIList,Table_ExternalData_17[[#This Row],[item_key]])+SUMIFS(GQList,GIList,Table_ExternalData_17[[#This Row],[item_key]],GDList,0)-ABS(SUMIFS(IsQList,IsIList,Table_ExternalData_17[[#This Row],[item_key]],IsDList,0))</f>
        <v>23</v>
      </c>
      <c r="E71" s="10">
        <f>SUMIFS(GQList,GIList,Table_ExternalData_17[[#This Row],[item_key]],GTList,Table_ExternalData_17[[#Headers],[GRN]],GDList,"&lt;&gt;"&amp;0)</f>
        <v>0</v>
      </c>
      <c r="F71" s="10">
        <f>SUMIFS(GQList,GIList,Table_ExternalData_17[[#This Row],[item_key]],GTList,Table_ExternalData_17[[#Headers],[VSTR]],GDList,"&lt;&gt;"&amp;0)</f>
        <v>0</v>
      </c>
      <c r="G71" s="10">
        <f>SUMIFS(GQList,GIList,Table_ExternalData_17[[#This Row],[item_key]],GTList,Table_ExternalData_17[[#Headers],[SR]],GDList,"&lt;&gt;"&amp;0)</f>
        <v>0</v>
      </c>
      <c r="H71" s="10">
        <f>SUMIFS(GQList,GIList,Table_ExternalData_17[[#This Row],[item_key]],GTList,Table_ExternalData_17[[#Headers],[TR]],GDList,"&lt;&gt;"&amp;0)</f>
        <v>0</v>
      </c>
      <c r="I71" s="10">
        <f>SUMIFS(GQList,GIList,Table_ExternalData_17[[#This Row],[item_key]],GTList,Table_ExternalData_17[[#Headers],[RCA]],GDList,"&lt;&gt;"&amp;0)</f>
        <v>0</v>
      </c>
      <c r="J71" s="10">
        <f>SUM(Table_ExternalData_17[[#This Row],[GRN]]+Table_ExternalData_17[[#This Row],[VSTR]]+Table_ExternalData_17[[#This Row],[SR]]+Table_ExternalData_17[[#This Row],[TR]]+Table_ExternalData_17[[#This Row],[RCA]])</f>
        <v>0</v>
      </c>
      <c r="K71" s="10">
        <f>SUMIFS(IsQList,IsIList,Table_ExternalData_17[[#This Row],[item_key]],IsITypeList,Table_ExternalData_17[[#Headers],[R/P]],IsDList,"&lt;&gt;"&amp;0)</f>
        <v>0</v>
      </c>
      <c r="L71" s="10">
        <f>SUMIFS(IsQList,IsIList,Table_ExternalData_17[[#This Row],[item_key]],IsITypeList,Table_ExternalData_17[[#Headers],[CST]],IsDList,"&lt;&gt;"&amp;0)</f>
        <v>0</v>
      </c>
      <c r="M71" s="10">
        <f>SUMIFS(IsQList,IsIList,Table_ExternalData_15[[#This Row],[item_key]],IsITypeList,Table_ExternalData_17[[#Headers],[S/I]],IsDList,"&lt;&gt;"&amp;0)</f>
        <v>0</v>
      </c>
      <c r="N71" s="10">
        <f>SUMIFS(IsQList,IsIList,Table_ExternalData_15[[#This Row],[item_key]],IsITypeList,Table_ExternalData_17[[#Headers],[VST]],IsDList,"&lt;&gt;"&amp;0)</f>
        <v>0</v>
      </c>
      <c r="O71" s="10">
        <f>ABS(SUMIFS(IsQList,IsIList,Table_ExternalData_17[[#This Row],[item_key]],IsITypeList,Table_ExternalData_17[[#Headers],[RTN]],IsDList,"&lt;&gt;"&amp;0))</f>
        <v>0</v>
      </c>
      <c r="P71" s="10">
        <f>SUM(Table_ExternalData_17[[#This Row],[R/P]:[RTN]])</f>
        <v>0</v>
      </c>
      <c r="Q71" s="10">
        <f>SUM((Table_ExternalData_17[[#This Row],[Opening]]+Table_ExternalData_17[[#This Row],[Total Receipt]])-ABS(Table_ExternalData_17[[#This Row],[Total Issue]]))</f>
        <v>23</v>
      </c>
    </row>
    <row r="72" spans="1:17">
      <c r="A72" s="1" t="s">
        <v>354</v>
      </c>
      <c r="B72" s="1" t="s">
        <v>1247</v>
      </c>
      <c r="C72" s="1" t="s">
        <v>1248</v>
      </c>
      <c r="D72" s="10">
        <f>SUMIFS(OPBQList,OPBIList,Table_ExternalData_17[[#This Row],[item_key]])+SUMIFS(GQList,GIList,Table_ExternalData_17[[#This Row],[item_key]],GDList,0)-ABS(SUMIFS(IsQList,IsIList,Table_ExternalData_17[[#This Row],[item_key]],IsDList,0))</f>
        <v>69</v>
      </c>
      <c r="E72" s="10">
        <f>SUMIFS(GQList,GIList,Table_ExternalData_17[[#This Row],[item_key]],GTList,Table_ExternalData_17[[#Headers],[GRN]],GDList,"&lt;&gt;"&amp;0)</f>
        <v>0</v>
      </c>
      <c r="F72" s="10">
        <f>SUMIFS(GQList,GIList,Table_ExternalData_17[[#This Row],[item_key]],GTList,Table_ExternalData_17[[#Headers],[VSTR]],GDList,"&lt;&gt;"&amp;0)</f>
        <v>0</v>
      </c>
      <c r="G72" s="10">
        <f>SUMIFS(GQList,GIList,Table_ExternalData_17[[#This Row],[item_key]],GTList,Table_ExternalData_17[[#Headers],[SR]],GDList,"&lt;&gt;"&amp;0)</f>
        <v>0</v>
      </c>
      <c r="H72" s="10">
        <f>SUMIFS(GQList,GIList,Table_ExternalData_17[[#This Row],[item_key]],GTList,Table_ExternalData_17[[#Headers],[TR]],GDList,"&lt;&gt;"&amp;0)</f>
        <v>0</v>
      </c>
      <c r="I72" s="10">
        <f>SUMIFS(GQList,GIList,Table_ExternalData_17[[#This Row],[item_key]],GTList,Table_ExternalData_17[[#Headers],[RCA]],GDList,"&lt;&gt;"&amp;0)</f>
        <v>0</v>
      </c>
      <c r="J72" s="10">
        <f>SUM(Table_ExternalData_17[[#This Row],[GRN]]+Table_ExternalData_17[[#This Row],[VSTR]]+Table_ExternalData_17[[#This Row],[SR]]+Table_ExternalData_17[[#This Row],[TR]]+Table_ExternalData_17[[#This Row],[RCA]])</f>
        <v>0</v>
      </c>
      <c r="K72" s="10">
        <f>SUMIFS(IsQList,IsIList,Table_ExternalData_17[[#This Row],[item_key]],IsITypeList,Table_ExternalData_17[[#Headers],[R/P]],IsDList,"&lt;&gt;"&amp;0)</f>
        <v>0</v>
      </c>
      <c r="L72" s="10">
        <f>SUMIFS(IsQList,IsIList,Table_ExternalData_17[[#This Row],[item_key]],IsITypeList,Table_ExternalData_17[[#Headers],[CST]],IsDList,"&lt;&gt;"&amp;0)</f>
        <v>0</v>
      </c>
      <c r="M72" s="10">
        <f>SUMIFS(IsQList,IsIList,Table_ExternalData_15[[#This Row],[item_key]],IsITypeList,Table_ExternalData_17[[#Headers],[S/I]],IsDList,"&lt;&gt;"&amp;0)</f>
        <v>10</v>
      </c>
      <c r="N72" s="10">
        <f>SUMIFS(IsQList,IsIList,Table_ExternalData_15[[#This Row],[item_key]],IsITypeList,Table_ExternalData_17[[#Headers],[VST]],IsDList,"&lt;&gt;"&amp;0)</f>
        <v>0</v>
      </c>
      <c r="O72" s="10">
        <f>ABS(SUMIFS(IsQList,IsIList,Table_ExternalData_17[[#This Row],[item_key]],IsITypeList,Table_ExternalData_17[[#Headers],[RTN]],IsDList,"&lt;&gt;"&amp;0))</f>
        <v>0</v>
      </c>
      <c r="P72" s="10">
        <f>SUM(Table_ExternalData_17[[#This Row],[R/P]:[RTN]])</f>
        <v>10</v>
      </c>
      <c r="Q72" s="10">
        <f>SUM((Table_ExternalData_17[[#This Row],[Opening]]+Table_ExternalData_17[[#This Row],[Total Receipt]])-ABS(Table_ExternalData_17[[#This Row],[Total Issue]]))</f>
        <v>59</v>
      </c>
    </row>
    <row r="73" spans="1:17">
      <c r="A73" s="1" t="s">
        <v>355</v>
      </c>
      <c r="B73" s="1" t="s">
        <v>1249</v>
      </c>
      <c r="C73" s="1" t="s">
        <v>1250</v>
      </c>
      <c r="D7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73" s="10">
        <f>SUMIFS(GQList,GIList,Table_ExternalData_17[[#This Row],[item_key]],GTList,Table_ExternalData_17[[#Headers],[GRN]],GDList,"&lt;&gt;"&amp;0)</f>
        <v>0</v>
      </c>
      <c r="F73" s="10">
        <f>SUMIFS(GQList,GIList,Table_ExternalData_17[[#This Row],[item_key]],GTList,Table_ExternalData_17[[#Headers],[VSTR]],GDList,"&lt;&gt;"&amp;0)</f>
        <v>0</v>
      </c>
      <c r="G73" s="10">
        <f>SUMIFS(GQList,GIList,Table_ExternalData_17[[#This Row],[item_key]],GTList,Table_ExternalData_17[[#Headers],[SR]],GDList,"&lt;&gt;"&amp;0)</f>
        <v>0</v>
      </c>
      <c r="H73" s="10">
        <f>SUMIFS(GQList,GIList,Table_ExternalData_17[[#This Row],[item_key]],GTList,Table_ExternalData_17[[#Headers],[TR]],GDList,"&lt;&gt;"&amp;0)</f>
        <v>0</v>
      </c>
      <c r="I73" s="10">
        <f>SUMIFS(GQList,GIList,Table_ExternalData_17[[#This Row],[item_key]],GTList,Table_ExternalData_17[[#Headers],[RCA]],GDList,"&lt;&gt;"&amp;0)</f>
        <v>0</v>
      </c>
      <c r="J73" s="10">
        <f>SUM(Table_ExternalData_17[[#This Row],[GRN]]+Table_ExternalData_17[[#This Row],[VSTR]]+Table_ExternalData_17[[#This Row],[SR]]+Table_ExternalData_17[[#This Row],[TR]]+Table_ExternalData_17[[#This Row],[RCA]])</f>
        <v>0</v>
      </c>
      <c r="K73" s="10">
        <f>SUMIFS(IsQList,IsIList,Table_ExternalData_17[[#This Row],[item_key]],IsITypeList,Table_ExternalData_17[[#Headers],[R/P]],IsDList,"&lt;&gt;"&amp;0)</f>
        <v>0</v>
      </c>
      <c r="L73" s="10">
        <f>SUMIFS(IsQList,IsIList,Table_ExternalData_17[[#This Row],[item_key]],IsITypeList,Table_ExternalData_17[[#Headers],[CST]],IsDList,"&lt;&gt;"&amp;0)</f>
        <v>0</v>
      </c>
      <c r="M73" s="10">
        <f>SUMIFS(IsQList,IsIList,Table_ExternalData_15[[#This Row],[item_key]],IsITypeList,Table_ExternalData_17[[#Headers],[S/I]],IsDList,"&lt;&gt;"&amp;0)</f>
        <v>0</v>
      </c>
      <c r="N73" s="10">
        <f>SUMIFS(IsQList,IsIList,Table_ExternalData_15[[#This Row],[item_key]],IsITypeList,Table_ExternalData_17[[#Headers],[VST]],IsDList,"&lt;&gt;"&amp;0)</f>
        <v>0</v>
      </c>
      <c r="O73" s="10">
        <f>ABS(SUMIFS(IsQList,IsIList,Table_ExternalData_17[[#This Row],[item_key]],IsITypeList,Table_ExternalData_17[[#Headers],[RTN]],IsDList,"&lt;&gt;"&amp;0))</f>
        <v>0</v>
      </c>
      <c r="P73" s="10">
        <f>SUM(Table_ExternalData_17[[#This Row],[R/P]:[RTN]])</f>
        <v>0</v>
      </c>
      <c r="Q73" s="10">
        <f>SUM((Table_ExternalData_17[[#This Row],[Opening]]+Table_ExternalData_17[[#This Row],[Total Receipt]])-ABS(Table_ExternalData_17[[#This Row],[Total Issue]]))</f>
        <v>0</v>
      </c>
    </row>
    <row r="74" spans="1:17">
      <c r="A74" s="1" t="s">
        <v>356</v>
      </c>
      <c r="B74" s="1" t="s">
        <v>2486</v>
      </c>
      <c r="C74" s="1" t="s">
        <v>2487</v>
      </c>
      <c r="D74" s="10">
        <f>SUMIFS(OPBQList,OPBIList,Table_ExternalData_17[[#This Row],[item_key]])+SUMIFS(GQList,GIList,Table_ExternalData_17[[#This Row],[item_key]],GDList,0)-ABS(SUMIFS(IsQList,IsIList,Table_ExternalData_17[[#This Row],[item_key]],IsDList,0))</f>
        <v>586</v>
      </c>
      <c r="E74" s="10">
        <f>SUMIFS(GQList,GIList,Table_ExternalData_17[[#This Row],[item_key]],GTList,Table_ExternalData_17[[#Headers],[GRN]],GDList,"&lt;&gt;"&amp;0)</f>
        <v>0</v>
      </c>
      <c r="F74" s="10">
        <f>SUMIFS(GQList,GIList,Table_ExternalData_17[[#This Row],[item_key]],GTList,Table_ExternalData_17[[#Headers],[VSTR]],GDList,"&lt;&gt;"&amp;0)</f>
        <v>0</v>
      </c>
      <c r="G74" s="10">
        <f>SUMIFS(GQList,GIList,Table_ExternalData_17[[#This Row],[item_key]],GTList,Table_ExternalData_17[[#Headers],[SR]],GDList,"&lt;&gt;"&amp;0)</f>
        <v>0</v>
      </c>
      <c r="H74" s="10">
        <f>SUMIFS(GQList,GIList,Table_ExternalData_17[[#This Row],[item_key]],GTList,Table_ExternalData_17[[#Headers],[TR]],GDList,"&lt;&gt;"&amp;0)</f>
        <v>0</v>
      </c>
      <c r="I74" s="10">
        <f>SUMIFS(GQList,GIList,Table_ExternalData_17[[#This Row],[item_key]],GTList,Table_ExternalData_17[[#Headers],[RCA]],GDList,"&lt;&gt;"&amp;0)</f>
        <v>0</v>
      </c>
      <c r="J74" s="10">
        <f>SUM(Table_ExternalData_17[[#This Row],[GRN]]+Table_ExternalData_17[[#This Row],[VSTR]]+Table_ExternalData_17[[#This Row],[SR]]+Table_ExternalData_17[[#This Row],[TR]]+Table_ExternalData_17[[#This Row],[RCA]])</f>
        <v>0</v>
      </c>
      <c r="K74" s="10">
        <f>SUMIFS(IsQList,IsIList,Table_ExternalData_17[[#This Row],[item_key]],IsITypeList,Table_ExternalData_17[[#Headers],[R/P]],IsDList,"&lt;&gt;"&amp;0)</f>
        <v>0</v>
      </c>
      <c r="L74" s="10">
        <f>SUMIFS(IsQList,IsIList,Table_ExternalData_17[[#This Row],[item_key]],IsITypeList,Table_ExternalData_17[[#Headers],[CST]],IsDList,"&lt;&gt;"&amp;0)</f>
        <v>0</v>
      </c>
      <c r="M74" s="10">
        <f>SUMIFS(IsQList,IsIList,Table_ExternalData_15[[#This Row],[item_key]],IsITypeList,Table_ExternalData_17[[#Headers],[S/I]],IsDList,"&lt;&gt;"&amp;0)</f>
        <v>437</v>
      </c>
      <c r="N74" s="10">
        <f>SUMIFS(IsQList,IsIList,Table_ExternalData_15[[#This Row],[item_key]],IsITypeList,Table_ExternalData_17[[#Headers],[VST]],IsDList,"&lt;&gt;"&amp;0)</f>
        <v>0</v>
      </c>
      <c r="O74" s="10">
        <f>ABS(SUMIFS(IsQList,IsIList,Table_ExternalData_17[[#This Row],[item_key]],IsITypeList,Table_ExternalData_17[[#Headers],[RTN]],IsDList,"&lt;&gt;"&amp;0))</f>
        <v>0</v>
      </c>
      <c r="P74" s="10">
        <f>SUM(Table_ExternalData_17[[#This Row],[R/P]:[RTN]])</f>
        <v>437</v>
      </c>
      <c r="Q74" s="10">
        <f>SUM((Table_ExternalData_17[[#This Row],[Opening]]+Table_ExternalData_17[[#This Row],[Total Receipt]])-ABS(Table_ExternalData_17[[#This Row],[Total Issue]]))</f>
        <v>149</v>
      </c>
    </row>
    <row r="75" spans="1:17">
      <c r="A75" s="1" t="s">
        <v>357</v>
      </c>
      <c r="B75" s="1" t="s">
        <v>1251</v>
      </c>
      <c r="C75" s="1" t="s">
        <v>1252</v>
      </c>
      <c r="D75" s="10">
        <f>SUMIFS(OPBQList,OPBIList,Table_ExternalData_17[[#This Row],[item_key]])+SUMIFS(GQList,GIList,Table_ExternalData_17[[#This Row],[item_key]],GDList,0)-ABS(SUMIFS(IsQList,IsIList,Table_ExternalData_17[[#This Row],[item_key]],IsDList,0))</f>
        <v>32</v>
      </c>
      <c r="E75" s="10">
        <f>SUMIFS(GQList,GIList,Table_ExternalData_17[[#This Row],[item_key]],GTList,Table_ExternalData_17[[#Headers],[GRN]],GDList,"&lt;&gt;"&amp;0)</f>
        <v>0</v>
      </c>
      <c r="F75" s="10">
        <f>SUMIFS(GQList,GIList,Table_ExternalData_17[[#This Row],[item_key]],GTList,Table_ExternalData_17[[#Headers],[VSTR]],GDList,"&lt;&gt;"&amp;0)</f>
        <v>0</v>
      </c>
      <c r="G75" s="10">
        <f>SUMIFS(GQList,GIList,Table_ExternalData_17[[#This Row],[item_key]],GTList,Table_ExternalData_17[[#Headers],[SR]],GDList,"&lt;&gt;"&amp;0)</f>
        <v>0</v>
      </c>
      <c r="H75" s="10">
        <f>SUMIFS(GQList,GIList,Table_ExternalData_17[[#This Row],[item_key]],GTList,Table_ExternalData_17[[#Headers],[TR]],GDList,"&lt;&gt;"&amp;0)</f>
        <v>0</v>
      </c>
      <c r="I75" s="10">
        <f>SUMIFS(GQList,GIList,Table_ExternalData_17[[#This Row],[item_key]],GTList,Table_ExternalData_17[[#Headers],[RCA]],GDList,"&lt;&gt;"&amp;0)</f>
        <v>0</v>
      </c>
      <c r="J75" s="10">
        <f>SUM(Table_ExternalData_17[[#This Row],[GRN]]+Table_ExternalData_17[[#This Row],[VSTR]]+Table_ExternalData_17[[#This Row],[SR]]+Table_ExternalData_17[[#This Row],[TR]]+Table_ExternalData_17[[#This Row],[RCA]])</f>
        <v>0</v>
      </c>
      <c r="K75" s="10">
        <f>SUMIFS(IsQList,IsIList,Table_ExternalData_17[[#This Row],[item_key]],IsITypeList,Table_ExternalData_17[[#Headers],[R/P]],IsDList,"&lt;&gt;"&amp;0)</f>
        <v>0</v>
      </c>
      <c r="L75" s="10">
        <f>SUMIFS(IsQList,IsIList,Table_ExternalData_17[[#This Row],[item_key]],IsITypeList,Table_ExternalData_17[[#Headers],[CST]],IsDList,"&lt;&gt;"&amp;0)</f>
        <v>0</v>
      </c>
      <c r="M75" s="10">
        <f>SUMIFS(IsQList,IsIList,Table_ExternalData_15[[#This Row],[item_key]],IsITypeList,Table_ExternalData_17[[#Headers],[S/I]],IsDList,"&lt;&gt;"&amp;0)</f>
        <v>3</v>
      </c>
      <c r="N75" s="10">
        <f>SUMIFS(IsQList,IsIList,Table_ExternalData_15[[#This Row],[item_key]],IsITypeList,Table_ExternalData_17[[#Headers],[VST]],IsDList,"&lt;&gt;"&amp;0)</f>
        <v>0</v>
      </c>
      <c r="O75" s="10">
        <f>ABS(SUMIFS(IsQList,IsIList,Table_ExternalData_17[[#This Row],[item_key]],IsITypeList,Table_ExternalData_17[[#Headers],[RTN]],IsDList,"&lt;&gt;"&amp;0))</f>
        <v>0</v>
      </c>
      <c r="P75" s="10">
        <f>SUM(Table_ExternalData_17[[#This Row],[R/P]:[RTN]])</f>
        <v>3</v>
      </c>
      <c r="Q75" s="10">
        <f>SUM((Table_ExternalData_17[[#This Row],[Opening]]+Table_ExternalData_17[[#This Row],[Total Receipt]])-ABS(Table_ExternalData_17[[#This Row],[Total Issue]]))</f>
        <v>29</v>
      </c>
    </row>
    <row r="76" spans="1:17">
      <c r="A76" s="1" t="s">
        <v>358</v>
      </c>
      <c r="B76" s="1" t="s">
        <v>2488</v>
      </c>
      <c r="C76" s="1" t="s">
        <v>2489</v>
      </c>
      <c r="D76" s="10">
        <f>SUMIFS(OPBQList,OPBIList,Table_ExternalData_17[[#This Row],[item_key]])+SUMIFS(GQList,GIList,Table_ExternalData_17[[#This Row],[item_key]],GDList,0)-ABS(SUMIFS(IsQList,IsIList,Table_ExternalData_17[[#This Row],[item_key]],IsDList,0))</f>
        <v>805</v>
      </c>
      <c r="E76" s="10">
        <f>SUMIFS(GQList,GIList,Table_ExternalData_17[[#This Row],[item_key]],GTList,Table_ExternalData_17[[#Headers],[GRN]],GDList,"&lt;&gt;"&amp;0)</f>
        <v>0</v>
      </c>
      <c r="F76" s="10">
        <f>SUMIFS(GQList,GIList,Table_ExternalData_17[[#This Row],[item_key]],GTList,Table_ExternalData_17[[#Headers],[VSTR]],GDList,"&lt;&gt;"&amp;0)</f>
        <v>0</v>
      </c>
      <c r="G76" s="10">
        <f>SUMIFS(GQList,GIList,Table_ExternalData_17[[#This Row],[item_key]],GTList,Table_ExternalData_17[[#Headers],[SR]],GDList,"&lt;&gt;"&amp;0)</f>
        <v>0</v>
      </c>
      <c r="H76" s="10">
        <f>SUMIFS(GQList,GIList,Table_ExternalData_17[[#This Row],[item_key]],GTList,Table_ExternalData_17[[#Headers],[TR]],GDList,"&lt;&gt;"&amp;0)</f>
        <v>0</v>
      </c>
      <c r="I76" s="10">
        <f>SUMIFS(GQList,GIList,Table_ExternalData_17[[#This Row],[item_key]],GTList,Table_ExternalData_17[[#Headers],[RCA]],GDList,"&lt;&gt;"&amp;0)</f>
        <v>0</v>
      </c>
      <c r="J76" s="10">
        <f>SUM(Table_ExternalData_17[[#This Row],[GRN]]+Table_ExternalData_17[[#This Row],[VSTR]]+Table_ExternalData_17[[#This Row],[SR]]+Table_ExternalData_17[[#This Row],[TR]]+Table_ExternalData_17[[#This Row],[RCA]])</f>
        <v>0</v>
      </c>
      <c r="K76" s="10">
        <f>SUMIFS(IsQList,IsIList,Table_ExternalData_17[[#This Row],[item_key]],IsITypeList,Table_ExternalData_17[[#Headers],[R/P]],IsDList,"&lt;&gt;"&amp;0)</f>
        <v>0</v>
      </c>
      <c r="L76" s="10">
        <f>SUMIFS(IsQList,IsIList,Table_ExternalData_17[[#This Row],[item_key]],IsITypeList,Table_ExternalData_17[[#Headers],[CST]],IsDList,"&lt;&gt;"&amp;0)</f>
        <v>0</v>
      </c>
      <c r="M76" s="10">
        <f>SUMIFS(IsQList,IsIList,Table_ExternalData_15[[#This Row],[item_key]],IsITypeList,Table_ExternalData_17[[#Headers],[S/I]],IsDList,"&lt;&gt;"&amp;0)</f>
        <v>275</v>
      </c>
      <c r="N76" s="10">
        <f>SUMIFS(IsQList,IsIList,Table_ExternalData_15[[#This Row],[item_key]],IsITypeList,Table_ExternalData_17[[#Headers],[VST]],IsDList,"&lt;&gt;"&amp;0)</f>
        <v>0</v>
      </c>
      <c r="O76" s="10">
        <f>ABS(SUMIFS(IsQList,IsIList,Table_ExternalData_17[[#This Row],[item_key]],IsITypeList,Table_ExternalData_17[[#Headers],[RTN]],IsDList,"&lt;&gt;"&amp;0))</f>
        <v>0</v>
      </c>
      <c r="P76" s="10">
        <f>SUM(Table_ExternalData_17[[#This Row],[R/P]:[RTN]])</f>
        <v>275</v>
      </c>
      <c r="Q76" s="10">
        <f>SUM((Table_ExternalData_17[[#This Row],[Opening]]+Table_ExternalData_17[[#This Row],[Total Receipt]])-ABS(Table_ExternalData_17[[#This Row],[Total Issue]]))</f>
        <v>530</v>
      </c>
    </row>
    <row r="77" spans="1:17">
      <c r="A77" s="1" t="s">
        <v>360</v>
      </c>
      <c r="B77" s="1" t="s">
        <v>2490</v>
      </c>
      <c r="C77" s="1" t="s">
        <v>2491</v>
      </c>
      <c r="D77" s="10">
        <f>SUMIFS(OPBQList,OPBIList,Table_ExternalData_17[[#This Row],[item_key]])+SUMIFS(GQList,GIList,Table_ExternalData_17[[#This Row],[item_key]],GDList,0)-ABS(SUMIFS(IsQList,IsIList,Table_ExternalData_17[[#This Row],[item_key]],IsDList,0))</f>
        <v>42</v>
      </c>
      <c r="E77" s="10">
        <f>SUMIFS(GQList,GIList,Table_ExternalData_17[[#This Row],[item_key]],GTList,Table_ExternalData_17[[#Headers],[GRN]],GDList,"&lt;&gt;"&amp;0)</f>
        <v>100</v>
      </c>
      <c r="F77" s="10">
        <f>SUMIFS(GQList,GIList,Table_ExternalData_17[[#This Row],[item_key]],GTList,Table_ExternalData_17[[#Headers],[VSTR]],GDList,"&lt;&gt;"&amp;0)</f>
        <v>0</v>
      </c>
      <c r="G77" s="10">
        <f>SUMIFS(GQList,GIList,Table_ExternalData_17[[#This Row],[item_key]],GTList,Table_ExternalData_17[[#Headers],[SR]],GDList,"&lt;&gt;"&amp;0)</f>
        <v>0</v>
      </c>
      <c r="H77" s="10">
        <f>SUMIFS(GQList,GIList,Table_ExternalData_17[[#This Row],[item_key]],GTList,Table_ExternalData_17[[#Headers],[TR]],GDList,"&lt;&gt;"&amp;0)</f>
        <v>0</v>
      </c>
      <c r="I77" s="10">
        <f>SUMIFS(GQList,GIList,Table_ExternalData_17[[#This Row],[item_key]],GTList,Table_ExternalData_17[[#Headers],[RCA]],GDList,"&lt;&gt;"&amp;0)</f>
        <v>0</v>
      </c>
      <c r="J77" s="10">
        <f>SUM(Table_ExternalData_17[[#This Row],[GRN]]+Table_ExternalData_17[[#This Row],[VSTR]]+Table_ExternalData_17[[#This Row],[SR]]+Table_ExternalData_17[[#This Row],[TR]]+Table_ExternalData_17[[#This Row],[RCA]])</f>
        <v>100</v>
      </c>
      <c r="K77" s="10">
        <f>SUMIFS(IsQList,IsIList,Table_ExternalData_17[[#This Row],[item_key]],IsITypeList,Table_ExternalData_17[[#Headers],[R/P]],IsDList,"&lt;&gt;"&amp;0)</f>
        <v>0</v>
      </c>
      <c r="L77" s="10">
        <f>SUMIFS(IsQList,IsIList,Table_ExternalData_17[[#This Row],[item_key]],IsITypeList,Table_ExternalData_17[[#Headers],[CST]],IsDList,"&lt;&gt;"&amp;0)</f>
        <v>0</v>
      </c>
      <c r="M77" s="10">
        <f>SUMIFS(IsQList,IsIList,Table_ExternalData_15[[#This Row],[item_key]],IsITypeList,Table_ExternalData_17[[#Headers],[S/I]],IsDList,"&lt;&gt;"&amp;0)</f>
        <v>19</v>
      </c>
      <c r="N77" s="10">
        <f>SUMIFS(IsQList,IsIList,Table_ExternalData_15[[#This Row],[item_key]],IsITypeList,Table_ExternalData_17[[#Headers],[VST]],IsDList,"&lt;&gt;"&amp;0)</f>
        <v>0</v>
      </c>
      <c r="O77" s="10">
        <f>ABS(SUMIFS(IsQList,IsIList,Table_ExternalData_17[[#This Row],[item_key]],IsITypeList,Table_ExternalData_17[[#Headers],[RTN]],IsDList,"&lt;&gt;"&amp;0))</f>
        <v>0</v>
      </c>
      <c r="P77" s="10">
        <f>SUM(Table_ExternalData_17[[#This Row],[R/P]:[RTN]])</f>
        <v>19</v>
      </c>
      <c r="Q77" s="10">
        <f>SUM((Table_ExternalData_17[[#This Row],[Opening]]+Table_ExternalData_17[[#This Row],[Total Receipt]])-ABS(Table_ExternalData_17[[#This Row],[Total Issue]]))</f>
        <v>123</v>
      </c>
    </row>
    <row r="78" spans="1:17">
      <c r="A78" s="1" t="s">
        <v>1692</v>
      </c>
      <c r="B78" s="1" t="s">
        <v>2492</v>
      </c>
      <c r="C78" s="1" t="s">
        <v>2493</v>
      </c>
      <c r="D78" s="10">
        <f>SUMIFS(OPBQList,OPBIList,Table_ExternalData_17[[#This Row],[item_key]])+SUMIFS(GQList,GIList,Table_ExternalData_17[[#This Row],[item_key]],GDList,0)-ABS(SUMIFS(IsQList,IsIList,Table_ExternalData_17[[#This Row],[item_key]],IsDList,0))</f>
        <v>33</v>
      </c>
      <c r="E78" s="10">
        <f>SUMIFS(GQList,GIList,Table_ExternalData_17[[#This Row],[item_key]],GTList,Table_ExternalData_17[[#Headers],[GRN]],GDList,"&lt;&gt;"&amp;0)</f>
        <v>100</v>
      </c>
      <c r="F78" s="10">
        <f>SUMIFS(GQList,GIList,Table_ExternalData_17[[#This Row],[item_key]],GTList,Table_ExternalData_17[[#Headers],[VSTR]],GDList,"&lt;&gt;"&amp;0)</f>
        <v>0</v>
      </c>
      <c r="G78" s="10">
        <f>SUMIFS(GQList,GIList,Table_ExternalData_17[[#This Row],[item_key]],GTList,Table_ExternalData_17[[#Headers],[SR]],GDList,"&lt;&gt;"&amp;0)</f>
        <v>0</v>
      </c>
      <c r="H78" s="10">
        <f>SUMIFS(GQList,GIList,Table_ExternalData_17[[#This Row],[item_key]],GTList,Table_ExternalData_17[[#Headers],[TR]],GDList,"&lt;&gt;"&amp;0)</f>
        <v>0</v>
      </c>
      <c r="I78" s="10">
        <f>SUMIFS(GQList,GIList,Table_ExternalData_17[[#This Row],[item_key]],GTList,Table_ExternalData_17[[#Headers],[RCA]],GDList,"&lt;&gt;"&amp;0)</f>
        <v>0</v>
      </c>
      <c r="J78" s="10">
        <f>SUM(Table_ExternalData_17[[#This Row],[GRN]]+Table_ExternalData_17[[#This Row],[VSTR]]+Table_ExternalData_17[[#This Row],[SR]]+Table_ExternalData_17[[#This Row],[TR]]+Table_ExternalData_17[[#This Row],[RCA]])</f>
        <v>100</v>
      </c>
      <c r="K78" s="10">
        <f>SUMIFS(IsQList,IsIList,Table_ExternalData_17[[#This Row],[item_key]],IsITypeList,Table_ExternalData_17[[#Headers],[R/P]],IsDList,"&lt;&gt;"&amp;0)</f>
        <v>0</v>
      </c>
      <c r="L78" s="10">
        <f>SUMIFS(IsQList,IsIList,Table_ExternalData_17[[#This Row],[item_key]],IsITypeList,Table_ExternalData_17[[#Headers],[CST]],IsDList,"&lt;&gt;"&amp;0)</f>
        <v>0</v>
      </c>
      <c r="M78" s="10">
        <f>SUMIFS(IsQList,IsIList,Table_ExternalData_15[[#This Row],[item_key]],IsITypeList,Table_ExternalData_17[[#Headers],[S/I]],IsDList,"&lt;&gt;"&amp;0)</f>
        <v>2</v>
      </c>
      <c r="N78" s="10">
        <f>SUMIFS(IsQList,IsIList,Table_ExternalData_15[[#This Row],[item_key]],IsITypeList,Table_ExternalData_17[[#Headers],[VST]],IsDList,"&lt;&gt;"&amp;0)</f>
        <v>0</v>
      </c>
      <c r="O78" s="10">
        <f>ABS(SUMIFS(IsQList,IsIList,Table_ExternalData_17[[#This Row],[item_key]],IsITypeList,Table_ExternalData_17[[#Headers],[RTN]],IsDList,"&lt;&gt;"&amp;0))</f>
        <v>0</v>
      </c>
      <c r="P78" s="10">
        <f>SUM(Table_ExternalData_17[[#This Row],[R/P]:[RTN]])</f>
        <v>2</v>
      </c>
      <c r="Q78" s="10">
        <f>SUM((Table_ExternalData_17[[#This Row],[Opening]]+Table_ExternalData_17[[#This Row],[Total Receipt]])-ABS(Table_ExternalData_17[[#This Row],[Total Issue]]))</f>
        <v>131</v>
      </c>
    </row>
    <row r="79" spans="1:17">
      <c r="A79" s="1" t="s">
        <v>361</v>
      </c>
      <c r="B79" s="1" t="s">
        <v>2494</v>
      </c>
      <c r="C79" s="1" t="s">
        <v>2495</v>
      </c>
      <c r="D79" s="10">
        <f>SUMIFS(OPBQList,OPBIList,Table_ExternalData_17[[#This Row],[item_key]])+SUMIFS(GQList,GIList,Table_ExternalData_17[[#This Row],[item_key]],GDList,0)-ABS(SUMIFS(IsQList,IsIList,Table_ExternalData_17[[#This Row],[item_key]],IsDList,0))</f>
        <v>413</v>
      </c>
      <c r="E79" s="10">
        <f>SUMIFS(GQList,GIList,Table_ExternalData_17[[#This Row],[item_key]],GTList,Table_ExternalData_17[[#Headers],[GRN]],GDList,"&lt;&gt;"&amp;0)</f>
        <v>0</v>
      </c>
      <c r="F79" s="10">
        <f>SUMIFS(GQList,GIList,Table_ExternalData_17[[#This Row],[item_key]],GTList,Table_ExternalData_17[[#Headers],[VSTR]],GDList,"&lt;&gt;"&amp;0)</f>
        <v>0</v>
      </c>
      <c r="G79" s="10">
        <f>SUMIFS(GQList,GIList,Table_ExternalData_17[[#This Row],[item_key]],GTList,Table_ExternalData_17[[#Headers],[SR]],GDList,"&lt;&gt;"&amp;0)</f>
        <v>0</v>
      </c>
      <c r="H79" s="10">
        <f>SUMIFS(GQList,GIList,Table_ExternalData_17[[#This Row],[item_key]],GTList,Table_ExternalData_17[[#Headers],[TR]],GDList,"&lt;&gt;"&amp;0)</f>
        <v>0</v>
      </c>
      <c r="I79" s="10">
        <f>SUMIFS(GQList,GIList,Table_ExternalData_17[[#This Row],[item_key]],GTList,Table_ExternalData_17[[#Headers],[RCA]],GDList,"&lt;&gt;"&amp;0)</f>
        <v>0</v>
      </c>
      <c r="J79" s="10">
        <f>SUM(Table_ExternalData_17[[#This Row],[GRN]]+Table_ExternalData_17[[#This Row],[VSTR]]+Table_ExternalData_17[[#This Row],[SR]]+Table_ExternalData_17[[#This Row],[TR]]+Table_ExternalData_17[[#This Row],[RCA]])</f>
        <v>0</v>
      </c>
      <c r="K79" s="10">
        <f>SUMIFS(IsQList,IsIList,Table_ExternalData_17[[#This Row],[item_key]],IsITypeList,Table_ExternalData_17[[#Headers],[R/P]],IsDList,"&lt;&gt;"&amp;0)</f>
        <v>0</v>
      </c>
      <c r="L79" s="10">
        <f>SUMIFS(IsQList,IsIList,Table_ExternalData_17[[#This Row],[item_key]],IsITypeList,Table_ExternalData_17[[#Headers],[CST]],IsDList,"&lt;&gt;"&amp;0)</f>
        <v>0</v>
      </c>
      <c r="M79" s="10">
        <f>SUMIFS(IsQList,IsIList,Table_ExternalData_15[[#This Row],[item_key]],IsITypeList,Table_ExternalData_17[[#Headers],[S/I]],IsDList,"&lt;&gt;"&amp;0)</f>
        <v>18</v>
      </c>
      <c r="N79" s="10">
        <f>SUMIFS(IsQList,IsIList,Table_ExternalData_15[[#This Row],[item_key]],IsITypeList,Table_ExternalData_17[[#Headers],[VST]],IsDList,"&lt;&gt;"&amp;0)</f>
        <v>0</v>
      </c>
      <c r="O79" s="10">
        <f>ABS(SUMIFS(IsQList,IsIList,Table_ExternalData_17[[#This Row],[item_key]],IsITypeList,Table_ExternalData_17[[#Headers],[RTN]],IsDList,"&lt;&gt;"&amp;0))</f>
        <v>0</v>
      </c>
      <c r="P79" s="10">
        <f>SUM(Table_ExternalData_17[[#This Row],[R/P]:[RTN]])</f>
        <v>18</v>
      </c>
      <c r="Q79" s="10">
        <f>SUM((Table_ExternalData_17[[#This Row],[Opening]]+Table_ExternalData_17[[#This Row],[Total Receipt]])-ABS(Table_ExternalData_17[[#This Row],[Total Issue]]))</f>
        <v>395</v>
      </c>
    </row>
    <row r="80" spans="1:17">
      <c r="A80" s="1" t="s">
        <v>364</v>
      </c>
      <c r="B80" s="1" t="s">
        <v>2496</v>
      </c>
      <c r="C80" s="1" t="s">
        <v>2497</v>
      </c>
      <c r="D80" s="10">
        <f>SUMIFS(OPBQList,OPBIList,Table_ExternalData_17[[#This Row],[item_key]])+SUMIFS(GQList,GIList,Table_ExternalData_17[[#This Row],[item_key]],GDList,0)-ABS(SUMIFS(IsQList,IsIList,Table_ExternalData_17[[#This Row],[item_key]],IsDList,0))</f>
        <v>787</v>
      </c>
      <c r="E80" s="10">
        <f>SUMIFS(GQList,GIList,Table_ExternalData_17[[#This Row],[item_key]],GTList,Table_ExternalData_17[[#Headers],[GRN]],GDList,"&lt;&gt;"&amp;0)</f>
        <v>250</v>
      </c>
      <c r="F80" s="10">
        <f>SUMIFS(GQList,GIList,Table_ExternalData_17[[#This Row],[item_key]],GTList,Table_ExternalData_17[[#Headers],[VSTR]],GDList,"&lt;&gt;"&amp;0)</f>
        <v>0</v>
      </c>
      <c r="G80" s="10">
        <f>SUMIFS(GQList,GIList,Table_ExternalData_17[[#This Row],[item_key]],GTList,Table_ExternalData_17[[#Headers],[SR]],GDList,"&lt;&gt;"&amp;0)</f>
        <v>0</v>
      </c>
      <c r="H80" s="10">
        <f>SUMIFS(GQList,GIList,Table_ExternalData_17[[#This Row],[item_key]],GTList,Table_ExternalData_17[[#Headers],[TR]],GDList,"&lt;&gt;"&amp;0)</f>
        <v>0</v>
      </c>
      <c r="I80" s="10">
        <f>SUMIFS(GQList,GIList,Table_ExternalData_17[[#This Row],[item_key]],GTList,Table_ExternalData_17[[#Headers],[RCA]],GDList,"&lt;&gt;"&amp;0)</f>
        <v>0</v>
      </c>
      <c r="J80" s="10">
        <f>SUM(Table_ExternalData_17[[#This Row],[GRN]]+Table_ExternalData_17[[#This Row],[VSTR]]+Table_ExternalData_17[[#This Row],[SR]]+Table_ExternalData_17[[#This Row],[TR]]+Table_ExternalData_17[[#This Row],[RCA]])</f>
        <v>250</v>
      </c>
      <c r="K80" s="10">
        <f>SUMIFS(IsQList,IsIList,Table_ExternalData_17[[#This Row],[item_key]],IsITypeList,Table_ExternalData_17[[#Headers],[R/P]],IsDList,"&lt;&gt;"&amp;0)</f>
        <v>0</v>
      </c>
      <c r="L80" s="10">
        <f>SUMIFS(IsQList,IsIList,Table_ExternalData_17[[#This Row],[item_key]],IsITypeList,Table_ExternalData_17[[#Headers],[CST]],IsDList,"&lt;&gt;"&amp;0)</f>
        <v>0</v>
      </c>
      <c r="M80" s="10">
        <f>SUMIFS(IsQList,IsIList,Table_ExternalData_15[[#This Row],[item_key]],IsITypeList,Table_ExternalData_17[[#Headers],[S/I]],IsDList,"&lt;&gt;"&amp;0)</f>
        <v>10</v>
      </c>
      <c r="N80" s="10">
        <f>SUMIFS(IsQList,IsIList,Table_ExternalData_15[[#This Row],[item_key]],IsITypeList,Table_ExternalData_17[[#Headers],[VST]],IsDList,"&lt;&gt;"&amp;0)</f>
        <v>0</v>
      </c>
      <c r="O80" s="10">
        <f>ABS(SUMIFS(IsQList,IsIList,Table_ExternalData_17[[#This Row],[item_key]],IsITypeList,Table_ExternalData_17[[#Headers],[RTN]],IsDList,"&lt;&gt;"&amp;0))</f>
        <v>0</v>
      </c>
      <c r="P80" s="10">
        <f>SUM(Table_ExternalData_17[[#This Row],[R/P]:[RTN]])</f>
        <v>10</v>
      </c>
      <c r="Q80" s="10">
        <f>SUM((Table_ExternalData_17[[#This Row],[Opening]]+Table_ExternalData_17[[#This Row],[Total Receipt]])-ABS(Table_ExternalData_17[[#This Row],[Total Issue]]))</f>
        <v>1027</v>
      </c>
    </row>
    <row r="81" spans="1:17">
      <c r="A81" s="1" t="s">
        <v>367</v>
      </c>
      <c r="B81" s="1" t="s">
        <v>2498</v>
      </c>
      <c r="C81" s="1" t="s">
        <v>1421</v>
      </c>
      <c r="D81" s="10">
        <f>SUMIFS(OPBQList,OPBIList,Table_ExternalData_17[[#This Row],[item_key]])+SUMIFS(GQList,GIList,Table_ExternalData_17[[#This Row],[item_key]],GDList,0)-ABS(SUMIFS(IsQList,IsIList,Table_ExternalData_17[[#This Row],[item_key]],IsDList,0))</f>
        <v>32</v>
      </c>
      <c r="E81" s="10">
        <f>SUMIFS(GQList,GIList,Table_ExternalData_17[[#This Row],[item_key]],GTList,Table_ExternalData_17[[#Headers],[GRN]],GDList,"&lt;&gt;"&amp;0)</f>
        <v>0</v>
      </c>
      <c r="F81" s="10">
        <f>SUMIFS(GQList,GIList,Table_ExternalData_17[[#This Row],[item_key]],GTList,Table_ExternalData_17[[#Headers],[VSTR]],GDList,"&lt;&gt;"&amp;0)</f>
        <v>0</v>
      </c>
      <c r="G81" s="10">
        <f>SUMIFS(GQList,GIList,Table_ExternalData_17[[#This Row],[item_key]],GTList,Table_ExternalData_17[[#Headers],[SR]],GDList,"&lt;&gt;"&amp;0)</f>
        <v>0</v>
      </c>
      <c r="H81" s="10">
        <f>SUMIFS(GQList,GIList,Table_ExternalData_17[[#This Row],[item_key]],GTList,Table_ExternalData_17[[#Headers],[TR]],GDList,"&lt;&gt;"&amp;0)</f>
        <v>0</v>
      </c>
      <c r="I81" s="10">
        <f>SUMIFS(GQList,GIList,Table_ExternalData_17[[#This Row],[item_key]],GTList,Table_ExternalData_17[[#Headers],[RCA]],GDList,"&lt;&gt;"&amp;0)</f>
        <v>0</v>
      </c>
      <c r="J81" s="10">
        <f>SUM(Table_ExternalData_17[[#This Row],[GRN]]+Table_ExternalData_17[[#This Row],[VSTR]]+Table_ExternalData_17[[#This Row],[SR]]+Table_ExternalData_17[[#This Row],[TR]]+Table_ExternalData_17[[#This Row],[RCA]])</f>
        <v>0</v>
      </c>
      <c r="K81" s="10">
        <f>SUMIFS(IsQList,IsIList,Table_ExternalData_17[[#This Row],[item_key]],IsITypeList,Table_ExternalData_17[[#Headers],[R/P]],IsDList,"&lt;&gt;"&amp;0)</f>
        <v>0</v>
      </c>
      <c r="L81" s="10">
        <f>SUMIFS(IsQList,IsIList,Table_ExternalData_17[[#This Row],[item_key]],IsITypeList,Table_ExternalData_17[[#Headers],[CST]],IsDList,"&lt;&gt;"&amp;0)</f>
        <v>0</v>
      </c>
      <c r="M81" s="10">
        <f>SUMIFS(IsQList,IsIList,Table_ExternalData_15[[#This Row],[item_key]],IsITypeList,Table_ExternalData_17[[#Headers],[S/I]],IsDList,"&lt;&gt;"&amp;0)</f>
        <v>0</v>
      </c>
      <c r="N81" s="10">
        <f>SUMIFS(IsQList,IsIList,Table_ExternalData_15[[#This Row],[item_key]],IsITypeList,Table_ExternalData_17[[#Headers],[VST]],IsDList,"&lt;&gt;"&amp;0)</f>
        <v>0</v>
      </c>
      <c r="O81" s="10">
        <f>ABS(SUMIFS(IsQList,IsIList,Table_ExternalData_17[[#This Row],[item_key]],IsITypeList,Table_ExternalData_17[[#Headers],[RTN]],IsDList,"&lt;&gt;"&amp;0))</f>
        <v>0</v>
      </c>
      <c r="P81" s="10">
        <f>SUM(Table_ExternalData_17[[#This Row],[R/P]:[RTN]])</f>
        <v>0</v>
      </c>
      <c r="Q81" s="10">
        <f>SUM((Table_ExternalData_17[[#This Row],[Opening]]+Table_ExternalData_17[[#This Row],[Total Receipt]])-ABS(Table_ExternalData_17[[#This Row],[Total Issue]]))</f>
        <v>32</v>
      </c>
    </row>
    <row r="82" spans="1:17">
      <c r="A82" s="1" t="s">
        <v>369</v>
      </c>
      <c r="B82" s="1" t="s">
        <v>2499</v>
      </c>
      <c r="C82" s="1" t="s">
        <v>2500</v>
      </c>
      <c r="D82" s="10">
        <f>SUMIFS(OPBQList,OPBIList,Table_ExternalData_17[[#This Row],[item_key]])+SUMIFS(GQList,GIList,Table_ExternalData_17[[#This Row],[item_key]],GDList,0)-ABS(SUMIFS(IsQList,IsIList,Table_ExternalData_17[[#This Row],[item_key]],IsDList,0))</f>
        <v>583</v>
      </c>
      <c r="E82" s="10">
        <f>SUMIFS(GQList,GIList,Table_ExternalData_17[[#This Row],[item_key]],GTList,Table_ExternalData_17[[#Headers],[GRN]],GDList,"&lt;&gt;"&amp;0)</f>
        <v>0</v>
      </c>
      <c r="F82" s="10">
        <f>SUMIFS(GQList,GIList,Table_ExternalData_17[[#This Row],[item_key]],GTList,Table_ExternalData_17[[#Headers],[VSTR]],GDList,"&lt;&gt;"&amp;0)</f>
        <v>0</v>
      </c>
      <c r="G82" s="10">
        <f>SUMIFS(GQList,GIList,Table_ExternalData_17[[#This Row],[item_key]],GTList,Table_ExternalData_17[[#Headers],[SR]],GDList,"&lt;&gt;"&amp;0)</f>
        <v>0</v>
      </c>
      <c r="H82" s="10">
        <f>SUMIFS(GQList,GIList,Table_ExternalData_17[[#This Row],[item_key]],GTList,Table_ExternalData_17[[#Headers],[TR]],GDList,"&lt;&gt;"&amp;0)</f>
        <v>0</v>
      </c>
      <c r="I82" s="10">
        <f>SUMIFS(GQList,GIList,Table_ExternalData_17[[#This Row],[item_key]],GTList,Table_ExternalData_17[[#Headers],[RCA]],GDList,"&lt;&gt;"&amp;0)</f>
        <v>0</v>
      </c>
      <c r="J82" s="10">
        <f>SUM(Table_ExternalData_17[[#This Row],[GRN]]+Table_ExternalData_17[[#This Row],[VSTR]]+Table_ExternalData_17[[#This Row],[SR]]+Table_ExternalData_17[[#This Row],[TR]]+Table_ExternalData_17[[#This Row],[RCA]])</f>
        <v>0</v>
      </c>
      <c r="K82" s="10">
        <f>SUMIFS(IsQList,IsIList,Table_ExternalData_17[[#This Row],[item_key]],IsITypeList,Table_ExternalData_17[[#Headers],[R/P]],IsDList,"&lt;&gt;"&amp;0)</f>
        <v>0</v>
      </c>
      <c r="L82" s="10">
        <f>SUMIFS(IsQList,IsIList,Table_ExternalData_17[[#This Row],[item_key]],IsITypeList,Table_ExternalData_17[[#Headers],[CST]],IsDList,"&lt;&gt;"&amp;0)</f>
        <v>0</v>
      </c>
      <c r="M82" s="10">
        <f>SUMIFS(IsQList,IsIList,Table_ExternalData_15[[#This Row],[item_key]],IsITypeList,Table_ExternalData_17[[#Headers],[S/I]],IsDList,"&lt;&gt;"&amp;0)</f>
        <v>10</v>
      </c>
      <c r="N82" s="10">
        <f>SUMIFS(IsQList,IsIList,Table_ExternalData_15[[#This Row],[item_key]],IsITypeList,Table_ExternalData_17[[#Headers],[VST]],IsDList,"&lt;&gt;"&amp;0)</f>
        <v>0</v>
      </c>
      <c r="O82" s="10">
        <f>ABS(SUMIFS(IsQList,IsIList,Table_ExternalData_17[[#This Row],[item_key]],IsITypeList,Table_ExternalData_17[[#Headers],[RTN]],IsDList,"&lt;&gt;"&amp;0))</f>
        <v>0</v>
      </c>
      <c r="P82" s="10">
        <f>SUM(Table_ExternalData_17[[#This Row],[R/P]:[RTN]])</f>
        <v>10</v>
      </c>
      <c r="Q82" s="10">
        <f>SUM((Table_ExternalData_17[[#This Row],[Opening]]+Table_ExternalData_17[[#This Row],[Total Receipt]])-ABS(Table_ExternalData_17[[#This Row],[Total Issue]]))</f>
        <v>573</v>
      </c>
    </row>
    <row r="83" spans="1:17">
      <c r="A83" s="1" t="s">
        <v>371</v>
      </c>
      <c r="B83" s="1" t="s">
        <v>1253</v>
      </c>
      <c r="C83" s="1" t="s">
        <v>1254</v>
      </c>
      <c r="D8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83" s="10">
        <f>SUMIFS(GQList,GIList,Table_ExternalData_17[[#This Row],[item_key]],GTList,Table_ExternalData_17[[#Headers],[GRN]],GDList,"&lt;&gt;"&amp;0)</f>
        <v>200</v>
      </c>
      <c r="F83" s="10">
        <f>SUMIFS(GQList,GIList,Table_ExternalData_17[[#This Row],[item_key]],GTList,Table_ExternalData_17[[#Headers],[VSTR]],GDList,"&lt;&gt;"&amp;0)</f>
        <v>0</v>
      </c>
      <c r="G83" s="10">
        <f>SUMIFS(GQList,GIList,Table_ExternalData_17[[#This Row],[item_key]],GTList,Table_ExternalData_17[[#Headers],[SR]],GDList,"&lt;&gt;"&amp;0)</f>
        <v>0</v>
      </c>
      <c r="H83" s="10">
        <f>SUMIFS(GQList,GIList,Table_ExternalData_17[[#This Row],[item_key]],GTList,Table_ExternalData_17[[#Headers],[TR]],GDList,"&lt;&gt;"&amp;0)</f>
        <v>0</v>
      </c>
      <c r="I83" s="10">
        <f>SUMIFS(GQList,GIList,Table_ExternalData_17[[#This Row],[item_key]],GTList,Table_ExternalData_17[[#Headers],[RCA]],GDList,"&lt;&gt;"&amp;0)</f>
        <v>0</v>
      </c>
      <c r="J83" s="10">
        <f>SUM(Table_ExternalData_17[[#This Row],[GRN]]+Table_ExternalData_17[[#This Row],[VSTR]]+Table_ExternalData_17[[#This Row],[SR]]+Table_ExternalData_17[[#This Row],[TR]]+Table_ExternalData_17[[#This Row],[RCA]])</f>
        <v>200</v>
      </c>
      <c r="K83" s="10">
        <f>SUMIFS(IsQList,IsIList,Table_ExternalData_17[[#This Row],[item_key]],IsITypeList,Table_ExternalData_17[[#Headers],[R/P]],IsDList,"&lt;&gt;"&amp;0)</f>
        <v>0</v>
      </c>
      <c r="L83" s="10">
        <f>SUMIFS(IsQList,IsIList,Table_ExternalData_17[[#This Row],[item_key]],IsITypeList,Table_ExternalData_17[[#Headers],[CST]],IsDList,"&lt;&gt;"&amp;0)</f>
        <v>0</v>
      </c>
      <c r="M83" s="10">
        <f>SUMIFS(IsQList,IsIList,Table_ExternalData_15[[#This Row],[item_key]],IsITypeList,Table_ExternalData_17[[#Headers],[S/I]],IsDList,"&lt;&gt;"&amp;0)</f>
        <v>110</v>
      </c>
      <c r="N83" s="10">
        <f>SUMIFS(IsQList,IsIList,Table_ExternalData_15[[#This Row],[item_key]],IsITypeList,Table_ExternalData_17[[#Headers],[VST]],IsDList,"&lt;&gt;"&amp;0)</f>
        <v>0</v>
      </c>
      <c r="O83" s="10">
        <f>ABS(SUMIFS(IsQList,IsIList,Table_ExternalData_17[[#This Row],[item_key]],IsITypeList,Table_ExternalData_17[[#Headers],[RTN]],IsDList,"&lt;&gt;"&amp;0))</f>
        <v>0</v>
      </c>
      <c r="P83" s="10">
        <f>SUM(Table_ExternalData_17[[#This Row],[R/P]:[RTN]])</f>
        <v>110</v>
      </c>
      <c r="Q83" s="10">
        <f>SUM((Table_ExternalData_17[[#This Row],[Opening]]+Table_ExternalData_17[[#This Row],[Total Receipt]])-ABS(Table_ExternalData_17[[#This Row],[Total Issue]]))</f>
        <v>90</v>
      </c>
    </row>
    <row r="84" spans="1:17">
      <c r="A84" s="1" t="s">
        <v>372</v>
      </c>
      <c r="B84" s="1" t="s">
        <v>2501</v>
      </c>
      <c r="C84" s="1" t="s">
        <v>2502</v>
      </c>
      <c r="D84" s="10">
        <f>SUMIFS(OPBQList,OPBIList,Table_ExternalData_17[[#This Row],[item_key]])+SUMIFS(GQList,GIList,Table_ExternalData_17[[#This Row],[item_key]],GDList,0)-ABS(SUMIFS(IsQList,IsIList,Table_ExternalData_17[[#This Row],[item_key]],IsDList,0))</f>
        <v>1357</v>
      </c>
      <c r="E84" s="10">
        <f>SUMIFS(GQList,GIList,Table_ExternalData_17[[#This Row],[item_key]],GTList,Table_ExternalData_17[[#Headers],[GRN]],GDList,"&lt;&gt;"&amp;0)</f>
        <v>0</v>
      </c>
      <c r="F84" s="10">
        <f>SUMIFS(GQList,GIList,Table_ExternalData_17[[#This Row],[item_key]],GTList,Table_ExternalData_17[[#Headers],[VSTR]],GDList,"&lt;&gt;"&amp;0)</f>
        <v>0</v>
      </c>
      <c r="G84" s="10">
        <f>SUMIFS(GQList,GIList,Table_ExternalData_17[[#This Row],[item_key]],GTList,Table_ExternalData_17[[#Headers],[SR]],GDList,"&lt;&gt;"&amp;0)</f>
        <v>0</v>
      </c>
      <c r="H84" s="10">
        <f>SUMIFS(GQList,GIList,Table_ExternalData_17[[#This Row],[item_key]],GTList,Table_ExternalData_17[[#Headers],[TR]],GDList,"&lt;&gt;"&amp;0)</f>
        <v>0</v>
      </c>
      <c r="I84" s="10">
        <f>SUMIFS(GQList,GIList,Table_ExternalData_17[[#This Row],[item_key]],GTList,Table_ExternalData_17[[#Headers],[RCA]],GDList,"&lt;&gt;"&amp;0)</f>
        <v>0</v>
      </c>
      <c r="J84" s="10">
        <f>SUM(Table_ExternalData_17[[#This Row],[GRN]]+Table_ExternalData_17[[#This Row],[VSTR]]+Table_ExternalData_17[[#This Row],[SR]]+Table_ExternalData_17[[#This Row],[TR]]+Table_ExternalData_17[[#This Row],[RCA]])</f>
        <v>0</v>
      </c>
      <c r="K84" s="10">
        <f>SUMIFS(IsQList,IsIList,Table_ExternalData_17[[#This Row],[item_key]],IsITypeList,Table_ExternalData_17[[#Headers],[R/P]],IsDList,"&lt;&gt;"&amp;0)</f>
        <v>0</v>
      </c>
      <c r="L84" s="10">
        <f>SUMIFS(IsQList,IsIList,Table_ExternalData_17[[#This Row],[item_key]],IsITypeList,Table_ExternalData_17[[#Headers],[CST]],IsDList,"&lt;&gt;"&amp;0)</f>
        <v>0</v>
      </c>
      <c r="M84" s="10">
        <f>SUMIFS(IsQList,IsIList,Table_ExternalData_15[[#This Row],[item_key]],IsITypeList,Table_ExternalData_17[[#Headers],[S/I]],IsDList,"&lt;&gt;"&amp;0)</f>
        <v>0</v>
      </c>
      <c r="N84" s="10">
        <f>SUMIFS(IsQList,IsIList,Table_ExternalData_15[[#This Row],[item_key]],IsITypeList,Table_ExternalData_17[[#Headers],[VST]],IsDList,"&lt;&gt;"&amp;0)</f>
        <v>0</v>
      </c>
      <c r="O84" s="10">
        <f>ABS(SUMIFS(IsQList,IsIList,Table_ExternalData_17[[#This Row],[item_key]],IsITypeList,Table_ExternalData_17[[#Headers],[RTN]],IsDList,"&lt;&gt;"&amp;0))</f>
        <v>0</v>
      </c>
      <c r="P84" s="10">
        <f>SUM(Table_ExternalData_17[[#This Row],[R/P]:[RTN]])</f>
        <v>0</v>
      </c>
      <c r="Q84" s="10">
        <f>SUM((Table_ExternalData_17[[#This Row],[Opening]]+Table_ExternalData_17[[#This Row],[Total Receipt]])-ABS(Table_ExternalData_17[[#This Row],[Total Issue]]))</f>
        <v>1357</v>
      </c>
    </row>
    <row r="85" spans="1:17">
      <c r="A85" s="1" t="s">
        <v>373</v>
      </c>
      <c r="B85" s="1" t="s">
        <v>1255</v>
      </c>
      <c r="C85" s="1" t="s">
        <v>1256</v>
      </c>
      <c r="D85" s="10">
        <f>SUMIFS(OPBQList,OPBIList,Table_ExternalData_17[[#This Row],[item_key]])+SUMIFS(GQList,GIList,Table_ExternalData_17[[#This Row],[item_key]],GDList,0)-ABS(SUMIFS(IsQList,IsIList,Table_ExternalData_17[[#This Row],[item_key]],IsDList,0))</f>
        <v>29</v>
      </c>
      <c r="E85" s="10">
        <f>SUMIFS(GQList,GIList,Table_ExternalData_17[[#This Row],[item_key]],GTList,Table_ExternalData_17[[#Headers],[GRN]],GDList,"&lt;&gt;"&amp;0)</f>
        <v>0</v>
      </c>
      <c r="F85" s="10">
        <f>SUMIFS(GQList,GIList,Table_ExternalData_17[[#This Row],[item_key]],GTList,Table_ExternalData_17[[#Headers],[VSTR]],GDList,"&lt;&gt;"&amp;0)</f>
        <v>0</v>
      </c>
      <c r="G85" s="10">
        <f>SUMIFS(GQList,GIList,Table_ExternalData_17[[#This Row],[item_key]],GTList,Table_ExternalData_17[[#Headers],[SR]],GDList,"&lt;&gt;"&amp;0)</f>
        <v>0</v>
      </c>
      <c r="H85" s="10">
        <f>SUMIFS(GQList,GIList,Table_ExternalData_17[[#This Row],[item_key]],GTList,Table_ExternalData_17[[#Headers],[TR]],GDList,"&lt;&gt;"&amp;0)</f>
        <v>0</v>
      </c>
      <c r="I85" s="10">
        <f>SUMIFS(GQList,GIList,Table_ExternalData_17[[#This Row],[item_key]],GTList,Table_ExternalData_17[[#Headers],[RCA]],GDList,"&lt;&gt;"&amp;0)</f>
        <v>0</v>
      </c>
      <c r="J85" s="10">
        <f>SUM(Table_ExternalData_17[[#This Row],[GRN]]+Table_ExternalData_17[[#This Row],[VSTR]]+Table_ExternalData_17[[#This Row],[SR]]+Table_ExternalData_17[[#This Row],[TR]]+Table_ExternalData_17[[#This Row],[RCA]])</f>
        <v>0</v>
      </c>
      <c r="K85" s="10">
        <f>SUMIFS(IsQList,IsIList,Table_ExternalData_17[[#This Row],[item_key]],IsITypeList,Table_ExternalData_17[[#Headers],[R/P]],IsDList,"&lt;&gt;"&amp;0)</f>
        <v>0</v>
      </c>
      <c r="L85" s="10">
        <f>SUMIFS(IsQList,IsIList,Table_ExternalData_17[[#This Row],[item_key]],IsITypeList,Table_ExternalData_17[[#Headers],[CST]],IsDList,"&lt;&gt;"&amp;0)</f>
        <v>0</v>
      </c>
      <c r="M85" s="10">
        <f>SUMIFS(IsQList,IsIList,Table_ExternalData_15[[#This Row],[item_key]],IsITypeList,Table_ExternalData_17[[#Headers],[S/I]],IsDList,"&lt;&gt;"&amp;0)</f>
        <v>20</v>
      </c>
      <c r="N85" s="10">
        <f>SUMIFS(IsQList,IsIList,Table_ExternalData_15[[#This Row],[item_key]],IsITypeList,Table_ExternalData_17[[#Headers],[VST]],IsDList,"&lt;&gt;"&amp;0)</f>
        <v>0</v>
      </c>
      <c r="O85" s="10">
        <f>ABS(SUMIFS(IsQList,IsIList,Table_ExternalData_17[[#This Row],[item_key]],IsITypeList,Table_ExternalData_17[[#Headers],[RTN]],IsDList,"&lt;&gt;"&amp;0))</f>
        <v>0</v>
      </c>
      <c r="P85" s="10">
        <f>SUM(Table_ExternalData_17[[#This Row],[R/P]:[RTN]])</f>
        <v>20</v>
      </c>
      <c r="Q85" s="10">
        <f>SUM((Table_ExternalData_17[[#This Row],[Opening]]+Table_ExternalData_17[[#This Row],[Total Receipt]])-ABS(Table_ExternalData_17[[#This Row],[Total Issue]]))</f>
        <v>9</v>
      </c>
    </row>
    <row r="86" spans="1:17">
      <c r="A86" s="1" t="s">
        <v>377</v>
      </c>
      <c r="B86" s="1" t="s">
        <v>2503</v>
      </c>
      <c r="C86" s="1" t="s">
        <v>2504</v>
      </c>
      <c r="D86" s="10">
        <f>SUMIFS(OPBQList,OPBIList,Table_ExternalData_17[[#This Row],[item_key]])+SUMIFS(GQList,GIList,Table_ExternalData_17[[#This Row],[item_key]],GDList,0)-ABS(SUMIFS(IsQList,IsIList,Table_ExternalData_17[[#This Row],[item_key]],IsDList,0))</f>
        <v>173</v>
      </c>
      <c r="E86" s="10">
        <f>SUMIFS(GQList,GIList,Table_ExternalData_17[[#This Row],[item_key]],GTList,Table_ExternalData_17[[#Headers],[GRN]],GDList,"&lt;&gt;"&amp;0)</f>
        <v>0</v>
      </c>
      <c r="F86" s="10">
        <f>SUMIFS(GQList,GIList,Table_ExternalData_17[[#This Row],[item_key]],GTList,Table_ExternalData_17[[#Headers],[VSTR]],GDList,"&lt;&gt;"&amp;0)</f>
        <v>0</v>
      </c>
      <c r="G86" s="10">
        <f>SUMIFS(GQList,GIList,Table_ExternalData_17[[#This Row],[item_key]],GTList,Table_ExternalData_17[[#Headers],[SR]],GDList,"&lt;&gt;"&amp;0)</f>
        <v>0</v>
      </c>
      <c r="H86" s="10">
        <f>SUMIFS(GQList,GIList,Table_ExternalData_17[[#This Row],[item_key]],GTList,Table_ExternalData_17[[#Headers],[TR]],GDList,"&lt;&gt;"&amp;0)</f>
        <v>0</v>
      </c>
      <c r="I86" s="10">
        <f>SUMIFS(GQList,GIList,Table_ExternalData_17[[#This Row],[item_key]],GTList,Table_ExternalData_17[[#Headers],[RCA]],GDList,"&lt;&gt;"&amp;0)</f>
        <v>0</v>
      </c>
      <c r="J86" s="10">
        <f>SUM(Table_ExternalData_17[[#This Row],[GRN]]+Table_ExternalData_17[[#This Row],[VSTR]]+Table_ExternalData_17[[#This Row],[SR]]+Table_ExternalData_17[[#This Row],[TR]]+Table_ExternalData_17[[#This Row],[RCA]])</f>
        <v>0</v>
      </c>
      <c r="K86" s="10">
        <f>SUMIFS(IsQList,IsIList,Table_ExternalData_17[[#This Row],[item_key]],IsITypeList,Table_ExternalData_17[[#Headers],[R/P]],IsDList,"&lt;&gt;"&amp;0)</f>
        <v>0</v>
      </c>
      <c r="L86" s="10">
        <f>SUMIFS(IsQList,IsIList,Table_ExternalData_17[[#This Row],[item_key]],IsITypeList,Table_ExternalData_17[[#Headers],[CST]],IsDList,"&lt;&gt;"&amp;0)</f>
        <v>0</v>
      </c>
      <c r="M86" s="10">
        <f>SUMIFS(IsQList,IsIList,Table_ExternalData_15[[#This Row],[item_key]],IsITypeList,Table_ExternalData_17[[#Headers],[S/I]],IsDList,"&lt;&gt;"&amp;0)</f>
        <v>61</v>
      </c>
      <c r="N86" s="10">
        <f>SUMIFS(IsQList,IsIList,Table_ExternalData_15[[#This Row],[item_key]],IsITypeList,Table_ExternalData_17[[#Headers],[VST]],IsDList,"&lt;&gt;"&amp;0)</f>
        <v>0</v>
      </c>
      <c r="O86" s="10">
        <f>ABS(SUMIFS(IsQList,IsIList,Table_ExternalData_17[[#This Row],[item_key]],IsITypeList,Table_ExternalData_17[[#Headers],[RTN]],IsDList,"&lt;&gt;"&amp;0))</f>
        <v>0</v>
      </c>
      <c r="P86" s="10">
        <f>SUM(Table_ExternalData_17[[#This Row],[R/P]:[RTN]])</f>
        <v>61</v>
      </c>
      <c r="Q86" s="10">
        <f>SUM((Table_ExternalData_17[[#This Row],[Opening]]+Table_ExternalData_17[[#This Row],[Total Receipt]])-ABS(Table_ExternalData_17[[#This Row],[Total Issue]]))</f>
        <v>112</v>
      </c>
    </row>
    <row r="87" spans="1:17">
      <c r="A87" s="1" t="s">
        <v>381</v>
      </c>
      <c r="B87" s="1" t="s">
        <v>2505</v>
      </c>
      <c r="C87" s="1" t="s">
        <v>2506</v>
      </c>
      <c r="D87" s="10">
        <f>SUMIFS(OPBQList,OPBIList,Table_ExternalData_17[[#This Row],[item_key]])+SUMIFS(GQList,GIList,Table_ExternalData_17[[#This Row],[item_key]],GDList,0)-ABS(SUMIFS(IsQList,IsIList,Table_ExternalData_17[[#This Row],[item_key]],IsDList,0))</f>
        <v>46</v>
      </c>
      <c r="E87" s="10">
        <f>SUMIFS(GQList,GIList,Table_ExternalData_17[[#This Row],[item_key]],GTList,Table_ExternalData_17[[#Headers],[GRN]],GDList,"&lt;&gt;"&amp;0)</f>
        <v>0</v>
      </c>
      <c r="F87" s="10">
        <f>SUMIFS(GQList,GIList,Table_ExternalData_17[[#This Row],[item_key]],GTList,Table_ExternalData_17[[#Headers],[VSTR]],GDList,"&lt;&gt;"&amp;0)</f>
        <v>0</v>
      </c>
      <c r="G87" s="10">
        <f>SUMIFS(GQList,GIList,Table_ExternalData_17[[#This Row],[item_key]],GTList,Table_ExternalData_17[[#Headers],[SR]],GDList,"&lt;&gt;"&amp;0)</f>
        <v>0</v>
      </c>
      <c r="H87" s="10">
        <f>SUMIFS(GQList,GIList,Table_ExternalData_17[[#This Row],[item_key]],GTList,Table_ExternalData_17[[#Headers],[TR]],GDList,"&lt;&gt;"&amp;0)</f>
        <v>0</v>
      </c>
      <c r="I87" s="10">
        <f>SUMIFS(GQList,GIList,Table_ExternalData_17[[#This Row],[item_key]],GTList,Table_ExternalData_17[[#Headers],[RCA]],GDList,"&lt;&gt;"&amp;0)</f>
        <v>0</v>
      </c>
      <c r="J87" s="10">
        <f>SUM(Table_ExternalData_17[[#This Row],[GRN]]+Table_ExternalData_17[[#This Row],[VSTR]]+Table_ExternalData_17[[#This Row],[SR]]+Table_ExternalData_17[[#This Row],[TR]]+Table_ExternalData_17[[#This Row],[RCA]])</f>
        <v>0</v>
      </c>
      <c r="K87" s="10">
        <f>SUMIFS(IsQList,IsIList,Table_ExternalData_17[[#This Row],[item_key]],IsITypeList,Table_ExternalData_17[[#Headers],[R/P]],IsDList,"&lt;&gt;"&amp;0)</f>
        <v>0</v>
      </c>
      <c r="L87" s="10">
        <f>SUMIFS(IsQList,IsIList,Table_ExternalData_17[[#This Row],[item_key]],IsITypeList,Table_ExternalData_17[[#Headers],[CST]],IsDList,"&lt;&gt;"&amp;0)</f>
        <v>0</v>
      </c>
      <c r="M87" s="10">
        <f>SUMIFS(IsQList,IsIList,Table_ExternalData_15[[#This Row],[item_key]],IsITypeList,Table_ExternalData_17[[#Headers],[S/I]],IsDList,"&lt;&gt;"&amp;0)</f>
        <v>60</v>
      </c>
      <c r="N87" s="10">
        <f>SUMIFS(IsQList,IsIList,Table_ExternalData_15[[#This Row],[item_key]],IsITypeList,Table_ExternalData_17[[#Headers],[VST]],IsDList,"&lt;&gt;"&amp;0)</f>
        <v>0</v>
      </c>
      <c r="O87" s="10">
        <f>ABS(SUMIFS(IsQList,IsIList,Table_ExternalData_17[[#This Row],[item_key]],IsITypeList,Table_ExternalData_17[[#Headers],[RTN]],IsDList,"&lt;&gt;"&amp;0))</f>
        <v>0</v>
      </c>
      <c r="P87" s="10">
        <f>SUM(Table_ExternalData_17[[#This Row],[R/P]:[RTN]])</f>
        <v>60</v>
      </c>
      <c r="Q87" s="10">
        <f>SUM((Table_ExternalData_17[[#This Row],[Opening]]+Table_ExternalData_17[[#This Row],[Total Receipt]])-ABS(Table_ExternalData_17[[#This Row],[Total Issue]]))</f>
        <v>-14</v>
      </c>
    </row>
    <row r="88" spans="1:17">
      <c r="A88" s="1" t="s">
        <v>385</v>
      </c>
      <c r="B88" s="1" t="s">
        <v>2507</v>
      </c>
      <c r="C88" s="1" t="s">
        <v>2508</v>
      </c>
      <c r="D88" s="10">
        <f>SUMIFS(OPBQList,OPBIList,Table_ExternalData_17[[#This Row],[item_key]])+SUMIFS(GQList,GIList,Table_ExternalData_17[[#This Row],[item_key]],GDList,0)-ABS(SUMIFS(IsQList,IsIList,Table_ExternalData_17[[#This Row],[item_key]],IsDList,0))</f>
        <v>452</v>
      </c>
      <c r="E88" s="10">
        <f>SUMIFS(GQList,GIList,Table_ExternalData_17[[#This Row],[item_key]],GTList,Table_ExternalData_17[[#Headers],[GRN]],GDList,"&lt;&gt;"&amp;0)</f>
        <v>0</v>
      </c>
      <c r="F88" s="10">
        <f>SUMIFS(GQList,GIList,Table_ExternalData_17[[#This Row],[item_key]],GTList,Table_ExternalData_17[[#Headers],[VSTR]],GDList,"&lt;&gt;"&amp;0)</f>
        <v>0</v>
      </c>
      <c r="G88" s="10">
        <f>SUMIFS(GQList,GIList,Table_ExternalData_17[[#This Row],[item_key]],GTList,Table_ExternalData_17[[#Headers],[SR]],GDList,"&lt;&gt;"&amp;0)</f>
        <v>0</v>
      </c>
      <c r="H88" s="10">
        <f>SUMIFS(GQList,GIList,Table_ExternalData_17[[#This Row],[item_key]],GTList,Table_ExternalData_17[[#Headers],[TR]],GDList,"&lt;&gt;"&amp;0)</f>
        <v>0</v>
      </c>
      <c r="I88" s="10">
        <f>SUMIFS(GQList,GIList,Table_ExternalData_17[[#This Row],[item_key]],GTList,Table_ExternalData_17[[#Headers],[RCA]],GDList,"&lt;&gt;"&amp;0)</f>
        <v>0</v>
      </c>
      <c r="J88" s="10">
        <f>SUM(Table_ExternalData_17[[#This Row],[GRN]]+Table_ExternalData_17[[#This Row],[VSTR]]+Table_ExternalData_17[[#This Row],[SR]]+Table_ExternalData_17[[#This Row],[TR]]+Table_ExternalData_17[[#This Row],[RCA]])</f>
        <v>0</v>
      </c>
      <c r="K88" s="10">
        <f>SUMIFS(IsQList,IsIList,Table_ExternalData_17[[#This Row],[item_key]],IsITypeList,Table_ExternalData_17[[#Headers],[R/P]],IsDList,"&lt;&gt;"&amp;0)</f>
        <v>0</v>
      </c>
      <c r="L88" s="10">
        <f>SUMIFS(IsQList,IsIList,Table_ExternalData_17[[#This Row],[item_key]],IsITypeList,Table_ExternalData_17[[#Headers],[CST]],IsDList,"&lt;&gt;"&amp;0)</f>
        <v>0</v>
      </c>
      <c r="M88" s="10">
        <f>SUMIFS(IsQList,IsIList,Table_ExternalData_15[[#This Row],[item_key]],IsITypeList,Table_ExternalData_17[[#Headers],[S/I]],IsDList,"&lt;&gt;"&amp;0)</f>
        <v>0</v>
      </c>
      <c r="N88" s="10">
        <f>SUMIFS(IsQList,IsIList,Table_ExternalData_15[[#This Row],[item_key]],IsITypeList,Table_ExternalData_17[[#Headers],[VST]],IsDList,"&lt;&gt;"&amp;0)</f>
        <v>0</v>
      </c>
      <c r="O88" s="10">
        <f>ABS(SUMIFS(IsQList,IsIList,Table_ExternalData_17[[#This Row],[item_key]],IsITypeList,Table_ExternalData_17[[#Headers],[RTN]],IsDList,"&lt;&gt;"&amp;0))</f>
        <v>0</v>
      </c>
      <c r="P88" s="10">
        <f>SUM(Table_ExternalData_17[[#This Row],[R/P]:[RTN]])</f>
        <v>0</v>
      </c>
      <c r="Q88" s="10">
        <f>SUM((Table_ExternalData_17[[#This Row],[Opening]]+Table_ExternalData_17[[#This Row],[Total Receipt]])-ABS(Table_ExternalData_17[[#This Row],[Total Issue]]))</f>
        <v>452</v>
      </c>
    </row>
    <row r="89" spans="1:17">
      <c r="A89" s="1" t="s">
        <v>389</v>
      </c>
      <c r="B89" s="1" t="s">
        <v>1257</v>
      </c>
      <c r="C89" s="1" t="s">
        <v>1258</v>
      </c>
      <c r="D89" s="10">
        <f>SUMIFS(OPBQList,OPBIList,Table_ExternalData_17[[#This Row],[item_key]])+SUMIFS(GQList,GIList,Table_ExternalData_17[[#This Row],[item_key]],GDList,0)-ABS(SUMIFS(IsQList,IsIList,Table_ExternalData_17[[#This Row],[item_key]],IsDList,0))</f>
        <v>99</v>
      </c>
      <c r="E89" s="10">
        <f>SUMIFS(GQList,GIList,Table_ExternalData_17[[#This Row],[item_key]],GTList,Table_ExternalData_17[[#Headers],[GRN]],GDList,"&lt;&gt;"&amp;0)</f>
        <v>0</v>
      </c>
      <c r="F89" s="10">
        <f>SUMIFS(GQList,GIList,Table_ExternalData_17[[#This Row],[item_key]],GTList,Table_ExternalData_17[[#Headers],[VSTR]],GDList,"&lt;&gt;"&amp;0)</f>
        <v>0</v>
      </c>
      <c r="G89" s="10">
        <f>SUMIFS(GQList,GIList,Table_ExternalData_17[[#This Row],[item_key]],GTList,Table_ExternalData_17[[#Headers],[SR]],GDList,"&lt;&gt;"&amp;0)</f>
        <v>0</v>
      </c>
      <c r="H89" s="10">
        <f>SUMIFS(GQList,GIList,Table_ExternalData_17[[#This Row],[item_key]],GTList,Table_ExternalData_17[[#Headers],[TR]],GDList,"&lt;&gt;"&amp;0)</f>
        <v>0</v>
      </c>
      <c r="I89" s="10">
        <f>SUMIFS(GQList,GIList,Table_ExternalData_17[[#This Row],[item_key]],GTList,Table_ExternalData_17[[#Headers],[RCA]],GDList,"&lt;&gt;"&amp;0)</f>
        <v>0</v>
      </c>
      <c r="J89" s="10">
        <f>SUM(Table_ExternalData_17[[#This Row],[GRN]]+Table_ExternalData_17[[#This Row],[VSTR]]+Table_ExternalData_17[[#This Row],[SR]]+Table_ExternalData_17[[#This Row],[TR]]+Table_ExternalData_17[[#This Row],[RCA]])</f>
        <v>0</v>
      </c>
      <c r="K89" s="10">
        <f>SUMIFS(IsQList,IsIList,Table_ExternalData_17[[#This Row],[item_key]],IsITypeList,Table_ExternalData_17[[#Headers],[R/P]],IsDList,"&lt;&gt;"&amp;0)</f>
        <v>0</v>
      </c>
      <c r="L89" s="10">
        <f>SUMIFS(IsQList,IsIList,Table_ExternalData_17[[#This Row],[item_key]],IsITypeList,Table_ExternalData_17[[#Headers],[CST]],IsDList,"&lt;&gt;"&amp;0)</f>
        <v>0</v>
      </c>
      <c r="M89" s="10">
        <f>SUMIFS(IsQList,IsIList,Table_ExternalData_15[[#This Row],[item_key]],IsITypeList,Table_ExternalData_17[[#Headers],[S/I]],IsDList,"&lt;&gt;"&amp;0)</f>
        <v>7</v>
      </c>
      <c r="N89" s="10">
        <f>SUMIFS(IsQList,IsIList,Table_ExternalData_15[[#This Row],[item_key]],IsITypeList,Table_ExternalData_17[[#Headers],[VST]],IsDList,"&lt;&gt;"&amp;0)</f>
        <v>0</v>
      </c>
      <c r="O89" s="10">
        <f>ABS(SUMIFS(IsQList,IsIList,Table_ExternalData_17[[#This Row],[item_key]],IsITypeList,Table_ExternalData_17[[#Headers],[RTN]],IsDList,"&lt;&gt;"&amp;0))</f>
        <v>0</v>
      </c>
      <c r="P89" s="10">
        <f>SUM(Table_ExternalData_17[[#This Row],[R/P]:[RTN]])</f>
        <v>7</v>
      </c>
      <c r="Q89" s="10">
        <f>SUM((Table_ExternalData_17[[#This Row],[Opening]]+Table_ExternalData_17[[#This Row],[Total Receipt]])-ABS(Table_ExternalData_17[[#This Row],[Total Issue]]))</f>
        <v>92</v>
      </c>
    </row>
    <row r="90" spans="1:17">
      <c r="A90" s="1" t="s">
        <v>393</v>
      </c>
      <c r="B90" s="1" t="s">
        <v>2509</v>
      </c>
      <c r="C90" s="1" t="s">
        <v>1594</v>
      </c>
      <c r="D90" s="10">
        <f>SUMIFS(OPBQList,OPBIList,Table_ExternalData_17[[#This Row],[item_key]])+SUMIFS(GQList,GIList,Table_ExternalData_17[[#This Row],[item_key]],GDList,0)-ABS(SUMIFS(IsQList,IsIList,Table_ExternalData_17[[#This Row],[item_key]],IsDList,0))</f>
        <v>1006</v>
      </c>
      <c r="E90" s="10">
        <f>SUMIFS(GQList,GIList,Table_ExternalData_17[[#This Row],[item_key]],GTList,Table_ExternalData_17[[#Headers],[GRN]],GDList,"&lt;&gt;"&amp;0)</f>
        <v>0</v>
      </c>
      <c r="F90" s="10">
        <f>SUMIFS(GQList,GIList,Table_ExternalData_17[[#This Row],[item_key]],GTList,Table_ExternalData_17[[#Headers],[VSTR]],GDList,"&lt;&gt;"&amp;0)</f>
        <v>0</v>
      </c>
      <c r="G90" s="10">
        <f>SUMIFS(GQList,GIList,Table_ExternalData_17[[#This Row],[item_key]],GTList,Table_ExternalData_17[[#Headers],[SR]],GDList,"&lt;&gt;"&amp;0)</f>
        <v>0</v>
      </c>
      <c r="H90" s="10">
        <f>SUMIFS(GQList,GIList,Table_ExternalData_17[[#This Row],[item_key]],GTList,Table_ExternalData_17[[#Headers],[TR]],GDList,"&lt;&gt;"&amp;0)</f>
        <v>0</v>
      </c>
      <c r="I90" s="10">
        <f>SUMIFS(GQList,GIList,Table_ExternalData_17[[#This Row],[item_key]],GTList,Table_ExternalData_17[[#Headers],[RCA]],GDList,"&lt;&gt;"&amp;0)</f>
        <v>0</v>
      </c>
      <c r="J90" s="10">
        <f>SUM(Table_ExternalData_17[[#This Row],[GRN]]+Table_ExternalData_17[[#This Row],[VSTR]]+Table_ExternalData_17[[#This Row],[SR]]+Table_ExternalData_17[[#This Row],[TR]]+Table_ExternalData_17[[#This Row],[RCA]])</f>
        <v>0</v>
      </c>
      <c r="K90" s="10">
        <f>SUMIFS(IsQList,IsIList,Table_ExternalData_17[[#This Row],[item_key]],IsITypeList,Table_ExternalData_17[[#Headers],[R/P]],IsDList,"&lt;&gt;"&amp;0)</f>
        <v>0</v>
      </c>
      <c r="L90" s="10">
        <f>SUMIFS(IsQList,IsIList,Table_ExternalData_17[[#This Row],[item_key]],IsITypeList,Table_ExternalData_17[[#Headers],[CST]],IsDList,"&lt;&gt;"&amp;0)</f>
        <v>0</v>
      </c>
      <c r="M90" s="10">
        <f>SUMIFS(IsQList,IsIList,Table_ExternalData_15[[#This Row],[item_key]],IsITypeList,Table_ExternalData_17[[#Headers],[S/I]],IsDList,"&lt;&gt;"&amp;0)</f>
        <v>101</v>
      </c>
      <c r="N90" s="10">
        <f>SUMIFS(IsQList,IsIList,Table_ExternalData_15[[#This Row],[item_key]],IsITypeList,Table_ExternalData_17[[#Headers],[VST]],IsDList,"&lt;&gt;"&amp;0)</f>
        <v>0</v>
      </c>
      <c r="O90" s="10">
        <f>ABS(SUMIFS(IsQList,IsIList,Table_ExternalData_17[[#This Row],[item_key]],IsITypeList,Table_ExternalData_17[[#Headers],[RTN]],IsDList,"&lt;&gt;"&amp;0))</f>
        <v>0</v>
      </c>
      <c r="P90" s="10">
        <f>SUM(Table_ExternalData_17[[#This Row],[R/P]:[RTN]])</f>
        <v>101</v>
      </c>
      <c r="Q90" s="10">
        <f>SUM((Table_ExternalData_17[[#This Row],[Opening]]+Table_ExternalData_17[[#This Row],[Total Receipt]])-ABS(Table_ExternalData_17[[#This Row],[Total Issue]]))</f>
        <v>905</v>
      </c>
    </row>
    <row r="91" spans="1:17">
      <c r="A91" s="1" t="s">
        <v>1707</v>
      </c>
      <c r="B91" s="1" t="s">
        <v>2385</v>
      </c>
      <c r="C91" s="1" t="s">
        <v>2386</v>
      </c>
      <c r="D91" s="10">
        <f>SUMIFS(OPBQList,OPBIList,Table_ExternalData_17[[#This Row],[item_key]])+SUMIFS(GQList,GIList,Table_ExternalData_17[[#This Row],[item_key]],GDList,0)-ABS(SUMIFS(IsQList,IsIList,Table_ExternalData_17[[#This Row],[item_key]],IsDList,0))</f>
        <v>137</v>
      </c>
      <c r="E91" s="10">
        <f>SUMIFS(GQList,GIList,Table_ExternalData_17[[#This Row],[item_key]],GTList,Table_ExternalData_17[[#Headers],[GRN]],GDList,"&lt;&gt;"&amp;0)</f>
        <v>300</v>
      </c>
      <c r="F91" s="10">
        <f>SUMIFS(GQList,GIList,Table_ExternalData_17[[#This Row],[item_key]],GTList,Table_ExternalData_17[[#Headers],[VSTR]],GDList,"&lt;&gt;"&amp;0)</f>
        <v>0</v>
      </c>
      <c r="G91" s="10">
        <f>SUMIFS(GQList,GIList,Table_ExternalData_17[[#This Row],[item_key]],GTList,Table_ExternalData_17[[#Headers],[SR]],GDList,"&lt;&gt;"&amp;0)</f>
        <v>0</v>
      </c>
      <c r="H91" s="10">
        <f>SUMIFS(GQList,GIList,Table_ExternalData_17[[#This Row],[item_key]],GTList,Table_ExternalData_17[[#Headers],[TR]],GDList,"&lt;&gt;"&amp;0)</f>
        <v>0</v>
      </c>
      <c r="I91" s="10">
        <f>SUMIFS(GQList,GIList,Table_ExternalData_17[[#This Row],[item_key]],GTList,Table_ExternalData_17[[#Headers],[RCA]],GDList,"&lt;&gt;"&amp;0)</f>
        <v>0</v>
      </c>
      <c r="J91" s="10">
        <f>SUM(Table_ExternalData_17[[#This Row],[GRN]]+Table_ExternalData_17[[#This Row],[VSTR]]+Table_ExternalData_17[[#This Row],[SR]]+Table_ExternalData_17[[#This Row],[TR]]+Table_ExternalData_17[[#This Row],[RCA]])</f>
        <v>300</v>
      </c>
      <c r="K91" s="10">
        <f>SUMIFS(IsQList,IsIList,Table_ExternalData_17[[#This Row],[item_key]],IsITypeList,Table_ExternalData_17[[#Headers],[R/P]],IsDList,"&lt;&gt;"&amp;0)</f>
        <v>0</v>
      </c>
      <c r="L91" s="10">
        <f>SUMIFS(IsQList,IsIList,Table_ExternalData_17[[#This Row],[item_key]],IsITypeList,Table_ExternalData_17[[#Headers],[CST]],IsDList,"&lt;&gt;"&amp;0)</f>
        <v>0</v>
      </c>
      <c r="M91" s="10">
        <f>SUMIFS(IsQList,IsIList,Table_ExternalData_15[[#This Row],[item_key]],IsITypeList,Table_ExternalData_17[[#Headers],[S/I]],IsDList,"&lt;&gt;"&amp;0)</f>
        <v>19</v>
      </c>
      <c r="N91" s="10">
        <f>SUMIFS(IsQList,IsIList,Table_ExternalData_15[[#This Row],[item_key]],IsITypeList,Table_ExternalData_17[[#Headers],[VST]],IsDList,"&lt;&gt;"&amp;0)</f>
        <v>0</v>
      </c>
      <c r="O91" s="10">
        <f>ABS(SUMIFS(IsQList,IsIList,Table_ExternalData_17[[#This Row],[item_key]],IsITypeList,Table_ExternalData_17[[#Headers],[RTN]],IsDList,"&lt;&gt;"&amp;0))</f>
        <v>0</v>
      </c>
      <c r="P91" s="10">
        <f>SUM(Table_ExternalData_17[[#This Row],[R/P]:[RTN]])</f>
        <v>19</v>
      </c>
      <c r="Q91" s="10">
        <f>SUM((Table_ExternalData_17[[#This Row],[Opening]]+Table_ExternalData_17[[#This Row],[Total Receipt]])-ABS(Table_ExternalData_17[[#This Row],[Total Issue]]))</f>
        <v>418</v>
      </c>
    </row>
    <row r="92" spans="1:17">
      <c r="A92" s="1" t="s">
        <v>402</v>
      </c>
      <c r="B92" s="1" t="s">
        <v>1259</v>
      </c>
      <c r="C92" s="1" t="s">
        <v>1260</v>
      </c>
      <c r="D92" s="10">
        <f>SUMIFS(OPBQList,OPBIList,Table_ExternalData_17[[#This Row],[item_key]])+SUMIFS(GQList,GIList,Table_ExternalData_17[[#This Row],[item_key]],GDList,0)-ABS(SUMIFS(IsQList,IsIList,Table_ExternalData_17[[#This Row],[item_key]],IsDList,0))</f>
        <v>26</v>
      </c>
      <c r="E92" s="10">
        <f>SUMIFS(GQList,GIList,Table_ExternalData_17[[#This Row],[item_key]],GTList,Table_ExternalData_17[[#Headers],[GRN]],GDList,"&lt;&gt;"&amp;0)</f>
        <v>0</v>
      </c>
      <c r="F92" s="10">
        <f>SUMIFS(GQList,GIList,Table_ExternalData_17[[#This Row],[item_key]],GTList,Table_ExternalData_17[[#Headers],[VSTR]],GDList,"&lt;&gt;"&amp;0)</f>
        <v>0</v>
      </c>
      <c r="G92" s="10">
        <f>SUMIFS(GQList,GIList,Table_ExternalData_17[[#This Row],[item_key]],GTList,Table_ExternalData_17[[#Headers],[SR]],GDList,"&lt;&gt;"&amp;0)</f>
        <v>0</v>
      </c>
      <c r="H92" s="10">
        <f>SUMIFS(GQList,GIList,Table_ExternalData_17[[#This Row],[item_key]],GTList,Table_ExternalData_17[[#Headers],[TR]],GDList,"&lt;&gt;"&amp;0)</f>
        <v>0</v>
      </c>
      <c r="I92" s="10">
        <f>SUMIFS(GQList,GIList,Table_ExternalData_17[[#This Row],[item_key]],GTList,Table_ExternalData_17[[#Headers],[RCA]],GDList,"&lt;&gt;"&amp;0)</f>
        <v>0</v>
      </c>
      <c r="J92" s="10">
        <f>SUM(Table_ExternalData_17[[#This Row],[GRN]]+Table_ExternalData_17[[#This Row],[VSTR]]+Table_ExternalData_17[[#This Row],[SR]]+Table_ExternalData_17[[#This Row],[TR]]+Table_ExternalData_17[[#This Row],[RCA]])</f>
        <v>0</v>
      </c>
      <c r="K92" s="10">
        <f>SUMIFS(IsQList,IsIList,Table_ExternalData_17[[#This Row],[item_key]],IsITypeList,Table_ExternalData_17[[#Headers],[R/P]],IsDList,"&lt;&gt;"&amp;0)</f>
        <v>0</v>
      </c>
      <c r="L92" s="10">
        <f>SUMIFS(IsQList,IsIList,Table_ExternalData_17[[#This Row],[item_key]],IsITypeList,Table_ExternalData_17[[#Headers],[CST]],IsDList,"&lt;&gt;"&amp;0)</f>
        <v>0</v>
      </c>
      <c r="M92" s="10">
        <f>SUMIFS(IsQList,IsIList,Table_ExternalData_15[[#This Row],[item_key]],IsITypeList,Table_ExternalData_17[[#Headers],[S/I]],IsDList,"&lt;&gt;"&amp;0)</f>
        <v>0</v>
      </c>
      <c r="N92" s="10">
        <f>SUMIFS(IsQList,IsIList,Table_ExternalData_15[[#This Row],[item_key]],IsITypeList,Table_ExternalData_17[[#Headers],[VST]],IsDList,"&lt;&gt;"&amp;0)</f>
        <v>0</v>
      </c>
      <c r="O92" s="10">
        <f>ABS(SUMIFS(IsQList,IsIList,Table_ExternalData_17[[#This Row],[item_key]],IsITypeList,Table_ExternalData_17[[#Headers],[RTN]],IsDList,"&lt;&gt;"&amp;0))</f>
        <v>0</v>
      </c>
      <c r="P92" s="10">
        <f>SUM(Table_ExternalData_17[[#This Row],[R/P]:[RTN]])</f>
        <v>0</v>
      </c>
      <c r="Q92" s="10">
        <f>SUM((Table_ExternalData_17[[#This Row],[Opening]]+Table_ExternalData_17[[#This Row],[Total Receipt]])-ABS(Table_ExternalData_17[[#This Row],[Total Issue]]))</f>
        <v>26</v>
      </c>
    </row>
    <row r="93" spans="1:17">
      <c r="A93" s="1" t="s">
        <v>406</v>
      </c>
      <c r="B93" s="1" t="s">
        <v>1261</v>
      </c>
      <c r="C93" s="1" t="s">
        <v>1262</v>
      </c>
      <c r="D93" s="10">
        <f>SUMIFS(OPBQList,OPBIList,Table_ExternalData_17[[#This Row],[item_key]])+SUMIFS(GQList,GIList,Table_ExternalData_17[[#This Row],[item_key]],GDList,0)-ABS(SUMIFS(IsQList,IsIList,Table_ExternalData_17[[#This Row],[item_key]],IsDList,0))</f>
        <v>1611</v>
      </c>
      <c r="E93" s="10">
        <f>SUMIFS(GQList,GIList,Table_ExternalData_17[[#This Row],[item_key]],GTList,Table_ExternalData_17[[#Headers],[GRN]],GDList,"&lt;&gt;"&amp;0)</f>
        <v>0</v>
      </c>
      <c r="F93" s="10">
        <f>SUMIFS(GQList,GIList,Table_ExternalData_17[[#This Row],[item_key]],GTList,Table_ExternalData_17[[#Headers],[VSTR]],GDList,"&lt;&gt;"&amp;0)</f>
        <v>0</v>
      </c>
      <c r="G93" s="10">
        <f>SUMIFS(GQList,GIList,Table_ExternalData_17[[#This Row],[item_key]],GTList,Table_ExternalData_17[[#Headers],[SR]],GDList,"&lt;&gt;"&amp;0)</f>
        <v>0</v>
      </c>
      <c r="H93" s="10">
        <f>SUMIFS(GQList,GIList,Table_ExternalData_17[[#This Row],[item_key]],GTList,Table_ExternalData_17[[#Headers],[TR]],GDList,"&lt;&gt;"&amp;0)</f>
        <v>0</v>
      </c>
      <c r="I93" s="10">
        <f>SUMIFS(GQList,GIList,Table_ExternalData_17[[#This Row],[item_key]],GTList,Table_ExternalData_17[[#Headers],[RCA]],GDList,"&lt;&gt;"&amp;0)</f>
        <v>0</v>
      </c>
      <c r="J93" s="10">
        <f>SUM(Table_ExternalData_17[[#This Row],[GRN]]+Table_ExternalData_17[[#This Row],[VSTR]]+Table_ExternalData_17[[#This Row],[SR]]+Table_ExternalData_17[[#This Row],[TR]]+Table_ExternalData_17[[#This Row],[RCA]])</f>
        <v>0</v>
      </c>
      <c r="K93" s="10">
        <f>SUMIFS(IsQList,IsIList,Table_ExternalData_17[[#This Row],[item_key]],IsITypeList,Table_ExternalData_17[[#Headers],[R/P]],IsDList,"&lt;&gt;"&amp;0)</f>
        <v>0</v>
      </c>
      <c r="L93" s="10">
        <f>SUMIFS(IsQList,IsIList,Table_ExternalData_17[[#This Row],[item_key]],IsITypeList,Table_ExternalData_17[[#Headers],[CST]],IsDList,"&lt;&gt;"&amp;0)</f>
        <v>0</v>
      </c>
      <c r="M93" s="10">
        <f>SUMIFS(IsQList,IsIList,Table_ExternalData_15[[#This Row],[item_key]],IsITypeList,Table_ExternalData_17[[#Headers],[S/I]],IsDList,"&lt;&gt;"&amp;0)</f>
        <v>191</v>
      </c>
      <c r="N93" s="10">
        <f>SUMIFS(IsQList,IsIList,Table_ExternalData_15[[#This Row],[item_key]],IsITypeList,Table_ExternalData_17[[#Headers],[VST]],IsDList,"&lt;&gt;"&amp;0)</f>
        <v>0</v>
      </c>
      <c r="O93" s="10">
        <f>ABS(SUMIFS(IsQList,IsIList,Table_ExternalData_17[[#This Row],[item_key]],IsITypeList,Table_ExternalData_17[[#Headers],[RTN]],IsDList,"&lt;&gt;"&amp;0))</f>
        <v>0</v>
      </c>
      <c r="P93" s="10">
        <f>SUM(Table_ExternalData_17[[#This Row],[R/P]:[RTN]])</f>
        <v>191</v>
      </c>
      <c r="Q93" s="10">
        <f>SUM((Table_ExternalData_17[[#This Row],[Opening]]+Table_ExternalData_17[[#This Row],[Total Receipt]])-ABS(Table_ExternalData_17[[#This Row],[Total Issue]]))</f>
        <v>1420</v>
      </c>
    </row>
    <row r="94" spans="1:17">
      <c r="A94" s="1" t="s">
        <v>408</v>
      </c>
      <c r="B94" s="1" t="s">
        <v>2510</v>
      </c>
      <c r="C94" s="1" t="s">
        <v>2511</v>
      </c>
      <c r="D9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4" s="10">
        <f>SUMIFS(GQList,GIList,Table_ExternalData_17[[#This Row],[item_key]],GTList,Table_ExternalData_17[[#Headers],[GRN]],GDList,"&lt;&gt;"&amp;0)</f>
        <v>450</v>
      </c>
      <c r="F94" s="10">
        <f>SUMIFS(GQList,GIList,Table_ExternalData_17[[#This Row],[item_key]],GTList,Table_ExternalData_17[[#Headers],[VSTR]],GDList,"&lt;&gt;"&amp;0)</f>
        <v>0</v>
      </c>
      <c r="G94" s="10">
        <f>SUMIFS(GQList,GIList,Table_ExternalData_17[[#This Row],[item_key]],GTList,Table_ExternalData_17[[#Headers],[SR]],GDList,"&lt;&gt;"&amp;0)</f>
        <v>0</v>
      </c>
      <c r="H94" s="10">
        <f>SUMIFS(GQList,GIList,Table_ExternalData_17[[#This Row],[item_key]],GTList,Table_ExternalData_17[[#Headers],[TR]],GDList,"&lt;&gt;"&amp;0)</f>
        <v>0</v>
      </c>
      <c r="I94" s="10">
        <f>SUMIFS(GQList,GIList,Table_ExternalData_17[[#This Row],[item_key]],GTList,Table_ExternalData_17[[#Headers],[RCA]],GDList,"&lt;&gt;"&amp;0)</f>
        <v>0</v>
      </c>
      <c r="J94" s="10">
        <f>SUM(Table_ExternalData_17[[#This Row],[GRN]]+Table_ExternalData_17[[#This Row],[VSTR]]+Table_ExternalData_17[[#This Row],[SR]]+Table_ExternalData_17[[#This Row],[TR]]+Table_ExternalData_17[[#This Row],[RCA]])</f>
        <v>450</v>
      </c>
      <c r="K94" s="10">
        <f>SUMIFS(IsQList,IsIList,Table_ExternalData_17[[#This Row],[item_key]],IsITypeList,Table_ExternalData_17[[#Headers],[R/P]],IsDList,"&lt;&gt;"&amp;0)</f>
        <v>0</v>
      </c>
      <c r="L94" s="10">
        <f>SUMIFS(IsQList,IsIList,Table_ExternalData_17[[#This Row],[item_key]],IsITypeList,Table_ExternalData_17[[#Headers],[CST]],IsDList,"&lt;&gt;"&amp;0)</f>
        <v>0</v>
      </c>
      <c r="M94" s="10">
        <f>SUMIFS(IsQList,IsIList,Table_ExternalData_15[[#This Row],[item_key]],IsITypeList,Table_ExternalData_17[[#Headers],[S/I]],IsDList,"&lt;&gt;"&amp;0)</f>
        <v>230</v>
      </c>
      <c r="N94" s="10">
        <f>SUMIFS(IsQList,IsIList,Table_ExternalData_15[[#This Row],[item_key]],IsITypeList,Table_ExternalData_17[[#Headers],[VST]],IsDList,"&lt;&gt;"&amp;0)</f>
        <v>0</v>
      </c>
      <c r="O94" s="10">
        <f>ABS(SUMIFS(IsQList,IsIList,Table_ExternalData_17[[#This Row],[item_key]],IsITypeList,Table_ExternalData_17[[#Headers],[RTN]],IsDList,"&lt;&gt;"&amp;0))</f>
        <v>0</v>
      </c>
      <c r="P94" s="10">
        <f>SUM(Table_ExternalData_17[[#This Row],[R/P]:[RTN]])</f>
        <v>230</v>
      </c>
      <c r="Q94" s="10">
        <f>SUM((Table_ExternalData_17[[#This Row],[Opening]]+Table_ExternalData_17[[#This Row],[Total Receipt]])-ABS(Table_ExternalData_17[[#This Row],[Total Issue]]))</f>
        <v>220</v>
      </c>
    </row>
    <row r="95" spans="1:17">
      <c r="A95" s="1" t="s">
        <v>1713</v>
      </c>
      <c r="B95" s="1" t="s">
        <v>2512</v>
      </c>
      <c r="C95" s="1" t="s">
        <v>2513</v>
      </c>
      <c r="D95" s="10">
        <f>SUMIFS(OPBQList,OPBIList,Table_ExternalData_17[[#This Row],[item_key]])+SUMIFS(GQList,GIList,Table_ExternalData_17[[#This Row],[item_key]],GDList,0)-ABS(SUMIFS(IsQList,IsIList,Table_ExternalData_17[[#This Row],[item_key]],IsDList,0))</f>
        <v>8</v>
      </c>
      <c r="E95" s="10">
        <f>SUMIFS(GQList,GIList,Table_ExternalData_17[[#This Row],[item_key]],GTList,Table_ExternalData_17[[#Headers],[GRN]],GDList,"&lt;&gt;"&amp;0)</f>
        <v>60</v>
      </c>
      <c r="F95" s="10">
        <f>SUMIFS(GQList,GIList,Table_ExternalData_17[[#This Row],[item_key]],GTList,Table_ExternalData_17[[#Headers],[VSTR]],GDList,"&lt;&gt;"&amp;0)</f>
        <v>0</v>
      </c>
      <c r="G95" s="10">
        <f>SUMIFS(GQList,GIList,Table_ExternalData_17[[#This Row],[item_key]],GTList,Table_ExternalData_17[[#Headers],[SR]],GDList,"&lt;&gt;"&amp;0)</f>
        <v>0</v>
      </c>
      <c r="H95" s="10">
        <f>SUMIFS(GQList,GIList,Table_ExternalData_17[[#This Row],[item_key]],GTList,Table_ExternalData_17[[#Headers],[TR]],GDList,"&lt;&gt;"&amp;0)</f>
        <v>0</v>
      </c>
      <c r="I95" s="10">
        <f>SUMIFS(GQList,GIList,Table_ExternalData_17[[#This Row],[item_key]],GTList,Table_ExternalData_17[[#Headers],[RCA]],GDList,"&lt;&gt;"&amp;0)</f>
        <v>0</v>
      </c>
      <c r="J95" s="10">
        <f>SUM(Table_ExternalData_17[[#This Row],[GRN]]+Table_ExternalData_17[[#This Row],[VSTR]]+Table_ExternalData_17[[#This Row],[SR]]+Table_ExternalData_17[[#This Row],[TR]]+Table_ExternalData_17[[#This Row],[RCA]])</f>
        <v>60</v>
      </c>
      <c r="K95" s="10">
        <f>SUMIFS(IsQList,IsIList,Table_ExternalData_17[[#This Row],[item_key]],IsITypeList,Table_ExternalData_17[[#Headers],[R/P]],IsDList,"&lt;&gt;"&amp;0)</f>
        <v>0</v>
      </c>
      <c r="L95" s="10">
        <f>SUMIFS(IsQList,IsIList,Table_ExternalData_17[[#This Row],[item_key]],IsITypeList,Table_ExternalData_17[[#Headers],[CST]],IsDList,"&lt;&gt;"&amp;0)</f>
        <v>0</v>
      </c>
      <c r="M95" s="10">
        <f>SUMIFS(IsQList,IsIList,Table_ExternalData_15[[#This Row],[item_key]],IsITypeList,Table_ExternalData_17[[#Headers],[S/I]],IsDList,"&lt;&gt;"&amp;0)</f>
        <v>810</v>
      </c>
      <c r="N95" s="10">
        <f>SUMIFS(IsQList,IsIList,Table_ExternalData_15[[#This Row],[item_key]],IsITypeList,Table_ExternalData_17[[#Headers],[VST]],IsDList,"&lt;&gt;"&amp;0)</f>
        <v>0</v>
      </c>
      <c r="O95" s="10">
        <f>ABS(SUMIFS(IsQList,IsIList,Table_ExternalData_17[[#This Row],[item_key]],IsITypeList,Table_ExternalData_17[[#Headers],[RTN]],IsDList,"&lt;&gt;"&amp;0))</f>
        <v>0</v>
      </c>
      <c r="P95" s="10">
        <f>SUM(Table_ExternalData_17[[#This Row],[R/P]:[RTN]])</f>
        <v>810</v>
      </c>
      <c r="Q95" s="10">
        <f>SUM((Table_ExternalData_17[[#This Row],[Opening]]+Table_ExternalData_17[[#This Row],[Total Receipt]])-ABS(Table_ExternalData_17[[#This Row],[Total Issue]]))</f>
        <v>-742</v>
      </c>
    </row>
    <row r="96" spans="1:17">
      <c r="A96" s="1" t="s">
        <v>409</v>
      </c>
      <c r="B96" s="1" t="s">
        <v>2514</v>
      </c>
      <c r="C96" s="1" t="s">
        <v>2515</v>
      </c>
      <c r="D96" s="10">
        <f>SUMIFS(OPBQList,OPBIList,Table_ExternalData_17[[#This Row],[item_key]])+SUMIFS(GQList,GIList,Table_ExternalData_17[[#This Row],[item_key]],GDList,0)-ABS(SUMIFS(IsQList,IsIList,Table_ExternalData_17[[#This Row],[item_key]],IsDList,0))</f>
        <v>145</v>
      </c>
      <c r="E96" s="10">
        <f>SUMIFS(GQList,GIList,Table_ExternalData_17[[#This Row],[item_key]],GTList,Table_ExternalData_17[[#Headers],[GRN]],GDList,"&lt;&gt;"&amp;0)</f>
        <v>0</v>
      </c>
      <c r="F96" s="10">
        <f>SUMIFS(GQList,GIList,Table_ExternalData_17[[#This Row],[item_key]],GTList,Table_ExternalData_17[[#Headers],[VSTR]],GDList,"&lt;&gt;"&amp;0)</f>
        <v>0</v>
      </c>
      <c r="G96" s="10">
        <f>SUMIFS(GQList,GIList,Table_ExternalData_17[[#This Row],[item_key]],GTList,Table_ExternalData_17[[#Headers],[SR]],GDList,"&lt;&gt;"&amp;0)</f>
        <v>0</v>
      </c>
      <c r="H96" s="10">
        <f>SUMIFS(GQList,GIList,Table_ExternalData_17[[#This Row],[item_key]],GTList,Table_ExternalData_17[[#Headers],[TR]],GDList,"&lt;&gt;"&amp;0)</f>
        <v>0</v>
      </c>
      <c r="I96" s="10">
        <f>SUMIFS(GQList,GIList,Table_ExternalData_17[[#This Row],[item_key]],GTList,Table_ExternalData_17[[#Headers],[RCA]],GDList,"&lt;&gt;"&amp;0)</f>
        <v>0</v>
      </c>
      <c r="J96" s="10">
        <f>SUM(Table_ExternalData_17[[#This Row],[GRN]]+Table_ExternalData_17[[#This Row],[VSTR]]+Table_ExternalData_17[[#This Row],[SR]]+Table_ExternalData_17[[#This Row],[TR]]+Table_ExternalData_17[[#This Row],[RCA]])</f>
        <v>0</v>
      </c>
      <c r="K96" s="10">
        <f>SUMIFS(IsQList,IsIList,Table_ExternalData_17[[#This Row],[item_key]],IsITypeList,Table_ExternalData_17[[#Headers],[R/P]],IsDList,"&lt;&gt;"&amp;0)</f>
        <v>0</v>
      </c>
      <c r="L96" s="10">
        <f>SUMIFS(IsQList,IsIList,Table_ExternalData_17[[#This Row],[item_key]],IsITypeList,Table_ExternalData_17[[#Headers],[CST]],IsDList,"&lt;&gt;"&amp;0)</f>
        <v>0</v>
      </c>
      <c r="M96" s="10">
        <f>SUMIFS(IsQList,IsIList,Table_ExternalData_15[[#This Row],[item_key]],IsITypeList,Table_ExternalData_17[[#Headers],[S/I]],IsDList,"&lt;&gt;"&amp;0)</f>
        <v>25</v>
      </c>
      <c r="N96" s="10">
        <f>SUMIFS(IsQList,IsIList,Table_ExternalData_15[[#This Row],[item_key]],IsITypeList,Table_ExternalData_17[[#Headers],[VST]],IsDList,"&lt;&gt;"&amp;0)</f>
        <v>0</v>
      </c>
      <c r="O96" s="10">
        <f>ABS(SUMIFS(IsQList,IsIList,Table_ExternalData_17[[#This Row],[item_key]],IsITypeList,Table_ExternalData_17[[#Headers],[RTN]],IsDList,"&lt;&gt;"&amp;0))</f>
        <v>0</v>
      </c>
      <c r="P96" s="10">
        <f>SUM(Table_ExternalData_17[[#This Row],[R/P]:[RTN]])</f>
        <v>25</v>
      </c>
      <c r="Q96" s="10">
        <f>SUM((Table_ExternalData_17[[#This Row],[Opening]]+Table_ExternalData_17[[#This Row],[Total Receipt]])-ABS(Table_ExternalData_17[[#This Row],[Total Issue]]))</f>
        <v>120</v>
      </c>
    </row>
    <row r="97" spans="1:17">
      <c r="A97" s="1" t="s">
        <v>411</v>
      </c>
      <c r="B97" s="1" t="s">
        <v>1263</v>
      </c>
      <c r="C97" s="1" t="s">
        <v>1264</v>
      </c>
      <c r="D9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97" s="10">
        <f>SUMIFS(GQList,GIList,Table_ExternalData_17[[#This Row],[item_key]],GTList,Table_ExternalData_17[[#Headers],[GRN]],GDList,"&lt;&gt;"&amp;0)</f>
        <v>100</v>
      </c>
      <c r="F97" s="10">
        <f>SUMIFS(GQList,GIList,Table_ExternalData_17[[#This Row],[item_key]],GTList,Table_ExternalData_17[[#Headers],[VSTR]],GDList,"&lt;&gt;"&amp;0)</f>
        <v>0</v>
      </c>
      <c r="G97" s="10">
        <f>SUMIFS(GQList,GIList,Table_ExternalData_17[[#This Row],[item_key]],GTList,Table_ExternalData_17[[#Headers],[SR]],GDList,"&lt;&gt;"&amp;0)</f>
        <v>0</v>
      </c>
      <c r="H97" s="10">
        <f>SUMIFS(GQList,GIList,Table_ExternalData_17[[#This Row],[item_key]],GTList,Table_ExternalData_17[[#Headers],[TR]],GDList,"&lt;&gt;"&amp;0)</f>
        <v>0</v>
      </c>
      <c r="I97" s="10">
        <f>SUMIFS(GQList,GIList,Table_ExternalData_17[[#This Row],[item_key]],GTList,Table_ExternalData_17[[#Headers],[RCA]],GDList,"&lt;&gt;"&amp;0)</f>
        <v>0</v>
      </c>
      <c r="J97" s="10">
        <f>SUM(Table_ExternalData_17[[#This Row],[GRN]]+Table_ExternalData_17[[#This Row],[VSTR]]+Table_ExternalData_17[[#This Row],[SR]]+Table_ExternalData_17[[#This Row],[TR]]+Table_ExternalData_17[[#This Row],[RCA]])</f>
        <v>100</v>
      </c>
      <c r="K97" s="10">
        <f>SUMIFS(IsQList,IsIList,Table_ExternalData_17[[#This Row],[item_key]],IsITypeList,Table_ExternalData_17[[#Headers],[R/P]],IsDList,"&lt;&gt;"&amp;0)</f>
        <v>0</v>
      </c>
      <c r="L97" s="10">
        <f>SUMIFS(IsQList,IsIList,Table_ExternalData_17[[#This Row],[item_key]],IsITypeList,Table_ExternalData_17[[#Headers],[CST]],IsDList,"&lt;&gt;"&amp;0)</f>
        <v>0</v>
      </c>
      <c r="M97" s="10">
        <f>SUMIFS(IsQList,IsIList,Table_ExternalData_15[[#This Row],[item_key]],IsITypeList,Table_ExternalData_17[[#Headers],[S/I]],IsDList,"&lt;&gt;"&amp;0)</f>
        <v>0</v>
      </c>
      <c r="N97" s="10">
        <f>SUMIFS(IsQList,IsIList,Table_ExternalData_15[[#This Row],[item_key]],IsITypeList,Table_ExternalData_17[[#Headers],[VST]],IsDList,"&lt;&gt;"&amp;0)</f>
        <v>0</v>
      </c>
      <c r="O97" s="10">
        <f>ABS(SUMIFS(IsQList,IsIList,Table_ExternalData_17[[#This Row],[item_key]],IsITypeList,Table_ExternalData_17[[#Headers],[RTN]],IsDList,"&lt;&gt;"&amp;0))</f>
        <v>0</v>
      </c>
      <c r="P97" s="10">
        <f>SUM(Table_ExternalData_17[[#This Row],[R/P]:[RTN]])</f>
        <v>0</v>
      </c>
      <c r="Q97" s="10">
        <f>SUM((Table_ExternalData_17[[#This Row],[Opening]]+Table_ExternalData_17[[#This Row],[Total Receipt]])-ABS(Table_ExternalData_17[[#This Row],[Total Issue]]))</f>
        <v>100</v>
      </c>
    </row>
    <row r="98" spans="1:17">
      <c r="A98" s="1" t="s">
        <v>1716</v>
      </c>
      <c r="B98" s="1" t="s">
        <v>2516</v>
      </c>
      <c r="C98" s="1" t="s">
        <v>2517</v>
      </c>
      <c r="D98" s="10">
        <f>SUMIFS(OPBQList,OPBIList,Table_ExternalData_17[[#This Row],[item_key]])+SUMIFS(GQList,GIList,Table_ExternalData_17[[#This Row],[item_key]],GDList,0)-ABS(SUMIFS(IsQList,IsIList,Table_ExternalData_17[[#This Row],[item_key]],IsDList,0))</f>
        <v>125</v>
      </c>
      <c r="E98" s="10">
        <f>SUMIFS(GQList,GIList,Table_ExternalData_17[[#This Row],[item_key]],GTList,Table_ExternalData_17[[#Headers],[GRN]],GDList,"&lt;&gt;"&amp;0)</f>
        <v>0</v>
      </c>
      <c r="F98" s="10">
        <f>SUMIFS(GQList,GIList,Table_ExternalData_17[[#This Row],[item_key]],GTList,Table_ExternalData_17[[#Headers],[VSTR]],GDList,"&lt;&gt;"&amp;0)</f>
        <v>0</v>
      </c>
      <c r="G98" s="10">
        <f>SUMIFS(GQList,GIList,Table_ExternalData_17[[#This Row],[item_key]],GTList,Table_ExternalData_17[[#Headers],[SR]],GDList,"&lt;&gt;"&amp;0)</f>
        <v>0</v>
      </c>
      <c r="H98" s="10">
        <f>SUMIFS(GQList,GIList,Table_ExternalData_17[[#This Row],[item_key]],GTList,Table_ExternalData_17[[#Headers],[TR]],GDList,"&lt;&gt;"&amp;0)</f>
        <v>0</v>
      </c>
      <c r="I98" s="10">
        <f>SUMIFS(GQList,GIList,Table_ExternalData_17[[#This Row],[item_key]],GTList,Table_ExternalData_17[[#Headers],[RCA]],GDList,"&lt;&gt;"&amp;0)</f>
        <v>0</v>
      </c>
      <c r="J98" s="10">
        <f>SUM(Table_ExternalData_17[[#This Row],[GRN]]+Table_ExternalData_17[[#This Row],[VSTR]]+Table_ExternalData_17[[#This Row],[SR]]+Table_ExternalData_17[[#This Row],[TR]]+Table_ExternalData_17[[#This Row],[RCA]])</f>
        <v>0</v>
      </c>
      <c r="K98" s="10">
        <f>SUMIFS(IsQList,IsIList,Table_ExternalData_17[[#This Row],[item_key]],IsITypeList,Table_ExternalData_17[[#Headers],[R/P]],IsDList,"&lt;&gt;"&amp;0)</f>
        <v>0</v>
      </c>
      <c r="L98" s="10">
        <f>SUMIFS(IsQList,IsIList,Table_ExternalData_17[[#This Row],[item_key]],IsITypeList,Table_ExternalData_17[[#Headers],[CST]],IsDList,"&lt;&gt;"&amp;0)</f>
        <v>0</v>
      </c>
      <c r="M98" s="10">
        <f>SUMIFS(IsQList,IsIList,Table_ExternalData_15[[#This Row],[item_key]],IsITypeList,Table_ExternalData_17[[#Headers],[S/I]],IsDList,"&lt;&gt;"&amp;0)</f>
        <v>0</v>
      </c>
      <c r="N98" s="10">
        <f>SUMIFS(IsQList,IsIList,Table_ExternalData_15[[#This Row],[item_key]],IsITypeList,Table_ExternalData_17[[#Headers],[VST]],IsDList,"&lt;&gt;"&amp;0)</f>
        <v>0</v>
      </c>
      <c r="O98" s="10">
        <f>ABS(SUMIFS(IsQList,IsIList,Table_ExternalData_17[[#This Row],[item_key]],IsITypeList,Table_ExternalData_17[[#Headers],[RTN]],IsDList,"&lt;&gt;"&amp;0))</f>
        <v>0</v>
      </c>
      <c r="P98" s="10">
        <f>SUM(Table_ExternalData_17[[#This Row],[R/P]:[RTN]])</f>
        <v>0</v>
      </c>
      <c r="Q98" s="10">
        <f>SUM((Table_ExternalData_17[[#This Row],[Opening]]+Table_ExternalData_17[[#This Row],[Total Receipt]])-ABS(Table_ExternalData_17[[#This Row],[Total Issue]]))</f>
        <v>125</v>
      </c>
    </row>
    <row r="99" spans="1:17">
      <c r="A99" s="1" t="s">
        <v>417</v>
      </c>
      <c r="B99" s="1" t="s">
        <v>2518</v>
      </c>
      <c r="C99" s="1" t="s">
        <v>2519</v>
      </c>
      <c r="D99" s="10">
        <f>SUMIFS(OPBQList,OPBIList,Table_ExternalData_17[[#This Row],[item_key]])+SUMIFS(GQList,GIList,Table_ExternalData_17[[#This Row],[item_key]],GDList,0)-ABS(SUMIFS(IsQList,IsIList,Table_ExternalData_17[[#This Row],[item_key]],IsDList,0))</f>
        <v>1395</v>
      </c>
      <c r="E99" s="10">
        <f>SUMIFS(GQList,GIList,Table_ExternalData_17[[#This Row],[item_key]],GTList,Table_ExternalData_17[[#Headers],[GRN]],GDList,"&lt;&gt;"&amp;0)</f>
        <v>0</v>
      </c>
      <c r="F99" s="10">
        <f>SUMIFS(GQList,GIList,Table_ExternalData_17[[#This Row],[item_key]],GTList,Table_ExternalData_17[[#Headers],[VSTR]],GDList,"&lt;&gt;"&amp;0)</f>
        <v>0</v>
      </c>
      <c r="G99" s="10">
        <f>SUMIFS(GQList,GIList,Table_ExternalData_17[[#This Row],[item_key]],GTList,Table_ExternalData_17[[#Headers],[SR]],GDList,"&lt;&gt;"&amp;0)</f>
        <v>0</v>
      </c>
      <c r="H99" s="10">
        <f>SUMIFS(GQList,GIList,Table_ExternalData_17[[#This Row],[item_key]],GTList,Table_ExternalData_17[[#Headers],[TR]],GDList,"&lt;&gt;"&amp;0)</f>
        <v>0</v>
      </c>
      <c r="I99" s="10">
        <f>SUMIFS(GQList,GIList,Table_ExternalData_17[[#This Row],[item_key]],GTList,Table_ExternalData_17[[#Headers],[RCA]],GDList,"&lt;&gt;"&amp;0)</f>
        <v>0</v>
      </c>
      <c r="J99" s="10">
        <f>SUM(Table_ExternalData_17[[#This Row],[GRN]]+Table_ExternalData_17[[#This Row],[VSTR]]+Table_ExternalData_17[[#This Row],[SR]]+Table_ExternalData_17[[#This Row],[TR]]+Table_ExternalData_17[[#This Row],[RCA]])</f>
        <v>0</v>
      </c>
      <c r="K99" s="10">
        <f>SUMIFS(IsQList,IsIList,Table_ExternalData_17[[#This Row],[item_key]],IsITypeList,Table_ExternalData_17[[#Headers],[R/P]],IsDList,"&lt;&gt;"&amp;0)</f>
        <v>0</v>
      </c>
      <c r="L99" s="10">
        <f>SUMIFS(IsQList,IsIList,Table_ExternalData_17[[#This Row],[item_key]],IsITypeList,Table_ExternalData_17[[#Headers],[CST]],IsDList,"&lt;&gt;"&amp;0)</f>
        <v>0</v>
      </c>
      <c r="M99" s="10">
        <f>SUMIFS(IsQList,IsIList,Table_ExternalData_15[[#This Row],[item_key]],IsITypeList,Table_ExternalData_17[[#Headers],[S/I]],IsDList,"&lt;&gt;"&amp;0)</f>
        <v>120</v>
      </c>
      <c r="N99" s="10">
        <f>SUMIFS(IsQList,IsIList,Table_ExternalData_15[[#This Row],[item_key]],IsITypeList,Table_ExternalData_17[[#Headers],[VST]],IsDList,"&lt;&gt;"&amp;0)</f>
        <v>0</v>
      </c>
      <c r="O99" s="10">
        <f>ABS(SUMIFS(IsQList,IsIList,Table_ExternalData_17[[#This Row],[item_key]],IsITypeList,Table_ExternalData_17[[#Headers],[RTN]],IsDList,"&lt;&gt;"&amp;0))</f>
        <v>0</v>
      </c>
      <c r="P99" s="10">
        <f>SUM(Table_ExternalData_17[[#This Row],[R/P]:[RTN]])</f>
        <v>120</v>
      </c>
      <c r="Q99" s="10">
        <f>SUM((Table_ExternalData_17[[#This Row],[Opening]]+Table_ExternalData_17[[#This Row],[Total Receipt]])-ABS(Table_ExternalData_17[[#This Row],[Total Issue]]))</f>
        <v>1275</v>
      </c>
    </row>
    <row r="100" spans="1:17">
      <c r="A100" s="1" t="s">
        <v>420</v>
      </c>
      <c r="B100" s="1" t="s">
        <v>1266</v>
      </c>
      <c r="C100" s="1" t="s">
        <v>1267</v>
      </c>
      <c r="D100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100" s="10">
        <f>SUMIFS(GQList,GIList,Table_ExternalData_17[[#This Row],[item_key]],GTList,Table_ExternalData_17[[#Headers],[GRN]],GDList,"&lt;&gt;"&amp;0)</f>
        <v>100</v>
      </c>
      <c r="F100" s="10">
        <f>SUMIFS(GQList,GIList,Table_ExternalData_17[[#This Row],[item_key]],GTList,Table_ExternalData_17[[#Headers],[VSTR]],GDList,"&lt;&gt;"&amp;0)</f>
        <v>0</v>
      </c>
      <c r="G100" s="10">
        <f>SUMIFS(GQList,GIList,Table_ExternalData_17[[#This Row],[item_key]],GTList,Table_ExternalData_17[[#Headers],[SR]],GDList,"&lt;&gt;"&amp;0)</f>
        <v>0</v>
      </c>
      <c r="H100" s="10">
        <f>SUMIFS(GQList,GIList,Table_ExternalData_17[[#This Row],[item_key]],GTList,Table_ExternalData_17[[#Headers],[TR]],GDList,"&lt;&gt;"&amp;0)</f>
        <v>0</v>
      </c>
      <c r="I100" s="10">
        <f>SUMIFS(GQList,GIList,Table_ExternalData_17[[#This Row],[item_key]],GTList,Table_ExternalData_17[[#Headers],[RCA]],GDList,"&lt;&gt;"&amp;0)</f>
        <v>0</v>
      </c>
      <c r="J100" s="10">
        <f>SUM(Table_ExternalData_17[[#This Row],[GRN]]+Table_ExternalData_17[[#This Row],[VSTR]]+Table_ExternalData_17[[#This Row],[SR]]+Table_ExternalData_17[[#This Row],[TR]]+Table_ExternalData_17[[#This Row],[RCA]])</f>
        <v>100</v>
      </c>
      <c r="K100" s="10">
        <f>SUMIFS(IsQList,IsIList,Table_ExternalData_17[[#This Row],[item_key]],IsITypeList,Table_ExternalData_17[[#Headers],[R/P]],IsDList,"&lt;&gt;"&amp;0)</f>
        <v>0</v>
      </c>
      <c r="L100" s="10">
        <f>SUMIFS(IsQList,IsIList,Table_ExternalData_17[[#This Row],[item_key]],IsITypeList,Table_ExternalData_17[[#Headers],[CST]],IsDList,"&lt;&gt;"&amp;0)</f>
        <v>0</v>
      </c>
      <c r="M100" s="10">
        <f>SUMIFS(IsQList,IsIList,Table_ExternalData_15[[#This Row],[item_key]],IsITypeList,Table_ExternalData_17[[#Headers],[S/I]],IsDList,"&lt;&gt;"&amp;0)</f>
        <v>0</v>
      </c>
      <c r="N100" s="10">
        <f>SUMIFS(IsQList,IsIList,Table_ExternalData_15[[#This Row],[item_key]],IsITypeList,Table_ExternalData_17[[#Headers],[VST]],IsDList,"&lt;&gt;"&amp;0)</f>
        <v>0</v>
      </c>
      <c r="O100" s="10">
        <f>ABS(SUMIFS(IsQList,IsIList,Table_ExternalData_17[[#This Row],[item_key]],IsITypeList,Table_ExternalData_17[[#Headers],[RTN]],IsDList,"&lt;&gt;"&amp;0))</f>
        <v>0</v>
      </c>
      <c r="P100" s="10">
        <f>SUM(Table_ExternalData_17[[#This Row],[R/P]:[RTN]])</f>
        <v>0</v>
      </c>
      <c r="Q100" s="10">
        <f>SUM((Table_ExternalData_17[[#This Row],[Opening]]+Table_ExternalData_17[[#This Row],[Total Receipt]])-ABS(Table_ExternalData_17[[#This Row],[Total Issue]]))</f>
        <v>105</v>
      </c>
    </row>
    <row r="101" spans="1:17">
      <c r="A101" s="1" t="s">
        <v>1717</v>
      </c>
      <c r="B101" s="1" t="s">
        <v>2520</v>
      </c>
      <c r="C101" s="1" t="s">
        <v>2521</v>
      </c>
      <c r="D101" s="10">
        <f>SUMIFS(OPBQList,OPBIList,Table_ExternalData_17[[#This Row],[item_key]])+SUMIFS(GQList,GIList,Table_ExternalData_17[[#This Row],[item_key]],GDList,0)-ABS(SUMIFS(IsQList,IsIList,Table_ExternalData_17[[#This Row],[item_key]],IsDList,0))</f>
        <v>769</v>
      </c>
      <c r="E101" s="10">
        <f>SUMIFS(GQList,GIList,Table_ExternalData_17[[#This Row],[item_key]],GTList,Table_ExternalData_17[[#Headers],[GRN]],GDList,"&lt;&gt;"&amp;0)</f>
        <v>0</v>
      </c>
      <c r="F101" s="10">
        <f>SUMIFS(GQList,GIList,Table_ExternalData_17[[#This Row],[item_key]],GTList,Table_ExternalData_17[[#Headers],[VSTR]],GDList,"&lt;&gt;"&amp;0)</f>
        <v>0</v>
      </c>
      <c r="G101" s="10">
        <f>SUMIFS(GQList,GIList,Table_ExternalData_17[[#This Row],[item_key]],GTList,Table_ExternalData_17[[#Headers],[SR]],GDList,"&lt;&gt;"&amp;0)</f>
        <v>0</v>
      </c>
      <c r="H101" s="10">
        <f>SUMIFS(GQList,GIList,Table_ExternalData_17[[#This Row],[item_key]],GTList,Table_ExternalData_17[[#Headers],[TR]],GDList,"&lt;&gt;"&amp;0)</f>
        <v>0</v>
      </c>
      <c r="I101" s="10">
        <f>SUMIFS(GQList,GIList,Table_ExternalData_17[[#This Row],[item_key]],GTList,Table_ExternalData_17[[#Headers],[RCA]],GDList,"&lt;&gt;"&amp;0)</f>
        <v>0</v>
      </c>
      <c r="J101" s="10">
        <f>SUM(Table_ExternalData_17[[#This Row],[GRN]]+Table_ExternalData_17[[#This Row],[VSTR]]+Table_ExternalData_17[[#This Row],[SR]]+Table_ExternalData_17[[#This Row],[TR]]+Table_ExternalData_17[[#This Row],[RCA]])</f>
        <v>0</v>
      </c>
      <c r="K101" s="10">
        <f>SUMIFS(IsQList,IsIList,Table_ExternalData_17[[#This Row],[item_key]],IsITypeList,Table_ExternalData_17[[#Headers],[R/P]],IsDList,"&lt;&gt;"&amp;0)</f>
        <v>0</v>
      </c>
      <c r="L101" s="10">
        <f>SUMIFS(IsQList,IsIList,Table_ExternalData_17[[#This Row],[item_key]],IsITypeList,Table_ExternalData_17[[#Headers],[CST]],IsDList,"&lt;&gt;"&amp;0)</f>
        <v>0</v>
      </c>
      <c r="M101" s="10">
        <f>SUMIFS(IsQList,IsIList,Table_ExternalData_15[[#This Row],[item_key]],IsITypeList,Table_ExternalData_17[[#Headers],[S/I]],IsDList,"&lt;&gt;"&amp;0)</f>
        <v>120</v>
      </c>
      <c r="N101" s="10">
        <f>SUMIFS(IsQList,IsIList,Table_ExternalData_15[[#This Row],[item_key]],IsITypeList,Table_ExternalData_17[[#Headers],[VST]],IsDList,"&lt;&gt;"&amp;0)</f>
        <v>0</v>
      </c>
      <c r="O101" s="10">
        <f>ABS(SUMIFS(IsQList,IsIList,Table_ExternalData_17[[#This Row],[item_key]],IsITypeList,Table_ExternalData_17[[#Headers],[RTN]],IsDList,"&lt;&gt;"&amp;0))</f>
        <v>0</v>
      </c>
      <c r="P101" s="10">
        <f>SUM(Table_ExternalData_17[[#This Row],[R/P]:[RTN]])</f>
        <v>120</v>
      </c>
      <c r="Q101" s="10">
        <f>SUM((Table_ExternalData_17[[#This Row],[Opening]]+Table_ExternalData_17[[#This Row],[Total Receipt]])-ABS(Table_ExternalData_17[[#This Row],[Total Issue]]))</f>
        <v>649</v>
      </c>
    </row>
    <row r="102" spans="1:17">
      <c r="A102" s="1" t="s">
        <v>422</v>
      </c>
      <c r="B102" s="1" t="s">
        <v>1268</v>
      </c>
      <c r="C102" s="1" t="s">
        <v>1269</v>
      </c>
      <c r="D102" s="10">
        <f>SUMIFS(OPBQList,OPBIList,Table_ExternalData_17[[#This Row],[item_key]])+SUMIFS(GQList,GIList,Table_ExternalData_17[[#This Row],[item_key]],GDList,0)-ABS(SUMIFS(IsQList,IsIList,Table_ExternalData_17[[#This Row],[item_key]],IsDList,0))</f>
        <v>101</v>
      </c>
      <c r="E102" s="10">
        <f>SUMIFS(GQList,GIList,Table_ExternalData_17[[#This Row],[item_key]],GTList,Table_ExternalData_17[[#Headers],[GRN]],GDList,"&lt;&gt;"&amp;0)</f>
        <v>0</v>
      </c>
      <c r="F102" s="10">
        <f>SUMIFS(GQList,GIList,Table_ExternalData_17[[#This Row],[item_key]],GTList,Table_ExternalData_17[[#Headers],[VSTR]],GDList,"&lt;&gt;"&amp;0)</f>
        <v>0</v>
      </c>
      <c r="G102" s="10">
        <f>SUMIFS(GQList,GIList,Table_ExternalData_17[[#This Row],[item_key]],GTList,Table_ExternalData_17[[#Headers],[SR]],GDList,"&lt;&gt;"&amp;0)</f>
        <v>0</v>
      </c>
      <c r="H102" s="10">
        <f>SUMIFS(GQList,GIList,Table_ExternalData_17[[#This Row],[item_key]],GTList,Table_ExternalData_17[[#Headers],[TR]],GDList,"&lt;&gt;"&amp;0)</f>
        <v>0</v>
      </c>
      <c r="I102" s="10">
        <f>SUMIFS(GQList,GIList,Table_ExternalData_17[[#This Row],[item_key]],GTList,Table_ExternalData_17[[#Headers],[RCA]],GDList,"&lt;&gt;"&amp;0)</f>
        <v>0</v>
      </c>
      <c r="J102" s="10">
        <f>SUM(Table_ExternalData_17[[#This Row],[GRN]]+Table_ExternalData_17[[#This Row],[VSTR]]+Table_ExternalData_17[[#This Row],[SR]]+Table_ExternalData_17[[#This Row],[TR]]+Table_ExternalData_17[[#This Row],[RCA]])</f>
        <v>0</v>
      </c>
      <c r="K102" s="10">
        <f>SUMIFS(IsQList,IsIList,Table_ExternalData_17[[#This Row],[item_key]],IsITypeList,Table_ExternalData_17[[#Headers],[R/P]],IsDList,"&lt;&gt;"&amp;0)</f>
        <v>0</v>
      </c>
      <c r="L102" s="10">
        <f>SUMIFS(IsQList,IsIList,Table_ExternalData_17[[#This Row],[item_key]],IsITypeList,Table_ExternalData_17[[#Headers],[CST]],IsDList,"&lt;&gt;"&amp;0)</f>
        <v>0</v>
      </c>
      <c r="M102" s="10">
        <f>SUMIFS(IsQList,IsIList,Table_ExternalData_15[[#This Row],[item_key]],IsITypeList,Table_ExternalData_17[[#Headers],[S/I]],IsDList,"&lt;&gt;"&amp;0)</f>
        <v>9</v>
      </c>
      <c r="N102" s="10">
        <f>SUMIFS(IsQList,IsIList,Table_ExternalData_15[[#This Row],[item_key]],IsITypeList,Table_ExternalData_17[[#Headers],[VST]],IsDList,"&lt;&gt;"&amp;0)</f>
        <v>0</v>
      </c>
      <c r="O102" s="10">
        <f>ABS(SUMIFS(IsQList,IsIList,Table_ExternalData_17[[#This Row],[item_key]],IsITypeList,Table_ExternalData_17[[#Headers],[RTN]],IsDList,"&lt;&gt;"&amp;0))</f>
        <v>0</v>
      </c>
      <c r="P102" s="10">
        <f>SUM(Table_ExternalData_17[[#This Row],[R/P]:[RTN]])</f>
        <v>9</v>
      </c>
      <c r="Q102" s="10">
        <f>SUM((Table_ExternalData_17[[#This Row],[Opening]]+Table_ExternalData_17[[#This Row],[Total Receipt]])-ABS(Table_ExternalData_17[[#This Row],[Total Issue]]))</f>
        <v>92</v>
      </c>
    </row>
    <row r="103" spans="1:17">
      <c r="A103" s="1" t="s">
        <v>424</v>
      </c>
      <c r="B103" s="1" t="s">
        <v>2522</v>
      </c>
      <c r="C103" s="1" t="s">
        <v>2523</v>
      </c>
      <c r="D103" s="10">
        <f>SUMIFS(OPBQList,OPBIList,Table_ExternalData_17[[#This Row],[item_key]])+SUMIFS(GQList,GIList,Table_ExternalData_17[[#This Row],[item_key]],GDList,0)-ABS(SUMIFS(IsQList,IsIList,Table_ExternalData_17[[#This Row],[item_key]],IsDList,0))</f>
        <v>624</v>
      </c>
      <c r="E103" s="10">
        <f>SUMIFS(GQList,GIList,Table_ExternalData_17[[#This Row],[item_key]],GTList,Table_ExternalData_17[[#Headers],[GRN]],GDList,"&lt;&gt;"&amp;0)</f>
        <v>0</v>
      </c>
      <c r="F103" s="10">
        <f>SUMIFS(GQList,GIList,Table_ExternalData_17[[#This Row],[item_key]],GTList,Table_ExternalData_17[[#Headers],[VSTR]],GDList,"&lt;&gt;"&amp;0)</f>
        <v>0</v>
      </c>
      <c r="G103" s="10">
        <f>SUMIFS(GQList,GIList,Table_ExternalData_17[[#This Row],[item_key]],GTList,Table_ExternalData_17[[#Headers],[SR]],GDList,"&lt;&gt;"&amp;0)</f>
        <v>0</v>
      </c>
      <c r="H103" s="10">
        <f>SUMIFS(GQList,GIList,Table_ExternalData_17[[#This Row],[item_key]],GTList,Table_ExternalData_17[[#Headers],[TR]],GDList,"&lt;&gt;"&amp;0)</f>
        <v>0</v>
      </c>
      <c r="I103" s="10">
        <f>SUMIFS(GQList,GIList,Table_ExternalData_17[[#This Row],[item_key]],GTList,Table_ExternalData_17[[#Headers],[RCA]],GDList,"&lt;&gt;"&amp;0)</f>
        <v>0</v>
      </c>
      <c r="J103" s="10">
        <f>SUM(Table_ExternalData_17[[#This Row],[GRN]]+Table_ExternalData_17[[#This Row],[VSTR]]+Table_ExternalData_17[[#This Row],[SR]]+Table_ExternalData_17[[#This Row],[TR]]+Table_ExternalData_17[[#This Row],[RCA]])</f>
        <v>0</v>
      </c>
      <c r="K103" s="10">
        <f>SUMIFS(IsQList,IsIList,Table_ExternalData_17[[#This Row],[item_key]],IsITypeList,Table_ExternalData_17[[#Headers],[R/P]],IsDList,"&lt;&gt;"&amp;0)</f>
        <v>0</v>
      </c>
      <c r="L103" s="10">
        <f>SUMIFS(IsQList,IsIList,Table_ExternalData_17[[#This Row],[item_key]],IsITypeList,Table_ExternalData_17[[#Headers],[CST]],IsDList,"&lt;&gt;"&amp;0)</f>
        <v>0</v>
      </c>
      <c r="M103" s="10">
        <f>SUMIFS(IsQList,IsIList,Table_ExternalData_15[[#This Row],[item_key]],IsITypeList,Table_ExternalData_17[[#Headers],[S/I]],IsDList,"&lt;&gt;"&amp;0)</f>
        <v>9</v>
      </c>
      <c r="N103" s="10">
        <f>SUMIFS(IsQList,IsIList,Table_ExternalData_15[[#This Row],[item_key]],IsITypeList,Table_ExternalData_17[[#Headers],[VST]],IsDList,"&lt;&gt;"&amp;0)</f>
        <v>0</v>
      </c>
      <c r="O103" s="10">
        <f>ABS(SUMIFS(IsQList,IsIList,Table_ExternalData_17[[#This Row],[item_key]],IsITypeList,Table_ExternalData_17[[#Headers],[RTN]],IsDList,"&lt;&gt;"&amp;0))</f>
        <v>0</v>
      </c>
      <c r="P103" s="10">
        <f>SUM(Table_ExternalData_17[[#This Row],[R/P]:[RTN]])</f>
        <v>9</v>
      </c>
      <c r="Q103" s="10">
        <f>SUM((Table_ExternalData_17[[#This Row],[Opening]]+Table_ExternalData_17[[#This Row],[Total Receipt]])-ABS(Table_ExternalData_17[[#This Row],[Total Issue]]))</f>
        <v>615</v>
      </c>
    </row>
    <row r="104" spans="1:17">
      <c r="A104" s="1" t="s">
        <v>425</v>
      </c>
      <c r="B104" s="1" t="s">
        <v>1271</v>
      </c>
      <c r="C104" s="1" t="s">
        <v>1272</v>
      </c>
      <c r="D10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04" s="10">
        <f>SUMIFS(GQList,GIList,Table_ExternalData_17[[#This Row],[item_key]],GTList,Table_ExternalData_17[[#Headers],[GRN]],GDList,"&lt;&gt;"&amp;0)</f>
        <v>500</v>
      </c>
      <c r="F104" s="10">
        <f>SUMIFS(GQList,GIList,Table_ExternalData_17[[#This Row],[item_key]],GTList,Table_ExternalData_17[[#Headers],[VSTR]],GDList,"&lt;&gt;"&amp;0)</f>
        <v>0</v>
      </c>
      <c r="G104" s="10">
        <f>SUMIFS(GQList,GIList,Table_ExternalData_17[[#This Row],[item_key]],GTList,Table_ExternalData_17[[#Headers],[SR]],GDList,"&lt;&gt;"&amp;0)</f>
        <v>0</v>
      </c>
      <c r="H104" s="10">
        <f>SUMIFS(GQList,GIList,Table_ExternalData_17[[#This Row],[item_key]],GTList,Table_ExternalData_17[[#Headers],[TR]],GDList,"&lt;&gt;"&amp;0)</f>
        <v>0</v>
      </c>
      <c r="I104" s="10">
        <f>SUMIFS(GQList,GIList,Table_ExternalData_17[[#This Row],[item_key]],GTList,Table_ExternalData_17[[#Headers],[RCA]],GDList,"&lt;&gt;"&amp;0)</f>
        <v>0</v>
      </c>
      <c r="J104" s="10">
        <f>SUM(Table_ExternalData_17[[#This Row],[GRN]]+Table_ExternalData_17[[#This Row],[VSTR]]+Table_ExternalData_17[[#This Row],[SR]]+Table_ExternalData_17[[#This Row],[TR]]+Table_ExternalData_17[[#This Row],[RCA]])</f>
        <v>500</v>
      </c>
      <c r="K104" s="10">
        <f>SUMIFS(IsQList,IsIList,Table_ExternalData_17[[#This Row],[item_key]],IsITypeList,Table_ExternalData_17[[#Headers],[R/P]],IsDList,"&lt;&gt;"&amp;0)</f>
        <v>0</v>
      </c>
      <c r="L104" s="10">
        <f>SUMIFS(IsQList,IsIList,Table_ExternalData_17[[#This Row],[item_key]],IsITypeList,Table_ExternalData_17[[#Headers],[CST]],IsDList,"&lt;&gt;"&amp;0)</f>
        <v>0</v>
      </c>
      <c r="M104" s="10">
        <f>SUMIFS(IsQList,IsIList,Table_ExternalData_15[[#This Row],[item_key]],IsITypeList,Table_ExternalData_17[[#Headers],[S/I]],IsDList,"&lt;&gt;"&amp;0)</f>
        <v>2</v>
      </c>
      <c r="N104" s="10">
        <f>SUMIFS(IsQList,IsIList,Table_ExternalData_15[[#This Row],[item_key]],IsITypeList,Table_ExternalData_17[[#Headers],[VST]],IsDList,"&lt;&gt;"&amp;0)</f>
        <v>0</v>
      </c>
      <c r="O104" s="10">
        <f>ABS(SUMIFS(IsQList,IsIList,Table_ExternalData_17[[#This Row],[item_key]],IsITypeList,Table_ExternalData_17[[#Headers],[RTN]],IsDList,"&lt;&gt;"&amp;0))</f>
        <v>0</v>
      </c>
      <c r="P104" s="10">
        <f>SUM(Table_ExternalData_17[[#This Row],[R/P]:[RTN]])</f>
        <v>2</v>
      </c>
      <c r="Q104" s="10">
        <f>SUM((Table_ExternalData_17[[#This Row],[Opening]]+Table_ExternalData_17[[#This Row],[Total Receipt]])-ABS(Table_ExternalData_17[[#This Row],[Total Issue]]))</f>
        <v>498</v>
      </c>
    </row>
    <row r="105" spans="1:17">
      <c r="A105" s="1" t="s">
        <v>426</v>
      </c>
      <c r="B105" s="1" t="s">
        <v>2524</v>
      </c>
      <c r="C105" s="1" t="s">
        <v>2525</v>
      </c>
      <c r="D105" s="10">
        <f>SUMIFS(OPBQList,OPBIList,Table_ExternalData_17[[#This Row],[item_key]])+SUMIFS(GQList,GIList,Table_ExternalData_17[[#This Row],[item_key]],GDList,0)-ABS(SUMIFS(IsQList,IsIList,Table_ExternalData_17[[#This Row],[item_key]],IsDList,0))</f>
        <v>554</v>
      </c>
      <c r="E105" s="10">
        <f>SUMIFS(GQList,GIList,Table_ExternalData_17[[#This Row],[item_key]],GTList,Table_ExternalData_17[[#Headers],[GRN]],GDList,"&lt;&gt;"&amp;0)</f>
        <v>0</v>
      </c>
      <c r="F105" s="10">
        <f>SUMIFS(GQList,GIList,Table_ExternalData_17[[#This Row],[item_key]],GTList,Table_ExternalData_17[[#Headers],[VSTR]],GDList,"&lt;&gt;"&amp;0)</f>
        <v>0</v>
      </c>
      <c r="G105" s="10">
        <f>SUMIFS(GQList,GIList,Table_ExternalData_17[[#This Row],[item_key]],GTList,Table_ExternalData_17[[#Headers],[SR]],GDList,"&lt;&gt;"&amp;0)</f>
        <v>0</v>
      </c>
      <c r="H105" s="10">
        <f>SUMIFS(GQList,GIList,Table_ExternalData_17[[#This Row],[item_key]],GTList,Table_ExternalData_17[[#Headers],[TR]],GDList,"&lt;&gt;"&amp;0)</f>
        <v>0</v>
      </c>
      <c r="I105" s="10">
        <f>SUMIFS(GQList,GIList,Table_ExternalData_17[[#This Row],[item_key]],GTList,Table_ExternalData_17[[#Headers],[RCA]],GDList,"&lt;&gt;"&amp;0)</f>
        <v>0</v>
      </c>
      <c r="J105" s="10">
        <f>SUM(Table_ExternalData_17[[#This Row],[GRN]]+Table_ExternalData_17[[#This Row],[VSTR]]+Table_ExternalData_17[[#This Row],[SR]]+Table_ExternalData_17[[#This Row],[TR]]+Table_ExternalData_17[[#This Row],[RCA]])</f>
        <v>0</v>
      </c>
      <c r="K105" s="10">
        <f>SUMIFS(IsQList,IsIList,Table_ExternalData_17[[#This Row],[item_key]],IsITypeList,Table_ExternalData_17[[#Headers],[R/P]],IsDList,"&lt;&gt;"&amp;0)</f>
        <v>0</v>
      </c>
      <c r="L105" s="10">
        <f>SUMIFS(IsQList,IsIList,Table_ExternalData_17[[#This Row],[item_key]],IsITypeList,Table_ExternalData_17[[#Headers],[CST]],IsDList,"&lt;&gt;"&amp;0)</f>
        <v>0</v>
      </c>
      <c r="M105" s="10">
        <f>SUMIFS(IsQList,IsIList,Table_ExternalData_15[[#This Row],[item_key]],IsITypeList,Table_ExternalData_17[[#Headers],[S/I]],IsDList,"&lt;&gt;"&amp;0)</f>
        <v>0</v>
      </c>
      <c r="N105" s="10">
        <f>SUMIFS(IsQList,IsIList,Table_ExternalData_15[[#This Row],[item_key]],IsITypeList,Table_ExternalData_17[[#Headers],[VST]],IsDList,"&lt;&gt;"&amp;0)</f>
        <v>0</v>
      </c>
      <c r="O105" s="10">
        <f>ABS(SUMIFS(IsQList,IsIList,Table_ExternalData_17[[#This Row],[item_key]],IsITypeList,Table_ExternalData_17[[#Headers],[RTN]],IsDList,"&lt;&gt;"&amp;0))</f>
        <v>0</v>
      </c>
      <c r="P105" s="10">
        <f>SUM(Table_ExternalData_17[[#This Row],[R/P]:[RTN]])</f>
        <v>0</v>
      </c>
      <c r="Q105" s="10">
        <f>SUM((Table_ExternalData_17[[#This Row],[Opening]]+Table_ExternalData_17[[#This Row],[Total Receipt]])-ABS(Table_ExternalData_17[[#This Row],[Total Issue]]))</f>
        <v>554</v>
      </c>
    </row>
    <row r="106" spans="1:17">
      <c r="A106" s="1" t="s">
        <v>427</v>
      </c>
      <c r="B106" s="1" t="s">
        <v>1273</v>
      </c>
      <c r="C106" s="1" t="s">
        <v>1274</v>
      </c>
      <c r="D106" s="10">
        <f>SUMIFS(OPBQList,OPBIList,Table_ExternalData_17[[#This Row],[item_key]])+SUMIFS(GQList,GIList,Table_ExternalData_17[[#This Row],[item_key]],GDList,0)-ABS(SUMIFS(IsQList,IsIList,Table_ExternalData_17[[#This Row],[item_key]],IsDList,0))</f>
        <v>161</v>
      </c>
      <c r="E106" s="10">
        <f>SUMIFS(GQList,GIList,Table_ExternalData_17[[#This Row],[item_key]],GTList,Table_ExternalData_17[[#Headers],[GRN]],GDList,"&lt;&gt;"&amp;0)</f>
        <v>0</v>
      </c>
      <c r="F106" s="10">
        <f>SUMIFS(GQList,GIList,Table_ExternalData_17[[#This Row],[item_key]],GTList,Table_ExternalData_17[[#Headers],[VSTR]],GDList,"&lt;&gt;"&amp;0)</f>
        <v>0</v>
      </c>
      <c r="G106" s="10">
        <f>SUMIFS(GQList,GIList,Table_ExternalData_17[[#This Row],[item_key]],GTList,Table_ExternalData_17[[#Headers],[SR]],GDList,"&lt;&gt;"&amp;0)</f>
        <v>0</v>
      </c>
      <c r="H106" s="10">
        <f>SUMIFS(GQList,GIList,Table_ExternalData_17[[#This Row],[item_key]],GTList,Table_ExternalData_17[[#Headers],[TR]],GDList,"&lt;&gt;"&amp;0)</f>
        <v>0</v>
      </c>
      <c r="I106" s="10">
        <f>SUMIFS(GQList,GIList,Table_ExternalData_17[[#This Row],[item_key]],GTList,Table_ExternalData_17[[#Headers],[RCA]],GDList,"&lt;&gt;"&amp;0)</f>
        <v>0</v>
      </c>
      <c r="J106" s="10">
        <f>SUM(Table_ExternalData_17[[#This Row],[GRN]]+Table_ExternalData_17[[#This Row],[VSTR]]+Table_ExternalData_17[[#This Row],[SR]]+Table_ExternalData_17[[#This Row],[TR]]+Table_ExternalData_17[[#This Row],[RCA]])</f>
        <v>0</v>
      </c>
      <c r="K106" s="10">
        <f>SUMIFS(IsQList,IsIList,Table_ExternalData_17[[#This Row],[item_key]],IsITypeList,Table_ExternalData_17[[#Headers],[R/P]],IsDList,"&lt;&gt;"&amp;0)</f>
        <v>0</v>
      </c>
      <c r="L106" s="10">
        <f>SUMIFS(IsQList,IsIList,Table_ExternalData_17[[#This Row],[item_key]],IsITypeList,Table_ExternalData_17[[#Headers],[CST]],IsDList,"&lt;&gt;"&amp;0)</f>
        <v>0</v>
      </c>
      <c r="M106" s="10">
        <f>SUMIFS(IsQList,IsIList,Table_ExternalData_15[[#This Row],[item_key]],IsITypeList,Table_ExternalData_17[[#Headers],[S/I]],IsDList,"&lt;&gt;"&amp;0)</f>
        <v>40</v>
      </c>
      <c r="N106" s="10">
        <f>SUMIFS(IsQList,IsIList,Table_ExternalData_15[[#This Row],[item_key]],IsITypeList,Table_ExternalData_17[[#Headers],[VST]],IsDList,"&lt;&gt;"&amp;0)</f>
        <v>0</v>
      </c>
      <c r="O106" s="10">
        <f>ABS(SUMIFS(IsQList,IsIList,Table_ExternalData_17[[#This Row],[item_key]],IsITypeList,Table_ExternalData_17[[#Headers],[RTN]],IsDList,"&lt;&gt;"&amp;0))</f>
        <v>0</v>
      </c>
      <c r="P106" s="10">
        <f>SUM(Table_ExternalData_17[[#This Row],[R/P]:[RTN]])</f>
        <v>40</v>
      </c>
      <c r="Q106" s="10">
        <f>SUM((Table_ExternalData_17[[#This Row],[Opening]]+Table_ExternalData_17[[#This Row],[Total Receipt]])-ABS(Table_ExternalData_17[[#This Row],[Total Issue]]))</f>
        <v>121</v>
      </c>
    </row>
    <row r="107" spans="1:17">
      <c r="A107" s="1" t="s">
        <v>1719</v>
      </c>
      <c r="B107" s="1" t="s">
        <v>2526</v>
      </c>
      <c r="C107" s="1" t="s">
        <v>2527</v>
      </c>
      <c r="D10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07" s="10">
        <f>SUMIFS(GQList,GIList,Table_ExternalData_17[[#This Row],[item_key]],GTList,Table_ExternalData_17[[#Headers],[GRN]],GDList,"&lt;&gt;"&amp;0)</f>
        <v>50</v>
      </c>
      <c r="F107" s="10">
        <f>SUMIFS(GQList,GIList,Table_ExternalData_17[[#This Row],[item_key]],GTList,Table_ExternalData_17[[#Headers],[VSTR]],GDList,"&lt;&gt;"&amp;0)</f>
        <v>0</v>
      </c>
      <c r="G107" s="10">
        <f>SUMIFS(GQList,GIList,Table_ExternalData_17[[#This Row],[item_key]],GTList,Table_ExternalData_17[[#Headers],[SR]],GDList,"&lt;&gt;"&amp;0)</f>
        <v>0</v>
      </c>
      <c r="H107" s="10">
        <f>SUMIFS(GQList,GIList,Table_ExternalData_17[[#This Row],[item_key]],GTList,Table_ExternalData_17[[#Headers],[TR]],GDList,"&lt;&gt;"&amp;0)</f>
        <v>0</v>
      </c>
      <c r="I107" s="10">
        <f>SUMIFS(GQList,GIList,Table_ExternalData_17[[#This Row],[item_key]],GTList,Table_ExternalData_17[[#Headers],[RCA]],GDList,"&lt;&gt;"&amp;0)</f>
        <v>0</v>
      </c>
      <c r="J107" s="10">
        <f>SUM(Table_ExternalData_17[[#This Row],[GRN]]+Table_ExternalData_17[[#This Row],[VSTR]]+Table_ExternalData_17[[#This Row],[SR]]+Table_ExternalData_17[[#This Row],[TR]]+Table_ExternalData_17[[#This Row],[RCA]])</f>
        <v>50</v>
      </c>
      <c r="K107" s="10">
        <f>SUMIFS(IsQList,IsIList,Table_ExternalData_17[[#This Row],[item_key]],IsITypeList,Table_ExternalData_17[[#Headers],[R/P]],IsDList,"&lt;&gt;"&amp;0)</f>
        <v>0</v>
      </c>
      <c r="L107" s="10">
        <f>SUMIFS(IsQList,IsIList,Table_ExternalData_17[[#This Row],[item_key]],IsITypeList,Table_ExternalData_17[[#Headers],[CST]],IsDList,"&lt;&gt;"&amp;0)</f>
        <v>0</v>
      </c>
      <c r="M107" s="10">
        <f>SUMIFS(IsQList,IsIList,Table_ExternalData_15[[#This Row],[item_key]],IsITypeList,Table_ExternalData_17[[#Headers],[S/I]],IsDList,"&lt;&gt;"&amp;0)</f>
        <v>10</v>
      </c>
      <c r="N107" s="10">
        <f>SUMIFS(IsQList,IsIList,Table_ExternalData_15[[#This Row],[item_key]],IsITypeList,Table_ExternalData_17[[#Headers],[VST]],IsDList,"&lt;&gt;"&amp;0)</f>
        <v>0</v>
      </c>
      <c r="O107" s="10">
        <f>ABS(SUMIFS(IsQList,IsIList,Table_ExternalData_17[[#This Row],[item_key]],IsITypeList,Table_ExternalData_17[[#Headers],[RTN]],IsDList,"&lt;&gt;"&amp;0))</f>
        <v>0</v>
      </c>
      <c r="P107" s="10">
        <f>SUM(Table_ExternalData_17[[#This Row],[R/P]:[RTN]])</f>
        <v>10</v>
      </c>
      <c r="Q107" s="10">
        <f>SUM((Table_ExternalData_17[[#This Row],[Opening]]+Table_ExternalData_17[[#This Row],[Total Receipt]])-ABS(Table_ExternalData_17[[#This Row],[Total Issue]]))</f>
        <v>40</v>
      </c>
    </row>
    <row r="108" spans="1:17">
      <c r="A108" s="1" t="s">
        <v>431</v>
      </c>
      <c r="B108" s="1" t="s">
        <v>2528</v>
      </c>
      <c r="C108" s="1" t="s">
        <v>1402</v>
      </c>
      <c r="D108" s="10">
        <f>SUMIFS(OPBQList,OPBIList,Table_ExternalData_17[[#This Row],[item_key]])+SUMIFS(GQList,GIList,Table_ExternalData_17[[#This Row],[item_key]],GDList,0)-ABS(SUMIFS(IsQList,IsIList,Table_ExternalData_17[[#This Row],[item_key]],IsDList,0))</f>
        <v>721</v>
      </c>
      <c r="E108" s="10">
        <f>SUMIFS(GQList,GIList,Table_ExternalData_17[[#This Row],[item_key]],GTList,Table_ExternalData_17[[#Headers],[GRN]],GDList,"&lt;&gt;"&amp;0)</f>
        <v>0</v>
      </c>
      <c r="F108" s="10">
        <f>SUMIFS(GQList,GIList,Table_ExternalData_17[[#This Row],[item_key]],GTList,Table_ExternalData_17[[#Headers],[VSTR]],GDList,"&lt;&gt;"&amp;0)</f>
        <v>0</v>
      </c>
      <c r="G108" s="10">
        <f>SUMIFS(GQList,GIList,Table_ExternalData_17[[#This Row],[item_key]],GTList,Table_ExternalData_17[[#Headers],[SR]],GDList,"&lt;&gt;"&amp;0)</f>
        <v>0</v>
      </c>
      <c r="H108" s="10">
        <f>SUMIFS(GQList,GIList,Table_ExternalData_17[[#This Row],[item_key]],GTList,Table_ExternalData_17[[#Headers],[TR]],GDList,"&lt;&gt;"&amp;0)</f>
        <v>0</v>
      </c>
      <c r="I108" s="10">
        <f>SUMIFS(GQList,GIList,Table_ExternalData_17[[#This Row],[item_key]],GTList,Table_ExternalData_17[[#Headers],[RCA]],GDList,"&lt;&gt;"&amp;0)</f>
        <v>0</v>
      </c>
      <c r="J108" s="10">
        <f>SUM(Table_ExternalData_17[[#This Row],[GRN]]+Table_ExternalData_17[[#This Row],[VSTR]]+Table_ExternalData_17[[#This Row],[SR]]+Table_ExternalData_17[[#This Row],[TR]]+Table_ExternalData_17[[#This Row],[RCA]])</f>
        <v>0</v>
      </c>
      <c r="K108" s="10">
        <f>SUMIFS(IsQList,IsIList,Table_ExternalData_17[[#This Row],[item_key]],IsITypeList,Table_ExternalData_17[[#Headers],[R/P]],IsDList,"&lt;&gt;"&amp;0)</f>
        <v>0</v>
      </c>
      <c r="L108" s="10">
        <f>SUMIFS(IsQList,IsIList,Table_ExternalData_17[[#This Row],[item_key]],IsITypeList,Table_ExternalData_17[[#Headers],[CST]],IsDList,"&lt;&gt;"&amp;0)</f>
        <v>0</v>
      </c>
      <c r="M108" s="10">
        <f>SUMIFS(IsQList,IsIList,Table_ExternalData_15[[#This Row],[item_key]],IsITypeList,Table_ExternalData_17[[#Headers],[S/I]],IsDList,"&lt;&gt;"&amp;0)</f>
        <v>10</v>
      </c>
      <c r="N108" s="10">
        <f>SUMIFS(IsQList,IsIList,Table_ExternalData_15[[#This Row],[item_key]],IsITypeList,Table_ExternalData_17[[#Headers],[VST]],IsDList,"&lt;&gt;"&amp;0)</f>
        <v>0</v>
      </c>
      <c r="O108" s="10">
        <f>ABS(SUMIFS(IsQList,IsIList,Table_ExternalData_17[[#This Row],[item_key]],IsITypeList,Table_ExternalData_17[[#Headers],[RTN]],IsDList,"&lt;&gt;"&amp;0))</f>
        <v>0</v>
      </c>
      <c r="P108" s="10">
        <f>SUM(Table_ExternalData_17[[#This Row],[R/P]:[RTN]])</f>
        <v>10</v>
      </c>
      <c r="Q108" s="10">
        <f>SUM((Table_ExternalData_17[[#This Row],[Opening]]+Table_ExternalData_17[[#This Row],[Total Receipt]])-ABS(Table_ExternalData_17[[#This Row],[Total Issue]]))</f>
        <v>711</v>
      </c>
    </row>
    <row r="109" spans="1:17">
      <c r="A109" s="1" t="s">
        <v>432</v>
      </c>
      <c r="B109" s="1" t="s">
        <v>2529</v>
      </c>
      <c r="C109" s="1" t="s">
        <v>2530</v>
      </c>
      <c r="D109" s="10">
        <f>SUMIFS(OPBQList,OPBIList,Table_ExternalData_17[[#This Row],[item_key]])+SUMIFS(GQList,GIList,Table_ExternalData_17[[#This Row],[item_key]],GDList,0)-ABS(SUMIFS(IsQList,IsIList,Table_ExternalData_17[[#This Row],[item_key]],IsDList,0))</f>
        <v>8</v>
      </c>
      <c r="E109" s="10">
        <f>SUMIFS(GQList,GIList,Table_ExternalData_17[[#This Row],[item_key]],GTList,Table_ExternalData_17[[#Headers],[GRN]],GDList,"&lt;&gt;"&amp;0)</f>
        <v>50</v>
      </c>
      <c r="F109" s="10">
        <f>SUMIFS(GQList,GIList,Table_ExternalData_17[[#This Row],[item_key]],GTList,Table_ExternalData_17[[#Headers],[VSTR]],GDList,"&lt;&gt;"&amp;0)</f>
        <v>0</v>
      </c>
      <c r="G109" s="10">
        <f>SUMIFS(GQList,GIList,Table_ExternalData_17[[#This Row],[item_key]],GTList,Table_ExternalData_17[[#Headers],[SR]],GDList,"&lt;&gt;"&amp;0)</f>
        <v>0</v>
      </c>
      <c r="H109" s="10">
        <f>SUMIFS(GQList,GIList,Table_ExternalData_17[[#This Row],[item_key]],GTList,Table_ExternalData_17[[#Headers],[TR]],GDList,"&lt;&gt;"&amp;0)</f>
        <v>0</v>
      </c>
      <c r="I109" s="10">
        <f>SUMIFS(GQList,GIList,Table_ExternalData_17[[#This Row],[item_key]],GTList,Table_ExternalData_17[[#Headers],[RCA]],GDList,"&lt;&gt;"&amp;0)</f>
        <v>0</v>
      </c>
      <c r="J109" s="10">
        <f>SUM(Table_ExternalData_17[[#This Row],[GRN]]+Table_ExternalData_17[[#This Row],[VSTR]]+Table_ExternalData_17[[#This Row],[SR]]+Table_ExternalData_17[[#This Row],[TR]]+Table_ExternalData_17[[#This Row],[RCA]])</f>
        <v>50</v>
      </c>
      <c r="K109" s="10">
        <f>SUMIFS(IsQList,IsIList,Table_ExternalData_17[[#This Row],[item_key]],IsITypeList,Table_ExternalData_17[[#Headers],[R/P]],IsDList,"&lt;&gt;"&amp;0)</f>
        <v>0</v>
      </c>
      <c r="L109" s="10">
        <f>SUMIFS(IsQList,IsIList,Table_ExternalData_17[[#This Row],[item_key]],IsITypeList,Table_ExternalData_17[[#Headers],[CST]],IsDList,"&lt;&gt;"&amp;0)</f>
        <v>0</v>
      </c>
      <c r="M109" s="10">
        <f>SUMIFS(IsQList,IsIList,Table_ExternalData_15[[#This Row],[item_key]],IsITypeList,Table_ExternalData_17[[#Headers],[S/I]],IsDList,"&lt;&gt;"&amp;0)</f>
        <v>34</v>
      </c>
      <c r="N109" s="10">
        <f>SUMIFS(IsQList,IsIList,Table_ExternalData_15[[#This Row],[item_key]],IsITypeList,Table_ExternalData_17[[#Headers],[VST]],IsDList,"&lt;&gt;"&amp;0)</f>
        <v>0</v>
      </c>
      <c r="O109" s="10">
        <f>ABS(SUMIFS(IsQList,IsIList,Table_ExternalData_17[[#This Row],[item_key]],IsITypeList,Table_ExternalData_17[[#Headers],[RTN]],IsDList,"&lt;&gt;"&amp;0))</f>
        <v>0</v>
      </c>
      <c r="P109" s="10">
        <f>SUM(Table_ExternalData_17[[#This Row],[R/P]:[RTN]])</f>
        <v>34</v>
      </c>
      <c r="Q109" s="10">
        <f>SUM((Table_ExternalData_17[[#This Row],[Opening]]+Table_ExternalData_17[[#This Row],[Total Receipt]])-ABS(Table_ExternalData_17[[#This Row],[Total Issue]]))</f>
        <v>24</v>
      </c>
    </row>
    <row r="110" spans="1:17">
      <c r="A110" s="1" t="s">
        <v>433</v>
      </c>
      <c r="B110" s="1" t="s">
        <v>2531</v>
      </c>
      <c r="C110" s="1" t="s">
        <v>2532</v>
      </c>
      <c r="D11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10" s="10">
        <f>SUMIFS(GQList,GIList,Table_ExternalData_17[[#This Row],[item_key]],GTList,Table_ExternalData_17[[#Headers],[GRN]],GDList,"&lt;&gt;"&amp;0)</f>
        <v>0</v>
      </c>
      <c r="F110" s="10">
        <f>SUMIFS(GQList,GIList,Table_ExternalData_17[[#This Row],[item_key]],GTList,Table_ExternalData_17[[#Headers],[VSTR]],GDList,"&lt;&gt;"&amp;0)</f>
        <v>0</v>
      </c>
      <c r="G110" s="10">
        <f>SUMIFS(GQList,GIList,Table_ExternalData_17[[#This Row],[item_key]],GTList,Table_ExternalData_17[[#Headers],[SR]],GDList,"&lt;&gt;"&amp;0)</f>
        <v>0</v>
      </c>
      <c r="H110" s="10">
        <f>SUMIFS(GQList,GIList,Table_ExternalData_17[[#This Row],[item_key]],GTList,Table_ExternalData_17[[#Headers],[TR]],GDList,"&lt;&gt;"&amp;0)</f>
        <v>0</v>
      </c>
      <c r="I110" s="10">
        <f>SUMIFS(GQList,GIList,Table_ExternalData_17[[#This Row],[item_key]],GTList,Table_ExternalData_17[[#Headers],[RCA]],GDList,"&lt;&gt;"&amp;0)</f>
        <v>0</v>
      </c>
      <c r="J110" s="10">
        <f>SUM(Table_ExternalData_17[[#This Row],[GRN]]+Table_ExternalData_17[[#This Row],[VSTR]]+Table_ExternalData_17[[#This Row],[SR]]+Table_ExternalData_17[[#This Row],[TR]]+Table_ExternalData_17[[#This Row],[RCA]])</f>
        <v>0</v>
      </c>
      <c r="K110" s="10">
        <f>SUMIFS(IsQList,IsIList,Table_ExternalData_17[[#This Row],[item_key]],IsITypeList,Table_ExternalData_17[[#Headers],[R/P]],IsDList,"&lt;&gt;"&amp;0)</f>
        <v>0</v>
      </c>
      <c r="L110" s="10">
        <f>SUMIFS(IsQList,IsIList,Table_ExternalData_17[[#This Row],[item_key]],IsITypeList,Table_ExternalData_17[[#Headers],[CST]],IsDList,"&lt;&gt;"&amp;0)</f>
        <v>0</v>
      </c>
      <c r="M110" s="10">
        <f>SUMIFS(IsQList,IsIList,Table_ExternalData_15[[#This Row],[item_key]],IsITypeList,Table_ExternalData_17[[#Headers],[S/I]],IsDList,"&lt;&gt;"&amp;0)</f>
        <v>17</v>
      </c>
      <c r="N110" s="10">
        <f>SUMIFS(IsQList,IsIList,Table_ExternalData_15[[#This Row],[item_key]],IsITypeList,Table_ExternalData_17[[#Headers],[VST]],IsDList,"&lt;&gt;"&amp;0)</f>
        <v>0</v>
      </c>
      <c r="O110" s="10">
        <f>ABS(SUMIFS(IsQList,IsIList,Table_ExternalData_17[[#This Row],[item_key]],IsITypeList,Table_ExternalData_17[[#Headers],[RTN]],IsDList,"&lt;&gt;"&amp;0))</f>
        <v>0</v>
      </c>
      <c r="P110" s="10">
        <f>SUM(Table_ExternalData_17[[#This Row],[R/P]:[RTN]])</f>
        <v>17</v>
      </c>
      <c r="Q110" s="10">
        <f>SUM((Table_ExternalData_17[[#This Row],[Opening]]+Table_ExternalData_17[[#This Row],[Total Receipt]])-ABS(Table_ExternalData_17[[#This Row],[Total Issue]]))</f>
        <v>-17</v>
      </c>
    </row>
    <row r="111" spans="1:17">
      <c r="A111" s="1" t="s">
        <v>434</v>
      </c>
      <c r="B111" s="1" t="s">
        <v>2358</v>
      </c>
      <c r="C111" s="1" t="s">
        <v>2359</v>
      </c>
      <c r="D111" s="10">
        <f>SUMIFS(OPBQList,OPBIList,Table_ExternalData_17[[#This Row],[item_key]])+SUMIFS(GQList,GIList,Table_ExternalData_17[[#This Row],[item_key]],GDList,0)-ABS(SUMIFS(IsQList,IsIList,Table_ExternalData_17[[#This Row],[item_key]],IsDList,0))</f>
        <v>191</v>
      </c>
      <c r="E111" s="10">
        <f>SUMIFS(GQList,GIList,Table_ExternalData_17[[#This Row],[item_key]],GTList,Table_ExternalData_17[[#Headers],[GRN]],GDList,"&lt;&gt;"&amp;0)</f>
        <v>0</v>
      </c>
      <c r="F111" s="10">
        <f>SUMIFS(GQList,GIList,Table_ExternalData_17[[#This Row],[item_key]],GTList,Table_ExternalData_17[[#Headers],[VSTR]],GDList,"&lt;&gt;"&amp;0)</f>
        <v>0</v>
      </c>
      <c r="G111" s="10">
        <f>SUMIFS(GQList,GIList,Table_ExternalData_17[[#This Row],[item_key]],GTList,Table_ExternalData_17[[#Headers],[SR]],GDList,"&lt;&gt;"&amp;0)</f>
        <v>0</v>
      </c>
      <c r="H111" s="10">
        <f>SUMIFS(GQList,GIList,Table_ExternalData_17[[#This Row],[item_key]],GTList,Table_ExternalData_17[[#Headers],[TR]],GDList,"&lt;&gt;"&amp;0)</f>
        <v>0</v>
      </c>
      <c r="I111" s="10">
        <f>SUMIFS(GQList,GIList,Table_ExternalData_17[[#This Row],[item_key]],GTList,Table_ExternalData_17[[#Headers],[RCA]],GDList,"&lt;&gt;"&amp;0)</f>
        <v>0</v>
      </c>
      <c r="J111" s="10">
        <f>SUM(Table_ExternalData_17[[#This Row],[GRN]]+Table_ExternalData_17[[#This Row],[VSTR]]+Table_ExternalData_17[[#This Row],[SR]]+Table_ExternalData_17[[#This Row],[TR]]+Table_ExternalData_17[[#This Row],[RCA]])</f>
        <v>0</v>
      </c>
      <c r="K111" s="10">
        <f>SUMIFS(IsQList,IsIList,Table_ExternalData_17[[#This Row],[item_key]],IsITypeList,Table_ExternalData_17[[#Headers],[R/P]],IsDList,"&lt;&gt;"&amp;0)</f>
        <v>0</v>
      </c>
      <c r="L111" s="10">
        <f>SUMIFS(IsQList,IsIList,Table_ExternalData_17[[#This Row],[item_key]],IsITypeList,Table_ExternalData_17[[#Headers],[CST]],IsDList,"&lt;&gt;"&amp;0)</f>
        <v>0</v>
      </c>
      <c r="M111" s="10">
        <f>SUMIFS(IsQList,IsIList,Table_ExternalData_15[[#This Row],[item_key]],IsITypeList,Table_ExternalData_17[[#Headers],[S/I]],IsDList,"&lt;&gt;"&amp;0)</f>
        <v>105</v>
      </c>
      <c r="N111" s="10">
        <f>SUMIFS(IsQList,IsIList,Table_ExternalData_15[[#This Row],[item_key]],IsITypeList,Table_ExternalData_17[[#Headers],[VST]],IsDList,"&lt;&gt;"&amp;0)</f>
        <v>0</v>
      </c>
      <c r="O111" s="10">
        <f>ABS(SUMIFS(IsQList,IsIList,Table_ExternalData_17[[#This Row],[item_key]],IsITypeList,Table_ExternalData_17[[#Headers],[RTN]],IsDList,"&lt;&gt;"&amp;0))</f>
        <v>0</v>
      </c>
      <c r="P111" s="10">
        <f>SUM(Table_ExternalData_17[[#This Row],[R/P]:[RTN]])</f>
        <v>105</v>
      </c>
      <c r="Q111" s="10">
        <f>SUM((Table_ExternalData_17[[#This Row],[Opening]]+Table_ExternalData_17[[#This Row],[Total Receipt]])-ABS(Table_ExternalData_17[[#This Row],[Total Issue]]))</f>
        <v>86</v>
      </c>
    </row>
    <row r="112" spans="1:17">
      <c r="A112" s="1" t="s">
        <v>435</v>
      </c>
      <c r="B112" s="1" t="s">
        <v>2533</v>
      </c>
      <c r="C112" s="1" t="s">
        <v>2534</v>
      </c>
      <c r="D112" s="10">
        <f>SUMIFS(OPBQList,OPBIList,Table_ExternalData_17[[#This Row],[item_key]])+SUMIFS(GQList,GIList,Table_ExternalData_17[[#This Row],[item_key]],GDList,0)-ABS(SUMIFS(IsQList,IsIList,Table_ExternalData_17[[#This Row],[item_key]],IsDList,0))</f>
        <v>428</v>
      </c>
      <c r="E112" s="10">
        <f>SUMIFS(GQList,GIList,Table_ExternalData_17[[#This Row],[item_key]],GTList,Table_ExternalData_17[[#Headers],[GRN]],GDList,"&lt;&gt;"&amp;0)</f>
        <v>0</v>
      </c>
      <c r="F112" s="10">
        <f>SUMIFS(GQList,GIList,Table_ExternalData_17[[#This Row],[item_key]],GTList,Table_ExternalData_17[[#Headers],[VSTR]],GDList,"&lt;&gt;"&amp;0)</f>
        <v>0</v>
      </c>
      <c r="G112" s="10">
        <f>SUMIFS(GQList,GIList,Table_ExternalData_17[[#This Row],[item_key]],GTList,Table_ExternalData_17[[#Headers],[SR]],GDList,"&lt;&gt;"&amp;0)</f>
        <v>0</v>
      </c>
      <c r="H112" s="10">
        <f>SUMIFS(GQList,GIList,Table_ExternalData_17[[#This Row],[item_key]],GTList,Table_ExternalData_17[[#Headers],[TR]],GDList,"&lt;&gt;"&amp;0)</f>
        <v>0</v>
      </c>
      <c r="I112" s="10">
        <f>SUMIFS(GQList,GIList,Table_ExternalData_17[[#This Row],[item_key]],GTList,Table_ExternalData_17[[#Headers],[RCA]],GDList,"&lt;&gt;"&amp;0)</f>
        <v>0</v>
      </c>
      <c r="J112" s="10">
        <f>SUM(Table_ExternalData_17[[#This Row],[GRN]]+Table_ExternalData_17[[#This Row],[VSTR]]+Table_ExternalData_17[[#This Row],[SR]]+Table_ExternalData_17[[#This Row],[TR]]+Table_ExternalData_17[[#This Row],[RCA]])</f>
        <v>0</v>
      </c>
      <c r="K112" s="10">
        <f>SUMIFS(IsQList,IsIList,Table_ExternalData_17[[#This Row],[item_key]],IsITypeList,Table_ExternalData_17[[#Headers],[R/P]],IsDList,"&lt;&gt;"&amp;0)</f>
        <v>0</v>
      </c>
      <c r="L112" s="10">
        <f>SUMIFS(IsQList,IsIList,Table_ExternalData_17[[#This Row],[item_key]],IsITypeList,Table_ExternalData_17[[#Headers],[CST]],IsDList,"&lt;&gt;"&amp;0)</f>
        <v>0</v>
      </c>
      <c r="M112" s="10">
        <f>SUMIFS(IsQList,IsIList,Table_ExternalData_15[[#This Row],[item_key]],IsITypeList,Table_ExternalData_17[[#Headers],[S/I]],IsDList,"&lt;&gt;"&amp;0)</f>
        <v>31</v>
      </c>
      <c r="N112" s="10">
        <f>SUMIFS(IsQList,IsIList,Table_ExternalData_15[[#This Row],[item_key]],IsITypeList,Table_ExternalData_17[[#Headers],[VST]],IsDList,"&lt;&gt;"&amp;0)</f>
        <v>0</v>
      </c>
      <c r="O112" s="10">
        <f>ABS(SUMIFS(IsQList,IsIList,Table_ExternalData_17[[#This Row],[item_key]],IsITypeList,Table_ExternalData_17[[#Headers],[RTN]],IsDList,"&lt;&gt;"&amp;0))</f>
        <v>0</v>
      </c>
      <c r="P112" s="10">
        <f>SUM(Table_ExternalData_17[[#This Row],[R/P]:[RTN]])</f>
        <v>31</v>
      </c>
      <c r="Q112" s="10">
        <f>SUM((Table_ExternalData_17[[#This Row],[Opening]]+Table_ExternalData_17[[#This Row],[Total Receipt]])-ABS(Table_ExternalData_17[[#This Row],[Total Issue]]))</f>
        <v>397</v>
      </c>
    </row>
    <row r="113" spans="1:17">
      <c r="A113" s="1" t="s">
        <v>1723</v>
      </c>
      <c r="B113" s="1" t="s">
        <v>2535</v>
      </c>
      <c r="C113" s="1" t="s">
        <v>2536</v>
      </c>
      <c r="D113" s="10">
        <f>SUMIFS(OPBQList,OPBIList,Table_ExternalData_17[[#This Row],[item_key]])+SUMIFS(GQList,GIList,Table_ExternalData_17[[#This Row],[item_key]],GDList,0)-ABS(SUMIFS(IsQList,IsIList,Table_ExternalData_17[[#This Row],[item_key]],IsDList,0))</f>
        <v>2282</v>
      </c>
      <c r="E113" s="10">
        <f>SUMIFS(GQList,GIList,Table_ExternalData_17[[#This Row],[item_key]],GTList,Table_ExternalData_17[[#Headers],[GRN]],GDList,"&lt;&gt;"&amp;0)</f>
        <v>0</v>
      </c>
      <c r="F113" s="10">
        <f>SUMIFS(GQList,GIList,Table_ExternalData_17[[#This Row],[item_key]],GTList,Table_ExternalData_17[[#Headers],[VSTR]],GDList,"&lt;&gt;"&amp;0)</f>
        <v>0</v>
      </c>
      <c r="G113" s="10">
        <f>SUMIFS(GQList,GIList,Table_ExternalData_17[[#This Row],[item_key]],GTList,Table_ExternalData_17[[#Headers],[SR]],GDList,"&lt;&gt;"&amp;0)</f>
        <v>0</v>
      </c>
      <c r="H113" s="10">
        <f>SUMIFS(GQList,GIList,Table_ExternalData_17[[#This Row],[item_key]],GTList,Table_ExternalData_17[[#Headers],[TR]],GDList,"&lt;&gt;"&amp;0)</f>
        <v>0</v>
      </c>
      <c r="I113" s="10">
        <f>SUMIFS(GQList,GIList,Table_ExternalData_17[[#This Row],[item_key]],GTList,Table_ExternalData_17[[#Headers],[RCA]],GDList,"&lt;&gt;"&amp;0)</f>
        <v>0</v>
      </c>
      <c r="J113" s="10">
        <f>SUM(Table_ExternalData_17[[#This Row],[GRN]]+Table_ExternalData_17[[#This Row],[VSTR]]+Table_ExternalData_17[[#This Row],[SR]]+Table_ExternalData_17[[#This Row],[TR]]+Table_ExternalData_17[[#This Row],[RCA]])</f>
        <v>0</v>
      </c>
      <c r="K113" s="10">
        <f>SUMIFS(IsQList,IsIList,Table_ExternalData_17[[#This Row],[item_key]],IsITypeList,Table_ExternalData_17[[#Headers],[R/P]],IsDList,"&lt;&gt;"&amp;0)</f>
        <v>0</v>
      </c>
      <c r="L113" s="10">
        <f>SUMIFS(IsQList,IsIList,Table_ExternalData_17[[#This Row],[item_key]],IsITypeList,Table_ExternalData_17[[#Headers],[CST]],IsDList,"&lt;&gt;"&amp;0)</f>
        <v>0</v>
      </c>
      <c r="M113" s="10">
        <f>SUMIFS(IsQList,IsIList,Table_ExternalData_15[[#This Row],[item_key]],IsITypeList,Table_ExternalData_17[[#Headers],[S/I]],IsDList,"&lt;&gt;"&amp;0)</f>
        <v>32</v>
      </c>
      <c r="N113" s="10">
        <f>SUMIFS(IsQList,IsIList,Table_ExternalData_15[[#This Row],[item_key]],IsITypeList,Table_ExternalData_17[[#Headers],[VST]],IsDList,"&lt;&gt;"&amp;0)</f>
        <v>0</v>
      </c>
      <c r="O113" s="10">
        <f>ABS(SUMIFS(IsQList,IsIList,Table_ExternalData_17[[#This Row],[item_key]],IsITypeList,Table_ExternalData_17[[#Headers],[RTN]],IsDList,"&lt;&gt;"&amp;0))</f>
        <v>0</v>
      </c>
      <c r="P113" s="10">
        <f>SUM(Table_ExternalData_17[[#This Row],[R/P]:[RTN]])</f>
        <v>32</v>
      </c>
      <c r="Q113" s="10">
        <f>SUM((Table_ExternalData_17[[#This Row],[Opening]]+Table_ExternalData_17[[#This Row],[Total Receipt]])-ABS(Table_ExternalData_17[[#This Row],[Total Issue]]))</f>
        <v>2250</v>
      </c>
    </row>
    <row r="114" spans="1:17">
      <c r="A114" s="1" t="s">
        <v>437</v>
      </c>
      <c r="B114" s="1" t="s">
        <v>2537</v>
      </c>
      <c r="C114" s="1" t="s">
        <v>2538</v>
      </c>
      <c r="D114" s="10">
        <f>SUMIFS(OPBQList,OPBIList,Table_ExternalData_17[[#This Row],[item_key]])+SUMIFS(GQList,GIList,Table_ExternalData_17[[#This Row],[item_key]],GDList,0)-ABS(SUMIFS(IsQList,IsIList,Table_ExternalData_17[[#This Row],[item_key]],IsDList,0))</f>
        <v>694</v>
      </c>
      <c r="E114" s="10">
        <f>SUMIFS(GQList,GIList,Table_ExternalData_17[[#This Row],[item_key]],GTList,Table_ExternalData_17[[#Headers],[GRN]],GDList,"&lt;&gt;"&amp;0)</f>
        <v>500</v>
      </c>
      <c r="F114" s="10">
        <f>SUMIFS(GQList,GIList,Table_ExternalData_17[[#This Row],[item_key]],GTList,Table_ExternalData_17[[#Headers],[VSTR]],GDList,"&lt;&gt;"&amp;0)</f>
        <v>0</v>
      </c>
      <c r="G114" s="10">
        <f>SUMIFS(GQList,GIList,Table_ExternalData_17[[#This Row],[item_key]],GTList,Table_ExternalData_17[[#Headers],[SR]],GDList,"&lt;&gt;"&amp;0)</f>
        <v>0</v>
      </c>
      <c r="H114" s="10">
        <f>SUMIFS(GQList,GIList,Table_ExternalData_17[[#This Row],[item_key]],GTList,Table_ExternalData_17[[#Headers],[TR]],GDList,"&lt;&gt;"&amp;0)</f>
        <v>0</v>
      </c>
      <c r="I114" s="10">
        <f>SUMIFS(GQList,GIList,Table_ExternalData_17[[#This Row],[item_key]],GTList,Table_ExternalData_17[[#Headers],[RCA]],GDList,"&lt;&gt;"&amp;0)</f>
        <v>0</v>
      </c>
      <c r="J114" s="10">
        <f>SUM(Table_ExternalData_17[[#This Row],[GRN]]+Table_ExternalData_17[[#This Row],[VSTR]]+Table_ExternalData_17[[#This Row],[SR]]+Table_ExternalData_17[[#This Row],[TR]]+Table_ExternalData_17[[#This Row],[RCA]])</f>
        <v>500</v>
      </c>
      <c r="K114" s="10">
        <f>SUMIFS(IsQList,IsIList,Table_ExternalData_17[[#This Row],[item_key]],IsITypeList,Table_ExternalData_17[[#Headers],[R/P]],IsDList,"&lt;&gt;"&amp;0)</f>
        <v>0</v>
      </c>
      <c r="L114" s="10">
        <f>SUMIFS(IsQList,IsIList,Table_ExternalData_17[[#This Row],[item_key]],IsITypeList,Table_ExternalData_17[[#Headers],[CST]],IsDList,"&lt;&gt;"&amp;0)</f>
        <v>0</v>
      </c>
      <c r="M114" s="10">
        <f>SUMIFS(IsQList,IsIList,Table_ExternalData_15[[#This Row],[item_key]],IsITypeList,Table_ExternalData_17[[#Headers],[S/I]],IsDList,"&lt;&gt;"&amp;0)</f>
        <v>35</v>
      </c>
      <c r="N114" s="10">
        <f>SUMIFS(IsQList,IsIList,Table_ExternalData_15[[#This Row],[item_key]],IsITypeList,Table_ExternalData_17[[#Headers],[VST]],IsDList,"&lt;&gt;"&amp;0)</f>
        <v>0</v>
      </c>
      <c r="O114" s="10">
        <f>ABS(SUMIFS(IsQList,IsIList,Table_ExternalData_17[[#This Row],[item_key]],IsITypeList,Table_ExternalData_17[[#Headers],[RTN]],IsDList,"&lt;&gt;"&amp;0))</f>
        <v>0</v>
      </c>
      <c r="P114" s="10">
        <f>SUM(Table_ExternalData_17[[#This Row],[R/P]:[RTN]])</f>
        <v>35</v>
      </c>
      <c r="Q114" s="10">
        <f>SUM((Table_ExternalData_17[[#This Row],[Opening]]+Table_ExternalData_17[[#This Row],[Total Receipt]])-ABS(Table_ExternalData_17[[#This Row],[Total Issue]]))</f>
        <v>1159</v>
      </c>
    </row>
    <row r="115" spans="1:17">
      <c r="A115" s="1" t="s">
        <v>441</v>
      </c>
      <c r="B115" s="1" t="s">
        <v>2539</v>
      </c>
      <c r="C115" s="1" t="s">
        <v>2540</v>
      </c>
      <c r="D115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115" s="10">
        <f>SUMIFS(GQList,GIList,Table_ExternalData_17[[#This Row],[item_key]],GTList,Table_ExternalData_17[[#Headers],[GRN]],GDList,"&lt;&gt;"&amp;0)</f>
        <v>0</v>
      </c>
      <c r="F115" s="10">
        <f>SUMIFS(GQList,GIList,Table_ExternalData_17[[#This Row],[item_key]],GTList,Table_ExternalData_17[[#Headers],[VSTR]],GDList,"&lt;&gt;"&amp;0)</f>
        <v>0</v>
      </c>
      <c r="G115" s="10">
        <f>SUMIFS(GQList,GIList,Table_ExternalData_17[[#This Row],[item_key]],GTList,Table_ExternalData_17[[#Headers],[SR]],GDList,"&lt;&gt;"&amp;0)</f>
        <v>0</v>
      </c>
      <c r="H115" s="10">
        <f>SUMIFS(GQList,GIList,Table_ExternalData_17[[#This Row],[item_key]],GTList,Table_ExternalData_17[[#Headers],[TR]],GDList,"&lt;&gt;"&amp;0)</f>
        <v>0</v>
      </c>
      <c r="I115" s="10">
        <f>SUMIFS(GQList,GIList,Table_ExternalData_17[[#This Row],[item_key]],GTList,Table_ExternalData_17[[#Headers],[RCA]],GDList,"&lt;&gt;"&amp;0)</f>
        <v>0</v>
      </c>
      <c r="J115" s="10">
        <f>SUM(Table_ExternalData_17[[#This Row],[GRN]]+Table_ExternalData_17[[#This Row],[VSTR]]+Table_ExternalData_17[[#This Row],[SR]]+Table_ExternalData_17[[#This Row],[TR]]+Table_ExternalData_17[[#This Row],[RCA]])</f>
        <v>0</v>
      </c>
      <c r="K115" s="10">
        <f>SUMIFS(IsQList,IsIList,Table_ExternalData_17[[#This Row],[item_key]],IsITypeList,Table_ExternalData_17[[#Headers],[R/P]],IsDList,"&lt;&gt;"&amp;0)</f>
        <v>0</v>
      </c>
      <c r="L115" s="10">
        <f>SUMIFS(IsQList,IsIList,Table_ExternalData_17[[#This Row],[item_key]],IsITypeList,Table_ExternalData_17[[#Headers],[CST]],IsDList,"&lt;&gt;"&amp;0)</f>
        <v>0</v>
      </c>
      <c r="M115" s="10">
        <f>SUMIFS(IsQList,IsIList,Table_ExternalData_15[[#This Row],[item_key]],IsITypeList,Table_ExternalData_17[[#Headers],[S/I]],IsDList,"&lt;&gt;"&amp;0)</f>
        <v>151</v>
      </c>
      <c r="N115" s="10">
        <f>SUMIFS(IsQList,IsIList,Table_ExternalData_15[[#This Row],[item_key]],IsITypeList,Table_ExternalData_17[[#Headers],[VST]],IsDList,"&lt;&gt;"&amp;0)</f>
        <v>0</v>
      </c>
      <c r="O115" s="10">
        <f>ABS(SUMIFS(IsQList,IsIList,Table_ExternalData_17[[#This Row],[item_key]],IsITypeList,Table_ExternalData_17[[#Headers],[RTN]],IsDList,"&lt;&gt;"&amp;0))</f>
        <v>0</v>
      </c>
      <c r="P115" s="10">
        <f>SUM(Table_ExternalData_17[[#This Row],[R/P]:[RTN]])</f>
        <v>151</v>
      </c>
      <c r="Q115" s="10">
        <f>SUM((Table_ExternalData_17[[#This Row],[Opening]]+Table_ExternalData_17[[#This Row],[Total Receipt]])-ABS(Table_ExternalData_17[[#This Row],[Total Issue]]))</f>
        <v>-147</v>
      </c>
    </row>
    <row r="116" spans="1:17">
      <c r="A116" s="1" t="s">
        <v>442</v>
      </c>
      <c r="B116" s="1" t="s">
        <v>2541</v>
      </c>
      <c r="C116" s="1" t="s">
        <v>1276</v>
      </c>
      <c r="D116" s="10">
        <f>SUMIFS(OPBQList,OPBIList,Table_ExternalData_17[[#This Row],[item_key]])+SUMIFS(GQList,GIList,Table_ExternalData_17[[#This Row],[item_key]],GDList,0)-ABS(SUMIFS(IsQList,IsIList,Table_ExternalData_17[[#This Row],[item_key]],IsDList,0))</f>
        <v>1870</v>
      </c>
      <c r="E116" s="10">
        <f>SUMIFS(GQList,GIList,Table_ExternalData_17[[#This Row],[item_key]],GTList,Table_ExternalData_17[[#Headers],[GRN]],GDList,"&lt;&gt;"&amp;0)</f>
        <v>0</v>
      </c>
      <c r="F116" s="10">
        <f>SUMIFS(GQList,GIList,Table_ExternalData_17[[#This Row],[item_key]],GTList,Table_ExternalData_17[[#Headers],[VSTR]],GDList,"&lt;&gt;"&amp;0)</f>
        <v>0</v>
      </c>
      <c r="G116" s="10">
        <f>SUMIFS(GQList,GIList,Table_ExternalData_17[[#This Row],[item_key]],GTList,Table_ExternalData_17[[#Headers],[SR]],GDList,"&lt;&gt;"&amp;0)</f>
        <v>0</v>
      </c>
      <c r="H116" s="10">
        <f>SUMIFS(GQList,GIList,Table_ExternalData_17[[#This Row],[item_key]],GTList,Table_ExternalData_17[[#Headers],[TR]],GDList,"&lt;&gt;"&amp;0)</f>
        <v>0</v>
      </c>
      <c r="I116" s="10">
        <f>SUMIFS(GQList,GIList,Table_ExternalData_17[[#This Row],[item_key]],GTList,Table_ExternalData_17[[#Headers],[RCA]],GDList,"&lt;&gt;"&amp;0)</f>
        <v>0</v>
      </c>
      <c r="J116" s="10">
        <f>SUM(Table_ExternalData_17[[#This Row],[GRN]]+Table_ExternalData_17[[#This Row],[VSTR]]+Table_ExternalData_17[[#This Row],[SR]]+Table_ExternalData_17[[#This Row],[TR]]+Table_ExternalData_17[[#This Row],[RCA]])</f>
        <v>0</v>
      </c>
      <c r="K116" s="10">
        <f>SUMIFS(IsQList,IsIList,Table_ExternalData_17[[#This Row],[item_key]],IsITypeList,Table_ExternalData_17[[#Headers],[R/P]],IsDList,"&lt;&gt;"&amp;0)</f>
        <v>0</v>
      </c>
      <c r="L116" s="10">
        <f>SUMIFS(IsQList,IsIList,Table_ExternalData_17[[#This Row],[item_key]],IsITypeList,Table_ExternalData_17[[#Headers],[CST]],IsDList,"&lt;&gt;"&amp;0)</f>
        <v>0</v>
      </c>
      <c r="M116" s="10">
        <f>SUMIFS(IsQList,IsIList,Table_ExternalData_15[[#This Row],[item_key]],IsITypeList,Table_ExternalData_17[[#Headers],[S/I]],IsDList,"&lt;&gt;"&amp;0)</f>
        <v>200</v>
      </c>
      <c r="N116" s="10">
        <f>SUMIFS(IsQList,IsIList,Table_ExternalData_15[[#This Row],[item_key]],IsITypeList,Table_ExternalData_17[[#Headers],[VST]],IsDList,"&lt;&gt;"&amp;0)</f>
        <v>0</v>
      </c>
      <c r="O116" s="10">
        <f>ABS(SUMIFS(IsQList,IsIList,Table_ExternalData_17[[#This Row],[item_key]],IsITypeList,Table_ExternalData_17[[#Headers],[RTN]],IsDList,"&lt;&gt;"&amp;0))</f>
        <v>0</v>
      </c>
      <c r="P116" s="10">
        <f>SUM(Table_ExternalData_17[[#This Row],[R/P]:[RTN]])</f>
        <v>200</v>
      </c>
      <c r="Q116" s="10">
        <f>SUM((Table_ExternalData_17[[#This Row],[Opening]]+Table_ExternalData_17[[#This Row],[Total Receipt]])-ABS(Table_ExternalData_17[[#This Row],[Total Issue]]))</f>
        <v>1670</v>
      </c>
    </row>
    <row r="117" spans="1:17">
      <c r="A117" s="1" t="s">
        <v>443</v>
      </c>
      <c r="B117" s="1" t="s">
        <v>1275</v>
      </c>
      <c r="C117" s="1" t="s">
        <v>1276</v>
      </c>
      <c r="D117" s="10">
        <f>SUMIFS(OPBQList,OPBIList,Table_ExternalData_17[[#This Row],[item_key]])+SUMIFS(GQList,GIList,Table_ExternalData_17[[#This Row],[item_key]],GDList,0)-ABS(SUMIFS(IsQList,IsIList,Table_ExternalData_17[[#This Row],[item_key]],IsDList,0))</f>
        <v>2287</v>
      </c>
      <c r="E117" s="10">
        <f>SUMIFS(GQList,GIList,Table_ExternalData_17[[#This Row],[item_key]],GTList,Table_ExternalData_17[[#Headers],[GRN]],GDList,"&lt;&gt;"&amp;0)</f>
        <v>0</v>
      </c>
      <c r="F117" s="10">
        <f>SUMIFS(GQList,GIList,Table_ExternalData_17[[#This Row],[item_key]],GTList,Table_ExternalData_17[[#Headers],[VSTR]],GDList,"&lt;&gt;"&amp;0)</f>
        <v>0</v>
      </c>
      <c r="G117" s="10">
        <f>SUMIFS(GQList,GIList,Table_ExternalData_17[[#This Row],[item_key]],GTList,Table_ExternalData_17[[#Headers],[SR]],GDList,"&lt;&gt;"&amp;0)</f>
        <v>0</v>
      </c>
      <c r="H117" s="10">
        <f>SUMIFS(GQList,GIList,Table_ExternalData_17[[#This Row],[item_key]],GTList,Table_ExternalData_17[[#Headers],[TR]],GDList,"&lt;&gt;"&amp;0)</f>
        <v>0</v>
      </c>
      <c r="I117" s="10">
        <f>SUMIFS(GQList,GIList,Table_ExternalData_17[[#This Row],[item_key]],GTList,Table_ExternalData_17[[#Headers],[RCA]],GDList,"&lt;&gt;"&amp;0)</f>
        <v>0</v>
      </c>
      <c r="J117" s="10">
        <f>SUM(Table_ExternalData_17[[#This Row],[GRN]]+Table_ExternalData_17[[#This Row],[VSTR]]+Table_ExternalData_17[[#This Row],[SR]]+Table_ExternalData_17[[#This Row],[TR]]+Table_ExternalData_17[[#This Row],[RCA]])</f>
        <v>0</v>
      </c>
      <c r="K117" s="10">
        <f>SUMIFS(IsQList,IsIList,Table_ExternalData_17[[#This Row],[item_key]],IsITypeList,Table_ExternalData_17[[#Headers],[R/P]],IsDList,"&lt;&gt;"&amp;0)</f>
        <v>0</v>
      </c>
      <c r="L117" s="10">
        <f>SUMIFS(IsQList,IsIList,Table_ExternalData_17[[#This Row],[item_key]],IsITypeList,Table_ExternalData_17[[#Headers],[CST]],IsDList,"&lt;&gt;"&amp;0)</f>
        <v>0</v>
      </c>
      <c r="M117" s="10">
        <f>SUMIFS(IsQList,IsIList,Table_ExternalData_15[[#This Row],[item_key]],IsITypeList,Table_ExternalData_17[[#Headers],[S/I]],IsDList,"&lt;&gt;"&amp;0)</f>
        <v>22</v>
      </c>
      <c r="N117" s="10">
        <f>SUMIFS(IsQList,IsIList,Table_ExternalData_15[[#This Row],[item_key]],IsITypeList,Table_ExternalData_17[[#Headers],[VST]],IsDList,"&lt;&gt;"&amp;0)</f>
        <v>0</v>
      </c>
      <c r="O117" s="10">
        <f>ABS(SUMIFS(IsQList,IsIList,Table_ExternalData_17[[#This Row],[item_key]],IsITypeList,Table_ExternalData_17[[#Headers],[RTN]],IsDList,"&lt;&gt;"&amp;0))</f>
        <v>0</v>
      </c>
      <c r="P117" s="10">
        <f>SUM(Table_ExternalData_17[[#This Row],[R/P]:[RTN]])</f>
        <v>22</v>
      </c>
      <c r="Q117" s="10">
        <f>SUM((Table_ExternalData_17[[#This Row],[Opening]]+Table_ExternalData_17[[#This Row],[Total Receipt]])-ABS(Table_ExternalData_17[[#This Row],[Total Issue]]))</f>
        <v>2265</v>
      </c>
    </row>
    <row r="118" spans="1:17">
      <c r="A118" s="1" t="s">
        <v>444</v>
      </c>
      <c r="B118" s="1" t="s">
        <v>2542</v>
      </c>
      <c r="C118" s="1" t="s">
        <v>1278</v>
      </c>
      <c r="D118" s="10">
        <f>SUMIFS(OPBQList,OPBIList,Table_ExternalData_17[[#This Row],[item_key]])+SUMIFS(GQList,GIList,Table_ExternalData_17[[#This Row],[item_key]],GDList,0)-ABS(SUMIFS(IsQList,IsIList,Table_ExternalData_17[[#This Row],[item_key]],IsDList,0))</f>
        <v>1555</v>
      </c>
      <c r="E118" s="10">
        <f>SUMIFS(GQList,GIList,Table_ExternalData_17[[#This Row],[item_key]],GTList,Table_ExternalData_17[[#Headers],[GRN]],GDList,"&lt;&gt;"&amp;0)</f>
        <v>0</v>
      </c>
      <c r="F118" s="10">
        <f>SUMIFS(GQList,GIList,Table_ExternalData_17[[#This Row],[item_key]],GTList,Table_ExternalData_17[[#Headers],[VSTR]],GDList,"&lt;&gt;"&amp;0)</f>
        <v>0</v>
      </c>
      <c r="G118" s="10">
        <f>SUMIFS(GQList,GIList,Table_ExternalData_17[[#This Row],[item_key]],GTList,Table_ExternalData_17[[#Headers],[SR]],GDList,"&lt;&gt;"&amp;0)</f>
        <v>0</v>
      </c>
      <c r="H118" s="10">
        <f>SUMIFS(GQList,GIList,Table_ExternalData_17[[#This Row],[item_key]],GTList,Table_ExternalData_17[[#Headers],[TR]],GDList,"&lt;&gt;"&amp;0)</f>
        <v>0</v>
      </c>
      <c r="I118" s="10">
        <f>SUMIFS(GQList,GIList,Table_ExternalData_17[[#This Row],[item_key]],GTList,Table_ExternalData_17[[#Headers],[RCA]],GDList,"&lt;&gt;"&amp;0)</f>
        <v>0</v>
      </c>
      <c r="J118" s="10">
        <f>SUM(Table_ExternalData_17[[#This Row],[GRN]]+Table_ExternalData_17[[#This Row],[VSTR]]+Table_ExternalData_17[[#This Row],[SR]]+Table_ExternalData_17[[#This Row],[TR]]+Table_ExternalData_17[[#This Row],[RCA]])</f>
        <v>0</v>
      </c>
      <c r="K118" s="10">
        <f>SUMIFS(IsQList,IsIList,Table_ExternalData_17[[#This Row],[item_key]],IsITypeList,Table_ExternalData_17[[#Headers],[R/P]],IsDList,"&lt;&gt;"&amp;0)</f>
        <v>0</v>
      </c>
      <c r="L118" s="10">
        <f>SUMIFS(IsQList,IsIList,Table_ExternalData_17[[#This Row],[item_key]],IsITypeList,Table_ExternalData_17[[#Headers],[CST]],IsDList,"&lt;&gt;"&amp;0)</f>
        <v>0</v>
      </c>
      <c r="M118" s="10">
        <f>SUMIFS(IsQList,IsIList,Table_ExternalData_15[[#This Row],[item_key]],IsITypeList,Table_ExternalData_17[[#Headers],[S/I]],IsDList,"&lt;&gt;"&amp;0)</f>
        <v>10</v>
      </c>
      <c r="N118" s="10">
        <f>SUMIFS(IsQList,IsIList,Table_ExternalData_15[[#This Row],[item_key]],IsITypeList,Table_ExternalData_17[[#Headers],[VST]],IsDList,"&lt;&gt;"&amp;0)</f>
        <v>0</v>
      </c>
      <c r="O118" s="10">
        <f>ABS(SUMIFS(IsQList,IsIList,Table_ExternalData_17[[#This Row],[item_key]],IsITypeList,Table_ExternalData_17[[#Headers],[RTN]],IsDList,"&lt;&gt;"&amp;0))</f>
        <v>0</v>
      </c>
      <c r="P118" s="10">
        <f>SUM(Table_ExternalData_17[[#This Row],[R/P]:[RTN]])</f>
        <v>10</v>
      </c>
      <c r="Q118" s="10">
        <f>SUM((Table_ExternalData_17[[#This Row],[Opening]]+Table_ExternalData_17[[#This Row],[Total Receipt]])-ABS(Table_ExternalData_17[[#This Row],[Total Issue]]))</f>
        <v>1545</v>
      </c>
    </row>
    <row r="119" spans="1:17">
      <c r="A119" s="1" t="s">
        <v>445</v>
      </c>
      <c r="B119" s="1" t="s">
        <v>1277</v>
      </c>
      <c r="C119" s="1" t="s">
        <v>1278</v>
      </c>
      <c r="D119" s="10">
        <f>SUMIFS(OPBQList,OPBIList,Table_ExternalData_17[[#This Row],[item_key]])+SUMIFS(GQList,GIList,Table_ExternalData_17[[#This Row],[item_key]],GDList,0)-ABS(SUMIFS(IsQList,IsIList,Table_ExternalData_17[[#This Row],[item_key]],IsDList,0))</f>
        <v>2463</v>
      </c>
      <c r="E119" s="10">
        <f>SUMIFS(GQList,GIList,Table_ExternalData_17[[#This Row],[item_key]],GTList,Table_ExternalData_17[[#Headers],[GRN]],GDList,"&lt;&gt;"&amp;0)</f>
        <v>0</v>
      </c>
      <c r="F119" s="10">
        <f>SUMIFS(GQList,GIList,Table_ExternalData_17[[#This Row],[item_key]],GTList,Table_ExternalData_17[[#Headers],[VSTR]],GDList,"&lt;&gt;"&amp;0)</f>
        <v>0</v>
      </c>
      <c r="G119" s="10">
        <f>SUMIFS(GQList,GIList,Table_ExternalData_17[[#This Row],[item_key]],GTList,Table_ExternalData_17[[#Headers],[SR]],GDList,"&lt;&gt;"&amp;0)</f>
        <v>0</v>
      </c>
      <c r="H119" s="10">
        <f>SUMIFS(GQList,GIList,Table_ExternalData_17[[#This Row],[item_key]],GTList,Table_ExternalData_17[[#Headers],[TR]],GDList,"&lt;&gt;"&amp;0)</f>
        <v>0</v>
      </c>
      <c r="I119" s="10">
        <f>SUMIFS(GQList,GIList,Table_ExternalData_17[[#This Row],[item_key]],GTList,Table_ExternalData_17[[#Headers],[RCA]],GDList,"&lt;&gt;"&amp;0)</f>
        <v>0</v>
      </c>
      <c r="J119" s="10">
        <f>SUM(Table_ExternalData_17[[#This Row],[GRN]]+Table_ExternalData_17[[#This Row],[VSTR]]+Table_ExternalData_17[[#This Row],[SR]]+Table_ExternalData_17[[#This Row],[TR]]+Table_ExternalData_17[[#This Row],[RCA]])</f>
        <v>0</v>
      </c>
      <c r="K119" s="10">
        <f>SUMIFS(IsQList,IsIList,Table_ExternalData_17[[#This Row],[item_key]],IsITypeList,Table_ExternalData_17[[#Headers],[R/P]],IsDList,"&lt;&gt;"&amp;0)</f>
        <v>0</v>
      </c>
      <c r="L119" s="10">
        <f>SUMIFS(IsQList,IsIList,Table_ExternalData_17[[#This Row],[item_key]],IsITypeList,Table_ExternalData_17[[#Headers],[CST]],IsDList,"&lt;&gt;"&amp;0)</f>
        <v>0</v>
      </c>
      <c r="M119" s="10">
        <f>SUMIFS(IsQList,IsIList,Table_ExternalData_15[[#This Row],[item_key]],IsITypeList,Table_ExternalData_17[[#Headers],[S/I]],IsDList,"&lt;&gt;"&amp;0)</f>
        <v>0</v>
      </c>
      <c r="N119" s="10">
        <f>SUMIFS(IsQList,IsIList,Table_ExternalData_15[[#This Row],[item_key]],IsITypeList,Table_ExternalData_17[[#Headers],[VST]],IsDList,"&lt;&gt;"&amp;0)</f>
        <v>0</v>
      </c>
      <c r="O119" s="10">
        <f>ABS(SUMIFS(IsQList,IsIList,Table_ExternalData_17[[#This Row],[item_key]],IsITypeList,Table_ExternalData_17[[#Headers],[RTN]],IsDList,"&lt;&gt;"&amp;0))</f>
        <v>0</v>
      </c>
      <c r="P119" s="10">
        <f>SUM(Table_ExternalData_17[[#This Row],[R/P]:[RTN]])</f>
        <v>0</v>
      </c>
      <c r="Q119" s="10">
        <f>SUM((Table_ExternalData_17[[#This Row],[Opening]]+Table_ExternalData_17[[#This Row],[Total Receipt]])-ABS(Table_ExternalData_17[[#This Row],[Total Issue]]))</f>
        <v>2463</v>
      </c>
    </row>
    <row r="120" spans="1:17">
      <c r="A120" s="1" t="s">
        <v>456</v>
      </c>
      <c r="B120" s="1" t="s">
        <v>1280</v>
      </c>
      <c r="C120" s="1" t="s">
        <v>1279</v>
      </c>
      <c r="D120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120" s="10">
        <f>SUMIFS(GQList,GIList,Table_ExternalData_17[[#This Row],[item_key]],GTList,Table_ExternalData_17[[#Headers],[GRN]],GDList,"&lt;&gt;"&amp;0)</f>
        <v>14</v>
      </c>
      <c r="F120" s="10">
        <f>SUMIFS(GQList,GIList,Table_ExternalData_17[[#This Row],[item_key]],GTList,Table_ExternalData_17[[#Headers],[VSTR]],GDList,"&lt;&gt;"&amp;0)</f>
        <v>0</v>
      </c>
      <c r="G120" s="10">
        <f>SUMIFS(GQList,GIList,Table_ExternalData_17[[#This Row],[item_key]],GTList,Table_ExternalData_17[[#Headers],[SR]],GDList,"&lt;&gt;"&amp;0)</f>
        <v>0</v>
      </c>
      <c r="H120" s="10">
        <f>SUMIFS(GQList,GIList,Table_ExternalData_17[[#This Row],[item_key]],GTList,Table_ExternalData_17[[#Headers],[TR]],GDList,"&lt;&gt;"&amp;0)</f>
        <v>0</v>
      </c>
      <c r="I120" s="10">
        <f>SUMIFS(GQList,GIList,Table_ExternalData_17[[#This Row],[item_key]],GTList,Table_ExternalData_17[[#Headers],[RCA]],GDList,"&lt;&gt;"&amp;0)</f>
        <v>0</v>
      </c>
      <c r="J120" s="10">
        <f>SUM(Table_ExternalData_17[[#This Row],[GRN]]+Table_ExternalData_17[[#This Row],[VSTR]]+Table_ExternalData_17[[#This Row],[SR]]+Table_ExternalData_17[[#This Row],[TR]]+Table_ExternalData_17[[#This Row],[RCA]])</f>
        <v>14</v>
      </c>
      <c r="K120" s="10">
        <f>SUMIFS(IsQList,IsIList,Table_ExternalData_17[[#This Row],[item_key]],IsITypeList,Table_ExternalData_17[[#Headers],[R/P]],IsDList,"&lt;&gt;"&amp;0)</f>
        <v>0</v>
      </c>
      <c r="L120" s="10">
        <f>SUMIFS(IsQList,IsIList,Table_ExternalData_17[[#This Row],[item_key]],IsITypeList,Table_ExternalData_17[[#Headers],[CST]],IsDList,"&lt;&gt;"&amp;0)</f>
        <v>0</v>
      </c>
      <c r="M120" s="10">
        <f>SUMIFS(IsQList,IsIList,Table_ExternalData_15[[#This Row],[item_key]],IsITypeList,Table_ExternalData_17[[#Headers],[S/I]],IsDList,"&lt;&gt;"&amp;0)</f>
        <v>8</v>
      </c>
      <c r="N120" s="10">
        <f>SUMIFS(IsQList,IsIList,Table_ExternalData_15[[#This Row],[item_key]],IsITypeList,Table_ExternalData_17[[#Headers],[VST]],IsDList,"&lt;&gt;"&amp;0)</f>
        <v>0</v>
      </c>
      <c r="O120" s="10">
        <f>ABS(SUMIFS(IsQList,IsIList,Table_ExternalData_17[[#This Row],[item_key]],IsITypeList,Table_ExternalData_17[[#Headers],[RTN]],IsDList,"&lt;&gt;"&amp;0))</f>
        <v>0</v>
      </c>
      <c r="P120" s="10">
        <f>SUM(Table_ExternalData_17[[#This Row],[R/P]:[RTN]])</f>
        <v>8</v>
      </c>
      <c r="Q120" s="10">
        <f>SUM((Table_ExternalData_17[[#This Row],[Opening]]+Table_ExternalData_17[[#This Row],[Total Receipt]])-ABS(Table_ExternalData_17[[#This Row],[Total Issue]]))</f>
        <v>11</v>
      </c>
    </row>
    <row r="121" spans="1:17">
      <c r="A121" s="1" t="s">
        <v>462</v>
      </c>
      <c r="B121" s="1" t="s">
        <v>2370</v>
      </c>
      <c r="C121" s="1" t="s">
        <v>2371</v>
      </c>
      <c r="D121" s="10">
        <f>SUMIFS(OPBQList,OPBIList,Table_ExternalData_17[[#This Row],[item_key]])+SUMIFS(GQList,GIList,Table_ExternalData_17[[#This Row],[item_key]],GDList,0)-ABS(SUMIFS(IsQList,IsIList,Table_ExternalData_17[[#This Row],[item_key]],IsDList,0))</f>
        <v>33</v>
      </c>
      <c r="E121" s="10">
        <f>SUMIFS(GQList,GIList,Table_ExternalData_17[[#This Row],[item_key]],GTList,Table_ExternalData_17[[#Headers],[GRN]],GDList,"&lt;&gt;"&amp;0)</f>
        <v>0</v>
      </c>
      <c r="F121" s="10">
        <f>SUMIFS(GQList,GIList,Table_ExternalData_17[[#This Row],[item_key]],GTList,Table_ExternalData_17[[#Headers],[VSTR]],GDList,"&lt;&gt;"&amp;0)</f>
        <v>0</v>
      </c>
      <c r="G121" s="10">
        <f>SUMIFS(GQList,GIList,Table_ExternalData_17[[#This Row],[item_key]],GTList,Table_ExternalData_17[[#Headers],[SR]],GDList,"&lt;&gt;"&amp;0)</f>
        <v>0</v>
      </c>
      <c r="H121" s="10">
        <f>SUMIFS(GQList,GIList,Table_ExternalData_17[[#This Row],[item_key]],GTList,Table_ExternalData_17[[#Headers],[TR]],GDList,"&lt;&gt;"&amp;0)</f>
        <v>0</v>
      </c>
      <c r="I121" s="10">
        <f>SUMIFS(GQList,GIList,Table_ExternalData_17[[#This Row],[item_key]],GTList,Table_ExternalData_17[[#Headers],[RCA]],GDList,"&lt;&gt;"&amp;0)</f>
        <v>0</v>
      </c>
      <c r="J121" s="10">
        <f>SUM(Table_ExternalData_17[[#This Row],[GRN]]+Table_ExternalData_17[[#This Row],[VSTR]]+Table_ExternalData_17[[#This Row],[SR]]+Table_ExternalData_17[[#This Row],[TR]]+Table_ExternalData_17[[#This Row],[RCA]])</f>
        <v>0</v>
      </c>
      <c r="K121" s="10">
        <f>SUMIFS(IsQList,IsIList,Table_ExternalData_17[[#This Row],[item_key]],IsITypeList,Table_ExternalData_17[[#Headers],[R/P]],IsDList,"&lt;&gt;"&amp;0)</f>
        <v>0</v>
      </c>
      <c r="L121" s="10">
        <f>SUMIFS(IsQList,IsIList,Table_ExternalData_17[[#This Row],[item_key]],IsITypeList,Table_ExternalData_17[[#Headers],[CST]],IsDList,"&lt;&gt;"&amp;0)</f>
        <v>0</v>
      </c>
      <c r="M121" s="10">
        <f>SUMIFS(IsQList,IsIList,Table_ExternalData_15[[#This Row],[item_key]],IsITypeList,Table_ExternalData_17[[#Headers],[S/I]],IsDList,"&lt;&gt;"&amp;0)</f>
        <v>20</v>
      </c>
      <c r="N121" s="10">
        <f>SUMIFS(IsQList,IsIList,Table_ExternalData_15[[#This Row],[item_key]],IsITypeList,Table_ExternalData_17[[#Headers],[VST]],IsDList,"&lt;&gt;"&amp;0)</f>
        <v>0</v>
      </c>
      <c r="O121" s="10">
        <f>ABS(SUMIFS(IsQList,IsIList,Table_ExternalData_17[[#This Row],[item_key]],IsITypeList,Table_ExternalData_17[[#Headers],[RTN]],IsDList,"&lt;&gt;"&amp;0))</f>
        <v>0</v>
      </c>
      <c r="P121" s="10">
        <f>SUM(Table_ExternalData_17[[#This Row],[R/P]:[RTN]])</f>
        <v>20</v>
      </c>
      <c r="Q121" s="10">
        <f>SUM((Table_ExternalData_17[[#This Row],[Opening]]+Table_ExternalData_17[[#This Row],[Total Receipt]])-ABS(Table_ExternalData_17[[#This Row],[Total Issue]]))</f>
        <v>13</v>
      </c>
    </row>
    <row r="122" spans="1:17">
      <c r="A122" s="1" t="s">
        <v>464</v>
      </c>
      <c r="B122" s="1" t="s">
        <v>1281</v>
      </c>
      <c r="C122" s="1" t="s">
        <v>1282</v>
      </c>
      <c r="D122" s="10">
        <f>SUMIFS(OPBQList,OPBIList,Table_ExternalData_17[[#This Row],[item_key]])+SUMIFS(GQList,GIList,Table_ExternalData_17[[#This Row],[item_key]],GDList,0)-ABS(SUMIFS(IsQList,IsIList,Table_ExternalData_17[[#This Row],[item_key]],IsDList,0))</f>
        <v>416</v>
      </c>
      <c r="E122" s="10">
        <f>SUMIFS(GQList,GIList,Table_ExternalData_17[[#This Row],[item_key]],GTList,Table_ExternalData_17[[#Headers],[GRN]],GDList,"&lt;&gt;"&amp;0)</f>
        <v>0</v>
      </c>
      <c r="F122" s="10">
        <f>SUMIFS(GQList,GIList,Table_ExternalData_17[[#This Row],[item_key]],GTList,Table_ExternalData_17[[#Headers],[VSTR]],GDList,"&lt;&gt;"&amp;0)</f>
        <v>0</v>
      </c>
      <c r="G122" s="10">
        <f>SUMIFS(GQList,GIList,Table_ExternalData_17[[#This Row],[item_key]],GTList,Table_ExternalData_17[[#Headers],[SR]],GDList,"&lt;&gt;"&amp;0)</f>
        <v>0</v>
      </c>
      <c r="H122" s="10">
        <f>SUMIFS(GQList,GIList,Table_ExternalData_17[[#This Row],[item_key]],GTList,Table_ExternalData_17[[#Headers],[TR]],GDList,"&lt;&gt;"&amp;0)</f>
        <v>0</v>
      </c>
      <c r="I122" s="10">
        <f>SUMIFS(GQList,GIList,Table_ExternalData_17[[#This Row],[item_key]],GTList,Table_ExternalData_17[[#Headers],[RCA]],GDList,"&lt;&gt;"&amp;0)</f>
        <v>0</v>
      </c>
      <c r="J122" s="10">
        <f>SUM(Table_ExternalData_17[[#This Row],[GRN]]+Table_ExternalData_17[[#This Row],[VSTR]]+Table_ExternalData_17[[#This Row],[SR]]+Table_ExternalData_17[[#This Row],[TR]]+Table_ExternalData_17[[#This Row],[RCA]])</f>
        <v>0</v>
      </c>
      <c r="K122" s="10">
        <f>SUMIFS(IsQList,IsIList,Table_ExternalData_17[[#This Row],[item_key]],IsITypeList,Table_ExternalData_17[[#Headers],[R/P]],IsDList,"&lt;&gt;"&amp;0)</f>
        <v>0</v>
      </c>
      <c r="L122" s="10">
        <f>SUMIFS(IsQList,IsIList,Table_ExternalData_17[[#This Row],[item_key]],IsITypeList,Table_ExternalData_17[[#Headers],[CST]],IsDList,"&lt;&gt;"&amp;0)</f>
        <v>0</v>
      </c>
      <c r="M122" s="10">
        <f>SUMIFS(IsQList,IsIList,Table_ExternalData_15[[#This Row],[item_key]],IsITypeList,Table_ExternalData_17[[#Headers],[S/I]],IsDList,"&lt;&gt;"&amp;0)</f>
        <v>50</v>
      </c>
      <c r="N122" s="10">
        <f>SUMIFS(IsQList,IsIList,Table_ExternalData_15[[#This Row],[item_key]],IsITypeList,Table_ExternalData_17[[#Headers],[VST]],IsDList,"&lt;&gt;"&amp;0)</f>
        <v>0</v>
      </c>
      <c r="O122" s="10">
        <f>ABS(SUMIFS(IsQList,IsIList,Table_ExternalData_17[[#This Row],[item_key]],IsITypeList,Table_ExternalData_17[[#Headers],[RTN]],IsDList,"&lt;&gt;"&amp;0))</f>
        <v>0</v>
      </c>
      <c r="P122" s="10">
        <f>SUM(Table_ExternalData_17[[#This Row],[R/P]:[RTN]])</f>
        <v>50</v>
      </c>
      <c r="Q122" s="10">
        <f>SUM((Table_ExternalData_17[[#This Row],[Opening]]+Table_ExternalData_17[[#This Row],[Total Receipt]])-ABS(Table_ExternalData_17[[#This Row],[Total Issue]]))</f>
        <v>366</v>
      </c>
    </row>
    <row r="123" spans="1:17">
      <c r="A123" s="1" t="s">
        <v>467</v>
      </c>
      <c r="B123" s="1" t="s">
        <v>1284</v>
      </c>
      <c r="C123" s="1" t="s">
        <v>1283</v>
      </c>
      <c r="D123" s="10">
        <f>SUMIFS(OPBQList,OPBIList,Table_ExternalData_17[[#This Row],[item_key]])+SUMIFS(GQList,GIList,Table_ExternalData_17[[#This Row],[item_key]],GDList,0)-ABS(SUMIFS(IsQList,IsIList,Table_ExternalData_17[[#This Row],[item_key]],IsDList,0))</f>
        <v>8255</v>
      </c>
      <c r="E123" s="10">
        <f>SUMIFS(GQList,GIList,Table_ExternalData_17[[#This Row],[item_key]],GTList,Table_ExternalData_17[[#Headers],[GRN]],GDList,"&lt;&gt;"&amp;0)</f>
        <v>0</v>
      </c>
      <c r="F123" s="10">
        <f>SUMIFS(GQList,GIList,Table_ExternalData_17[[#This Row],[item_key]],GTList,Table_ExternalData_17[[#Headers],[VSTR]],GDList,"&lt;&gt;"&amp;0)</f>
        <v>0</v>
      </c>
      <c r="G123" s="10">
        <f>SUMIFS(GQList,GIList,Table_ExternalData_17[[#This Row],[item_key]],GTList,Table_ExternalData_17[[#Headers],[SR]],GDList,"&lt;&gt;"&amp;0)</f>
        <v>0</v>
      </c>
      <c r="H123" s="10">
        <f>SUMIFS(GQList,GIList,Table_ExternalData_17[[#This Row],[item_key]],GTList,Table_ExternalData_17[[#Headers],[TR]],GDList,"&lt;&gt;"&amp;0)</f>
        <v>0</v>
      </c>
      <c r="I123" s="10">
        <f>SUMIFS(GQList,GIList,Table_ExternalData_17[[#This Row],[item_key]],GTList,Table_ExternalData_17[[#Headers],[RCA]],GDList,"&lt;&gt;"&amp;0)</f>
        <v>0</v>
      </c>
      <c r="J123" s="10">
        <f>SUM(Table_ExternalData_17[[#This Row],[GRN]]+Table_ExternalData_17[[#This Row],[VSTR]]+Table_ExternalData_17[[#This Row],[SR]]+Table_ExternalData_17[[#This Row],[TR]]+Table_ExternalData_17[[#This Row],[RCA]])</f>
        <v>0</v>
      </c>
      <c r="K123" s="10">
        <f>SUMIFS(IsQList,IsIList,Table_ExternalData_17[[#This Row],[item_key]],IsITypeList,Table_ExternalData_17[[#Headers],[R/P]],IsDList,"&lt;&gt;"&amp;0)</f>
        <v>0</v>
      </c>
      <c r="L123" s="10">
        <f>SUMIFS(IsQList,IsIList,Table_ExternalData_17[[#This Row],[item_key]],IsITypeList,Table_ExternalData_17[[#Headers],[CST]],IsDList,"&lt;&gt;"&amp;0)</f>
        <v>0</v>
      </c>
      <c r="M123" s="10">
        <f>SUMIFS(IsQList,IsIList,Table_ExternalData_15[[#This Row],[item_key]],IsITypeList,Table_ExternalData_17[[#Headers],[S/I]],IsDList,"&lt;&gt;"&amp;0)</f>
        <v>50</v>
      </c>
      <c r="N123" s="10">
        <f>SUMIFS(IsQList,IsIList,Table_ExternalData_15[[#This Row],[item_key]],IsITypeList,Table_ExternalData_17[[#Headers],[VST]],IsDList,"&lt;&gt;"&amp;0)</f>
        <v>0</v>
      </c>
      <c r="O123" s="10">
        <f>ABS(SUMIFS(IsQList,IsIList,Table_ExternalData_17[[#This Row],[item_key]],IsITypeList,Table_ExternalData_17[[#Headers],[RTN]],IsDList,"&lt;&gt;"&amp;0))</f>
        <v>0</v>
      </c>
      <c r="P123" s="10">
        <f>SUM(Table_ExternalData_17[[#This Row],[R/P]:[RTN]])</f>
        <v>50</v>
      </c>
      <c r="Q123" s="10">
        <f>SUM((Table_ExternalData_17[[#This Row],[Opening]]+Table_ExternalData_17[[#This Row],[Total Receipt]])-ABS(Table_ExternalData_17[[#This Row],[Total Issue]]))</f>
        <v>8205</v>
      </c>
    </row>
    <row r="124" spans="1:17">
      <c r="A124" s="1" t="s">
        <v>471</v>
      </c>
      <c r="B124" s="1" t="s">
        <v>1285</v>
      </c>
      <c r="C124" s="1" t="s">
        <v>1283</v>
      </c>
      <c r="D124" s="10">
        <f>SUMIFS(OPBQList,OPBIList,Table_ExternalData_17[[#This Row],[item_key]])+SUMIFS(GQList,GIList,Table_ExternalData_17[[#This Row],[item_key]],GDList,0)-ABS(SUMIFS(IsQList,IsIList,Table_ExternalData_17[[#This Row],[item_key]],IsDList,0))</f>
        <v>270</v>
      </c>
      <c r="E124" s="10">
        <f>SUMIFS(GQList,GIList,Table_ExternalData_17[[#This Row],[item_key]],GTList,Table_ExternalData_17[[#Headers],[GRN]],GDList,"&lt;&gt;"&amp;0)</f>
        <v>0</v>
      </c>
      <c r="F124" s="10">
        <f>SUMIFS(GQList,GIList,Table_ExternalData_17[[#This Row],[item_key]],GTList,Table_ExternalData_17[[#Headers],[VSTR]],GDList,"&lt;&gt;"&amp;0)</f>
        <v>0</v>
      </c>
      <c r="G124" s="10">
        <f>SUMIFS(GQList,GIList,Table_ExternalData_17[[#This Row],[item_key]],GTList,Table_ExternalData_17[[#Headers],[SR]],GDList,"&lt;&gt;"&amp;0)</f>
        <v>0</v>
      </c>
      <c r="H124" s="10">
        <f>SUMIFS(GQList,GIList,Table_ExternalData_17[[#This Row],[item_key]],GTList,Table_ExternalData_17[[#Headers],[TR]],GDList,"&lt;&gt;"&amp;0)</f>
        <v>0</v>
      </c>
      <c r="I124" s="10">
        <f>SUMIFS(GQList,GIList,Table_ExternalData_17[[#This Row],[item_key]],GTList,Table_ExternalData_17[[#Headers],[RCA]],GDList,"&lt;&gt;"&amp;0)</f>
        <v>0</v>
      </c>
      <c r="J124" s="10">
        <f>SUM(Table_ExternalData_17[[#This Row],[GRN]]+Table_ExternalData_17[[#This Row],[VSTR]]+Table_ExternalData_17[[#This Row],[SR]]+Table_ExternalData_17[[#This Row],[TR]]+Table_ExternalData_17[[#This Row],[RCA]])</f>
        <v>0</v>
      </c>
      <c r="K124" s="10">
        <f>SUMIFS(IsQList,IsIList,Table_ExternalData_17[[#This Row],[item_key]],IsITypeList,Table_ExternalData_17[[#Headers],[R/P]],IsDList,"&lt;&gt;"&amp;0)</f>
        <v>0</v>
      </c>
      <c r="L124" s="10">
        <f>SUMIFS(IsQList,IsIList,Table_ExternalData_17[[#This Row],[item_key]],IsITypeList,Table_ExternalData_17[[#Headers],[CST]],IsDList,"&lt;&gt;"&amp;0)</f>
        <v>0</v>
      </c>
      <c r="M124" s="10">
        <f>SUMIFS(IsQList,IsIList,Table_ExternalData_15[[#This Row],[item_key]],IsITypeList,Table_ExternalData_17[[#Headers],[S/I]],IsDList,"&lt;&gt;"&amp;0)</f>
        <v>15</v>
      </c>
      <c r="N124" s="10">
        <f>SUMIFS(IsQList,IsIList,Table_ExternalData_15[[#This Row],[item_key]],IsITypeList,Table_ExternalData_17[[#Headers],[VST]],IsDList,"&lt;&gt;"&amp;0)</f>
        <v>0</v>
      </c>
      <c r="O124" s="10">
        <f>ABS(SUMIFS(IsQList,IsIList,Table_ExternalData_17[[#This Row],[item_key]],IsITypeList,Table_ExternalData_17[[#Headers],[RTN]],IsDList,"&lt;&gt;"&amp;0))</f>
        <v>0</v>
      </c>
      <c r="P124" s="10">
        <f>SUM(Table_ExternalData_17[[#This Row],[R/P]:[RTN]])</f>
        <v>15</v>
      </c>
      <c r="Q124" s="10">
        <f>SUM((Table_ExternalData_17[[#This Row],[Opening]]+Table_ExternalData_17[[#This Row],[Total Receipt]])-ABS(Table_ExternalData_17[[#This Row],[Total Issue]]))</f>
        <v>255</v>
      </c>
    </row>
    <row r="125" spans="1:17">
      <c r="A125" s="1" t="s">
        <v>1728</v>
      </c>
      <c r="C125" s="1" t="s">
        <v>2543</v>
      </c>
      <c r="D125" s="10">
        <f>SUMIFS(OPBQList,OPBIList,Table_ExternalData_17[[#This Row],[item_key]])+SUMIFS(GQList,GIList,Table_ExternalData_17[[#This Row],[item_key]],GDList,0)-ABS(SUMIFS(IsQList,IsIList,Table_ExternalData_17[[#This Row],[item_key]],IsDList,0))</f>
        <v>723</v>
      </c>
      <c r="E125" s="10">
        <f>SUMIFS(GQList,GIList,Table_ExternalData_17[[#This Row],[item_key]],GTList,Table_ExternalData_17[[#Headers],[GRN]],GDList,"&lt;&gt;"&amp;0)</f>
        <v>0</v>
      </c>
      <c r="F125" s="10">
        <f>SUMIFS(GQList,GIList,Table_ExternalData_17[[#This Row],[item_key]],GTList,Table_ExternalData_17[[#Headers],[VSTR]],GDList,"&lt;&gt;"&amp;0)</f>
        <v>0</v>
      </c>
      <c r="G125" s="10">
        <f>SUMIFS(GQList,GIList,Table_ExternalData_17[[#This Row],[item_key]],GTList,Table_ExternalData_17[[#Headers],[SR]],GDList,"&lt;&gt;"&amp;0)</f>
        <v>0</v>
      </c>
      <c r="H125" s="10">
        <f>SUMIFS(GQList,GIList,Table_ExternalData_17[[#This Row],[item_key]],GTList,Table_ExternalData_17[[#Headers],[TR]],GDList,"&lt;&gt;"&amp;0)</f>
        <v>0</v>
      </c>
      <c r="I125" s="10">
        <f>SUMIFS(GQList,GIList,Table_ExternalData_17[[#This Row],[item_key]],GTList,Table_ExternalData_17[[#Headers],[RCA]],GDList,"&lt;&gt;"&amp;0)</f>
        <v>0</v>
      </c>
      <c r="J125" s="10">
        <f>SUM(Table_ExternalData_17[[#This Row],[GRN]]+Table_ExternalData_17[[#This Row],[VSTR]]+Table_ExternalData_17[[#This Row],[SR]]+Table_ExternalData_17[[#This Row],[TR]]+Table_ExternalData_17[[#This Row],[RCA]])</f>
        <v>0</v>
      </c>
      <c r="K125" s="10">
        <f>SUMIFS(IsQList,IsIList,Table_ExternalData_17[[#This Row],[item_key]],IsITypeList,Table_ExternalData_17[[#Headers],[R/P]],IsDList,"&lt;&gt;"&amp;0)</f>
        <v>0</v>
      </c>
      <c r="L125" s="10">
        <f>SUMIFS(IsQList,IsIList,Table_ExternalData_17[[#This Row],[item_key]],IsITypeList,Table_ExternalData_17[[#Headers],[CST]],IsDList,"&lt;&gt;"&amp;0)</f>
        <v>0</v>
      </c>
      <c r="M125" s="10">
        <f>SUMIFS(IsQList,IsIList,Table_ExternalData_15[[#This Row],[item_key]],IsITypeList,Table_ExternalData_17[[#Headers],[S/I]],IsDList,"&lt;&gt;"&amp;0)</f>
        <v>0</v>
      </c>
      <c r="N125" s="10">
        <f>SUMIFS(IsQList,IsIList,Table_ExternalData_15[[#This Row],[item_key]],IsITypeList,Table_ExternalData_17[[#Headers],[VST]],IsDList,"&lt;&gt;"&amp;0)</f>
        <v>0</v>
      </c>
      <c r="O125" s="10">
        <f>ABS(SUMIFS(IsQList,IsIList,Table_ExternalData_17[[#This Row],[item_key]],IsITypeList,Table_ExternalData_17[[#Headers],[RTN]],IsDList,"&lt;&gt;"&amp;0))</f>
        <v>0</v>
      </c>
      <c r="P125" s="10">
        <f>SUM(Table_ExternalData_17[[#This Row],[R/P]:[RTN]])</f>
        <v>0</v>
      </c>
      <c r="Q125" s="10">
        <f>SUM((Table_ExternalData_17[[#This Row],[Opening]]+Table_ExternalData_17[[#This Row],[Total Receipt]])-ABS(Table_ExternalData_17[[#This Row],[Total Issue]]))</f>
        <v>723</v>
      </c>
    </row>
    <row r="126" spans="1:17">
      <c r="A126" s="1" t="s">
        <v>480</v>
      </c>
      <c r="B126" s="1" t="s">
        <v>2544</v>
      </c>
      <c r="C126" s="1" t="s">
        <v>2545</v>
      </c>
      <c r="D126" s="10">
        <f>SUMIFS(OPBQList,OPBIList,Table_ExternalData_17[[#This Row],[item_key]])+SUMIFS(GQList,GIList,Table_ExternalData_17[[#This Row],[item_key]],GDList,0)-ABS(SUMIFS(IsQList,IsIList,Table_ExternalData_17[[#This Row],[item_key]],IsDList,0))</f>
        <v>220</v>
      </c>
      <c r="E126" s="10">
        <f>SUMIFS(GQList,GIList,Table_ExternalData_17[[#This Row],[item_key]],GTList,Table_ExternalData_17[[#Headers],[GRN]],GDList,"&lt;&gt;"&amp;0)</f>
        <v>0</v>
      </c>
      <c r="F126" s="10">
        <f>SUMIFS(GQList,GIList,Table_ExternalData_17[[#This Row],[item_key]],GTList,Table_ExternalData_17[[#Headers],[VSTR]],GDList,"&lt;&gt;"&amp;0)</f>
        <v>0</v>
      </c>
      <c r="G126" s="10">
        <f>SUMIFS(GQList,GIList,Table_ExternalData_17[[#This Row],[item_key]],GTList,Table_ExternalData_17[[#Headers],[SR]],GDList,"&lt;&gt;"&amp;0)</f>
        <v>0</v>
      </c>
      <c r="H126" s="10">
        <f>SUMIFS(GQList,GIList,Table_ExternalData_17[[#This Row],[item_key]],GTList,Table_ExternalData_17[[#Headers],[TR]],GDList,"&lt;&gt;"&amp;0)</f>
        <v>0</v>
      </c>
      <c r="I126" s="10">
        <f>SUMIFS(GQList,GIList,Table_ExternalData_17[[#This Row],[item_key]],GTList,Table_ExternalData_17[[#Headers],[RCA]],GDList,"&lt;&gt;"&amp;0)</f>
        <v>0</v>
      </c>
      <c r="J126" s="10">
        <f>SUM(Table_ExternalData_17[[#This Row],[GRN]]+Table_ExternalData_17[[#This Row],[VSTR]]+Table_ExternalData_17[[#This Row],[SR]]+Table_ExternalData_17[[#This Row],[TR]]+Table_ExternalData_17[[#This Row],[RCA]])</f>
        <v>0</v>
      </c>
      <c r="K126" s="10">
        <f>SUMIFS(IsQList,IsIList,Table_ExternalData_17[[#This Row],[item_key]],IsITypeList,Table_ExternalData_17[[#Headers],[R/P]],IsDList,"&lt;&gt;"&amp;0)</f>
        <v>0</v>
      </c>
      <c r="L126" s="10">
        <f>SUMIFS(IsQList,IsIList,Table_ExternalData_17[[#This Row],[item_key]],IsITypeList,Table_ExternalData_17[[#Headers],[CST]],IsDList,"&lt;&gt;"&amp;0)</f>
        <v>0</v>
      </c>
      <c r="M126" s="10">
        <f>SUMIFS(IsQList,IsIList,Table_ExternalData_15[[#This Row],[item_key]],IsITypeList,Table_ExternalData_17[[#Headers],[S/I]],IsDList,"&lt;&gt;"&amp;0)</f>
        <v>64</v>
      </c>
      <c r="N126" s="10">
        <f>SUMIFS(IsQList,IsIList,Table_ExternalData_15[[#This Row],[item_key]],IsITypeList,Table_ExternalData_17[[#Headers],[VST]],IsDList,"&lt;&gt;"&amp;0)</f>
        <v>0</v>
      </c>
      <c r="O126" s="10">
        <f>ABS(SUMIFS(IsQList,IsIList,Table_ExternalData_17[[#This Row],[item_key]],IsITypeList,Table_ExternalData_17[[#Headers],[RTN]],IsDList,"&lt;&gt;"&amp;0))</f>
        <v>0</v>
      </c>
      <c r="P126" s="10">
        <f>SUM(Table_ExternalData_17[[#This Row],[R/P]:[RTN]])</f>
        <v>64</v>
      </c>
      <c r="Q126" s="10">
        <f>SUM((Table_ExternalData_17[[#This Row],[Opening]]+Table_ExternalData_17[[#This Row],[Total Receipt]])-ABS(Table_ExternalData_17[[#This Row],[Total Issue]]))</f>
        <v>156</v>
      </c>
    </row>
    <row r="127" spans="1:17">
      <c r="A127" s="1" t="s">
        <v>489</v>
      </c>
      <c r="B127" s="1" t="s">
        <v>2546</v>
      </c>
      <c r="C127" s="1" t="s">
        <v>2547</v>
      </c>
      <c r="D127" s="10">
        <f>SUMIFS(OPBQList,OPBIList,Table_ExternalData_17[[#This Row],[item_key]])+SUMIFS(GQList,GIList,Table_ExternalData_17[[#This Row],[item_key]],GDList,0)-ABS(SUMIFS(IsQList,IsIList,Table_ExternalData_17[[#This Row],[item_key]],IsDList,0))</f>
        <v>374</v>
      </c>
      <c r="E127" s="10">
        <f>SUMIFS(GQList,GIList,Table_ExternalData_17[[#This Row],[item_key]],GTList,Table_ExternalData_17[[#Headers],[GRN]],GDList,"&lt;&gt;"&amp;0)</f>
        <v>0</v>
      </c>
      <c r="F127" s="10">
        <f>SUMIFS(GQList,GIList,Table_ExternalData_17[[#This Row],[item_key]],GTList,Table_ExternalData_17[[#Headers],[VSTR]],GDList,"&lt;&gt;"&amp;0)</f>
        <v>0</v>
      </c>
      <c r="G127" s="10">
        <f>SUMIFS(GQList,GIList,Table_ExternalData_17[[#This Row],[item_key]],GTList,Table_ExternalData_17[[#Headers],[SR]],GDList,"&lt;&gt;"&amp;0)</f>
        <v>0</v>
      </c>
      <c r="H127" s="10">
        <f>SUMIFS(GQList,GIList,Table_ExternalData_17[[#This Row],[item_key]],GTList,Table_ExternalData_17[[#Headers],[TR]],GDList,"&lt;&gt;"&amp;0)</f>
        <v>0</v>
      </c>
      <c r="I127" s="10">
        <f>SUMIFS(GQList,GIList,Table_ExternalData_17[[#This Row],[item_key]],GTList,Table_ExternalData_17[[#Headers],[RCA]],GDList,"&lt;&gt;"&amp;0)</f>
        <v>0</v>
      </c>
      <c r="J127" s="10">
        <f>SUM(Table_ExternalData_17[[#This Row],[GRN]]+Table_ExternalData_17[[#This Row],[VSTR]]+Table_ExternalData_17[[#This Row],[SR]]+Table_ExternalData_17[[#This Row],[TR]]+Table_ExternalData_17[[#This Row],[RCA]])</f>
        <v>0</v>
      </c>
      <c r="K127" s="10">
        <f>SUMIFS(IsQList,IsIList,Table_ExternalData_17[[#This Row],[item_key]],IsITypeList,Table_ExternalData_17[[#Headers],[R/P]],IsDList,"&lt;&gt;"&amp;0)</f>
        <v>0</v>
      </c>
      <c r="L127" s="10">
        <f>SUMIFS(IsQList,IsIList,Table_ExternalData_17[[#This Row],[item_key]],IsITypeList,Table_ExternalData_17[[#Headers],[CST]],IsDList,"&lt;&gt;"&amp;0)</f>
        <v>0</v>
      </c>
      <c r="M127" s="10">
        <f>SUMIFS(IsQList,IsIList,Table_ExternalData_15[[#This Row],[item_key]],IsITypeList,Table_ExternalData_17[[#Headers],[S/I]],IsDList,"&lt;&gt;"&amp;0)</f>
        <v>20</v>
      </c>
      <c r="N127" s="10">
        <f>SUMIFS(IsQList,IsIList,Table_ExternalData_15[[#This Row],[item_key]],IsITypeList,Table_ExternalData_17[[#Headers],[VST]],IsDList,"&lt;&gt;"&amp;0)</f>
        <v>0</v>
      </c>
      <c r="O127" s="10">
        <f>ABS(SUMIFS(IsQList,IsIList,Table_ExternalData_17[[#This Row],[item_key]],IsITypeList,Table_ExternalData_17[[#Headers],[RTN]],IsDList,"&lt;&gt;"&amp;0))</f>
        <v>0</v>
      </c>
      <c r="P127" s="10">
        <f>SUM(Table_ExternalData_17[[#This Row],[R/P]:[RTN]])</f>
        <v>20</v>
      </c>
      <c r="Q127" s="10">
        <f>SUM((Table_ExternalData_17[[#This Row],[Opening]]+Table_ExternalData_17[[#This Row],[Total Receipt]])-ABS(Table_ExternalData_17[[#This Row],[Total Issue]]))</f>
        <v>354</v>
      </c>
    </row>
    <row r="128" spans="1:17">
      <c r="A128" s="1" t="s">
        <v>491</v>
      </c>
      <c r="B128" s="1" t="s">
        <v>2372</v>
      </c>
      <c r="C128" s="1" t="s">
        <v>1513</v>
      </c>
      <c r="D128" s="10">
        <f>SUMIFS(OPBQList,OPBIList,Table_ExternalData_17[[#This Row],[item_key]])+SUMIFS(GQList,GIList,Table_ExternalData_17[[#This Row],[item_key]],GDList,0)-ABS(SUMIFS(IsQList,IsIList,Table_ExternalData_17[[#This Row],[item_key]],IsDList,0))</f>
        <v>87</v>
      </c>
      <c r="E128" s="10">
        <f>SUMIFS(GQList,GIList,Table_ExternalData_17[[#This Row],[item_key]],GTList,Table_ExternalData_17[[#Headers],[GRN]],GDList,"&lt;&gt;"&amp;0)</f>
        <v>0</v>
      </c>
      <c r="F128" s="10">
        <f>SUMIFS(GQList,GIList,Table_ExternalData_17[[#This Row],[item_key]],GTList,Table_ExternalData_17[[#Headers],[VSTR]],GDList,"&lt;&gt;"&amp;0)</f>
        <v>0</v>
      </c>
      <c r="G128" s="10">
        <f>SUMIFS(GQList,GIList,Table_ExternalData_17[[#This Row],[item_key]],GTList,Table_ExternalData_17[[#Headers],[SR]],GDList,"&lt;&gt;"&amp;0)</f>
        <v>0</v>
      </c>
      <c r="H128" s="10">
        <f>SUMIFS(GQList,GIList,Table_ExternalData_17[[#This Row],[item_key]],GTList,Table_ExternalData_17[[#Headers],[TR]],GDList,"&lt;&gt;"&amp;0)</f>
        <v>0</v>
      </c>
      <c r="I128" s="10">
        <f>SUMIFS(GQList,GIList,Table_ExternalData_17[[#This Row],[item_key]],GTList,Table_ExternalData_17[[#Headers],[RCA]],GDList,"&lt;&gt;"&amp;0)</f>
        <v>0</v>
      </c>
      <c r="J128" s="10">
        <f>SUM(Table_ExternalData_17[[#This Row],[GRN]]+Table_ExternalData_17[[#This Row],[VSTR]]+Table_ExternalData_17[[#This Row],[SR]]+Table_ExternalData_17[[#This Row],[TR]]+Table_ExternalData_17[[#This Row],[RCA]])</f>
        <v>0</v>
      </c>
      <c r="K128" s="10">
        <f>SUMIFS(IsQList,IsIList,Table_ExternalData_17[[#This Row],[item_key]],IsITypeList,Table_ExternalData_17[[#Headers],[R/P]],IsDList,"&lt;&gt;"&amp;0)</f>
        <v>0</v>
      </c>
      <c r="L128" s="10">
        <f>SUMIFS(IsQList,IsIList,Table_ExternalData_17[[#This Row],[item_key]],IsITypeList,Table_ExternalData_17[[#Headers],[CST]],IsDList,"&lt;&gt;"&amp;0)</f>
        <v>0</v>
      </c>
      <c r="M128" s="10">
        <f>SUMIFS(IsQList,IsIList,Table_ExternalData_15[[#This Row],[item_key]],IsITypeList,Table_ExternalData_17[[#Headers],[S/I]],IsDList,"&lt;&gt;"&amp;0)</f>
        <v>0</v>
      </c>
      <c r="N128" s="10">
        <f>SUMIFS(IsQList,IsIList,Table_ExternalData_15[[#This Row],[item_key]],IsITypeList,Table_ExternalData_17[[#Headers],[VST]],IsDList,"&lt;&gt;"&amp;0)</f>
        <v>0</v>
      </c>
      <c r="O128" s="10">
        <f>ABS(SUMIFS(IsQList,IsIList,Table_ExternalData_17[[#This Row],[item_key]],IsITypeList,Table_ExternalData_17[[#Headers],[RTN]],IsDList,"&lt;&gt;"&amp;0))</f>
        <v>0</v>
      </c>
      <c r="P128" s="10">
        <f>SUM(Table_ExternalData_17[[#This Row],[R/P]:[RTN]])</f>
        <v>0</v>
      </c>
      <c r="Q128" s="10">
        <f>SUM((Table_ExternalData_17[[#This Row],[Opening]]+Table_ExternalData_17[[#This Row],[Total Receipt]])-ABS(Table_ExternalData_17[[#This Row],[Total Issue]]))</f>
        <v>87</v>
      </c>
    </row>
    <row r="129" spans="1:17">
      <c r="A129" s="1" t="s">
        <v>1733</v>
      </c>
      <c r="B129" s="1" t="s">
        <v>2548</v>
      </c>
      <c r="C129" s="1" t="s">
        <v>1513</v>
      </c>
      <c r="D129" s="10">
        <f>SUMIFS(OPBQList,OPBIList,Table_ExternalData_17[[#This Row],[item_key]])+SUMIFS(GQList,GIList,Table_ExternalData_17[[#This Row],[item_key]],GDList,0)-ABS(SUMIFS(IsQList,IsIList,Table_ExternalData_17[[#This Row],[item_key]],IsDList,0))</f>
        <v>29</v>
      </c>
      <c r="E129" s="10">
        <f>SUMIFS(GQList,GIList,Table_ExternalData_17[[#This Row],[item_key]],GTList,Table_ExternalData_17[[#Headers],[GRN]],GDList,"&lt;&gt;"&amp;0)</f>
        <v>0</v>
      </c>
      <c r="F129" s="10">
        <f>SUMIFS(GQList,GIList,Table_ExternalData_17[[#This Row],[item_key]],GTList,Table_ExternalData_17[[#Headers],[VSTR]],GDList,"&lt;&gt;"&amp;0)</f>
        <v>0</v>
      </c>
      <c r="G129" s="10">
        <f>SUMIFS(GQList,GIList,Table_ExternalData_17[[#This Row],[item_key]],GTList,Table_ExternalData_17[[#Headers],[SR]],GDList,"&lt;&gt;"&amp;0)</f>
        <v>0</v>
      </c>
      <c r="H129" s="10">
        <f>SUMIFS(GQList,GIList,Table_ExternalData_17[[#This Row],[item_key]],GTList,Table_ExternalData_17[[#Headers],[TR]],GDList,"&lt;&gt;"&amp;0)</f>
        <v>0</v>
      </c>
      <c r="I129" s="10">
        <f>SUMIFS(GQList,GIList,Table_ExternalData_17[[#This Row],[item_key]],GTList,Table_ExternalData_17[[#Headers],[RCA]],GDList,"&lt;&gt;"&amp;0)</f>
        <v>0</v>
      </c>
      <c r="J129" s="10">
        <f>SUM(Table_ExternalData_17[[#This Row],[GRN]]+Table_ExternalData_17[[#This Row],[VSTR]]+Table_ExternalData_17[[#This Row],[SR]]+Table_ExternalData_17[[#This Row],[TR]]+Table_ExternalData_17[[#This Row],[RCA]])</f>
        <v>0</v>
      </c>
      <c r="K129" s="10">
        <f>SUMIFS(IsQList,IsIList,Table_ExternalData_17[[#This Row],[item_key]],IsITypeList,Table_ExternalData_17[[#Headers],[R/P]],IsDList,"&lt;&gt;"&amp;0)</f>
        <v>0</v>
      </c>
      <c r="L129" s="10">
        <f>SUMIFS(IsQList,IsIList,Table_ExternalData_17[[#This Row],[item_key]],IsITypeList,Table_ExternalData_17[[#Headers],[CST]],IsDList,"&lt;&gt;"&amp;0)</f>
        <v>0</v>
      </c>
      <c r="M129" s="10">
        <f>SUMIFS(IsQList,IsIList,Table_ExternalData_15[[#This Row],[item_key]],IsITypeList,Table_ExternalData_17[[#Headers],[S/I]],IsDList,"&lt;&gt;"&amp;0)</f>
        <v>380</v>
      </c>
      <c r="N129" s="10">
        <f>SUMIFS(IsQList,IsIList,Table_ExternalData_15[[#This Row],[item_key]],IsITypeList,Table_ExternalData_17[[#Headers],[VST]],IsDList,"&lt;&gt;"&amp;0)</f>
        <v>0</v>
      </c>
      <c r="O129" s="10">
        <f>ABS(SUMIFS(IsQList,IsIList,Table_ExternalData_17[[#This Row],[item_key]],IsITypeList,Table_ExternalData_17[[#Headers],[RTN]],IsDList,"&lt;&gt;"&amp;0))</f>
        <v>0</v>
      </c>
      <c r="P129" s="10">
        <f>SUM(Table_ExternalData_17[[#This Row],[R/P]:[RTN]])</f>
        <v>380</v>
      </c>
      <c r="Q129" s="10">
        <f>SUM((Table_ExternalData_17[[#This Row],[Opening]]+Table_ExternalData_17[[#This Row],[Total Receipt]])-ABS(Table_ExternalData_17[[#This Row],[Total Issue]]))</f>
        <v>-351</v>
      </c>
    </row>
    <row r="130" spans="1:17">
      <c r="A130" s="1" t="s">
        <v>492</v>
      </c>
      <c r="B130" s="1" t="s">
        <v>2549</v>
      </c>
      <c r="C130" s="1" t="s">
        <v>2550</v>
      </c>
      <c r="D130" s="10">
        <f>SUMIFS(OPBQList,OPBIList,Table_ExternalData_17[[#This Row],[item_key]])+SUMIFS(GQList,GIList,Table_ExternalData_17[[#This Row],[item_key]],GDList,0)-ABS(SUMIFS(IsQList,IsIList,Table_ExternalData_17[[#This Row],[item_key]],IsDList,0))</f>
        <v>1451</v>
      </c>
      <c r="E130" s="10">
        <f>SUMIFS(GQList,GIList,Table_ExternalData_17[[#This Row],[item_key]],GTList,Table_ExternalData_17[[#Headers],[GRN]],GDList,"&lt;&gt;"&amp;0)</f>
        <v>0</v>
      </c>
      <c r="F130" s="10">
        <f>SUMIFS(GQList,GIList,Table_ExternalData_17[[#This Row],[item_key]],GTList,Table_ExternalData_17[[#Headers],[VSTR]],GDList,"&lt;&gt;"&amp;0)</f>
        <v>0</v>
      </c>
      <c r="G130" s="10">
        <f>SUMIFS(GQList,GIList,Table_ExternalData_17[[#This Row],[item_key]],GTList,Table_ExternalData_17[[#Headers],[SR]],GDList,"&lt;&gt;"&amp;0)</f>
        <v>0</v>
      </c>
      <c r="H130" s="10">
        <f>SUMIFS(GQList,GIList,Table_ExternalData_17[[#This Row],[item_key]],GTList,Table_ExternalData_17[[#Headers],[TR]],GDList,"&lt;&gt;"&amp;0)</f>
        <v>0</v>
      </c>
      <c r="I130" s="10">
        <f>SUMIFS(GQList,GIList,Table_ExternalData_17[[#This Row],[item_key]],GTList,Table_ExternalData_17[[#Headers],[RCA]],GDList,"&lt;&gt;"&amp;0)</f>
        <v>0</v>
      </c>
      <c r="J130" s="10">
        <f>SUM(Table_ExternalData_17[[#This Row],[GRN]]+Table_ExternalData_17[[#This Row],[VSTR]]+Table_ExternalData_17[[#This Row],[SR]]+Table_ExternalData_17[[#This Row],[TR]]+Table_ExternalData_17[[#This Row],[RCA]])</f>
        <v>0</v>
      </c>
      <c r="K130" s="10">
        <f>SUMIFS(IsQList,IsIList,Table_ExternalData_17[[#This Row],[item_key]],IsITypeList,Table_ExternalData_17[[#Headers],[R/P]],IsDList,"&lt;&gt;"&amp;0)</f>
        <v>0</v>
      </c>
      <c r="L130" s="10">
        <f>SUMIFS(IsQList,IsIList,Table_ExternalData_17[[#This Row],[item_key]],IsITypeList,Table_ExternalData_17[[#Headers],[CST]],IsDList,"&lt;&gt;"&amp;0)</f>
        <v>0</v>
      </c>
      <c r="M130" s="10">
        <f>SUMIFS(IsQList,IsIList,Table_ExternalData_15[[#This Row],[item_key]],IsITypeList,Table_ExternalData_17[[#Headers],[S/I]],IsDList,"&lt;&gt;"&amp;0)</f>
        <v>348</v>
      </c>
      <c r="N130" s="10">
        <f>SUMIFS(IsQList,IsIList,Table_ExternalData_15[[#This Row],[item_key]],IsITypeList,Table_ExternalData_17[[#Headers],[VST]],IsDList,"&lt;&gt;"&amp;0)</f>
        <v>0</v>
      </c>
      <c r="O130" s="10">
        <f>ABS(SUMIFS(IsQList,IsIList,Table_ExternalData_17[[#This Row],[item_key]],IsITypeList,Table_ExternalData_17[[#Headers],[RTN]],IsDList,"&lt;&gt;"&amp;0))</f>
        <v>0</v>
      </c>
      <c r="P130" s="10">
        <f>SUM(Table_ExternalData_17[[#This Row],[R/P]:[RTN]])</f>
        <v>348</v>
      </c>
      <c r="Q130" s="10">
        <f>SUM((Table_ExternalData_17[[#This Row],[Opening]]+Table_ExternalData_17[[#This Row],[Total Receipt]])-ABS(Table_ExternalData_17[[#This Row],[Total Issue]]))</f>
        <v>1103</v>
      </c>
    </row>
    <row r="131" spans="1:17">
      <c r="A131" s="1" t="s">
        <v>493</v>
      </c>
      <c r="B131" s="1" t="s">
        <v>1286</v>
      </c>
      <c r="C131" s="1" t="s">
        <v>1287</v>
      </c>
      <c r="D131" s="10">
        <f>SUMIFS(OPBQList,OPBIList,Table_ExternalData_17[[#This Row],[item_key]])+SUMIFS(GQList,GIList,Table_ExternalData_17[[#This Row],[item_key]],GDList,0)-ABS(SUMIFS(IsQList,IsIList,Table_ExternalData_17[[#This Row],[item_key]],IsDList,0))</f>
        <v>31</v>
      </c>
      <c r="E131" s="10">
        <f>SUMIFS(GQList,GIList,Table_ExternalData_17[[#This Row],[item_key]],GTList,Table_ExternalData_17[[#Headers],[GRN]],GDList,"&lt;&gt;"&amp;0)</f>
        <v>0</v>
      </c>
      <c r="F131" s="10">
        <f>SUMIFS(GQList,GIList,Table_ExternalData_17[[#This Row],[item_key]],GTList,Table_ExternalData_17[[#Headers],[VSTR]],GDList,"&lt;&gt;"&amp;0)</f>
        <v>0</v>
      </c>
      <c r="G131" s="10">
        <f>SUMIFS(GQList,GIList,Table_ExternalData_17[[#This Row],[item_key]],GTList,Table_ExternalData_17[[#Headers],[SR]],GDList,"&lt;&gt;"&amp;0)</f>
        <v>0</v>
      </c>
      <c r="H131" s="10">
        <f>SUMIFS(GQList,GIList,Table_ExternalData_17[[#This Row],[item_key]],GTList,Table_ExternalData_17[[#Headers],[TR]],GDList,"&lt;&gt;"&amp;0)</f>
        <v>0</v>
      </c>
      <c r="I131" s="10">
        <f>SUMIFS(GQList,GIList,Table_ExternalData_17[[#This Row],[item_key]],GTList,Table_ExternalData_17[[#Headers],[RCA]],GDList,"&lt;&gt;"&amp;0)</f>
        <v>0</v>
      </c>
      <c r="J131" s="10">
        <f>SUM(Table_ExternalData_17[[#This Row],[GRN]]+Table_ExternalData_17[[#This Row],[VSTR]]+Table_ExternalData_17[[#This Row],[SR]]+Table_ExternalData_17[[#This Row],[TR]]+Table_ExternalData_17[[#This Row],[RCA]])</f>
        <v>0</v>
      </c>
      <c r="K131" s="10">
        <f>SUMIFS(IsQList,IsIList,Table_ExternalData_17[[#This Row],[item_key]],IsITypeList,Table_ExternalData_17[[#Headers],[R/P]],IsDList,"&lt;&gt;"&amp;0)</f>
        <v>0</v>
      </c>
      <c r="L131" s="10">
        <f>SUMIFS(IsQList,IsIList,Table_ExternalData_17[[#This Row],[item_key]],IsITypeList,Table_ExternalData_17[[#Headers],[CST]],IsDList,"&lt;&gt;"&amp;0)</f>
        <v>0</v>
      </c>
      <c r="M131" s="10">
        <f>SUMIFS(IsQList,IsIList,Table_ExternalData_15[[#This Row],[item_key]],IsITypeList,Table_ExternalData_17[[#Headers],[S/I]],IsDList,"&lt;&gt;"&amp;0)</f>
        <v>50</v>
      </c>
      <c r="N131" s="10">
        <f>SUMIFS(IsQList,IsIList,Table_ExternalData_15[[#This Row],[item_key]],IsITypeList,Table_ExternalData_17[[#Headers],[VST]],IsDList,"&lt;&gt;"&amp;0)</f>
        <v>0</v>
      </c>
      <c r="O131" s="10">
        <f>ABS(SUMIFS(IsQList,IsIList,Table_ExternalData_17[[#This Row],[item_key]],IsITypeList,Table_ExternalData_17[[#Headers],[RTN]],IsDList,"&lt;&gt;"&amp;0))</f>
        <v>0</v>
      </c>
      <c r="P131" s="10">
        <f>SUM(Table_ExternalData_17[[#This Row],[R/P]:[RTN]])</f>
        <v>50</v>
      </c>
      <c r="Q131" s="10">
        <f>SUM((Table_ExternalData_17[[#This Row],[Opening]]+Table_ExternalData_17[[#This Row],[Total Receipt]])-ABS(Table_ExternalData_17[[#This Row],[Total Issue]]))</f>
        <v>-19</v>
      </c>
    </row>
    <row r="132" spans="1:17">
      <c r="A132" s="1" t="s">
        <v>1734</v>
      </c>
      <c r="B132" s="1" t="s">
        <v>2551</v>
      </c>
      <c r="C132" s="1" t="s">
        <v>2552</v>
      </c>
      <c r="D132" s="10">
        <f>SUMIFS(OPBQList,OPBIList,Table_ExternalData_17[[#This Row],[item_key]])+SUMIFS(GQList,GIList,Table_ExternalData_17[[#This Row],[item_key]],GDList,0)-ABS(SUMIFS(IsQList,IsIList,Table_ExternalData_17[[#This Row],[item_key]],IsDList,0))</f>
        <v>528</v>
      </c>
      <c r="E132" s="10">
        <f>SUMIFS(GQList,GIList,Table_ExternalData_17[[#This Row],[item_key]],GTList,Table_ExternalData_17[[#Headers],[GRN]],GDList,"&lt;&gt;"&amp;0)</f>
        <v>0</v>
      </c>
      <c r="F132" s="10">
        <f>SUMIFS(GQList,GIList,Table_ExternalData_17[[#This Row],[item_key]],GTList,Table_ExternalData_17[[#Headers],[VSTR]],GDList,"&lt;&gt;"&amp;0)</f>
        <v>0</v>
      </c>
      <c r="G132" s="10">
        <f>SUMIFS(GQList,GIList,Table_ExternalData_17[[#This Row],[item_key]],GTList,Table_ExternalData_17[[#Headers],[SR]],GDList,"&lt;&gt;"&amp;0)</f>
        <v>0</v>
      </c>
      <c r="H132" s="10">
        <f>SUMIFS(GQList,GIList,Table_ExternalData_17[[#This Row],[item_key]],GTList,Table_ExternalData_17[[#Headers],[TR]],GDList,"&lt;&gt;"&amp;0)</f>
        <v>0</v>
      </c>
      <c r="I132" s="10">
        <f>SUMIFS(GQList,GIList,Table_ExternalData_17[[#This Row],[item_key]],GTList,Table_ExternalData_17[[#Headers],[RCA]],GDList,"&lt;&gt;"&amp;0)</f>
        <v>0</v>
      </c>
      <c r="J132" s="10">
        <f>SUM(Table_ExternalData_17[[#This Row],[GRN]]+Table_ExternalData_17[[#This Row],[VSTR]]+Table_ExternalData_17[[#This Row],[SR]]+Table_ExternalData_17[[#This Row],[TR]]+Table_ExternalData_17[[#This Row],[RCA]])</f>
        <v>0</v>
      </c>
      <c r="K132" s="10">
        <f>SUMIFS(IsQList,IsIList,Table_ExternalData_17[[#This Row],[item_key]],IsITypeList,Table_ExternalData_17[[#Headers],[R/P]],IsDList,"&lt;&gt;"&amp;0)</f>
        <v>0</v>
      </c>
      <c r="L132" s="10">
        <f>SUMIFS(IsQList,IsIList,Table_ExternalData_17[[#This Row],[item_key]],IsITypeList,Table_ExternalData_17[[#Headers],[CST]],IsDList,"&lt;&gt;"&amp;0)</f>
        <v>0</v>
      </c>
      <c r="M132" s="10">
        <f>SUMIFS(IsQList,IsIList,Table_ExternalData_15[[#This Row],[item_key]],IsITypeList,Table_ExternalData_17[[#Headers],[S/I]],IsDList,"&lt;&gt;"&amp;0)</f>
        <v>387</v>
      </c>
      <c r="N132" s="10">
        <f>SUMIFS(IsQList,IsIList,Table_ExternalData_15[[#This Row],[item_key]],IsITypeList,Table_ExternalData_17[[#Headers],[VST]],IsDList,"&lt;&gt;"&amp;0)</f>
        <v>0</v>
      </c>
      <c r="O132" s="10">
        <f>ABS(SUMIFS(IsQList,IsIList,Table_ExternalData_17[[#This Row],[item_key]],IsITypeList,Table_ExternalData_17[[#Headers],[RTN]],IsDList,"&lt;&gt;"&amp;0))</f>
        <v>0</v>
      </c>
      <c r="P132" s="10">
        <f>SUM(Table_ExternalData_17[[#This Row],[R/P]:[RTN]])</f>
        <v>387</v>
      </c>
      <c r="Q132" s="10">
        <f>SUM((Table_ExternalData_17[[#This Row],[Opening]]+Table_ExternalData_17[[#This Row],[Total Receipt]])-ABS(Table_ExternalData_17[[#This Row],[Total Issue]]))</f>
        <v>141</v>
      </c>
    </row>
    <row r="133" spans="1:17">
      <c r="A133" s="1" t="s">
        <v>1735</v>
      </c>
      <c r="B133" s="1" t="s">
        <v>2553</v>
      </c>
      <c r="C133" s="1" t="s">
        <v>2552</v>
      </c>
      <c r="D133" s="10">
        <f>SUMIFS(OPBQList,OPBIList,Table_ExternalData_17[[#This Row],[item_key]])+SUMIFS(GQList,GIList,Table_ExternalData_17[[#This Row],[item_key]],GDList,0)-ABS(SUMIFS(IsQList,IsIList,Table_ExternalData_17[[#This Row],[item_key]],IsDList,0))</f>
        <v>299</v>
      </c>
      <c r="E133" s="10">
        <f>SUMIFS(GQList,GIList,Table_ExternalData_17[[#This Row],[item_key]],GTList,Table_ExternalData_17[[#Headers],[GRN]],GDList,"&lt;&gt;"&amp;0)</f>
        <v>0</v>
      </c>
      <c r="F133" s="10">
        <f>SUMIFS(GQList,GIList,Table_ExternalData_17[[#This Row],[item_key]],GTList,Table_ExternalData_17[[#Headers],[VSTR]],GDList,"&lt;&gt;"&amp;0)</f>
        <v>0</v>
      </c>
      <c r="G133" s="10">
        <f>SUMIFS(GQList,GIList,Table_ExternalData_17[[#This Row],[item_key]],GTList,Table_ExternalData_17[[#Headers],[SR]],GDList,"&lt;&gt;"&amp;0)</f>
        <v>0</v>
      </c>
      <c r="H133" s="10">
        <f>SUMIFS(GQList,GIList,Table_ExternalData_17[[#This Row],[item_key]],GTList,Table_ExternalData_17[[#Headers],[TR]],GDList,"&lt;&gt;"&amp;0)</f>
        <v>0</v>
      </c>
      <c r="I133" s="10">
        <f>SUMIFS(GQList,GIList,Table_ExternalData_17[[#This Row],[item_key]],GTList,Table_ExternalData_17[[#Headers],[RCA]],GDList,"&lt;&gt;"&amp;0)</f>
        <v>0</v>
      </c>
      <c r="J133" s="10">
        <f>SUM(Table_ExternalData_17[[#This Row],[GRN]]+Table_ExternalData_17[[#This Row],[VSTR]]+Table_ExternalData_17[[#This Row],[SR]]+Table_ExternalData_17[[#This Row],[TR]]+Table_ExternalData_17[[#This Row],[RCA]])</f>
        <v>0</v>
      </c>
      <c r="K133" s="10">
        <f>SUMIFS(IsQList,IsIList,Table_ExternalData_17[[#This Row],[item_key]],IsITypeList,Table_ExternalData_17[[#Headers],[R/P]],IsDList,"&lt;&gt;"&amp;0)</f>
        <v>0</v>
      </c>
      <c r="L133" s="10">
        <f>SUMIFS(IsQList,IsIList,Table_ExternalData_17[[#This Row],[item_key]],IsITypeList,Table_ExternalData_17[[#Headers],[CST]],IsDList,"&lt;&gt;"&amp;0)</f>
        <v>0</v>
      </c>
      <c r="M133" s="10">
        <f>SUMIFS(IsQList,IsIList,Table_ExternalData_15[[#This Row],[item_key]],IsITypeList,Table_ExternalData_17[[#Headers],[S/I]],IsDList,"&lt;&gt;"&amp;0)</f>
        <v>79</v>
      </c>
      <c r="N133" s="10">
        <f>SUMIFS(IsQList,IsIList,Table_ExternalData_15[[#This Row],[item_key]],IsITypeList,Table_ExternalData_17[[#Headers],[VST]],IsDList,"&lt;&gt;"&amp;0)</f>
        <v>0</v>
      </c>
      <c r="O133" s="10">
        <f>ABS(SUMIFS(IsQList,IsIList,Table_ExternalData_17[[#This Row],[item_key]],IsITypeList,Table_ExternalData_17[[#Headers],[RTN]],IsDList,"&lt;&gt;"&amp;0))</f>
        <v>0</v>
      </c>
      <c r="P133" s="10">
        <f>SUM(Table_ExternalData_17[[#This Row],[R/P]:[RTN]])</f>
        <v>79</v>
      </c>
      <c r="Q133" s="10">
        <f>SUM((Table_ExternalData_17[[#This Row],[Opening]]+Table_ExternalData_17[[#This Row],[Total Receipt]])-ABS(Table_ExternalData_17[[#This Row],[Total Issue]]))</f>
        <v>220</v>
      </c>
    </row>
    <row r="134" spans="1:17">
      <c r="A134" s="1" t="s">
        <v>495</v>
      </c>
      <c r="B134" s="1" t="s">
        <v>1288</v>
      </c>
      <c r="C134" s="1" t="s">
        <v>1289</v>
      </c>
      <c r="D134" s="10">
        <f>SUMIFS(OPBQList,OPBIList,Table_ExternalData_17[[#This Row],[item_key]])+SUMIFS(GQList,GIList,Table_ExternalData_17[[#This Row],[item_key]],GDList,0)-ABS(SUMIFS(IsQList,IsIList,Table_ExternalData_17[[#This Row],[item_key]],IsDList,0))</f>
        <v>3614</v>
      </c>
      <c r="E134" s="10">
        <f>SUMIFS(GQList,GIList,Table_ExternalData_17[[#This Row],[item_key]],GTList,Table_ExternalData_17[[#Headers],[GRN]],GDList,"&lt;&gt;"&amp;0)</f>
        <v>0</v>
      </c>
      <c r="F134" s="10">
        <f>SUMIFS(GQList,GIList,Table_ExternalData_17[[#This Row],[item_key]],GTList,Table_ExternalData_17[[#Headers],[VSTR]],GDList,"&lt;&gt;"&amp;0)</f>
        <v>0</v>
      </c>
      <c r="G134" s="10">
        <f>SUMIFS(GQList,GIList,Table_ExternalData_17[[#This Row],[item_key]],GTList,Table_ExternalData_17[[#Headers],[SR]],GDList,"&lt;&gt;"&amp;0)</f>
        <v>0</v>
      </c>
      <c r="H134" s="10">
        <f>SUMIFS(GQList,GIList,Table_ExternalData_17[[#This Row],[item_key]],GTList,Table_ExternalData_17[[#Headers],[TR]],GDList,"&lt;&gt;"&amp;0)</f>
        <v>0</v>
      </c>
      <c r="I134" s="10">
        <f>SUMIFS(GQList,GIList,Table_ExternalData_17[[#This Row],[item_key]],GTList,Table_ExternalData_17[[#Headers],[RCA]],GDList,"&lt;&gt;"&amp;0)</f>
        <v>0</v>
      </c>
      <c r="J134" s="10">
        <f>SUM(Table_ExternalData_17[[#This Row],[GRN]]+Table_ExternalData_17[[#This Row],[VSTR]]+Table_ExternalData_17[[#This Row],[SR]]+Table_ExternalData_17[[#This Row],[TR]]+Table_ExternalData_17[[#This Row],[RCA]])</f>
        <v>0</v>
      </c>
      <c r="K134" s="10">
        <f>SUMIFS(IsQList,IsIList,Table_ExternalData_17[[#This Row],[item_key]],IsITypeList,Table_ExternalData_17[[#Headers],[R/P]],IsDList,"&lt;&gt;"&amp;0)</f>
        <v>0</v>
      </c>
      <c r="L134" s="10">
        <f>SUMIFS(IsQList,IsIList,Table_ExternalData_17[[#This Row],[item_key]],IsITypeList,Table_ExternalData_17[[#Headers],[CST]],IsDList,"&lt;&gt;"&amp;0)</f>
        <v>0</v>
      </c>
      <c r="M134" s="10">
        <f>SUMIFS(IsQList,IsIList,Table_ExternalData_15[[#This Row],[item_key]],IsITypeList,Table_ExternalData_17[[#Headers],[S/I]],IsDList,"&lt;&gt;"&amp;0)</f>
        <v>0</v>
      </c>
      <c r="N134" s="10">
        <f>SUMIFS(IsQList,IsIList,Table_ExternalData_15[[#This Row],[item_key]],IsITypeList,Table_ExternalData_17[[#Headers],[VST]],IsDList,"&lt;&gt;"&amp;0)</f>
        <v>0</v>
      </c>
      <c r="O134" s="10">
        <f>ABS(SUMIFS(IsQList,IsIList,Table_ExternalData_17[[#This Row],[item_key]],IsITypeList,Table_ExternalData_17[[#Headers],[RTN]],IsDList,"&lt;&gt;"&amp;0))</f>
        <v>0</v>
      </c>
      <c r="P134" s="10">
        <f>SUM(Table_ExternalData_17[[#This Row],[R/P]:[RTN]])</f>
        <v>0</v>
      </c>
      <c r="Q134" s="10">
        <f>SUM((Table_ExternalData_17[[#This Row],[Opening]]+Table_ExternalData_17[[#This Row],[Total Receipt]])-ABS(Table_ExternalData_17[[#This Row],[Total Issue]]))</f>
        <v>3614</v>
      </c>
    </row>
    <row r="135" spans="1:17">
      <c r="A135" s="1" t="s">
        <v>1736</v>
      </c>
      <c r="B135" s="1" t="s">
        <v>2554</v>
      </c>
      <c r="C135" s="1" t="s">
        <v>2555</v>
      </c>
      <c r="D135" s="10">
        <f>SUMIFS(OPBQList,OPBIList,Table_ExternalData_17[[#This Row],[item_key]])+SUMIFS(GQList,GIList,Table_ExternalData_17[[#This Row],[item_key]],GDList,0)-ABS(SUMIFS(IsQList,IsIList,Table_ExternalData_17[[#This Row],[item_key]],IsDList,0))</f>
        <v>589</v>
      </c>
      <c r="E135" s="10">
        <f>SUMIFS(GQList,GIList,Table_ExternalData_17[[#This Row],[item_key]],GTList,Table_ExternalData_17[[#Headers],[GRN]],GDList,"&lt;&gt;"&amp;0)</f>
        <v>0</v>
      </c>
      <c r="F135" s="10">
        <f>SUMIFS(GQList,GIList,Table_ExternalData_17[[#This Row],[item_key]],GTList,Table_ExternalData_17[[#Headers],[VSTR]],GDList,"&lt;&gt;"&amp;0)</f>
        <v>0</v>
      </c>
      <c r="G135" s="10">
        <f>SUMIFS(GQList,GIList,Table_ExternalData_17[[#This Row],[item_key]],GTList,Table_ExternalData_17[[#Headers],[SR]],GDList,"&lt;&gt;"&amp;0)</f>
        <v>0</v>
      </c>
      <c r="H135" s="10">
        <f>SUMIFS(GQList,GIList,Table_ExternalData_17[[#This Row],[item_key]],GTList,Table_ExternalData_17[[#Headers],[TR]],GDList,"&lt;&gt;"&amp;0)</f>
        <v>0</v>
      </c>
      <c r="I135" s="10">
        <f>SUMIFS(GQList,GIList,Table_ExternalData_17[[#This Row],[item_key]],GTList,Table_ExternalData_17[[#Headers],[RCA]],GDList,"&lt;&gt;"&amp;0)</f>
        <v>0</v>
      </c>
      <c r="J135" s="10">
        <f>SUM(Table_ExternalData_17[[#This Row],[GRN]]+Table_ExternalData_17[[#This Row],[VSTR]]+Table_ExternalData_17[[#This Row],[SR]]+Table_ExternalData_17[[#This Row],[TR]]+Table_ExternalData_17[[#This Row],[RCA]])</f>
        <v>0</v>
      </c>
      <c r="K135" s="10">
        <f>SUMIFS(IsQList,IsIList,Table_ExternalData_17[[#This Row],[item_key]],IsITypeList,Table_ExternalData_17[[#Headers],[R/P]],IsDList,"&lt;&gt;"&amp;0)</f>
        <v>0</v>
      </c>
      <c r="L135" s="10">
        <f>SUMIFS(IsQList,IsIList,Table_ExternalData_17[[#This Row],[item_key]],IsITypeList,Table_ExternalData_17[[#Headers],[CST]],IsDList,"&lt;&gt;"&amp;0)</f>
        <v>0</v>
      </c>
      <c r="M135" s="10">
        <f>SUMIFS(IsQList,IsIList,Table_ExternalData_15[[#This Row],[item_key]],IsITypeList,Table_ExternalData_17[[#Headers],[S/I]],IsDList,"&lt;&gt;"&amp;0)</f>
        <v>0</v>
      </c>
      <c r="N135" s="10">
        <f>SUMIFS(IsQList,IsIList,Table_ExternalData_15[[#This Row],[item_key]],IsITypeList,Table_ExternalData_17[[#Headers],[VST]],IsDList,"&lt;&gt;"&amp;0)</f>
        <v>0</v>
      </c>
      <c r="O135" s="10">
        <f>ABS(SUMIFS(IsQList,IsIList,Table_ExternalData_17[[#This Row],[item_key]],IsITypeList,Table_ExternalData_17[[#Headers],[RTN]],IsDList,"&lt;&gt;"&amp;0))</f>
        <v>0</v>
      </c>
      <c r="P135" s="10">
        <f>SUM(Table_ExternalData_17[[#This Row],[R/P]:[RTN]])</f>
        <v>0</v>
      </c>
      <c r="Q135" s="10">
        <f>SUM((Table_ExternalData_17[[#This Row],[Opening]]+Table_ExternalData_17[[#This Row],[Total Receipt]])-ABS(Table_ExternalData_17[[#This Row],[Total Issue]]))</f>
        <v>589</v>
      </c>
    </row>
    <row r="136" spans="1:17">
      <c r="A136" s="1" t="s">
        <v>1737</v>
      </c>
      <c r="B136" s="1" t="s">
        <v>2556</v>
      </c>
      <c r="C136" s="1" t="s">
        <v>2557</v>
      </c>
      <c r="D136" s="10">
        <f>SUMIFS(OPBQList,OPBIList,Table_ExternalData_17[[#This Row],[item_key]])+SUMIFS(GQList,GIList,Table_ExternalData_17[[#This Row],[item_key]],GDList,0)-ABS(SUMIFS(IsQList,IsIList,Table_ExternalData_17[[#This Row],[item_key]],IsDList,0))</f>
        <v>246</v>
      </c>
      <c r="E136" s="10">
        <f>SUMIFS(GQList,GIList,Table_ExternalData_17[[#This Row],[item_key]],GTList,Table_ExternalData_17[[#Headers],[GRN]],GDList,"&lt;&gt;"&amp;0)</f>
        <v>0</v>
      </c>
      <c r="F136" s="10">
        <f>SUMIFS(GQList,GIList,Table_ExternalData_17[[#This Row],[item_key]],GTList,Table_ExternalData_17[[#Headers],[VSTR]],GDList,"&lt;&gt;"&amp;0)</f>
        <v>0</v>
      </c>
      <c r="G136" s="10">
        <f>SUMIFS(GQList,GIList,Table_ExternalData_17[[#This Row],[item_key]],GTList,Table_ExternalData_17[[#Headers],[SR]],GDList,"&lt;&gt;"&amp;0)</f>
        <v>0</v>
      </c>
      <c r="H136" s="10">
        <f>SUMIFS(GQList,GIList,Table_ExternalData_17[[#This Row],[item_key]],GTList,Table_ExternalData_17[[#Headers],[TR]],GDList,"&lt;&gt;"&amp;0)</f>
        <v>0</v>
      </c>
      <c r="I136" s="10">
        <f>SUMIFS(GQList,GIList,Table_ExternalData_17[[#This Row],[item_key]],GTList,Table_ExternalData_17[[#Headers],[RCA]],GDList,"&lt;&gt;"&amp;0)</f>
        <v>0</v>
      </c>
      <c r="J136" s="10">
        <f>SUM(Table_ExternalData_17[[#This Row],[GRN]]+Table_ExternalData_17[[#This Row],[VSTR]]+Table_ExternalData_17[[#This Row],[SR]]+Table_ExternalData_17[[#This Row],[TR]]+Table_ExternalData_17[[#This Row],[RCA]])</f>
        <v>0</v>
      </c>
      <c r="K136" s="10">
        <f>SUMIFS(IsQList,IsIList,Table_ExternalData_17[[#This Row],[item_key]],IsITypeList,Table_ExternalData_17[[#Headers],[R/P]],IsDList,"&lt;&gt;"&amp;0)</f>
        <v>0</v>
      </c>
      <c r="L136" s="10">
        <f>SUMIFS(IsQList,IsIList,Table_ExternalData_17[[#This Row],[item_key]],IsITypeList,Table_ExternalData_17[[#Headers],[CST]],IsDList,"&lt;&gt;"&amp;0)</f>
        <v>0</v>
      </c>
      <c r="M136" s="10">
        <f>SUMIFS(IsQList,IsIList,Table_ExternalData_15[[#This Row],[item_key]],IsITypeList,Table_ExternalData_17[[#Headers],[S/I]],IsDList,"&lt;&gt;"&amp;0)</f>
        <v>0</v>
      </c>
      <c r="N136" s="10">
        <f>SUMIFS(IsQList,IsIList,Table_ExternalData_15[[#This Row],[item_key]],IsITypeList,Table_ExternalData_17[[#Headers],[VST]],IsDList,"&lt;&gt;"&amp;0)</f>
        <v>0</v>
      </c>
      <c r="O136" s="10">
        <f>ABS(SUMIFS(IsQList,IsIList,Table_ExternalData_17[[#This Row],[item_key]],IsITypeList,Table_ExternalData_17[[#Headers],[RTN]],IsDList,"&lt;&gt;"&amp;0))</f>
        <v>0</v>
      </c>
      <c r="P136" s="10">
        <f>SUM(Table_ExternalData_17[[#This Row],[R/P]:[RTN]])</f>
        <v>0</v>
      </c>
      <c r="Q136" s="10">
        <f>SUM((Table_ExternalData_17[[#This Row],[Opening]]+Table_ExternalData_17[[#This Row],[Total Receipt]])-ABS(Table_ExternalData_17[[#This Row],[Total Issue]]))</f>
        <v>246</v>
      </c>
    </row>
    <row r="137" spans="1:17">
      <c r="A137" s="1" t="s">
        <v>512</v>
      </c>
      <c r="B137" s="1" t="s">
        <v>2558</v>
      </c>
      <c r="C137" s="1" t="s">
        <v>1486</v>
      </c>
      <c r="D137" s="10">
        <f>SUMIFS(OPBQList,OPBIList,Table_ExternalData_17[[#This Row],[item_key]])+SUMIFS(GQList,GIList,Table_ExternalData_17[[#This Row],[item_key]],GDList,0)-ABS(SUMIFS(IsQList,IsIList,Table_ExternalData_17[[#This Row],[item_key]],IsDList,0))</f>
        <v>965</v>
      </c>
      <c r="E137" s="10">
        <f>SUMIFS(GQList,GIList,Table_ExternalData_17[[#This Row],[item_key]],GTList,Table_ExternalData_17[[#Headers],[GRN]],GDList,"&lt;&gt;"&amp;0)</f>
        <v>0</v>
      </c>
      <c r="F137" s="10">
        <f>SUMIFS(GQList,GIList,Table_ExternalData_17[[#This Row],[item_key]],GTList,Table_ExternalData_17[[#Headers],[VSTR]],GDList,"&lt;&gt;"&amp;0)</f>
        <v>0</v>
      </c>
      <c r="G137" s="10">
        <f>SUMIFS(GQList,GIList,Table_ExternalData_17[[#This Row],[item_key]],GTList,Table_ExternalData_17[[#Headers],[SR]],GDList,"&lt;&gt;"&amp;0)</f>
        <v>0</v>
      </c>
      <c r="H137" s="10">
        <f>SUMIFS(GQList,GIList,Table_ExternalData_17[[#This Row],[item_key]],GTList,Table_ExternalData_17[[#Headers],[TR]],GDList,"&lt;&gt;"&amp;0)</f>
        <v>0</v>
      </c>
      <c r="I137" s="10">
        <f>SUMIFS(GQList,GIList,Table_ExternalData_17[[#This Row],[item_key]],GTList,Table_ExternalData_17[[#Headers],[RCA]],GDList,"&lt;&gt;"&amp;0)</f>
        <v>0</v>
      </c>
      <c r="J137" s="10">
        <f>SUM(Table_ExternalData_17[[#This Row],[GRN]]+Table_ExternalData_17[[#This Row],[VSTR]]+Table_ExternalData_17[[#This Row],[SR]]+Table_ExternalData_17[[#This Row],[TR]]+Table_ExternalData_17[[#This Row],[RCA]])</f>
        <v>0</v>
      </c>
      <c r="K137" s="10">
        <f>SUMIFS(IsQList,IsIList,Table_ExternalData_17[[#This Row],[item_key]],IsITypeList,Table_ExternalData_17[[#Headers],[R/P]],IsDList,"&lt;&gt;"&amp;0)</f>
        <v>0</v>
      </c>
      <c r="L137" s="10">
        <f>SUMIFS(IsQList,IsIList,Table_ExternalData_17[[#This Row],[item_key]],IsITypeList,Table_ExternalData_17[[#Headers],[CST]],IsDList,"&lt;&gt;"&amp;0)</f>
        <v>0</v>
      </c>
      <c r="M137" s="10">
        <f>SUMIFS(IsQList,IsIList,Table_ExternalData_15[[#This Row],[item_key]],IsITypeList,Table_ExternalData_17[[#Headers],[S/I]],IsDList,"&lt;&gt;"&amp;0)</f>
        <v>14</v>
      </c>
      <c r="N137" s="10">
        <f>SUMIFS(IsQList,IsIList,Table_ExternalData_15[[#This Row],[item_key]],IsITypeList,Table_ExternalData_17[[#Headers],[VST]],IsDList,"&lt;&gt;"&amp;0)</f>
        <v>0</v>
      </c>
      <c r="O137" s="10">
        <f>ABS(SUMIFS(IsQList,IsIList,Table_ExternalData_17[[#This Row],[item_key]],IsITypeList,Table_ExternalData_17[[#Headers],[RTN]],IsDList,"&lt;&gt;"&amp;0))</f>
        <v>0</v>
      </c>
      <c r="P137" s="10">
        <f>SUM(Table_ExternalData_17[[#This Row],[R/P]:[RTN]])</f>
        <v>14</v>
      </c>
      <c r="Q137" s="10">
        <f>SUM((Table_ExternalData_17[[#This Row],[Opening]]+Table_ExternalData_17[[#This Row],[Total Receipt]])-ABS(Table_ExternalData_17[[#This Row],[Total Issue]]))</f>
        <v>951</v>
      </c>
    </row>
    <row r="138" spans="1:17">
      <c r="A138" s="1" t="s">
        <v>517</v>
      </c>
      <c r="B138" s="1" t="s">
        <v>1290</v>
      </c>
      <c r="C138" s="1" t="s">
        <v>1291</v>
      </c>
      <c r="D138" s="10">
        <f>SUMIFS(OPBQList,OPBIList,Table_ExternalData_17[[#This Row],[item_key]])+SUMIFS(GQList,GIList,Table_ExternalData_17[[#This Row],[item_key]],GDList,0)-ABS(SUMIFS(IsQList,IsIList,Table_ExternalData_17[[#This Row],[item_key]],IsDList,0))</f>
        <v>122</v>
      </c>
      <c r="E138" s="10">
        <f>SUMIFS(GQList,GIList,Table_ExternalData_17[[#This Row],[item_key]],GTList,Table_ExternalData_17[[#Headers],[GRN]],GDList,"&lt;&gt;"&amp;0)</f>
        <v>0</v>
      </c>
      <c r="F138" s="10">
        <f>SUMIFS(GQList,GIList,Table_ExternalData_17[[#This Row],[item_key]],GTList,Table_ExternalData_17[[#Headers],[VSTR]],GDList,"&lt;&gt;"&amp;0)</f>
        <v>0</v>
      </c>
      <c r="G138" s="10">
        <f>SUMIFS(GQList,GIList,Table_ExternalData_17[[#This Row],[item_key]],GTList,Table_ExternalData_17[[#Headers],[SR]],GDList,"&lt;&gt;"&amp;0)</f>
        <v>0</v>
      </c>
      <c r="H138" s="10">
        <f>SUMIFS(GQList,GIList,Table_ExternalData_17[[#This Row],[item_key]],GTList,Table_ExternalData_17[[#Headers],[TR]],GDList,"&lt;&gt;"&amp;0)</f>
        <v>0</v>
      </c>
      <c r="I138" s="10">
        <f>SUMIFS(GQList,GIList,Table_ExternalData_17[[#This Row],[item_key]],GTList,Table_ExternalData_17[[#Headers],[RCA]],GDList,"&lt;&gt;"&amp;0)</f>
        <v>0</v>
      </c>
      <c r="J138" s="10">
        <f>SUM(Table_ExternalData_17[[#This Row],[GRN]]+Table_ExternalData_17[[#This Row],[VSTR]]+Table_ExternalData_17[[#This Row],[SR]]+Table_ExternalData_17[[#This Row],[TR]]+Table_ExternalData_17[[#This Row],[RCA]])</f>
        <v>0</v>
      </c>
      <c r="K138" s="10">
        <f>SUMIFS(IsQList,IsIList,Table_ExternalData_17[[#This Row],[item_key]],IsITypeList,Table_ExternalData_17[[#Headers],[R/P]],IsDList,"&lt;&gt;"&amp;0)</f>
        <v>0</v>
      </c>
      <c r="L138" s="10">
        <f>SUMIFS(IsQList,IsIList,Table_ExternalData_17[[#This Row],[item_key]],IsITypeList,Table_ExternalData_17[[#Headers],[CST]],IsDList,"&lt;&gt;"&amp;0)</f>
        <v>0</v>
      </c>
      <c r="M138" s="10">
        <f>SUMIFS(IsQList,IsIList,Table_ExternalData_15[[#This Row],[item_key]],IsITypeList,Table_ExternalData_17[[#Headers],[S/I]],IsDList,"&lt;&gt;"&amp;0)</f>
        <v>14</v>
      </c>
      <c r="N138" s="10">
        <f>SUMIFS(IsQList,IsIList,Table_ExternalData_15[[#This Row],[item_key]],IsITypeList,Table_ExternalData_17[[#Headers],[VST]],IsDList,"&lt;&gt;"&amp;0)</f>
        <v>0</v>
      </c>
      <c r="O138" s="10">
        <f>ABS(SUMIFS(IsQList,IsIList,Table_ExternalData_17[[#This Row],[item_key]],IsITypeList,Table_ExternalData_17[[#Headers],[RTN]],IsDList,"&lt;&gt;"&amp;0))</f>
        <v>0</v>
      </c>
      <c r="P138" s="10">
        <f>SUM(Table_ExternalData_17[[#This Row],[R/P]:[RTN]])</f>
        <v>14</v>
      </c>
      <c r="Q138" s="10">
        <f>SUM((Table_ExternalData_17[[#This Row],[Opening]]+Table_ExternalData_17[[#This Row],[Total Receipt]])-ABS(Table_ExternalData_17[[#This Row],[Total Issue]]))</f>
        <v>108</v>
      </c>
    </row>
    <row r="139" spans="1:17">
      <c r="A139" s="1" t="s">
        <v>518</v>
      </c>
      <c r="B139" s="1" t="s">
        <v>1292</v>
      </c>
      <c r="C139" s="1" t="s">
        <v>1293</v>
      </c>
      <c r="D139" s="10">
        <f>SUMIFS(OPBQList,OPBIList,Table_ExternalData_17[[#This Row],[item_key]])+SUMIFS(GQList,GIList,Table_ExternalData_17[[#This Row],[item_key]],GDList,0)-ABS(SUMIFS(IsQList,IsIList,Table_ExternalData_17[[#This Row],[item_key]],IsDList,0))</f>
        <v>80</v>
      </c>
      <c r="E139" s="10">
        <f>SUMIFS(GQList,GIList,Table_ExternalData_17[[#This Row],[item_key]],GTList,Table_ExternalData_17[[#Headers],[GRN]],GDList,"&lt;&gt;"&amp;0)</f>
        <v>0</v>
      </c>
      <c r="F139" s="10">
        <f>SUMIFS(GQList,GIList,Table_ExternalData_17[[#This Row],[item_key]],GTList,Table_ExternalData_17[[#Headers],[VSTR]],GDList,"&lt;&gt;"&amp;0)</f>
        <v>0</v>
      </c>
      <c r="G139" s="10">
        <f>SUMIFS(GQList,GIList,Table_ExternalData_17[[#This Row],[item_key]],GTList,Table_ExternalData_17[[#Headers],[SR]],GDList,"&lt;&gt;"&amp;0)</f>
        <v>0</v>
      </c>
      <c r="H139" s="10">
        <f>SUMIFS(GQList,GIList,Table_ExternalData_17[[#This Row],[item_key]],GTList,Table_ExternalData_17[[#Headers],[TR]],GDList,"&lt;&gt;"&amp;0)</f>
        <v>0</v>
      </c>
      <c r="I139" s="10">
        <f>SUMIFS(GQList,GIList,Table_ExternalData_17[[#This Row],[item_key]],GTList,Table_ExternalData_17[[#Headers],[RCA]],GDList,"&lt;&gt;"&amp;0)</f>
        <v>0</v>
      </c>
      <c r="J139" s="10">
        <f>SUM(Table_ExternalData_17[[#This Row],[GRN]]+Table_ExternalData_17[[#This Row],[VSTR]]+Table_ExternalData_17[[#This Row],[SR]]+Table_ExternalData_17[[#This Row],[TR]]+Table_ExternalData_17[[#This Row],[RCA]])</f>
        <v>0</v>
      </c>
      <c r="K139" s="10">
        <f>SUMIFS(IsQList,IsIList,Table_ExternalData_17[[#This Row],[item_key]],IsITypeList,Table_ExternalData_17[[#Headers],[R/P]],IsDList,"&lt;&gt;"&amp;0)</f>
        <v>0</v>
      </c>
      <c r="L139" s="10">
        <f>SUMIFS(IsQList,IsIList,Table_ExternalData_17[[#This Row],[item_key]],IsITypeList,Table_ExternalData_17[[#Headers],[CST]],IsDList,"&lt;&gt;"&amp;0)</f>
        <v>0</v>
      </c>
      <c r="M139" s="10">
        <f>SUMIFS(IsQList,IsIList,Table_ExternalData_15[[#This Row],[item_key]],IsITypeList,Table_ExternalData_17[[#Headers],[S/I]],IsDList,"&lt;&gt;"&amp;0)</f>
        <v>14</v>
      </c>
      <c r="N139" s="10">
        <f>SUMIFS(IsQList,IsIList,Table_ExternalData_15[[#This Row],[item_key]],IsITypeList,Table_ExternalData_17[[#Headers],[VST]],IsDList,"&lt;&gt;"&amp;0)</f>
        <v>0</v>
      </c>
      <c r="O139" s="10">
        <f>ABS(SUMIFS(IsQList,IsIList,Table_ExternalData_17[[#This Row],[item_key]],IsITypeList,Table_ExternalData_17[[#Headers],[RTN]],IsDList,"&lt;&gt;"&amp;0))</f>
        <v>0</v>
      </c>
      <c r="P139" s="10">
        <f>SUM(Table_ExternalData_17[[#This Row],[R/P]:[RTN]])</f>
        <v>14</v>
      </c>
      <c r="Q139" s="10">
        <f>SUM((Table_ExternalData_17[[#This Row],[Opening]]+Table_ExternalData_17[[#This Row],[Total Receipt]])-ABS(Table_ExternalData_17[[#This Row],[Total Issue]]))</f>
        <v>66</v>
      </c>
    </row>
    <row r="140" spans="1:17">
      <c r="A140" s="1" t="s">
        <v>519</v>
      </c>
      <c r="B140" s="1" t="s">
        <v>1294</v>
      </c>
      <c r="C140" s="1" t="s">
        <v>1295</v>
      </c>
      <c r="D140" s="10">
        <f>SUMIFS(OPBQList,OPBIList,Table_ExternalData_17[[#This Row],[item_key]])+SUMIFS(GQList,GIList,Table_ExternalData_17[[#This Row],[item_key]],GDList,0)-ABS(SUMIFS(IsQList,IsIList,Table_ExternalData_17[[#This Row],[item_key]],IsDList,0))</f>
        <v>302</v>
      </c>
      <c r="E140" s="10">
        <f>SUMIFS(GQList,GIList,Table_ExternalData_17[[#This Row],[item_key]],GTList,Table_ExternalData_17[[#Headers],[GRN]],GDList,"&lt;&gt;"&amp;0)</f>
        <v>0</v>
      </c>
      <c r="F140" s="10">
        <f>SUMIFS(GQList,GIList,Table_ExternalData_17[[#This Row],[item_key]],GTList,Table_ExternalData_17[[#Headers],[VSTR]],GDList,"&lt;&gt;"&amp;0)</f>
        <v>0</v>
      </c>
      <c r="G140" s="10">
        <f>SUMIFS(GQList,GIList,Table_ExternalData_17[[#This Row],[item_key]],GTList,Table_ExternalData_17[[#Headers],[SR]],GDList,"&lt;&gt;"&amp;0)</f>
        <v>0</v>
      </c>
      <c r="H140" s="10">
        <f>SUMIFS(GQList,GIList,Table_ExternalData_17[[#This Row],[item_key]],GTList,Table_ExternalData_17[[#Headers],[TR]],GDList,"&lt;&gt;"&amp;0)</f>
        <v>0</v>
      </c>
      <c r="I140" s="10">
        <f>SUMIFS(GQList,GIList,Table_ExternalData_17[[#This Row],[item_key]],GTList,Table_ExternalData_17[[#Headers],[RCA]],GDList,"&lt;&gt;"&amp;0)</f>
        <v>0</v>
      </c>
      <c r="J140" s="10">
        <f>SUM(Table_ExternalData_17[[#This Row],[GRN]]+Table_ExternalData_17[[#This Row],[VSTR]]+Table_ExternalData_17[[#This Row],[SR]]+Table_ExternalData_17[[#This Row],[TR]]+Table_ExternalData_17[[#This Row],[RCA]])</f>
        <v>0</v>
      </c>
      <c r="K140" s="10">
        <f>SUMIFS(IsQList,IsIList,Table_ExternalData_17[[#This Row],[item_key]],IsITypeList,Table_ExternalData_17[[#Headers],[R/P]],IsDList,"&lt;&gt;"&amp;0)</f>
        <v>0</v>
      </c>
      <c r="L140" s="10">
        <f>SUMIFS(IsQList,IsIList,Table_ExternalData_17[[#This Row],[item_key]],IsITypeList,Table_ExternalData_17[[#Headers],[CST]],IsDList,"&lt;&gt;"&amp;0)</f>
        <v>0</v>
      </c>
      <c r="M140" s="10">
        <f>SUMIFS(IsQList,IsIList,Table_ExternalData_15[[#This Row],[item_key]],IsITypeList,Table_ExternalData_17[[#Headers],[S/I]],IsDList,"&lt;&gt;"&amp;0)</f>
        <v>14</v>
      </c>
      <c r="N140" s="10">
        <f>SUMIFS(IsQList,IsIList,Table_ExternalData_15[[#This Row],[item_key]],IsITypeList,Table_ExternalData_17[[#Headers],[VST]],IsDList,"&lt;&gt;"&amp;0)</f>
        <v>0</v>
      </c>
      <c r="O140" s="10">
        <f>ABS(SUMIFS(IsQList,IsIList,Table_ExternalData_17[[#This Row],[item_key]],IsITypeList,Table_ExternalData_17[[#Headers],[RTN]],IsDList,"&lt;&gt;"&amp;0))</f>
        <v>0</v>
      </c>
      <c r="P140" s="10">
        <f>SUM(Table_ExternalData_17[[#This Row],[R/P]:[RTN]])</f>
        <v>14</v>
      </c>
      <c r="Q140" s="10">
        <f>SUM((Table_ExternalData_17[[#This Row],[Opening]]+Table_ExternalData_17[[#This Row],[Total Receipt]])-ABS(Table_ExternalData_17[[#This Row],[Total Issue]]))</f>
        <v>288</v>
      </c>
    </row>
    <row r="141" spans="1:17">
      <c r="A141" s="1" t="s">
        <v>1743</v>
      </c>
      <c r="B141" s="1" t="s">
        <v>2559</v>
      </c>
      <c r="C141" s="1" t="s">
        <v>2560</v>
      </c>
      <c r="D141" s="10">
        <f>SUMIFS(OPBQList,OPBIList,Table_ExternalData_17[[#This Row],[item_key]])+SUMIFS(GQList,GIList,Table_ExternalData_17[[#This Row],[item_key]],GDList,0)-ABS(SUMIFS(IsQList,IsIList,Table_ExternalData_17[[#This Row],[item_key]],IsDList,0))</f>
        <v>2680</v>
      </c>
      <c r="E141" s="10">
        <f>SUMIFS(GQList,GIList,Table_ExternalData_17[[#This Row],[item_key]],GTList,Table_ExternalData_17[[#Headers],[GRN]],GDList,"&lt;&gt;"&amp;0)</f>
        <v>0</v>
      </c>
      <c r="F141" s="10">
        <f>SUMIFS(GQList,GIList,Table_ExternalData_17[[#This Row],[item_key]],GTList,Table_ExternalData_17[[#Headers],[VSTR]],GDList,"&lt;&gt;"&amp;0)</f>
        <v>0</v>
      </c>
      <c r="G141" s="10">
        <f>SUMIFS(GQList,GIList,Table_ExternalData_17[[#This Row],[item_key]],GTList,Table_ExternalData_17[[#Headers],[SR]],GDList,"&lt;&gt;"&amp;0)</f>
        <v>0</v>
      </c>
      <c r="H141" s="10">
        <f>SUMIFS(GQList,GIList,Table_ExternalData_17[[#This Row],[item_key]],GTList,Table_ExternalData_17[[#Headers],[TR]],GDList,"&lt;&gt;"&amp;0)</f>
        <v>0</v>
      </c>
      <c r="I141" s="10">
        <f>SUMIFS(GQList,GIList,Table_ExternalData_17[[#This Row],[item_key]],GTList,Table_ExternalData_17[[#Headers],[RCA]],GDList,"&lt;&gt;"&amp;0)</f>
        <v>0</v>
      </c>
      <c r="J141" s="10">
        <f>SUM(Table_ExternalData_17[[#This Row],[GRN]]+Table_ExternalData_17[[#This Row],[VSTR]]+Table_ExternalData_17[[#This Row],[SR]]+Table_ExternalData_17[[#This Row],[TR]]+Table_ExternalData_17[[#This Row],[RCA]])</f>
        <v>0</v>
      </c>
      <c r="K141" s="10">
        <f>SUMIFS(IsQList,IsIList,Table_ExternalData_17[[#This Row],[item_key]],IsITypeList,Table_ExternalData_17[[#Headers],[R/P]],IsDList,"&lt;&gt;"&amp;0)</f>
        <v>0</v>
      </c>
      <c r="L141" s="10">
        <f>SUMIFS(IsQList,IsIList,Table_ExternalData_17[[#This Row],[item_key]],IsITypeList,Table_ExternalData_17[[#Headers],[CST]],IsDList,"&lt;&gt;"&amp;0)</f>
        <v>0</v>
      </c>
      <c r="M141" s="10">
        <f>SUMIFS(IsQList,IsIList,Table_ExternalData_15[[#This Row],[item_key]],IsITypeList,Table_ExternalData_17[[#Headers],[S/I]],IsDList,"&lt;&gt;"&amp;0)</f>
        <v>90</v>
      </c>
      <c r="N141" s="10">
        <f>SUMIFS(IsQList,IsIList,Table_ExternalData_15[[#This Row],[item_key]],IsITypeList,Table_ExternalData_17[[#Headers],[VST]],IsDList,"&lt;&gt;"&amp;0)</f>
        <v>0</v>
      </c>
      <c r="O141" s="10">
        <f>ABS(SUMIFS(IsQList,IsIList,Table_ExternalData_17[[#This Row],[item_key]],IsITypeList,Table_ExternalData_17[[#Headers],[RTN]],IsDList,"&lt;&gt;"&amp;0))</f>
        <v>0</v>
      </c>
      <c r="P141" s="10">
        <f>SUM(Table_ExternalData_17[[#This Row],[R/P]:[RTN]])</f>
        <v>90</v>
      </c>
      <c r="Q141" s="10">
        <f>SUM((Table_ExternalData_17[[#This Row],[Opening]]+Table_ExternalData_17[[#This Row],[Total Receipt]])-ABS(Table_ExternalData_17[[#This Row],[Total Issue]]))</f>
        <v>2590</v>
      </c>
    </row>
    <row r="142" spans="1:17">
      <c r="A142" s="1" t="s">
        <v>520</v>
      </c>
      <c r="B142" s="1" t="s">
        <v>2561</v>
      </c>
      <c r="C142" s="1" t="s">
        <v>2562</v>
      </c>
      <c r="D142" s="10">
        <f>SUMIFS(OPBQList,OPBIList,Table_ExternalData_17[[#This Row],[item_key]])+SUMIFS(GQList,GIList,Table_ExternalData_17[[#This Row],[item_key]],GDList,0)-ABS(SUMIFS(IsQList,IsIList,Table_ExternalData_17[[#This Row],[item_key]],IsDList,0))</f>
        <v>191</v>
      </c>
      <c r="E142" s="10">
        <f>SUMIFS(GQList,GIList,Table_ExternalData_17[[#This Row],[item_key]],GTList,Table_ExternalData_17[[#Headers],[GRN]],GDList,"&lt;&gt;"&amp;0)</f>
        <v>100</v>
      </c>
      <c r="F142" s="10">
        <f>SUMIFS(GQList,GIList,Table_ExternalData_17[[#This Row],[item_key]],GTList,Table_ExternalData_17[[#Headers],[VSTR]],GDList,"&lt;&gt;"&amp;0)</f>
        <v>0</v>
      </c>
      <c r="G142" s="10">
        <f>SUMIFS(GQList,GIList,Table_ExternalData_17[[#This Row],[item_key]],GTList,Table_ExternalData_17[[#Headers],[SR]],GDList,"&lt;&gt;"&amp;0)</f>
        <v>0</v>
      </c>
      <c r="H142" s="10">
        <f>SUMIFS(GQList,GIList,Table_ExternalData_17[[#This Row],[item_key]],GTList,Table_ExternalData_17[[#Headers],[TR]],GDList,"&lt;&gt;"&amp;0)</f>
        <v>0</v>
      </c>
      <c r="I142" s="10">
        <f>SUMIFS(GQList,GIList,Table_ExternalData_17[[#This Row],[item_key]],GTList,Table_ExternalData_17[[#Headers],[RCA]],GDList,"&lt;&gt;"&amp;0)</f>
        <v>0</v>
      </c>
      <c r="J142" s="10">
        <f>SUM(Table_ExternalData_17[[#This Row],[GRN]]+Table_ExternalData_17[[#This Row],[VSTR]]+Table_ExternalData_17[[#This Row],[SR]]+Table_ExternalData_17[[#This Row],[TR]]+Table_ExternalData_17[[#This Row],[RCA]])</f>
        <v>100</v>
      </c>
      <c r="K142" s="10">
        <f>SUMIFS(IsQList,IsIList,Table_ExternalData_17[[#This Row],[item_key]],IsITypeList,Table_ExternalData_17[[#Headers],[R/P]],IsDList,"&lt;&gt;"&amp;0)</f>
        <v>0</v>
      </c>
      <c r="L142" s="10">
        <f>SUMIFS(IsQList,IsIList,Table_ExternalData_17[[#This Row],[item_key]],IsITypeList,Table_ExternalData_17[[#Headers],[CST]],IsDList,"&lt;&gt;"&amp;0)</f>
        <v>0</v>
      </c>
      <c r="M142" s="10">
        <f>SUMIFS(IsQList,IsIList,Table_ExternalData_15[[#This Row],[item_key]],IsITypeList,Table_ExternalData_17[[#Headers],[S/I]],IsDList,"&lt;&gt;"&amp;0)</f>
        <v>57</v>
      </c>
      <c r="N142" s="10">
        <f>SUMIFS(IsQList,IsIList,Table_ExternalData_15[[#This Row],[item_key]],IsITypeList,Table_ExternalData_17[[#Headers],[VST]],IsDList,"&lt;&gt;"&amp;0)</f>
        <v>0</v>
      </c>
      <c r="O142" s="10">
        <f>ABS(SUMIFS(IsQList,IsIList,Table_ExternalData_17[[#This Row],[item_key]],IsITypeList,Table_ExternalData_17[[#Headers],[RTN]],IsDList,"&lt;&gt;"&amp;0))</f>
        <v>0</v>
      </c>
      <c r="P142" s="10">
        <f>SUM(Table_ExternalData_17[[#This Row],[R/P]:[RTN]])</f>
        <v>57</v>
      </c>
      <c r="Q142" s="10">
        <f>SUM((Table_ExternalData_17[[#This Row],[Opening]]+Table_ExternalData_17[[#This Row],[Total Receipt]])-ABS(Table_ExternalData_17[[#This Row],[Total Issue]]))</f>
        <v>234</v>
      </c>
    </row>
    <row r="143" spans="1:17">
      <c r="A143" s="1" t="s">
        <v>523</v>
      </c>
      <c r="B143" s="1" t="s">
        <v>2563</v>
      </c>
      <c r="C143" s="1" t="s">
        <v>2564</v>
      </c>
      <c r="D143" s="10">
        <f>SUMIFS(OPBQList,OPBIList,Table_ExternalData_17[[#This Row],[item_key]])+SUMIFS(GQList,GIList,Table_ExternalData_17[[#This Row],[item_key]],GDList,0)-ABS(SUMIFS(IsQList,IsIList,Table_ExternalData_17[[#This Row],[item_key]],IsDList,0))</f>
        <v>195</v>
      </c>
      <c r="E143" s="10">
        <f>SUMIFS(GQList,GIList,Table_ExternalData_17[[#This Row],[item_key]],GTList,Table_ExternalData_17[[#Headers],[GRN]],GDList,"&lt;&gt;"&amp;0)</f>
        <v>0</v>
      </c>
      <c r="F143" s="10">
        <f>SUMIFS(GQList,GIList,Table_ExternalData_17[[#This Row],[item_key]],GTList,Table_ExternalData_17[[#Headers],[VSTR]],GDList,"&lt;&gt;"&amp;0)</f>
        <v>0</v>
      </c>
      <c r="G143" s="10">
        <f>SUMIFS(GQList,GIList,Table_ExternalData_17[[#This Row],[item_key]],GTList,Table_ExternalData_17[[#Headers],[SR]],GDList,"&lt;&gt;"&amp;0)</f>
        <v>0</v>
      </c>
      <c r="H143" s="10">
        <f>SUMIFS(GQList,GIList,Table_ExternalData_17[[#This Row],[item_key]],GTList,Table_ExternalData_17[[#Headers],[TR]],GDList,"&lt;&gt;"&amp;0)</f>
        <v>0</v>
      </c>
      <c r="I143" s="10">
        <f>SUMIFS(GQList,GIList,Table_ExternalData_17[[#This Row],[item_key]],GTList,Table_ExternalData_17[[#Headers],[RCA]],GDList,"&lt;&gt;"&amp;0)</f>
        <v>0</v>
      </c>
      <c r="J143" s="10">
        <f>SUM(Table_ExternalData_17[[#This Row],[GRN]]+Table_ExternalData_17[[#This Row],[VSTR]]+Table_ExternalData_17[[#This Row],[SR]]+Table_ExternalData_17[[#This Row],[TR]]+Table_ExternalData_17[[#This Row],[RCA]])</f>
        <v>0</v>
      </c>
      <c r="K143" s="10">
        <f>SUMIFS(IsQList,IsIList,Table_ExternalData_17[[#This Row],[item_key]],IsITypeList,Table_ExternalData_17[[#Headers],[R/P]],IsDList,"&lt;&gt;"&amp;0)</f>
        <v>0</v>
      </c>
      <c r="L143" s="10">
        <f>SUMIFS(IsQList,IsIList,Table_ExternalData_17[[#This Row],[item_key]],IsITypeList,Table_ExternalData_17[[#Headers],[CST]],IsDList,"&lt;&gt;"&amp;0)</f>
        <v>0</v>
      </c>
      <c r="M143" s="10">
        <f>SUMIFS(IsQList,IsIList,Table_ExternalData_15[[#This Row],[item_key]],IsITypeList,Table_ExternalData_17[[#Headers],[S/I]],IsDList,"&lt;&gt;"&amp;0)</f>
        <v>0</v>
      </c>
      <c r="N143" s="10">
        <f>SUMIFS(IsQList,IsIList,Table_ExternalData_15[[#This Row],[item_key]],IsITypeList,Table_ExternalData_17[[#Headers],[VST]],IsDList,"&lt;&gt;"&amp;0)</f>
        <v>0</v>
      </c>
      <c r="O143" s="10">
        <f>ABS(SUMIFS(IsQList,IsIList,Table_ExternalData_17[[#This Row],[item_key]],IsITypeList,Table_ExternalData_17[[#Headers],[RTN]],IsDList,"&lt;&gt;"&amp;0))</f>
        <v>0</v>
      </c>
      <c r="P143" s="10">
        <f>SUM(Table_ExternalData_17[[#This Row],[R/P]:[RTN]])</f>
        <v>0</v>
      </c>
      <c r="Q143" s="10">
        <f>SUM((Table_ExternalData_17[[#This Row],[Opening]]+Table_ExternalData_17[[#This Row],[Total Receipt]])-ABS(Table_ExternalData_17[[#This Row],[Total Issue]]))</f>
        <v>195</v>
      </c>
    </row>
    <row r="144" spans="1:17">
      <c r="A144" s="1" t="s">
        <v>524</v>
      </c>
      <c r="B144" s="1" t="s">
        <v>2565</v>
      </c>
      <c r="C144" s="1" t="s">
        <v>2564</v>
      </c>
      <c r="D144" s="10">
        <f>SUMIFS(OPBQList,OPBIList,Table_ExternalData_17[[#This Row],[item_key]])+SUMIFS(GQList,GIList,Table_ExternalData_17[[#This Row],[item_key]],GDList,0)-ABS(SUMIFS(IsQList,IsIList,Table_ExternalData_17[[#This Row],[item_key]],IsDList,0))</f>
        <v>22</v>
      </c>
      <c r="E144" s="10">
        <f>SUMIFS(GQList,GIList,Table_ExternalData_17[[#This Row],[item_key]],GTList,Table_ExternalData_17[[#Headers],[GRN]],GDList,"&lt;&gt;"&amp;0)</f>
        <v>0</v>
      </c>
      <c r="F144" s="10">
        <f>SUMIFS(GQList,GIList,Table_ExternalData_17[[#This Row],[item_key]],GTList,Table_ExternalData_17[[#Headers],[VSTR]],GDList,"&lt;&gt;"&amp;0)</f>
        <v>0</v>
      </c>
      <c r="G144" s="10">
        <f>SUMIFS(GQList,GIList,Table_ExternalData_17[[#This Row],[item_key]],GTList,Table_ExternalData_17[[#Headers],[SR]],GDList,"&lt;&gt;"&amp;0)</f>
        <v>0</v>
      </c>
      <c r="H144" s="10">
        <f>SUMIFS(GQList,GIList,Table_ExternalData_17[[#This Row],[item_key]],GTList,Table_ExternalData_17[[#Headers],[TR]],GDList,"&lt;&gt;"&amp;0)</f>
        <v>0</v>
      </c>
      <c r="I144" s="10">
        <f>SUMIFS(GQList,GIList,Table_ExternalData_17[[#This Row],[item_key]],GTList,Table_ExternalData_17[[#Headers],[RCA]],GDList,"&lt;&gt;"&amp;0)</f>
        <v>0</v>
      </c>
      <c r="J144" s="10">
        <f>SUM(Table_ExternalData_17[[#This Row],[GRN]]+Table_ExternalData_17[[#This Row],[VSTR]]+Table_ExternalData_17[[#This Row],[SR]]+Table_ExternalData_17[[#This Row],[TR]]+Table_ExternalData_17[[#This Row],[RCA]])</f>
        <v>0</v>
      </c>
      <c r="K144" s="10">
        <f>SUMIFS(IsQList,IsIList,Table_ExternalData_17[[#This Row],[item_key]],IsITypeList,Table_ExternalData_17[[#Headers],[R/P]],IsDList,"&lt;&gt;"&amp;0)</f>
        <v>0</v>
      </c>
      <c r="L144" s="10">
        <f>SUMIFS(IsQList,IsIList,Table_ExternalData_17[[#This Row],[item_key]],IsITypeList,Table_ExternalData_17[[#Headers],[CST]],IsDList,"&lt;&gt;"&amp;0)</f>
        <v>0</v>
      </c>
      <c r="M144" s="10">
        <f>SUMIFS(IsQList,IsIList,Table_ExternalData_15[[#This Row],[item_key]],IsITypeList,Table_ExternalData_17[[#Headers],[S/I]],IsDList,"&lt;&gt;"&amp;0)</f>
        <v>110</v>
      </c>
      <c r="N144" s="10">
        <f>SUMIFS(IsQList,IsIList,Table_ExternalData_15[[#This Row],[item_key]],IsITypeList,Table_ExternalData_17[[#Headers],[VST]],IsDList,"&lt;&gt;"&amp;0)</f>
        <v>0</v>
      </c>
      <c r="O144" s="10">
        <f>ABS(SUMIFS(IsQList,IsIList,Table_ExternalData_17[[#This Row],[item_key]],IsITypeList,Table_ExternalData_17[[#Headers],[RTN]],IsDList,"&lt;&gt;"&amp;0))</f>
        <v>0</v>
      </c>
      <c r="P144" s="10">
        <f>SUM(Table_ExternalData_17[[#This Row],[R/P]:[RTN]])</f>
        <v>110</v>
      </c>
      <c r="Q144" s="10">
        <f>SUM((Table_ExternalData_17[[#This Row],[Opening]]+Table_ExternalData_17[[#This Row],[Total Receipt]])-ABS(Table_ExternalData_17[[#This Row],[Total Issue]]))</f>
        <v>-88</v>
      </c>
    </row>
    <row r="145" spans="1:17">
      <c r="A145" s="1" t="s">
        <v>528</v>
      </c>
      <c r="B145" s="1" t="s">
        <v>2566</v>
      </c>
      <c r="C145" s="1" t="s">
        <v>2567</v>
      </c>
      <c r="D145" s="10">
        <f>SUMIFS(OPBQList,OPBIList,Table_ExternalData_17[[#This Row],[item_key]])+SUMIFS(GQList,GIList,Table_ExternalData_17[[#This Row],[item_key]],GDList,0)-ABS(SUMIFS(IsQList,IsIList,Table_ExternalData_17[[#This Row],[item_key]],IsDList,0))</f>
        <v>18649</v>
      </c>
      <c r="E145" s="10">
        <f>SUMIFS(GQList,GIList,Table_ExternalData_17[[#This Row],[item_key]],GTList,Table_ExternalData_17[[#Headers],[GRN]],GDList,"&lt;&gt;"&amp;0)</f>
        <v>0</v>
      </c>
      <c r="F145" s="10">
        <f>SUMIFS(GQList,GIList,Table_ExternalData_17[[#This Row],[item_key]],GTList,Table_ExternalData_17[[#Headers],[VSTR]],GDList,"&lt;&gt;"&amp;0)</f>
        <v>0</v>
      </c>
      <c r="G145" s="10">
        <f>SUMIFS(GQList,GIList,Table_ExternalData_17[[#This Row],[item_key]],GTList,Table_ExternalData_17[[#Headers],[SR]],GDList,"&lt;&gt;"&amp;0)</f>
        <v>0</v>
      </c>
      <c r="H145" s="10">
        <f>SUMIFS(GQList,GIList,Table_ExternalData_17[[#This Row],[item_key]],GTList,Table_ExternalData_17[[#Headers],[TR]],GDList,"&lt;&gt;"&amp;0)</f>
        <v>0</v>
      </c>
      <c r="I145" s="10">
        <f>SUMIFS(GQList,GIList,Table_ExternalData_17[[#This Row],[item_key]],GTList,Table_ExternalData_17[[#Headers],[RCA]],GDList,"&lt;&gt;"&amp;0)</f>
        <v>0</v>
      </c>
      <c r="J145" s="10">
        <f>SUM(Table_ExternalData_17[[#This Row],[GRN]]+Table_ExternalData_17[[#This Row],[VSTR]]+Table_ExternalData_17[[#This Row],[SR]]+Table_ExternalData_17[[#This Row],[TR]]+Table_ExternalData_17[[#This Row],[RCA]])</f>
        <v>0</v>
      </c>
      <c r="K145" s="10">
        <f>SUMIFS(IsQList,IsIList,Table_ExternalData_17[[#This Row],[item_key]],IsITypeList,Table_ExternalData_17[[#Headers],[R/P]],IsDList,"&lt;&gt;"&amp;0)</f>
        <v>0</v>
      </c>
      <c r="L145" s="10">
        <f>SUMIFS(IsQList,IsIList,Table_ExternalData_17[[#This Row],[item_key]],IsITypeList,Table_ExternalData_17[[#Headers],[CST]],IsDList,"&lt;&gt;"&amp;0)</f>
        <v>0</v>
      </c>
      <c r="M145" s="10">
        <f>SUMIFS(IsQList,IsIList,Table_ExternalData_15[[#This Row],[item_key]],IsITypeList,Table_ExternalData_17[[#Headers],[S/I]],IsDList,"&lt;&gt;"&amp;0)</f>
        <v>0</v>
      </c>
      <c r="N145" s="10">
        <f>SUMIFS(IsQList,IsIList,Table_ExternalData_15[[#This Row],[item_key]],IsITypeList,Table_ExternalData_17[[#Headers],[VST]],IsDList,"&lt;&gt;"&amp;0)</f>
        <v>0</v>
      </c>
      <c r="O145" s="10">
        <f>ABS(SUMIFS(IsQList,IsIList,Table_ExternalData_17[[#This Row],[item_key]],IsITypeList,Table_ExternalData_17[[#Headers],[RTN]],IsDList,"&lt;&gt;"&amp;0))</f>
        <v>0</v>
      </c>
      <c r="P145" s="10">
        <f>SUM(Table_ExternalData_17[[#This Row],[R/P]:[RTN]])</f>
        <v>0</v>
      </c>
      <c r="Q145" s="10">
        <f>SUM((Table_ExternalData_17[[#This Row],[Opening]]+Table_ExternalData_17[[#This Row],[Total Receipt]])-ABS(Table_ExternalData_17[[#This Row],[Total Issue]]))</f>
        <v>18649</v>
      </c>
    </row>
    <row r="146" spans="1:17">
      <c r="A146" s="1" t="s">
        <v>529</v>
      </c>
      <c r="B146" s="1" t="s">
        <v>2568</v>
      </c>
      <c r="C146" s="1" t="s">
        <v>2569</v>
      </c>
      <c r="D146" s="10">
        <f>SUMIFS(OPBQList,OPBIList,Table_ExternalData_17[[#This Row],[item_key]])+SUMIFS(GQList,GIList,Table_ExternalData_17[[#This Row],[item_key]],GDList,0)-ABS(SUMIFS(IsQList,IsIList,Table_ExternalData_17[[#This Row],[item_key]],IsDList,0))</f>
        <v>8371</v>
      </c>
      <c r="E146" s="10">
        <f>SUMIFS(GQList,GIList,Table_ExternalData_17[[#This Row],[item_key]],GTList,Table_ExternalData_17[[#Headers],[GRN]],GDList,"&lt;&gt;"&amp;0)</f>
        <v>0</v>
      </c>
      <c r="F146" s="10">
        <f>SUMIFS(GQList,GIList,Table_ExternalData_17[[#This Row],[item_key]],GTList,Table_ExternalData_17[[#Headers],[VSTR]],GDList,"&lt;&gt;"&amp;0)</f>
        <v>0</v>
      </c>
      <c r="G146" s="10">
        <f>SUMIFS(GQList,GIList,Table_ExternalData_17[[#This Row],[item_key]],GTList,Table_ExternalData_17[[#Headers],[SR]],GDList,"&lt;&gt;"&amp;0)</f>
        <v>0</v>
      </c>
      <c r="H146" s="10">
        <f>SUMIFS(GQList,GIList,Table_ExternalData_17[[#This Row],[item_key]],GTList,Table_ExternalData_17[[#Headers],[TR]],GDList,"&lt;&gt;"&amp;0)</f>
        <v>0</v>
      </c>
      <c r="I146" s="10">
        <f>SUMIFS(GQList,GIList,Table_ExternalData_17[[#This Row],[item_key]],GTList,Table_ExternalData_17[[#Headers],[RCA]],GDList,"&lt;&gt;"&amp;0)</f>
        <v>0</v>
      </c>
      <c r="J146" s="10">
        <f>SUM(Table_ExternalData_17[[#This Row],[GRN]]+Table_ExternalData_17[[#This Row],[VSTR]]+Table_ExternalData_17[[#This Row],[SR]]+Table_ExternalData_17[[#This Row],[TR]]+Table_ExternalData_17[[#This Row],[RCA]])</f>
        <v>0</v>
      </c>
      <c r="K146" s="10">
        <f>SUMIFS(IsQList,IsIList,Table_ExternalData_17[[#This Row],[item_key]],IsITypeList,Table_ExternalData_17[[#Headers],[R/P]],IsDList,"&lt;&gt;"&amp;0)</f>
        <v>0</v>
      </c>
      <c r="L146" s="10">
        <f>SUMIFS(IsQList,IsIList,Table_ExternalData_17[[#This Row],[item_key]],IsITypeList,Table_ExternalData_17[[#Headers],[CST]],IsDList,"&lt;&gt;"&amp;0)</f>
        <v>0</v>
      </c>
      <c r="M146" s="10">
        <f>SUMIFS(IsQList,IsIList,Table_ExternalData_15[[#This Row],[item_key]],IsITypeList,Table_ExternalData_17[[#Headers],[S/I]],IsDList,"&lt;&gt;"&amp;0)</f>
        <v>77</v>
      </c>
      <c r="N146" s="10">
        <f>SUMIFS(IsQList,IsIList,Table_ExternalData_15[[#This Row],[item_key]],IsITypeList,Table_ExternalData_17[[#Headers],[VST]],IsDList,"&lt;&gt;"&amp;0)</f>
        <v>0</v>
      </c>
      <c r="O146" s="10">
        <f>ABS(SUMIFS(IsQList,IsIList,Table_ExternalData_17[[#This Row],[item_key]],IsITypeList,Table_ExternalData_17[[#Headers],[RTN]],IsDList,"&lt;&gt;"&amp;0))</f>
        <v>0</v>
      </c>
      <c r="P146" s="10">
        <f>SUM(Table_ExternalData_17[[#This Row],[R/P]:[RTN]])</f>
        <v>77</v>
      </c>
      <c r="Q146" s="10">
        <f>SUM((Table_ExternalData_17[[#This Row],[Opening]]+Table_ExternalData_17[[#This Row],[Total Receipt]])-ABS(Table_ExternalData_17[[#This Row],[Total Issue]]))</f>
        <v>8294</v>
      </c>
    </row>
    <row r="147" spans="1:17">
      <c r="A147" s="1" t="s">
        <v>530</v>
      </c>
      <c r="B147" s="1" t="s">
        <v>2570</v>
      </c>
      <c r="C147" s="1" t="s">
        <v>2571</v>
      </c>
      <c r="D147" s="10">
        <f>SUMIFS(OPBQList,OPBIList,Table_ExternalData_17[[#This Row],[item_key]])+SUMIFS(GQList,GIList,Table_ExternalData_17[[#This Row],[item_key]],GDList,0)-ABS(SUMIFS(IsQList,IsIList,Table_ExternalData_17[[#This Row],[item_key]],IsDList,0))</f>
        <v>1052</v>
      </c>
      <c r="E147" s="10">
        <f>SUMIFS(GQList,GIList,Table_ExternalData_17[[#This Row],[item_key]],GTList,Table_ExternalData_17[[#Headers],[GRN]],GDList,"&lt;&gt;"&amp;0)</f>
        <v>0</v>
      </c>
      <c r="F147" s="10">
        <f>SUMIFS(GQList,GIList,Table_ExternalData_17[[#This Row],[item_key]],GTList,Table_ExternalData_17[[#Headers],[VSTR]],GDList,"&lt;&gt;"&amp;0)</f>
        <v>0</v>
      </c>
      <c r="G147" s="10">
        <f>SUMIFS(GQList,GIList,Table_ExternalData_17[[#This Row],[item_key]],GTList,Table_ExternalData_17[[#Headers],[SR]],GDList,"&lt;&gt;"&amp;0)</f>
        <v>0</v>
      </c>
      <c r="H147" s="10">
        <f>SUMIFS(GQList,GIList,Table_ExternalData_17[[#This Row],[item_key]],GTList,Table_ExternalData_17[[#Headers],[TR]],GDList,"&lt;&gt;"&amp;0)</f>
        <v>0</v>
      </c>
      <c r="I147" s="10">
        <f>SUMIFS(GQList,GIList,Table_ExternalData_17[[#This Row],[item_key]],GTList,Table_ExternalData_17[[#Headers],[RCA]],GDList,"&lt;&gt;"&amp;0)</f>
        <v>0</v>
      </c>
      <c r="J147" s="10">
        <f>SUM(Table_ExternalData_17[[#This Row],[GRN]]+Table_ExternalData_17[[#This Row],[VSTR]]+Table_ExternalData_17[[#This Row],[SR]]+Table_ExternalData_17[[#This Row],[TR]]+Table_ExternalData_17[[#This Row],[RCA]])</f>
        <v>0</v>
      </c>
      <c r="K147" s="10">
        <f>SUMIFS(IsQList,IsIList,Table_ExternalData_17[[#This Row],[item_key]],IsITypeList,Table_ExternalData_17[[#Headers],[R/P]],IsDList,"&lt;&gt;"&amp;0)</f>
        <v>0</v>
      </c>
      <c r="L147" s="10">
        <f>SUMIFS(IsQList,IsIList,Table_ExternalData_17[[#This Row],[item_key]],IsITypeList,Table_ExternalData_17[[#Headers],[CST]],IsDList,"&lt;&gt;"&amp;0)</f>
        <v>0</v>
      </c>
      <c r="M147" s="10">
        <f>SUMIFS(IsQList,IsIList,Table_ExternalData_15[[#This Row],[item_key]],IsITypeList,Table_ExternalData_17[[#Headers],[S/I]],IsDList,"&lt;&gt;"&amp;0)</f>
        <v>22</v>
      </c>
      <c r="N147" s="10">
        <f>SUMIFS(IsQList,IsIList,Table_ExternalData_15[[#This Row],[item_key]],IsITypeList,Table_ExternalData_17[[#Headers],[VST]],IsDList,"&lt;&gt;"&amp;0)</f>
        <v>0</v>
      </c>
      <c r="O147" s="10">
        <f>ABS(SUMIFS(IsQList,IsIList,Table_ExternalData_17[[#This Row],[item_key]],IsITypeList,Table_ExternalData_17[[#Headers],[RTN]],IsDList,"&lt;&gt;"&amp;0))</f>
        <v>0</v>
      </c>
      <c r="P147" s="10">
        <f>SUM(Table_ExternalData_17[[#This Row],[R/P]:[RTN]])</f>
        <v>22</v>
      </c>
      <c r="Q147" s="10">
        <f>SUM((Table_ExternalData_17[[#This Row],[Opening]]+Table_ExternalData_17[[#This Row],[Total Receipt]])-ABS(Table_ExternalData_17[[#This Row],[Total Issue]]))</f>
        <v>1030</v>
      </c>
    </row>
    <row r="148" spans="1:17">
      <c r="A148" s="1" t="s">
        <v>533</v>
      </c>
      <c r="B148" s="1" t="s">
        <v>2387</v>
      </c>
      <c r="C148" s="1" t="s">
        <v>2388</v>
      </c>
      <c r="D148" s="10">
        <f>SUMIFS(OPBQList,OPBIList,Table_ExternalData_17[[#This Row],[item_key]])+SUMIFS(GQList,GIList,Table_ExternalData_17[[#This Row],[item_key]],GDList,0)-ABS(SUMIFS(IsQList,IsIList,Table_ExternalData_17[[#This Row],[item_key]],IsDList,0))</f>
        <v>34</v>
      </c>
      <c r="E148" s="10">
        <f>SUMIFS(GQList,GIList,Table_ExternalData_17[[#This Row],[item_key]],GTList,Table_ExternalData_17[[#Headers],[GRN]],GDList,"&lt;&gt;"&amp;0)</f>
        <v>500</v>
      </c>
      <c r="F148" s="10">
        <f>SUMIFS(GQList,GIList,Table_ExternalData_17[[#This Row],[item_key]],GTList,Table_ExternalData_17[[#Headers],[VSTR]],GDList,"&lt;&gt;"&amp;0)</f>
        <v>0</v>
      </c>
      <c r="G148" s="10">
        <f>SUMIFS(GQList,GIList,Table_ExternalData_17[[#This Row],[item_key]],GTList,Table_ExternalData_17[[#Headers],[SR]],GDList,"&lt;&gt;"&amp;0)</f>
        <v>0</v>
      </c>
      <c r="H148" s="10">
        <f>SUMIFS(GQList,GIList,Table_ExternalData_17[[#This Row],[item_key]],GTList,Table_ExternalData_17[[#Headers],[TR]],GDList,"&lt;&gt;"&amp;0)</f>
        <v>0</v>
      </c>
      <c r="I148" s="10">
        <f>SUMIFS(GQList,GIList,Table_ExternalData_17[[#This Row],[item_key]],GTList,Table_ExternalData_17[[#Headers],[RCA]],GDList,"&lt;&gt;"&amp;0)</f>
        <v>0</v>
      </c>
      <c r="J148" s="10">
        <f>SUM(Table_ExternalData_17[[#This Row],[GRN]]+Table_ExternalData_17[[#This Row],[VSTR]]+Table_ExternalData_17[[#This Row],[SR]]+Table_ExternalData_17[[#This Row],[TR]]+Table_ExternalData_17[[#This Row],[RCA]])</f>
        <v>500</v>
      </c>
      <c r="K148" s="10">
        <f>SUMIFS(IsQList,IsIList,Table_ExternalData_17[[#This Row],[item_key]],IsITypeList,Table_ExternalData_17[[#Headers],[R/P]],IsDList,"&lt;&gt;"&amp;0)</f>
        <v>0</v>
      </c>
      <c r="L148" s="10">
        <f>SUMIFS(IsQList,IsIList,Table_ExternalData_17[[#This Row],[item_key]],IsITypeList,Table_ExternalData_17[[#Headers],[CST]],IsDList,"&lt;&gt;"&amp;0)</f>
        <v>0</v>
      </c>
      <c r="M148" s="10">
        <f>SUMIFS(IsQList,IsIList,Table_ExternalData_15[[#This Row],[item_key]],IsITypeList,Table_ExternalData_17[[#Headers],[S/I]],IsDList,"&lt;&gt;"&amp;0)</f>
        <v>0</v>
      </c>
      <c r="N148" s="10">
        <f>SUMIFS(IsQList,IsIList,Table_ExternalData_15[[#This Row],[item_key]],IsITypeList,Table_ExternalData_17[[#Headers],[VST]],IsDList,"&lt;&gt;"&amp;0)</f>
        <v>0</v>
      </c>
      <c r="O148" s="10">
        <f>ABS(SUMIFS(IsQList,IsIList,Table_ExternalData_17[[#This Row],[item_key]],IsITypeList,Table_ExternalData_17[[#Headers],[RTN]],IsDList,"&lt;&gt;"&amp;0))</f>
        <v>0</v>
      </c>
      <c r="P148" s="10">
        <f>SUM(Table_ExternalData_17[[#This Row],[R/P]:[RTN]])</f>
        <v>0</v>
      </c>
      <c r="Q148" s="10">
        <f>SUM((Table_ExternalData_17[[#This Row],[Opening]]+Table_ExternalData_17[[#This Row],[Total Receipt]])-ABS(Table_ExternalData_17[[#This Row],[Total Issue]]))</f>
        <v>534</v>
      </c>
    </row>
    <row r="149" spans="1:17">
      <c r="A149" s="1" t="s">
        <v>534</v>
      </c>
      <c r="B149" s="1" t="s">
        <v>1296</v>
      </c>
      <c r="C149" s="1" t="s">
        <v>1297</v>
      </c>
      <c r="D149" s="10">
        <f>SUMIFS(OPBQList,OPBIList,Table_ExternalData_17[[#This Row],[item_key]])+SUMIFS(GQList,GIList,Table_ExternalData_17[[#This Row],[item_key]],GDList,0)-ABS(SUMIFS(IsQList,IsIList,Table_ExternalData_17[[#This Row],[item_key]],IsDList,0))</f>
        <v>148</v>
      </c>
      <c r="E149" s="10">
        <f>SUMIFS(GQList,GIList,Table_ExternalData_17[[#This Row],[item_key]],GTList,Table_ExternalData_17[[#Headers],[GRN]],GDList,"&lt;&gt;"&amp;0)</f>
        <v>200</v>
      </c>
      <c r="F149" s="10">
        <f>SUMIFS(GQList,GIList,Table_ExternalData_17[[#This Row],[item_key]],GTList,Table_ExternalData_17[[#Headers],[VSTR]],GDList,"&lt;&gt;"&amp;0)</f>
        <v>0</v>
      </c>
      <c r="G149" s="10">
        <f>SUMIFS(GQList,GIList,Table_ExternalData_17[[#This Row],[item_key]],GTList,Table_ExternalData_17[[#Headers],[SR]],GDList,"&lt;&gt;"&amp;0)</f>
        <v>0</v>
      </c>
      <c r="H149" s="10">
        <f>SUMIFS(GQList,GIList,Table_ExternalData_17[[#This Row],[item_key]],GTList,Table_ExternalData_17[[#Headers],[TR]],GDList,"&lt;&gt;"&amp;0)</f>
        <v>0</v>
      </c>
      <c r="I149" s="10">
        <f>SUMIFS(GQList,GIList,Table_ExternalData_17[[#This Row],[item_key]],GTList,Table_ExternalData_17[[#Headers],[RCA]],GDList,"&lt;&gt;"&amp;0)</f>
        <v>0</v>
      </c>
      <c r="J149" s="10">
        <f>SUM(Table_ExternalData_17[[#This Row],[GRN]]+Table_ExternalData_17[[#This Row],[VSTR]]+Table_ExternalData_17[[#This Row],[SR]]+Table_ExternalData_17[[#This Row],[TR]]+Table_ExternalData_17[[#This Row],[RCA]])</f>
        <v>200</v>
      </c>
      <c r="K149" s="10">
        <f>SUMIFS(IsQList,IsIList,Table_ExternalData_17[[#This Row],[item_key]],IsITypeList,Table_ExternalData_17[[#Headers],[R/P]],IsDList,"&lt;&gt;"&amp;0)</f>
        <v>0</v>
      </c>
      <c r="L149" s="10">
        <f>SUMIFS(IsQList,IsIList,Table_ExternalData_17[[#This Row],[item_key]],IsITypeList,Table_ExternalData_17[[#Headers],[CST]],IsDList,"&lt;&gt;"&amp;0)</f>
        <v>0</v>
      </c>
      <c r="M149" s="10">
        <f>SUMIFS(IsQList,IsIList,Table_ExternalData_15[[#This Row],[item_key]],IsITypeList,Table_ExternalData_17[[#Headers],[S/I]],IsDList,"&lt;&gt;"&amp;0)</f>
        <v>0</v>
      </c>
      <c r="N149" s="10">
        <f>SUMIFS(IsQList,IsIList,Table_ExternalData_15[[#This Row],[item_key]],IsITypeList,Table_ExternalData_17[[#Headers],[VST]],IsDList,"&lt;&gt;"&amp;0)</f>
        <v>0</v>
      </c>
      <c r="O149" s="10">
        <f>ABS(SUMIFS(IsQList,IsIList,Table_ExternalData_17[[#This Row],[item_key]],IsITypeList,Table_ExternalData_17[[#Headers],[RTN]],IsDList,"&lt;&gt;"&amp;0))</f>
        <v>0</v>
      </c>
      <c r="P149" s="10">
        <f>SUM(Table_ExternalData_17[[#This Row],[R/P]:[RTN]])</f>
        <v>0</v>
      </c>
      <c r="Q149" s="10">
        <f>SUM((Table_ExternalData_17[[#This Row],[Opening]]+Table_ExternalData_17[[#This Row],[Total Receipt]])-ABS(Table_ExternalData_17[[#This Row],[Total Issue]]))</f>
        <v>348</v>
      </c>
    </row>
    <row r="150" spans="1:17">
      <c r="A150" s="1" t="s">
        <v>536</v>
      </c>
      <c r="B150" s="1" t="s">
        <v>1298</v>
      </c>
      <c r="C150" s="1" t="s">
        <v>1299</v>
      </c>
      <c r="D150" s="10">
        <f>SUMIFS(OPBQList,OPBIList,Table_ExternalData_17[[#This Row],[item_key]])+SUMIFS(GQList,GIList,Table_ExternalData_17[[#This Row],[item_key]],GDList,0)-ABS(SUMIFS(IsQList,IsIList,Table_ExternalData_17[[#This Row],[item_key]],IsDList,0))</f>
        <v>124</v>
      </c>
      <c r="E150" s="10">
        <f>SUMIFS(GQList,GIList,Table_ExternalData_17[[#This Row],[item_key]],GTList,Table_ExternalData_17[[#Headers],[GRN]],GDList,"&lt;&gt;"&amp;0)</f>
        <v>0</v>
      </c>
      <c r="F150" s="10">
        <f>SUMIFS(GQList,GIList,Table_ExternalData_17[[#This Row],[item_key]],GTList,Table_ExternalData_17[[#Headers],[VSTR]],GDList,"&lt;&gt;"&amp;0)</f>
        <v>0</v>
      </c>
      <c r="G150" s="10">
        <f>SUMIFS(GQList,GIList,Table_ExternalData_17[[#This Row],[item_key]],GTList,Table_ExternalData_17[[#Headers],[SR]],GDList,"&lt;&gt;"&amp;0)</f>
        <v>0</v>
      </c>
      <c r="H150" s="10">
        <f>SUMIFS(GQList,GIList,Table_ExternalData_17[[#This Row],[item_key]],GTList,Table_ExternalData_17[[#Headers],[TR]],GDList,"&lt;&gt;"&amp;0)</f>
        <v>0</v>
      </c>
      <c r="I150" s="10">
        <f>SUMIFS(GQList,GIList,Table_ExternalData_17[[#This Row],[item_key]],GTList,Table_ExternalData_17[[#Headers],[RCA]],GDList,"&lt;&gt;"&amp;0)</f>
        <v>0</v>
      </c>
      <c r="J150" s="10">
        <f>SUM(Table_ExternalData_17[[#This Row],[GRN]]+Table_ExternalData_17[[#This Row],[VSTR]]+Table_ExternalData_17[[#This Row],[SR]]+Table_ExternalData_17[[#This Row],[TR]]+Table_ExternalData_17[[#This Row],[RCA]])</f>
        <v>0</v>
      </c>
      <c r="K150" s="10">
        <f>SUMIFS(IsQList,IsIList,Table_ExternalData_17[[#This Row],[item_key]],IsITypeList,Table_ExternalData_17[[#Headers],[R/P]],IsDList,"&lt;&gt;"&amp;0)</f>
        <v>0</v>
      </c>
      <c r="L150" s="10">
        <f>SUMIFS(IsQList,IsIList,Table_ExternalData_17[[#This Row],[item_key]],IsITypeList,Table_ExternalData_17[[#Headers],[CST]],IsDList,"&lt;&gt;"&amp;0)</f>
        <v>0</v>
      </c>
      <c r="M150" s="10">
        <f>SUMIFS(IsQList,IsIList,Table_ExternalData_15[[#This Row],[item_key]],IsITypeList,Table_ExternalData_17[[#Headers],[S/I]],IsDList,"&lt;&gt;"&amp;0)</f>
        <v>1</v>
      </c>
      <c r="N150" s="10">
        <f>SUMIFS(IsQList,IsIList,Table_ExternalData_15[[#This Row],[item_key]],IsITypeList,Table_ExternalData_17[[#Headers],[VST]],IsDList,"&lt;&gt;"&amp;0)</f>
        <v>0</v>
      </c>
      <c r="O150" s="10">
        <f>ABS(SUMIFS(IsQList,IsIList,Table_ExternalData_17[[#This Row],[item_key]],IsITypeList,Table_ExternalData_17[[#Headers],[RTN]],IsDList,"&lt;&gt;"&amp;0))</f>
        <v>0</v>
      </c>
      <c r="P150" s="10">
        <f>SUM(Table_ExternalData_17[[#This Row],[R/P]:[RTN]])</f>
        <v>1</v>
      </c>
      <c r="Q150" s="10">
        <f>SUM((Table_ExternalData_17[[#This Row],[Opening]]+Table_ExternalData_17[[#This Row],[Total Receipt]])-ABS(Table_ExternalData_17[[#This Row],[Total Issue]]))</f>
        <v>123</v>
      </c>
    </row>
    <row r="151" spans="1:17">
      <c r="A151" s="1" t="s">
        <v>1746</v>
      </c>
      <c r="B151" s="1" t="s">
        <v>2572</v>
      </c>
      <c r="C151" s="1" t="s">
        <v>2573</v>
      </c>
      <c r="D15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51" s="10">
        <f>SUMIFS(GQList,GIList,Table_ExternalData_17[[#This Row],[item_key]],GTList,Table_ExternalData_17[[#Headers],[GRN]],GDList,"&lt;&gt;"&amp;0)</f>
        <v>500</v>
      </c>
      <c r="F151" s="10">
        <f>SUMIFS(GQList,GIList,Table_ExternalData_17[[#This Row],[item_key]],GTList,Table_ExternalData_17[[#Headers],[VSTR]],GDList,"&lt;&gt;"&amp;0)</f>
        <v>0</v>
      </c>
      <c r="G151" s="10">
        <f>SUMIFS(GQList,GIList,Table_ExternalData_17[[#This Row],[item_key]],GTList,Table_ExternalData_17[[#Headers],[SR]],GDList,"&lt;&gt;"&amp;0)</f>
        <v>0</v>
      </c>
      <c r="H151" s="10">
        <f>SUMIFS(GQList,GIList,Table_ExternalData_17[[#This Row],[item_key]],GTList,Table_ExternalData_17[[#Headers],[TR]],GDList,"&lt;&gt;"&amp;0)</f>
        <v>0</v>
      </c>
      <c r="I151" s="10">
        <f>SUMIFS(GQList,GIList,Table_ExternalData_17[[#This Row],[item_key]],GTList,Table_ExternalData_17[[#Headers],[RCA]],GDList,"&lt;&gt;"&amp;0)</f>
        <v>0</v>
      </c>
      <c r="J151" s="10">
        <f>SUM(Table_ExternalData_17[[#This Row],[GRN]]+Table_ExternalData_17[[#This Row],[VSTR]]+Table_ExternalData_17[[#This Row],[SR]]+Table_ExternalData_17[[#This Row],[TR]]+Table_ExternalData_17[[#This Row],[RCA]])</f>
        <v>500</v>
      </c>
      <c r="K151" s="10">
        <f>SUMIFS(IsQList,IsIList,Table_ExternalData_17[[#This Row],[item_key]],IsITypeList,Table_ExternalData_17[[#Headers],[R/P]],IsDList,"&lt;&gt;"&amp;0)</f>
        <v>0</v>
      </c>
      <c r="L151" s="10">
        <f>SUMIFS(IsQList,IsIList,Table_ExternalData_17[[#This Row],[item_key]],IsITypeList,Table_ExternalData_17[[#Headers],[CST]],IsDList,"&lt;&gt;"&amp;0)</f>
        <v>0</v>
      </c>
      <c r="M151" s="10">
        <f>SUMIFS(IsQList,IsIList,Table_ExternalData_15[[#This Row],[item_key]],IsITypeList,Table_ExternalData_17[[#Headers],[S/I]],IsDList,"&lt;&gt;"&amp;0)</f>
        <v>0</v>
      </c>
      <c r="N151" s="10">
        <f>SUMIFS(IsQList,IsIList,Table_ExternalData_15[[#This Row],[item_key]],IsITypeList,Table_ExternalData_17[[#Headers],[VST]],IsDList,"&lt;&gt;"&amp;0)</f>
        <v>0</v>
      </c>
      <c r="O151" s="10">
        <f>ABS(SUMIFS(IsQList,IsIList,Table_ExternalData_17[[#This Row],[item_key]],IsITypeList,Table_ExternalData_17[[#Headers],[RTN]],IsDList,"&lt;&gt;"&amp;0))</f>
        <v>0</v>
      </c>
      <c r="P151" s="10">
        <f>SUM(Table_ExternalData_17[[#This Row],[R/P]:[RTN]])</f>
        <v>0</v>
      </c>
      <c r="Q151" s="10">
        <f>SUM((Table_ExternalData_17[[#This Row],[Opening]]+Table_ExternalData_17[[#This Row],[Total Receipt]])-ABS(Table_ExternalData_17[[#This Row],[Total Issue]]))</f>
        <v>500</v>
      </c>
    </row>
    <row r="152" spans="1:17">
      <c r="A152" s="1" t="s">
        <v>1747</v>
      </c>
      <c r="B152" s="1" t="s">
        <v>2574</v>
      </c>
      <c r="C152" s="1" t="s">
        <v>1423</v>
      </c>
      <c r="D152" s="10">
        <f>SUMIFS(OPBQList,OPBIList,Table_ExternalData_17[[#This Row],[item_key]])+SUMIFS(GQList,GIList,Table_ExternalData_17[[#This Row],[item_key]],GDList,0)-ABS(SUMIFS(IsQList,IsIList,Table_ExternalData_17[[#This Row],[item_key]],IsDList,0))</f>
        <v>671</v>
      </c>
      <c r="E152" s="10">
        <f>SUMIFS(GQList,GIList,Table_ExternalData_17[[#This Row],[item_key]],GTList,Table_ExternalData_17[[#Headers],[GRN]],GDList,"&lt;&gt;"&amp;0)</f>
        <v>0</v>
      </c>
      <c r="F152" s="10">
        <f>SUMIFS(GQList,GIList,Table_ExternalData_17[[#This Row],[item_key]],GTList,Table_ExternalData_17[[#Headers],[VSTR]],GDList,"&lt;&gt;"&amp;0)</f>
        <v>0</v>
      </c>
      <c r="G152" s="10">
        <f>SUMIFS(GQList,GIList,Table_ExternalData_17[[#This Row],[item_key]],GTList,Table_ExternalData_17[[#Headers],[SR]],GDList,"&lt;&gt;"&amp;0)</f>
        <v>0</v>
      </c>
      <c r="H152" s="10">
        <f>SUMIFS(GQList,GIList,Table_ExternalData_17[[#This Row],[item_key]],GTList,Table_ExternalData_17[[#Headers],[TR]],GDList,"&lt;&gt;"&amp;0)</f>
        <v>0</v>
      </c>
      <c r="I152" s="10">
        <f>SUMIFS(GQList,GIList,Table_ExternalData_17[[#This Row],[item_key]],GTList,Table_ExternalData_17[[#Headers],[RCA]],GDList,"&lt;&gt;"&amp;0)</f>
        <v>0</v>
      </c>
      <c r="J152" s="10">
        <f>SUM(Table_ExternalData_17[[#This Row],[GRN]]+Table_ExternalData_17[[#This Row],[VSTR]]+Table_ExternalData_17[[#This Row],[SR]]+Table_ExternalData_17[[#This Row],[TR]]+Table_ExternalData_17[[#This Row],[RCA]])</f>
        <v>0</v>
      </c>
      <c r="K152" s="10">
        <f>SUMIFS(IsQList,IsIList,Table_ExternalData_17[[#This Row],[item_key]],IsITypeList,Table_ExternalData_17[[#Headers],[R/P]],IsDList,"&lt;&gt;"&amp;0)</f>
        <v>0</v>
      </c>
      <c r="L152" s="10">
        <f>SUMIFS(IsQList,IsIList,Table_ExternalData_17[[#This Row],[item_key]],IsITypeList,Table_ExternalData_17[[#Headers],[CST]],IsDList,"&lt;&gt;"&amp;0)</f>
        <v>0</v>
      </c>
      <c r="M152" s="10">
        <f>SUMIFS(IsQList,IsIList,Table_ExternalData_15[[#This Row],[item_key]],IsITypeList,Table_ExternalData_17[[#Headers],[S/I]],IsDList,"&lt;&gt;"&amp;0)</f>
        <v>0</v>
      </c>
      <c r="N152" s="10">
        <f>SUMIFS(IsQList,IsIList,Table_ExternalData_15[[#This Row],[item_key]],IsITypeList,Table_ExternalData_17[[#Headers],[VST]],IsDList,"&lt;&gt;"&amp;0)</f>
        <v>0</v>
      </c>
      <c r="O152" s="10">
        <f>ABS(SUMIFS(IsQList,IsIList,Table_ExternalData_17[[#This Row],[item_key]],IsITypeList,Table_ExternalData_17[[#Headers],[RTN]],IsDList,"&lt;&gt;"&amp;0))</f>
        <v>0</v>
      </c>
      <c r="P152" s="10">
        <f>SUM(Table_ExternalData_17[[#This Row],[R/P]:[RTN]])</f>
        <v>0</v>
      </c>
      <c r="Q152" s="10">
        <f>SUM((Table_ExternalData_17[[#This Row],[Opening]]+Table_ExternalData_17[[#This Row],[Total Receipt]])-ABS(Table_ExternalData_17[[#This Row],[Total Issue]]))</f>
        <v>671</v>
      </c>
    </row>
    <row r="153" spans="1:17">
      <c r="A153" s="1" t="s">
        <v>541</v>
      </c>
      <c r="B153" s="1" t="s">
        <v>1300</v>
      </c>
      <c r="C153" s="1" t="s">
        <v>1301</v>
      </c>
      <c r="D15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53" s="10">
        <f>SUMIFS(GQList,GIList,Table_ExternalData_17[[#This Row],[item_key]],GTList,Table_ExternalData_17[[#Headers],[GRN]],GDList,"&lt;&gt;"&amp;0)</f>
        <v>0</v>
      </c>
      <c r="F153" s="10">
        <f>SUMIFS(GQList,GIList,Table_ExternalData_17[[#This Row],[item_key]],GTList,Table_ExternalData_17[[#Headers],[VSTR]],GDList,"&lt;&gt;"&amp;0)</f>
        <v>0</v>
      </c>
      <c r="G153" s="10">
        <f>SUMIFS(GQList,GIList,Table_ExternalData_17[[#This Row],[item_key]],GTList,Table_ExternalData_17[[#Headers],[SR]],GDList,"&lt;&gt;"&amp;0)</f>
        <v>0</v>
      </c>
      <c r="H153" s="10">
        <f>SUMIFS(GQList,GIList,Table_ExternalData_17[[#This Row],[item_key]],GTList,Table_ExternalData_17[[#Headers],[TR]],GDList,"&lt;&gt;"&amp;0)</f>
        <v>0</v>
      </c>
      <c r="I153" s="10">
        <f>SUMIFS(GQList,GIList,Table_ExternalData_17[[#This Row],[item_key]],GTList,Table_ExternalData_17[[#Headers],[RCA]],GDList,"&lt;&gt;"&amp;0)</f>
        <v>0</v>
      </c>
      <c r="J153" s="10">
        <f>SUM(Table_ExternalData_17[[#This Row],[GRN]]+Table_ExternalData_17[[#This Row],[VSTR]]+Table_ExternalData_17[[#This Row],[SR]]+Table_ExternalData_17[[#This Row],[TR]]+Table_ExternalData_17[[#This Row],[RCA]])</f>
        <v>0</v>
      </c>
      <c r="K153" s="10">
        <f>SUMIFS(IsQList,IsIList,Table_ExternalData_17[[#This Row],[item_key]],IsITypeList,Table_ExternalData_17[[#Headers],[R/P]],IsDList,"&lt;&gt;"&amp;0)</f>
        <v>0</v>
      </c>
      <c r="L153" s="10">
        <f>SUMIFS(IsQList,IsIList,Table_ExternalData_17[[#This Row],[item_key]],IsITypeList,Table_ExternalData_17[[#Headers],[CST]],IsDList,"&lt;&gt;"&amp;0)</f>
        <v>0</v>
      </c>
      <c r="M153" s="10">
        <f>SUMIFS(IsQList,IsIList,Table_ExternalData_15[[#This Row],[item_key]],IsITypeList,Table_ExternalData_17[[#Headers],[S/I]],IsDList,"&lt;&gt;"&amp;0)</f>
        <v>2</v>
      </c>
      <c r="N153" s="10">
        <f>SUMIFS(IsQList,IsIList,Table_ExternalData_15[[#This Row],[item_key]],IsITypeList,Table_ExternalData_17[[#Headers],[VST]],IsDList,"&lt;&gt;"&amp;0)</f>
        <v>0</v>
      </c>
      <c r="O153" s="10">
        <f>ABS(SUMIFS(IsQList,IsIList,Table_ExternalData_17[[#This Row],[item_key]],IsITypeList,Table_ExternalData_17[[#Headers],[RTN]],IsDList,"&lt;&gt;"&amp;0))</f>
        <v>0</v>
      </c>
      <c r="P153" s="10">
        <f>SUM(Table_ExternalData_17[[#This Row],[R/P]:[RTN]])</f>
        <v>2</v>
      </c>
      <c r="Q153" s="10">
        <f>SUM((Table_ExternalData_17[[#This Row],[Opening]]+Table_ExternalData_17[[#This Row],[Total Receipt]])-ABS(Table_ExternalData_17[[#This Row],[Total Issue]]))</f>
        <v>-2</v>
      </c>
    </row>
    <row r="154" spans="1:17">
      <c r="A154" s="1" t="s">
        <v>542</v>
      </c>
      <c r="B154" s="1" t="s">
        <v>1302</v>
      </c>
      <c r="C154" s="1" t="s">
        <v>1303</v>
      </c>
      <c r="D154" s="10">
        <f>SUMIFS(OPBQList,OPBIList,Table_ExternalData_17[[#This Row],[item_key]])+SUMIFS(GQList,GIList,Table_ExternalData_17[[#This Row],[item_key]],GDList,0)-ABS(SUMIFS(IsQList,IsIList,Table_ExternalData_17[[#This Row],[item_key]],IsDList,0))</f>
        <v>60</v>
      </c>
      <c r="E154" s="10">
        <f>SUMIFS(GQList,GIList,Table_ExternalData_17[[#This Row],[item_key]],GTList,Table_ExternalData_17[[#Headers],[GRN]],GDList,"&lt;&gt;"&amp;0)</f>
        <v>500</v>
      </c>
      <c r="F154" s="10">
        <f>SUMIFS(GQList,GIList,Table_ExternalData_17[[#This Row],[item_key]],GTList,Table_ExternalData_17[[#Headers],[VSTR]],GDList,"&lt;&gt;"&amp;0)</f>
        <v>0</v>
      </c>
      <c r="G154" s="10">
        <f>SUMIFS(GQList,GIList,Table_ExternalData_17[[#This Row],[item_key]],GTList,Table_ExternalData_17[[#Headers],[SR]],GDList,"&lt;&gt;"&amp;0)</f>
        <v>0</v>
      </c>
      <c r="H154" s="10">
        <f>SUMIFS(GQList,GIList,Table_ExternalData_17[[#This Row],[item_key]],GTList,Table_ExternalData_17[[#Headers],[TR]],GDList,"&lt;&gt;"&amp;0)</f>
        <v>0</v>
      </c>
      <c r="I154" s="10">
        <f>SUMIFS(GQList,GIList,Table_ExternalData_17[[#This Row],[item_key]],GTList,Table_ExternalData_17[[#Headers],[RCA]],GDList,"&lt;&gt;"&amp;0)</f>
        <v>0</v>
      </c>
      <c r="J154" s="10">
        <f>SUM(Table_ExternalData_17[[#This Row],[GRN]]+Table_ExternalData_17[[#This Row],[VSTR]]+Table_ExternalData_17[[#This Row],[SR]]+Table_ExternalData_17[[#This Row],[TR]]+Table_ExternalData_17[[#This Row],[RCA]])</f>
        <v>500</v>
      </c>
      <c r="K154" s="10">
        <f>SUMIFS(IsQList,IsIList,Table_ExternalData_17[[#This Row],[item_key]],IsITypeList,Table_ExternalData_17[[#Headers],[R/P]],IsDList,"&lt;&gt;"&amp;0)</f>
        <v>0</v>
      </c>
      <c r="L154" s="10">
        <f>SUMIFS(IsQList,IsIList,Table_ExternalData_17[[#This Row],[item_key]],IsITypeList,Table_ExternalData_17[[#Headers],[CST]],IsDList,"&lt;&gt;"&amp;0)</f>
        <v>0</v>
      </c>
      <c r="M154" s="10">
        <f>SUMIFS(IsQList,IsIList,Table_ExternalData_15[[#This Row],[item_key]],IsITypeList,Table_ExternalData_17[[#Headers],[S/I]],IsDList,"&lt;&gt;"&amp;0)</f>
        <v>72</v>
      </c>
      <c r="N154" s="10">
        <f>SUMIFS(IsQList,IsIList,Table_ExternalData_15[[#This Row],[item_key]],IsITypeList,Table_ExternalData_17[[#Headers],[VST]],IsDList,"&lt;&gt;"&amp;0)</f>
        <v>0</v>
      </c>
      <c r="O154" s="10">
        <f>ABS(SUMIFS(IsQList,IsIList,Table_ExternalData_17[[#This Row],[item_key]],IsITypeList,Table_ExternalData_17[[#Headers],[RTN]],IsDList,"&lt;&gt;"&amp;0))</f>
        <v>0</v>
      </c>
      <c r="P154" s="10">
        <f>SUM(Table_ExternalData_17[[#This Row],[R/P]:[RTN]])</f>
        <v>72</v>
      </c>
      <c r="Q154" s="10">
        <f>SUM((Table_ExternalData_17[[#This Row],[Opening]]+Table_ExternalData_17[[#This Row],[Total Receipt]])-ABS(Table_ExternalData_17[[#This Row],[Total Issue]]))</f>
        <v>488</v>
      </c>
    </row>
    <row r="155" spans="1:17">
      <c r="A155" s="1" t="s">
        <v>1749</v>
      </c>
      <c r="B155" s="1" t="s">
        <v>2575</v>
      </c>
      <c r="C155" s="1" t="s">
        <v>2576</v>
      </c>
      <c r="D15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55" s="10">
        <f>SUMIFS(GQList,GIList,Table_ExternalData_17[[#This Row],[item_key]],GTList,Table_ExternalData_17[[#Headers],[GRN]],GDList,"&lt;&gt;"&amp;0)</f>
        <v>0</v>
      </c>
      <c r="F155" s="10">
        <f>SUMIFS(GQList,GIList,Table_ExternalData_17[[#This Row],[item_key]],GTList,Table_ExternalData_17[[#Headers],[VSTR]],GDList,"&lt;&gt;"&amp;0)</f>
        <v>0</v>
      </c>
      <c r="G155" s="10">
        <f>SUMIFS(GQList,GIList,Table_ExternalData_17[[#This Row],[item_key]],GTList,Table_ExternalData_17[[#Headers],[SR]],GDList,"&lt;&gt;"&amp;0)</f>
        <v>0</v>
      </c>
      <c r="H155" s="10">
        <f>SUMIFS(GQList,GIList,Table_ExternalData_17[[#This Row],[item_key]],GTList,Table_ExternalData_17[[#Headers],[TR]],GDList,"&lt;&gt;"&amp;0)</f>
        <v>0</v>
      </c>
      <c r="I155" s="10">
        <f>SUMIFS(GQList,GIList,Table_ExternalData_17[[#This Row],[item_key]],GTList,Table_ExternalData_17[[#Headers],[RCA]],GDList,"&lt;&gt;"&amp;0)</f>
        <v>0</v>
      </c>
      <c r="J155" s="10">
        <f>SUM(Table_ExternalData_17[[#This Row],[GRN]]+Table_ExternalData_17[[#This Row],[VSTR]]+Table_ExternalData_17[[#This Row],[SR]]+Table_ExternalData_17[[#This Row],[TR]]+Table_ExternalData_17[[#This Row],[RCA]])</f>
        <v>0</v>
      </c>
      <c r="K155" s="10">
        <f>SUMIFS(IsQList,IsIList,Table_ExternalData_17[[#This Row],[item_key]],IsITypeList,Table_ExternalData_17[[#Headers],[R/P]],IsDList,"&lt;&gt;"&amp;0)</f>
        <v>0</v>
      </c>
      <c r="L155" s="10">
        <f>SUMIFS(IsQList,IsIList,Table_ExternalData_17[[#This Row],[item_key]],IsITypeList,Table_ExternalData_17[[#Headers],[CST]],IsDList,"&lt;&gt;"&amp;0)</f>
        <v>0</v>
      </c>
      <c r="M155" s="10">
        <f>SUMIFS(IsQList,IsIList,Table_ExternalData_15[[#This Row],[item_key]],IsITypeList,Table_ExternalData_17[[#Headers],[S/I]],IsDList,"&lt;&gt;"&amp;0)</f>
        <v>0</v>
      </c>
      <c r="N155" s="10">
        <f>SUMIFS(IsQList,IsIList,Table_ExternalData_15[[#This Row],[item_key]],IsITypeList,Table_ExternalData_17[[#Headers],[VST]],IsDList,"&lt;&gt;"&amp;0)</f>
        <v>0</v>
      </c>
      <c r="O155" s="10">
        <f>ABS(SUMIFS(IsQList,IsIList,Table_ExternalData_17[[#This Row],[item_key]],IsITypeList,Table_ExternalData_17[[#Headers],[RTN]],IsDList,"&lt;&gt;"&amp;0))</f>
        <v>0</v>
      </c>
      <c r="P155" s="10">
        <f>SUM(Table_ExternalData_17[[#This Row],[R/P]:[RTN]])</f>
        <v>0</v>
      </c>
      <c r="Q155" s="10">
        <f>SUM((Table_ExternalData_17[[#This Row],[Opening]]+Table_ExternalData_17[[#This Row],[Total Receipt]])-ABS(Table_ExternalData_17[[#This Row],[Total Issue]]))</f>
        <v>0</v>
      </c>
    </row>
    <row r="156" spans="1:17">
      <c r="A156" s="1" t="s">
        <v>544</v>
      </c>
      <c r="B156" s="1" t="s">
        <v>1304</v>
      </c>
      <c r="C156" s="1" t="s">
        <v>1305</v>
      </c>
      <c r="D156" s="10">
        <f>SUMIFS(OPBQList,OPBIList,Table_ExternalData_17[[#This Row],[item_key]])+SUMIFS(GQList,GIList,Table_ExternalData_17[[#This Row],[item_key]],GDList,0)-ABS(SUMIFS(IsQList,IsIList,Table_ExternalData_17[[#This Row],[item_key]],IsDList,0))</f>
        <v>201</v>
      </c>
      <c r="E156" s="10">
        <f>SUMIFS(GQList,GIList,Table_ExternalData_17[[#This Row],[item_key]],GTList,Table_ExternalData_17[[#Headers],[GRN]],GDList,"&lt;&gt;"&amp;0)</f>
        <v>0</v>
      </c>
      <c r="F156" s="10">
        <f>SUMIFS(GQList,GIList,Table_ExternalData_17[[#This Row],[item_key]],GTList,Table_ExternalData_17[[#Headers],[VSTR]],GDList,"&lt;&gt;"&amp;0)</f>
        <v>0</v>
      </c>
      <c r="G156" s="10">
        <f>SUMIFS(GQList,GIList,Table_ExternalData_17[[#This Row],[item_key]],GTList,Table_ExternalData_17[[#Headers],[SR]],GDList,"&lt;&gt;"&amp;0)</f>
        <v>0</v>
      </c>
      <c r="H156" s="10">
        <f>SUMIFS(GQList,GIList,Table_ExternalData_17[[#This Row],[item_key]],GTList,Table_ExternalData_17[[#Headers],[TR]],GDList,"&lt;&gt;"&amp;0)</f>
        <v>0</v>
      </c>
      <c r="I156" s="10">
        <f>SUMIFS(GQList,GIList,Table_ExternalData_17[[#This Row],[item_key]],GTList,Table_ExternalData_17[[#Headers],[RCA]],GDList,"&lt;&gt;"&amp;0)</f>
        <v>0</v>
      </c>
      <c r="J156" s="10">
        <f>SUM(Table_ExternalData_17[[#This Row],[GRN]]+Table_ExternalData_17[[#This Row],[VSTR]]+Table_ExternalData_17[[#This Row],[SR]]+Table_ExternalData_17[[#This Row],[TR]]+Table_ExternalData_17[[#This Row],[RCA]])</f>
        <v>0</v>
      </c>
      <c r="K156" s="10">
        <f>SUMIFS(IsQList,IsIList,Table_ExternalData_17[[#This Row],[item_key]],IsITypeList,Table_ExternalData_17[[#Headers],[R/P]],IsDList,"&lt;&gt;"&amp;0)</f>
        <v>0</v>
      </c>
      <c r="L156" s="10">
        <f>SUMIFS(IsQList,IsIList,Table_ExternalData_17[[#This Row],[item_key]],IsITypeList,Table_ExternalData_17[[#Headers],[CST]],IsDList,"&lt;&gt;"&amp;0)</f>
        <v>0</v>
      </c>
      <c r="M156" s="10">
        <f>SUMIFS(IsQList,IsIList,Table_ExternalData_15[[#This Row],[item_key]],IsITypeList,Table_ExternalData_17[[#Headers],[S/I]],IsDList,"&lt;&gt;"&amp;0)</f>
        <v>0</v>
      </c>
      <c r="N156" s="10">
        <f>SUMIFS(IsQList,IsIList,Table_ExternalData_15[[#This Row],[item_key]],IsITypeList,Table_ExternalData_17[[#Headers],[VST]],IsDList,"&lt;&gt;"&amp;0)</f>
        <v>0</v>
      </c>
      <c r="O156" s="10">
        <f>ABS(SUMIFS(IsQList,IsIList,Table_ExternalData_17[[#This Row],[item_key]],IsITypeList,Table_ExternalData_17[[#Headers],[RTN]],IsDList,"&lt;&gt;"&amp;0))</f>
        <v>0</v>
      </c>
      <c r="P156" s="10">
        <f>SUM(Table_ExternalData_17[[#This Row],[R/P]:[RTN]])</f>
        <v>0</v>
      </c>
      <c r="Q156" s="10">
        <f>SUM((Table_ExternalData_17[[#This Row],[Opening]]+Table_ExternalData_17[[#This Row],[Total Receipt]])-ABS(Table_ExternalData_17[[#This Row],[Total Issue]]))</f>
        <v>201</v>
      </c>
    </row>
    <row r="157" spans="1:17">
      <c r="A157" s="1" t="s">
        <v>545</v>
      </c>
      <c r="B157" s="1" t="s">
        <v>1306</v>
      </c>
      <c r="C157" s="1" t="s">
        <v>1305</v>
      </c>
      <c r="D157" s="10">
        <f>SUMIFS(OPBQList,OPBIList,Table_ExternalData_17[[#This Row],[item_key]])+SUMIFS(GQList,GIList,Table_ExternalData_17[[#This Row],[item_key]],GDList,0)-ABS(SUMIFS(IsQList,IsIList,Table_ExternalData_17[[#This Row],[item_key]],IsDList,0))</f>
        <v>232</v>
      </c>
      <c r="E157" s="10">
        <f>SUMIFS(GQList,GIList,Table_ExternalData_17[[#This Row],[item_key]],GTList,Table_ExternalData_17[[#Headers],[GRN]],GDList,"&lt;&gt;"&amp;0)</f>
        <v>0</v>
      </c>
      <c r="F157" s="10">
        <f>SUMIFS(GQList,GIList,Table_ExternalData_17[[#This Row],[item_key]],GTList,Table_ExternalData_17[[#Headers],[VSTR]],GDList,"&lt;&gt;"&amp;0)</f>
        <v>0</v>
      </c>
      <c r="G157" s="10">
        <f>SUMIFS(GQList,GIList,Table_ExternalData_17[[#This Row],[item_key]],GTList,Table_ExternalData_17[[#Headers],[SR]],GDList,"&lt;&gt;"&amp;0)</f>
        <v>0</v>
      </c>
      <c r="H157" s="10">
        <f>SUMIFS(GQList,GIList,Table_ExternalData_17[[#This Row],[item_key]],GTList,Table_ExternalData_17[[#Headers],[TR]],GDList,"&lt;&gt;"&amp;0)</f>
        <v>0</v>
      </c>
      <c r="I157" s="10">
        <f>SUMIFS(GQList,GIList,Table_ExternalData_17[[#This Row],[item_key]],GTList,Table_ExternalData_17[[#Headers],[RCA]],GDList,"&lt;&gt;"&amp;0)</f>
        <v>0</v>
      </c>
      <c r="J157" s="10">
        <f>SUM(Table_ExternalData_17[[#This Row],[GRN]]+Table_ExternalData_17[[#This Row],[VSTR]]+Table_ExternalData_17[[#This Row],[SR]]+Table_ExternalData_17[[#This Row],[TR]]+Table_ExternalData_17[[#This Row],[RCA]])</f>
        <v>0</v>
      </c>
      <c r="K157" s="10">
        <f>SUMIFS(IsQList,IsIList,Table_ExternalData_17[[#This Row],[item_key]],IsITypeList,Table_ExternalData_17[[#Headers],[R/P]],IsDList,"&lt;&gt;"&amp;0)</f>
        <v>0</v>
      </c>
      <c r="L157" s="10">
        <f>SUMIFS(IsQList,IsIList,Table_ExternalData_17[[#This Row],[item_key]],IsITypeList,Table_ExternalData_17[[#Headers],[CST]],IsDList,"&lt;&gt;"&amp;0)</f>
        <v>0</v>
      </c>
      <c r="M157" s="10">
        <f>SUMIFS(IsQList,IsIList,Table_ExternalData_15[[#This Row],[item_key]],IsITypeList,Table_ExternalData_17[[#Headers],[S/I]],IsDList,"&lt;&gt;"&amp;0)</f>
        <v>0</v>
      </c>
      <c r="N157" s="10">
        <f>SUMIFS(IsQList,IsIList,Table_ExternalData_15[[#This Row],[item_key]],IsITypeList,Table_ExternalData_17[[#Headers],[VST]],IsDList,"&lt;&gt;"&amp;0)</f>
        <v>0</v>
      </c>
      <c r="O157" s="10">
        <f>ABS(SUMIFS(IsQList,IsIList,Table_ExternalData_17[[#This Row],[item_key]],IsITypeList,Table_ExternalData_17[[#Headers],[RTN]],IsDList,"&lt;&gt;"&amp;0))</f>
        <v>0</v>
      </c>
      <c r="P157" s="10">
        <f>SUM(Table_ExternalData_17[[#This Row],[R/P]:[RTN]])</f>
        <v>0</v>
      </c>
      <c r="Q157" s="10">
        <f>SUM((Table_ExternalData_17[[#This Row],[Opening]]+Table_ExternalData_17[[#This Row],[Total Receipt]])-ABS(Table_ExternalData_17[[#This Row],[Total Issue]]))</f>
        <v>232</v>
      </c>
    </row>
    <row r="158" spans="1:17">
      <c r="A158" s="1" t="s">
        <v>546</v>
      </c>
      <c r="B158" s="1" t="s">
        <v>1307</v>
      </c>
      <c r="C158" s="1" t="s">
        <v>1308</v>
      </c>
      <c r="D158" s="10">
        <f>SUMIFS(OPBQList,OPBIList,Table_ExternalData_17[[#This Row],[item_key]])+SUMIFS(GQList,GIList,Table_ExternalData_17[[#This Row],[item_key]],GDList,0)-ABS(SUMIFS(IsQList,IsIList,Table_ExternalData_17[[#This Row],[item_key]],IsDList,0))</f>
        <v>245</v>
      </c>
      <c r="E158" s="10">
        <f>SUMIFS(GQList,GIList,Table_ExternalData_17[[#This Row],[item_key]],GTList,Table_ExternalData_17[[#Headers],[GRN]],GDList,"&lt;&gt;"&amp;0)</f>
        <v>0</v>
      </c>
      <c r="F158" s="10">
        <f>SUMIFS(GQList,GIList,Table_ExternalData_17[[#This Row],[item_key]],GTList,Table_ExternalData_17[[#Headers],[VSTR]],GDList,"&lt;&gt;"&amp;0)</f>
        <v>0</v>
      </c>
      <c r="G158" s="10">
        <f>SUMIFS(GQList,GIList,Table_ExternalData_17[[#This Row],[item_key]],GTList,Table_ExternalData_17[[#Headers],[SR]],GDList,"&lt;&gt;"&amp;0)</f>
        <v>0</v>
      </c>
      <c r="H158" s="10">
        <f>SUMIFS(GQList,GIList,Table_ExternalData_17[[#This Row],[item_key]],GTList,Table_ExternalData_17[[#Headers],[TR]],GDList,"&lt;&gt;"&amp;0)</f>
        <v>0</v>
      </c>
      <c r="I158" s="10">
        <f>SUMIFS(GQList,GIList,Table_ExternalData_17[[#This Row],[item_key]],GTList,Table_ExternalData_17[[#Headers],[RCA]],GDList,"&lt;&gt;"&amp;0)</f>
        <v>0</v>
      </c>
      <c r="J158" s="10">
        <f>SUM(Table_ExternalData_17[[#This Row],[GRN]]+Table_ExternalData_17[[#This Row],[VSTR]]+Table_ExternalData_17[[#This Row],[SR]]+Table_ExternalData_17[[#This Row],[TR]]+Table_ExternalData_17[[#This Row],[RCA]])</f>
        <v>0</v>
      </c>
      <c r="K158" s="10">
        <f>SUMIFS(IsQList,IsIList,Table_ExternalData_17[[#This Row],[item_key]],IsITypeList,Table_ExternalData_17[[#Headers],[R/P]],IsDList,"&lt;&gt;"&amp;0)</f>
        <v>0</v>
      </c>
      <c r="L158" s="10">
        <f>SUMIFS(IsQList,IsIList,Table_ExternalData_17[[#This Row],[item_key]],IsITypeList,Table_ExternalData_17[[#Headers],[CST]],IsDList,"&lt;&gt;"&amp;0)</f>
        <v>0</v>
      </c>
      <c r="M158" s="10">
        <f>SUMIFS(IsQList,IsIList,Table_ExternalData_15[[#This Row],[item_key]],IsITypeList,Table_ExternalData_17[[#Headers],[S/I]],IsDList,"&lt;&gt;"&amp;0)</f>
        <v>0</v>
      </c>
      <c r="N158" s="10">
        <f>SUMIFS(IsQList,IsIList,Table_ExternalData_15[[#This Row],[item_key]],IsITypeList,Table_ExternalData_17[[#Headers],[VST]],IsDList,"&lt;&gt;"&amp;0)</f>
        <v>0</v>
      </c>
      <c r="O158" s="10">
        <f>ABS(SUMIFS(IsQList,IsIList,Table_ExternalData_17[[#This Row],[item_key]],IsITypeList,Table_ExternalData_17[[#Headers],[RTN]],IsDList,"&lt;&gt;"&amp;0))</f>
        <v>0</v>
      </c>
      <c r="P158" s="10">
        <f>SUM(Table_ExternalData_17[[#This Row],[R/P]:[RTN]])</f>
        <v>0</v>
      </c>
      <c r="Q158" s="10">
        <f>SUM((Table_ExternalData_17[[#This Row],[Opening]]+Table_ExternalData_17[[#This Row],[Total Receipt]])-ABS(Table_ExternalData_17[[#This Row],[Total Issue]]))</f>
        <v>245</v>
      </c>
    </row>
    <row r="159" spans="1:17">
      <c r="A159" s="1" t="s">
        <v>547</v>
      </c>
      <c r="B159" s="1" t="s">
        <v>1309</v>
      </c>
      <c r="C159" s="1" t="s">
        <v>1308</v>
      </c>
      <c r="D159" s="10">
        <f>SUMIFS(OPBQList,OPBIList,Table_ExternalData_17[[#This Row],[item_key]])+SUMIFS(GQList,GIList,Table_ExternalData_17[[#This Row],[item_key]],GDList,0)-ABS(SUMIFS(IsQList,IsIList,Table_ExternalData_17[[#This Row],[item_key]],IsDList,0))</f>
        <v>215</v>
      </c>
      <c r="E159" s="10">
        <f>SUMIFS(GQList,GIList,Table_ExternalData_17[[#This Row],[item_key]],GTList,Table_ExternalData_17[[#Headers],[GRN]],GDList,"&lt;&gt;"&amp;0)</f>
        <v>0</v>
      </c>
      <c r="F159" s="10">
        <f>SUMIFS(GQList,GIList,Table_ExternalData_17[[#This Row],[item_key]],GTList,Table_ExternalData_17[[#Headers],[VSTR]],GDList,"&lt;&gt;"&amp;0)</f>
        <v>0</v>
      </c>
      <c r="G159" s="10">
        <f>SUMIFS(GQList,GIList,Table_ExternalData_17[[#This Row],[item_key]],GTList,Table_ExternalData_17[[#Headers],[SR]],GDList,"&lt;&gt;"&amp;0)</f>
        <v>0</v>
      </c>
      <c r="H159" s="10">
        <f>SUMIFS(GQList,GIList,Table_ExternalData_17[[#This Row],[item_key]],GTList,Table_ExternalData_17[[#Headers],[TR]],GDList,"&lt;&gt;"&amp;0)</f>
        <v>0</v>
      </c>
      <c r="I159" s="10">
        <f>SUMIFS(GQList,GIList,Table_ExternalData_17[[#This Row],[item_key]],GTList,Table_ExternalData_17[[#Headers],[RCA]],GDList,"&lt;&gt;"&amp;0)</f>
        <v>0</v>
      </c>
      <c r="J159" s="10">
        <f>SUM(Table_ExternalData_17[[#This Row],[GRN]]+Table_ExternalData_17[[#This Row],[VSTR]]+Table_ExternalData_17[[#This Row],[SR]]+Table_ExternalData_17[[#This Row],[TR]]+Table_ExternalData_17[[#This Row],[RCA]])</f>
        <v>0</v>
      </c>
      <c r="K159" s="10">
        <f>SUMIFS(IsQList,IsIList,Table_ExternalData_17[[#This Row],[item_key]],IsITypeList,Table_ExternalData_17[[#Headers],[R/P]],IsDList,"&lt;&gt;"&amp;0)</f>
        <v>0</v>
      </c>
      <c r="L159" s="10">
        <f>SUMIFS(IsQList,IsIList,Table_ExternalData_17[[#This Row],[item_key]],IsITypeList,Table_ExternalData_17[[#Headers],[CST]],IsDList,"&lt;&gt;"&amp;0)</f>
        <v>0</v>
      </c>
      <c r="M159" s="10">
        <f>SUMIFS(IsQList,IsIList,Table_ExternalData_15[[#This Row],[item_key]],IsITypeList,Table_ExternalData_17[[#Headers],[S/I]],IsDList,"&lt;&gt;"&amp;0)</f>
        <v>0</v>
      </c>
      <c r="N159" s="10">
        <f>SUMIFS(IsQList,IsIList,Table_ExternalData_15[[#This Row],[item_key]],IsITypeList,Table_ExternalData_17[[#Headers],[VST]],IsDList,"&lt;&gt;"&amp;0)</f>
        <v>0</v>
      </c>
      <c r="O159" s="10">
        <f>ABS(SUMIFS(IsQList,IsIList,Table_ExternalData_17[[#This Row],[item_key]],IsITypeList,Table_ExternalData_17[[#Headers],[RTN]],IsDList,"&lt;&gt;"&amp;0))</f>
        <v>0</v>
      </c>
      <c r="P159" s="10">
        <f>SUM(Table_ExternalData_17[[#This Row],[R/P]:[RTN]])</f>
        <v>0</v>
      </c>
      <c r="Q159" s="10">
        <f>SUM((Table_ExternalData_17[[#This Row],[Opening]]+Table_ExternalData_17[[#This Row],[Total Receipt]])-ABS(Table_ExternalData_17[[#This Row],[Total Issue]]))</f>
        <v>215</v>
      </c>
    </row>
    <row r="160" spans="1:17">
      <c r="A160" s="1" t="s">
        <v>548</v>
      </c>
      <c r="B160" s="1" t="s">
        <v>1310</v>
      </c>
      <c r="C160" s="1" t="s">
        <v>1311</v>
      </c>
      <c r="D160" s="10">
        <f>SUMIFS(OPBQList,OPBIList,Table_ExternalData_17[[#This Row],[item_key]])+SUMIFS(GQList,GIList,Table_ExternalData_17[[#This Row],[item_key]],GDList,0)-ABS(SUMIFS(IsQList,IsIList,Table_ExternalData_17[[#This Row],[item_key]],IsDList,0))</f>
        <v>1343</v>
      </c>
      <c r="E160" s="10">
        <f>SUMIFS(GQList,GIList,Table_ExternalData_17[[#This Row],[item_key]],GTList,Table_ExternalData_17[[#Headers],[GRN]],GDList,"&lt;&gt;"&amp;0)</f>
        <v>0</v>
      </c>
      <c r="F160" s="10">
        <f>SUMIFS(GQList,GIList,Table_ExternalData_17[[#This Row],[item_key]],GTList,Table_ExternalData_17[[#Headers],[VSTR]],GDList,"&lt;&gt;"&amp;0)</f>
        <v>0</v>
      </c>
      <c r="G160" s="10">
        <f>SUMIFS(GQList,GIList,Table_ExternalData_17[[#This Row],[item_key]],GTList,Table_ExternalData_17[[#Headers],[SR]],GDList,"&lt;&gt;"&amp;0)</f>
        <v>0</v>
      </c>
      <c r="H160" s="10">
        <f>SUMIFS(GQList,GIList,Table_ExternalData_17[[#This Row],[item_key]],GTList,Table_ExternalData_17[[#Headers],[TR]],GDList,"&lt;&gt;"&amp;0)</f>
        <v>0</v>
      </c>
      <c r="I160" s="10">
        <f>SUMIFS(GQList,GIList,Table_ExternalData_17[[#This Row],[item_key]],GTList,Table_ExternalData_17[[#Headers],[RCA]],GDList,"&lt;&gt;"&amp;0)</f>
        <v>0</v>
      </c>
      <c r="J160" s="10">
        <f>SUM(Table_ExternalData_17[[#This Row],[GRN]]+Table_ExternalData_17[[#This Row],[VSTR]]+Table_ExternalData_17[[#This Row],[SR]]+Table_ExternalData_17[[#This Row],[TR]]+Table_ExternalData_17[[#This Row],[RCA]])</f>
        <v>0</v>
      </c>
      <c r="K160" s="10">
        <f>SUMIFS(IsQList,IsIList,Table_ExternalData_17[[#This Row],[item_key]],IsITypeList,Table_ExternalData_17[[#Headers],[R/P]],IsDList,"&lt;&gt;"&amp;0)</f>
        <v>0</v>
      </c>
      <c r="L160" s="10">
        <f>SUMIFS(IsQList,IsIList,Table_ExternalData_17[[#This Row],[item_key]],IsITypeList,Table_ExternalData_17[[#Headers],[CST]],IsDList,"&lt;&gt;"&amp;0)</f>
        <v>0</v>
      </c>
      <c r="M160" s="10">
        <f>SUMIFS(IsQList,IsIList,Table_ExternalData_15[[#This Row],[item_key]],IsITypeList,Table_ExternalData_17[[#Headers],[S/I]],IsDList,"&lt;&gt;"&amp;0)</f>
        <v>10</v>
      </c>
      <c r="N160" s="10">
        <f>SUMIFS(IsQList,IsIList,Table_ExternalData_15[[#This Row],[item_key]],IsITypeList,Table_ExternalData_17[[#Headers],[VST]],IsDList,"&lt;&gt;"&amp;0)</f>
        <v>0</v>
      </c>
      <c r="O160" s="10">
        <f>ABS(SUMIFS(IsQList,IsIList,Table_ExternalData_17[[#This Row],[item_key]],IsITypeList,Table_ExternalData_17[[#Headers],[RTN]],IsDList,"&lt;&gt;"&amp;0))</f>
        <v>0</v>
      </c>
      <c r="P160" s="10">
        <f>SUM(Table_ExternalData_17[[#This Row],[R/P]:[RTN]])</f>
        <v>10</v>
      </c>
      <c r="Q160" s="10">
        <f>SUM((Table_ExternalData_17[[#This Row],[Opening]]+Table_ExternalData_17[[#This Row],[Total Receipt]])-ABS(Table_ExternalData_17[[#This Row],[Total Issue]]))</f>
        <v>1333</v>
      </c>
    </row>
    <row r="161" spans="1:17">
      <c r="A161" s="1" t="s">
        <v>549</v>
      </c>
      <c r="B161" s="1" t="s">
        <v>1312</v>
      </c>
      <c r="C161" s="1" t="s">
        <v>1313</v>
      </c>
      <c r="D161" s="10">
        <f>SUMIFS(OPBQList,OPBIList,Table_ExternalData_17[[#This Row],[item_key]])+SUMIFS(GQList,GIList,Table_ExternalData_17[[#This Row],[item_key]],GDList,0)-ABS(SUMIFS(IsQList,IsIList,Table_ExternalData_17[[#This Row],[item_key]],IsDList,0))</f>
        <v>219</v>
      </c>
      <c r="E161" s="10">
        <f>SUMIFS(GQList,GIList,Table_ExternalData_17[[#This Row],[item_key]],GTList,Table_ExternalData_17[[#Headers],[GRN]],GDList,"&lt;&gt;"&amp;0)</f>
        <v>0</v>
      </c>
      <c r="F161" s="10">
        <f>SUMIFS(GQList,GIList,Table_ExternalData_17[[#This Row],[item_key]],GTList,Table_ExternalData_17[[#Headers],[VSTR]],GDList,"&lt;&gt;"&amp;0)</f>
        <v>0</v>
      </c>
      <c r="G161" s="10">
        <f>SUMIFS(GQList,GIList,Table_ExternalData_17[[#This Row],[item_key]],GTList,Table_ExternalData_17[[#Headers],[SR]],GDList,"&lt;&gt;"&amp;0)</f>
        <v>0</v>
      </c>
      <c r="H161" s="10">
        <f>SUMIFS(GQList,GIList,Table_ExternalData_17[[#This Row],[item_key]],GTList,Table_ExternalData_17[[#Headers],[TR]],GDList,"&lt;&gt;"&amp;0)</f>
        <v>0</v>
      </c>
      <c r="I161" s="10">
        <f>SUMIFS(GQList,GIList,Table_ExternalData_17[[#This Row],[item_key]],GTList,Table_ExternalData_17[[#Headers],[RCA]],GDList,"&lt;&gt;"&amp;0)</f>
        <v>0</v>
      </c>
      <c r="J161" s="10">
        <f>SUM(Table_ExternalData_17[[#This Row],[GRN]]+Table_ExternalData_17[[#This Row],[VSTR]]+Table_ExternalData_17[[#This Row],[SR]]+Table_ExternalData_17[[#This Row],[TR]]+Table_ExternalData_17[[#This Row],[RCA]])</f>
        <v>0</v>
      </c>
      <c r="K161" s="10">
        <f>SUMIFS(IsQList,IsIList,Table_ExternalData_17[[#This Row],[item_key]],IsITypeList,Table_ExternalData_17[[#Headers],[R/P]],IsDList,"&lt;&gt;"&amp;0)</f>
        <v>0</v>
      </c>
      <c r="L161" s="10">
        <f>SUMIFS(IsQList,IsIList,Table_ExternalData_17[[#This Row],[item_key]],IsITypeList,Table_ExternalData_17[[#Headers],[CST]],IsDList,"&lt;&gt;"&amp;0)</f>
        <v>0</v>
      </c>
      <c r="M161" s="10">
        <f>SUMIFS(IsQList,IsIList,Table_ExternalData_15[[#This Row],[item_key]],IsITypeList,Table_ExternalData_17[[#Headers],[S/I]],IsDList,"&lt;&gt;"&amp;0)</f>
        <v>60</v>
      </c>
      <c r="N161" s="10">
        <f>SUMIFS(IsQList,IsIList,Table_ExternalData_15[[#This Row],[item_key]],IsITypeList,Table_ExternalData_17[[#Headers],[VST]],IsDList,"&lt;&gt;"&amp;0)</f>
        <v>0</v>
      </c>
      <c r="O161" s="10">
        <f>ABS(SUMIFS(IsQList,IsIList,Table_ExternalData_17[[#This Row],[item_key]],IsITypeList,Table_ExternalData_17[[#Headers],[RTN]],IsDList,"&lt;&gt;"&amp;0))</f>
        <v>0</v>
      </c>
      <c r="P161" s="10">
        <f>SUM(Table_ExternalData_17[[#This Row],[R/P]:[RTN]])</f>
        <v>60</v>
      </c>
      <c r="Q161" s="10">
        <f>SUM((Table_ExternalData_17[[#This Row],[Opening]]+Table_ExternalData_17[[#This Row],[Total Receipt]])-ABS(Table_ExternalData_17[[#This Row],[Total Issue]]))</f>
        <v>159</v>
      </c>
    </row>
    <row r="162" spans="1:17">
      <c r="A162" s="1" t="s">
        <v>550</v>
      </c>
      <c r="B162" s="1" t="s">
        <v>2577</v>
      </c>
      <c r="C162" s="1" t="s">
        <v>2578</v>
      </c>
      <c r="D162" s="10">
        <f>SUMIFS(OPBQList,OPBIList,Table_ExternalData_17[[#This Row],[item_key]])+SUMIFS(GQList,GIList,Table_ExternalData_17[[#This Row],[item_key]],GDList,0)-ABS(SUMIFS(IsQList,IsIList,Table_ExternalData_17[[#This Row],[item_key]],IsDList,0))</f>
        <v>3920</v>
      </c>
      <c r="E162" s="10">
        <f>SUMIFS(GQList,GIList,Table_ExternalData_17[[#This Row],[item_key]],GTList,Table_ExternalData_17[[#Headers],[GRN]],GDList,"&lt;&gt;"&amp;0)</f>
        <v>0</v>
      </c>
      <c r="F162" s="10">
        <f>SUMIFS(GQList,GIList,Table_ExternalData_17[[#This Row],[item_key]],GTList,Table_ExternalData_17[[#Headers],[VSTR]],GDList,"&lt;&gt;"&amp;0)</f>
        <v>0</v>
      </c>
      <c r="G162" s="10">
        <f>SUMIFS(GQList,GIList,Table_ExternalData_17[[#This Row],[item_key]],GTList,Table_ExternalData_17[[#Headers],[SR]],GDList,"&lt;&gt;"&amp;0)</f>
        <v>0</v>
      </c>
      <c r="H162" s="10">
        <f>SUMIFS(GQList,GIList,Table_ExternalData_17[[#This Row],[item_key]],GTList,Table_ExternalData_17[[#Headers],[TR]],GDList,"&lt;&gt;"&amp;0)</f>
        <v>0</v>
      </c>
      <c r="I162" s="10">
        <f>SUMIFS(GQList,GIList,Table_ExternalData_17[[#This Row],[item_key]],GTList,Table_ExternalData_17[[#Headers],[RCA]],GDList,"&lt;&gt;"&amp;0)</f>
        <v>0</v>
      </c>
      <c r="J162" s="10">
        <f>SUM(Table_ExternalData_17[[#This Row],[GRN]]+Table_ExternalData_17[[#This Row],[VSTR]]+Table_ExternalData_17[[#This Row],[SR]]+Table_ExternalData_17[[#This Row],[TR]]+Table_ExternalData_17[[#This Row],[RCA]])</f>
        <v>0</v>
      </c>
      <c r="K162" s="10">
        <f>SUMIFS(IsQList,IsIList,Table_ExternalData_17[[#This Row],[item_key]],IsITypeList,Table_ExternalData_17[[#Headers],[R/P]],IsDList,"&lt;&gt;"&amp;0)</f>
        <v>0</v>
      </c>
      <c r="L162" s="10">
        <f>SUMIFS(IsQList,IsIList,Table_ExternalData_17[[#This Row],[item_key]],IsITypeList,Table_ExternalData_17[[#Headers],[CST]],IsDList,"&lt;&gt;"&amp;0)</f>
        <v>0</v>
      </c>
      <c r="M162" s="10">
        <f>SUMIFS(IsQList,IsIList,Table_ExternalData_15[[#This Row],[item_key]],IsITypeList,Table_ExternalData_17[[#Headers],[S/I]],IsDList,"&lt;&gt;"&amp;0)</f>
        <v>5</v>
      </c>
      <c r="N162" s="10">
        <f>SUMIFS(IsQList,IsIList,Table_ExternalData_15[[#This Row],[item_key]],IsITypeList,Table_ExternalData_17[[#Headers],[VST]],IsDList,"&lt;&gt;"&amp;0)</f>
        <v>0</v>
      </c>
      <c r="O162" s="10">
        <f>ABS(SUMIFS(IsQList,IsIList,Table_ExternalData_17[[#This Row],[item_key]],IsITypeList,Table_ExternalData_17[[#Headers],[RTN]],IsDList,"&lt;&gt;"&amp;0))</f>
        <v>0</v>
      </c>
      <c r="P162" s="10">
        <f>SUM(Table_ExternalData_17[[#This Row],[R/P]:[RTN]])</f>
        <v>5</v>
      </c>
      <c r="Q162" s="10">
        <f>SUM((Table_ExternalData_17[[#This Row],[Opening]]+Table_ExternalData_17[[#This Row],[Total Receipt]])-ABS(Table_ExternalData_17[[#This Row],[Total Issue]]))</f>
        <v>3915</v>
      </c>
    </row>
    <row r="163" spans="1:17">
      <c r="A163" s="1" t="s">
        <v>551</v>
      </c>
      <c r="B163" s="1" t="s">
        <v>1314</v>
      </c>
      <c r="C163" s="1" t="s">
        <v>1315</v>
      </c>
      <c r="D163" s="10">
        <f>SUMIFS(OPBQList,OPBIList,Table_ExternalData_17[[#This Row],[item_key]])+SUMIFS(GQList,GIList,Table_ExternalData_17[[#This Row],[item_key]],GDList,0)-ABS(SUMIFS(IsQList,IsIList,Table_ExternalData_17[[#This Row],[item_key]],IsDList,0))</f>
        <v>180</v>
      </c>
      <c r="E163" s="10">
        <f>SUMIFS(GQList,GIList,Table_ExternalData_17[[#This Row],[item_key]],GTList,Table_ExternalData_17[[#Headers],[GRN]],GDList,"&lt;&gt;"&amp;0)</f>
        <v>200</v>
      </c>
      <c r="F163" s="10">
        <f>SUMIFS(GQList,GIList,Table_ExternalData_17[[#This Row],[item_key]],GTList,Table_ExternalData_17[[#Headers],[VSTR]],GDList,"&lt;&gt;"&amp;0)</f>
        <v>0</v>
      </c>
      <c r="G163" s="10">
        <f>SUMIFS(GQList,GIList,Table_ExternalData_17[[#This Row],[item_key]],GTList,Table_ExternalData_17[[#Headers],[SR]],GDList,"&lt;&gt;"&amp;0)</f>
        <v>0</v>
      </c>
      <c r="H163" s="10">
        <f>SUMIFS(GQList,GIList,Table_ExternalData_17[[#This Row],[item_key]],GTList,Table_ExternalData_17[[#Headers],[TR]],GDList,"&lt;&gt;"&amp;0)</f>
        <v>0</v>
      </c>
      <c r="I163" s="10">
        <f>SUMIFS(GQList,GIList,Table_ExternalData_17[[#This Row],[item_key]],GTList,Table_ExternalData_17[[#Headers],[RCA]],GDList,"&lt;&gt;"&amp;0)</f>
        <v>0</v>
      </c>
      <c r="J163" s="10">
        <f>SUM(Table_ExternalData_17[[#This Row],[GRN]]+Table_ExternalData_17[[#This Row],[VSTR]]+Table_ExternalData_17[[#This Row],[SR]]+Table_ExternalData_17[[#This Row],[TR]]+Table_ExternalData_17[[#This Row],[RCA]])</f>
        <v>200</v>
      </c>
      <c r="K163" s="10">
        <f>SUMIFS(IsQList,IsIList,Table_ExternalData_17[[#This Row],[item_key]],IsITypeList,Table_ExternalData_17[[#Headers],[R/P]],IsDList,"&lt;&gt;"&amp;0)</f>
        <v>0</v>
      </c>
      <c r="L163" s="10">
        <f>SUMIFS(IsQList,IsIList,Table_ExternalData_17[[#This Row],[item_key]],IsITypeList,Table_ExternalData_17[[#Headers],[CST]],IsDList,"&lt;&gt;"&amp;0)</f>
        <v>0</v>
      </c>
      <c r="M163" s="10">
        <f>SUMIFS(IsQList,IsIList,Table_ExternalData_15[[#This Row],[item_key]],IsITypeList,Table_ExternalData_17[[#Headers],[S/I]],IsDList,"&lt;&gt;"&amp;0)</f>
        <v>0</v>
      </c>
      <c r="N163" s="10">
        <f>SUMIFS(IsQList,IsIList,Table_ExternalData_15[[#This Row],[item_key]],IsITypeList,Table_ExternalData_17[[#Headers],[VST]],IsDList,"&lt;&gt;"&amp;0)</f>
        <v>0</v>
      </c>
      <c r="O163" s="10">
        <f>ABS(SUMIFS(IsQList,IsIList,Table_ExternalData_17[[#This Row],[item_key]],IsITypeList,Table_ExternalData_17[[#Headers],[RTN]],IsDList,"&lt;&gt;"&amp;0))</f>
        <v>0</v>
      </c>
      <c r="P163" s="10">
        <f>SUM(Table_ExternalData_17[[#This Row],[R/P]:[RTN]])</f>
        <v>0</v>
      </c>
      <c r="Q163" s="10">
        <f>SUM((Table_ExternalData_17[[#This Row],[Opening]]+Table_ExternalData_17[[#This Row],[Total Receipt]])-ABS(Table_ExternalData_17[[#This Row],[Total Issue]]))</f>
        <v>380</v>
      </c>
    </row>
    <row r="164" spans="1:17">
      <c r="A164" s="1" t="s">
        <v>552</v>
      </c>
      <c r="B164" s="1" t="s">
        <v>1316</v>
      </c>
      <c r="C164" s="1" t="s">
        <v>1317</v>
      </c>
      <c r="D16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64" s="10">
        <f>SUMIFS(GQList,GIList,Table_ExternalData_17[[#This Row],[item_key]],GTList,Table_ExternalData_17[[#Headers],[GRN]],GDList,"&lt;&gt;"&amp;0)</f>
        <v>0</v>
      </c>
      <c r="F164" s="10">
        <f>SUMIFS(GQList,GIList,Table_ExternalData_17[[#This Row],[item_key]],GTList,Table_ExternalData_17[[#Headers],[VSTR]],GDList,"&lt;&gt;"&amp;0)</f>
        <v>0</v>
      </c>
      <c r="G164" s="10">
        <f>SUMIFS(GQList,GIList,Table_ExternalData_17[[#This Row],[item_key]],GTList,Table_ExternalData_17[[#Headers],[SR]],GDList,"&lt;&gt;"&amp;0)</f>
        <v>0</v>
      </c>
      <c r="H164" s="10">
        <f>SUMIFS(GQList,GIList,Table_ExternalData_17[[#This Row],[item_key]],GTList,Table_ExternalData_17[[#Headers],[TR]],GDList,"&lt;&gt;"&amp;0)</f>
        <v>0</v>
      </c>
      <c r="I164" s="10">
        <f>SUMIFS(GQList,GIList,Table_ExternalData_17[[#This Row],[item_key]],GTList,Table_ExternalData_17[[#Headers],[RCA]],GDList,"&lt;&gt;"&amp;0)</f>
        <v>0</v>
      </c>
      <c r="J164" s="10">
        <f>SUM(Table_ExternalData_17[[#This Row],[GRN]]+Table_ExternalData_17[[#This Row],[VSTR]]+Table_ExternalData_17[[#This Row],[SR]]+Table_ExternalData_17[[#This Row],[TR]]+Table_ExternalData_17[[#This Row],[RCA]])</f>
        <v>0</v>
      </c>
      <c r="K164" s="10">
        <f>SUMIFS(IsQList,IsIList,Table_ExternalData_17[[#This Row],[item_key]],IsITypeList,Table_ExternalData_17[[#Headers],[R/P]],IsDList,"&lt;&gt;"&amp;0)</f>
        <v>0</v>
      </c>
      <c r="L164" s="10">
        <f>SUMIFS(IsQList,IsIList,Table_ExternalData_17[[#This Row],[item_key]],IsITypeList,Table_ExternalData_17[[#Headers],[CST]],IsDList,"&lt;&gt;"&amp;0)</f>
        <v>0</v>
      </c>
      <c r="M164" s="10">
        <f>SUMIFS(IsQList,IsIList,Table_ExternalData_15[[#This Row],[item_key]],IsITypeList,Table_ExternalData_17[[#Headers],[S/I]],IsDList,"&lt;&gt;"&amp;0)</f>
        <v>0</v>
      </c>
      <c r="N164" s="10">
        <f>SUMIFS(IsQList,IsIList,Table_ExternalData_15[[#This Row],[item_key]],IsITypeList,Table_ExternalData_17[[#Headers],[VST]],IsDList,"&lt;&gt;"&amp;0)</f>
        <v>0</v>
      </c>
      <c r="O164" s="10">
        <f>ABS(SUMIFS(IsQList,IsIList,Table_ExternalData_17[[#This Row],[item_key]],IsITypeList,Table_ExternalData_17[[#Headers],[RTN]],IsDList,"&lt;&gt;"&amp;0))</f>
        <v>0</v>
      </c>
      <c r="P164" s="10">
        <f>SUM(Table_ExternalData_17[[#This Row],[R/P]:[RTN]])</f>
        <v>0</v>
      </c>
      <c r="Q164" s="10">
        <f>SUM((Table_ExternalData_17[[#This Row],[Opening]]+Table_ExternalData_17[[#This Row],[Total Receipt]])-ABS(Table_ExternalData_17[[#This Row],[Total Issue]]))</f>
        <v>0</v>
      </c>
    </row>
    <row r="165" spans="1:17">
      <c r="A165" s="1" t="s">
        <v>553</v>
      </c>
      <c r="B165" s="1" t="s">
        <v>1318</v>
      </c>
      <c r="C165" s="1" t="s">
        <v>1319</v>
      </c>
      <c r="D165" s="10">
        <f>SUMIFS(OPBQList,OPBIList,Table_ExternalData_17[[#This Row],[item_key]])+SUMIFS(GQList,GIList,Table_ExternalData_17[[#This Row],[item_key]],GDList,0)-ABS(SUMIFS(IsQList,IsIList,Table_ExternalData_17[[#This Row],[item_key]],IsDList,0))</f>
        <v>858</v>
      </c>
      <c r="E165" s="10">
        <f>SUMIFS(GQList,GIList,Table_ExternalData_17[[#This Row],[item_key]],GTList,Table_ExternalData_17[[#Headers],[GRN]],GDList,"&lt;&gt;"&amp;0)</f>
        <v>0</v>
      </c>
      <c r="F165" s="10">
        <f>SUMIFS(GQList,GIList,Table_ExternalData_17[[#This Row],[item_key]],GTList,Table_ExternalData_17[[#Headers],[VSTR]],GDList,"&lt;&gt;"&amp;0)</f>
        <v>0</v>
      </c>
      <c r="G165" s="10">
        <f>SUMIFS(GQList,GIList,Table_ExternalData_17[[#This Row],[item_key]],GTList,Table_ExternalData_17[[#Headers],[SR]],GDList,"&lt;&gt;"&amp;0)</f>
        <v>0</v>
      </c>
      <c r="H165" s="10">
        <f>SUMIFS(GQList,GIList,Table_ExternalData_17[[#This Row],[item_key]],GTList,Table_ExternalData_17[[#Headers],[TR]],GDList,"&lt;&gt;"&amp;0)</f>
        <v>0</v>
      </c>
      <c r="I165" s="10">
        <f>SUMIFS(GQList,GIList,Table_ExternalData_17[[#This Row],[item_key]],GTList,Table_ExternalData_17[[#Headers],[RCA]],GDList,"&lt;&gt;"&amp;0)</f>
        <v>0</v>
      </c>
      <c r="J165" s="10">
        <f>SUM(Table_ExternalData_17[[#This Row],[GRN]]+Table_ExternalData_17[[#This Row],[VSTR]]+Table_ExternalData_17[[#This Row],[SR]]+Table_ExternalData_17[[#This Row],[TR]]+Table_ExternalData_17[[#This Row],[RCA]])</f>
        <v>0</v>
      </c>
      <c r="K165" s="10">
        <f>SUMIFS(IsQList,IsIList,Table_ExternalData_17[[#This Row],[item_key]],IsITypeList,Table_ExternalData_17[[#Headers],[R/P]],IsDList,"&lt;&gt;"&amp;0)</f>
        <v>0</v>
      </c>
      <c r="L165" s="10">
        <f>SUMIFS(IsQList,IsIList,Table_ExternalData_17[[#This Row],[item_key]],IsITypeList,Table_ExternalData_17[[#Headers],[CST]],IsDList,"&lt;&gt;"&amp;0)</f>
        <v>0</v>
      </c>
      <c r="M165" s="10">
        <f>SUMIFS(IsQList,IsIList,Table_ExternalData_15[[#This Row],[item_key]],IsITypeList,Table_ExternalData_17[[#Headers],[S/I]],IsDList,"&lt;&gt;"&amp;0)</f>
        <v>60</v>
      </c>
      <c r="N165" s="10">
        <f>SUMIFS(IsQList,IsIList,Table_ExternalData_15[[#This Row],[item_key]],IsITypeList,Table_ExternalData_17[[#Headers],[VST]],IsDList,"&lt;&gt;"&amp;0)</f>
        <v>0</v>
      </c>
      <c r="O165" s="10">
        <f>ABS(SUMIFS(IsQList,IsIList,Table_ExternalData_17[[#This Row],[item_key]],IsITypeList,Table_ExternalData_17[[#Headers],[RTN]],IsDList,"&lt;&gt;"&amp;0))</f>
        <v>0</v>
      </c>
      <c r="P165" s="10">
        <f>SUM(Table_ExternalData_17[[#This Row],[R/P]:[RTN]])</f>
        <v>60</v>
      </c>
      <c r="Q165" s="10">
        <f>SUM((Table_ExternalData_17[[#This Row],[Opening]]+Table_ExternalData_17[[#This Row],[Total Receipt]])-ABS(Table_ExternalData_17[[#This Row],[Total Issue]]))</f>
        <v>798</v>
      </c>
    </row>
    <row r="166" spans="1:17">
      <c r="A166" s="1" t="s">
        <v>1750</v>
      </c>
      <c r="B166" s="1" t="s">
        <v>2346</v>
      </c>
      <c r="C166" s="1" t="s">
        <v>2347</v>
      </c>
      <c r="D166" s="10">
        <f>SUMIFS(OPBQList,OPBIList,Table_ExternalData_17[[#This Row],[item_key]])+SUMIFS(GQList,GIList,Table_ExternalData_17[[#This Row],[item_key]],GDList,0)-ABS(SUMIFS(IsQList,IsIList,Table_ExternalData_17[[#This Row],[item_key]],IsDList,0))</f>
        <v>38</v>
      </c>
      <c r="E166" s="10">
        <f>SUMIFS(GQList,GIList,Table_ExternalData_17[[#This Row],[item_key]],GTList,Table_ExternalData_17[[#Headers],[GRN]],GDList,"&lt;&gt;"&amp;0)</f>
        <v>50</v>
      </c>
      <c r="F166" s="10">
        <f>SUMIFS(GQList,GIList,Table_ExternalData_17[[#This Row],[item_key]],GTList,Table_ExternalData_17[[#Headers],[VSTR]],GDList,"&lt;&gt;"&amp;0)</f>
        <v>0</v>
      </c>
      <c r="G166" s="10">
        <f>SUMIFS(GQList,GIList,Table_ExternalData_17[[#This Row],[item_key]],GTList,Table_ExternalData_17[[#Headers],[SR]],GDList,"&lt;&gt;"&amp;0)</f>
        <v>0</v>
      </c>
      <c r="H166" s="10">
        <f>SUMIFS(GQList,GIList,Table_ExternalData_17[[#This Row],[item_key]],GTList,Table_ExternalData_17[[#Headers],[TR]],GDList,"&lt;&gt;"&amp;0)</f>
        <v>0</v>
      </c>
      <c r="I166" s="10">
        <f>SUMIFS(GQList,GIList,Table_ExternalData_17[[#This Row],[item_key]],GTList,Table_ExternalData_17[[#Headers],[RCA]],GDList,"&lt;&gt;"&amp;0)</f>
        <v>0</v>
      </c>
      <c r="J166" s="10">
        <f>SUM(Table_ExternalData_17[[#This Row],[GRN]]+Table_ExternalData_17[[#This Row],[VSTR]]+Table_ExternalData_17[[#This Row],[SR]]+Table_ExternalData_17[[#This Row],[TR]]+Table_ExternalData_17[[#This Row],[RCA]])</f>
        <v>50</v>
      </c>
      <c r="K166" s="10">
        <f>SUMIFS(IsQList,IsIList,Table_ExternalData_17[[#This Row],[item_key]],IsITypeList,Table_ExternalData_17[[#Headers],[R/P]],IsDList,"&lt;&gt;"&amp;0)</f>
        <v>0</v>
      </c>
      <c r="L166" s="10">
        <f>SUMIFS(IsQList,IsIList,Table_ExternalData_17[[#This Row],[item_key]],IsITypeList,Table_ExternalData_17[[#Headers],[CST]],IsDList,"&lt;&gt;"&amp;0)</f>
        <v>0</v>
      </c>
      <c r="M166" s="10">
        <f>SUMIFS(IsQList,IsIList,Table_ExternalData_15[[#This Row],[item_key]],IsITypeList,Table_ExternalData_17[[#Headers],[S/I]],IsDList,"&lt;&gt;"&amp;0)</f>
        <v>10</v>
      </c>
      <c r="N166" s="10">
        <f>SUMIFS(IsQList,IsIList,Table_ExternalData_15[[#This Row],[item_key]],IsITypeList,Table_ExternalData_17[[#Headers],[VST]],IsDList,"&lt;&gt;"&amp;0)</f>
        <v>0</v>
      </c>
      <c r="O166" s="10">
        <f>ABS(SUMIFS(IsQList,IsIList,Table_ExternalData_17[[#This Row],[item_key]],IsITypeList,Table_ExternalData_17[[#Headers],[RTN]],IsDList,"&lt;&gt;"&amp;0))</f>
        <v>0</v>
      </c>
      <c r="P166" s="10">
        <f>SUM(Table_ExternalData_17[[#This Row],[R/P]:[RTN]])</f>
        <v>10</v>
      </c>
      <c r="Q166" s="10">
        <f>SUM((Table_ExternalData_17[[#This Row],[Opening]]+Table_ExternalData_17[[#This Row],[Total Receipt]])-ABS(Table_ExternalData_17[[#This Row],[Total Issue]]))</f>
        <v>78</v>
      </c>
    </row>
    <row r="167" spans="1:17">
      <c r="A167" s="1" t="s">
        <v>555</v>
      </c>
      <c r="B167" s="1" t="s">
        <v>2348</v>
      </c>
      <c r="C167" s="1" t="s">
        <v>2349</v>
      </c>
      <c r="D167" s="10">
        <f>SUMIFS(OPBQList,OPBIList,Table_ExternalData_17[[#This Row],[item_key]])+SUMIFS(GQList,GIList,Table_ExternalData_17[[#This Row],[item_key]],GDList,0)-ABS(SUMIFS(IsQList,IsIList,Table_ExternalData_17[[#This Row],[item_key]],IsDList,0))</f>
        <v>22</v>
      </c>
      <c r="E167" s="10">
        <f>SUMIFS(GQList,GIList,Table_ExternalData_17[[#This Row],[item_key]],GTList,Table_ExternalData_17[[#Headers],[GRN]],GDList,"&lt;&gt;"&amp;0)</f>
        <v>0</v>
      </c>
      <c r="F167" s="10">
        <f>SUMIFS(GQList,GIList,Table_ExternalData_17[[#This Row],[item_key]],GTList,Table_ExternalData_17[[#Headers],[VSTR]],GDList,"&lt;&gt;"&amp;0)</f>
        <v>0</v>
      </c>
      <c r="G167" s="10">
        <f>SUMIFS(GQList,GIList,Table_ExternalData_17[[#This Row],[item_key]],GTList,Table_ExternalData_17[[#Headers],[SR]],GDList,"&lt;&gt;"&amp;0)</f>
        <v>0</v>
      </c>
      <c r="H167" s="10">
        <f>SUMIFS(GQList,GIList,Table_ExternalData_17[[#This Row],[item_key]],GTList,Table_ExternalData_17[[#Headers],[TR]],GDList,"&lt;&gt;"&amp;0)</f>
        <v>0</v>
      </c>
      <c r="I167" s="10">
        <f>SUMIFS(GQList,GIList,Table_ExternalData_17[[#This Row],[item_key]],GTList,Table_ExternalData_17[[#Headers],[RCA]],GDList,"&lt;&gt;"&amp;0)</f>
        <v>0</v>
      </c>
      <c r="J167" s="10">
        <f>SUM(Table_ExternalData_17[[#This Row],[GRN]]+Table_ExternalData_17[[#This Row],[VSTR]]+Table_ExternalData_17[[#This Row],[SR]]+Table_ExternalData_17[[#This Row],[TR]]+Table_ExternalData_17[[#This Row],[RCA]])</f>
        <v>0</v>
      </c>
      <c r="K167" s="10">
        <f>SUMIFS(IsQList,IsIList,Table_ExternalData_17[[#This Row],[item_key]],IsITypeList,Table_ExternalData_17[[#Headers],[R/P]],IsDList,"&lt;&gt;"&amp;0)</f>
        <v>0</v>
      </c>
      <c r="L167" s="10">
        <f>SUMIFS(IsQList,IsIList,Table_ExternalData_17[[#This Row],[item_key]],IsITypeList,Table_ExternalData_17[[#Headers],[CST]],IsDList,"&lt;&gt;"&amp;0)</f>
        <v>0</v>
      </c>
      <c r="M167" s="10">
        <f>SUMIFS(IsQList,IsIList,Table_ExternalData_15[[#This Row],[item_key]],IsITypeList,Table_ExternalData_17[[#Headers],[S/I]],IsDList,"&lt;&gt;"&amp;0)</f>
        <v>182</v>
      </c>
      <c r="N167" s="10">
        <f>SUMIFS(IsQList,IsIList,Table_ExternalData_15[[#This Row],[item_key]],IsITypeList,Table_ExternalData_17[[#Headers],[VST]],IsDList,"&lt;&gt;"&amp;0)</f>
        <v>0</v>
      </c>
      <c r="O167" s="10">
        <f>ABS(SUMIFS(IsQList,IsIList,Table_ExternalData_17[[#This Row],[item_key]],IsITypeList,Table_ExternalData_17[[#Headers],[RTN]],IsDList,"&lt;&gt;"&amp;0))</f>
        <v>0</v>
      </c>
      <c r="P167" s="10">
        <f>SUM(Table_ExternalData_17[[#This Row],[R/P]:[RTN]])</f>
        <v>182</v>
      </c>
      <c r="Q167" s="10">
        <f>SUM((Table_ExternalData_17[[#This Row],[Opening]]+Table_ExternalData_17[[#This Row],[Total Receipt]])-ABS(Table_ExternalData_17[[#This Row],[Total Issue]]))</f>
        <v>-160</v>
      </c>
    </row>
    <row r="168" spans="1:17">
      <c r="A168" s="1" t="s">
        <v>561</v>
      </c>
      <c r="B168" s="1" t="s">
        <v>1320</v>
      </c>
      <c r="C168" s="1" t="s">
        <v>1321</v>
      </c>
      <c r="D16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68" s="10">
        <f>SUMIFS(GQList,GIList,Table_ExternalData_17[[#This Row],[item_key]],GTList,Table_ExternalData_17[[#Headers],[GRN]],GDList,"&lt;&gt;"&amp;0)</f>
        <v>0</v>
      </c>
      <c r="F168" s="10">
        <f>SUMIFS(GQList,GIList,Table_ExternalData_17[[#This Row],[item_key]],GTList,Table_ExternalData_17[[#Headers],[VSTR]],GDList,"&lt;&gt;"&amp;0)</f>
        <v>0</v>
      </c>
      <c r="G168" s="10">
        <f>SUMIFS(GQList,GIList,Table_ExternalData_17[[#This Row],[item_key]],GTList,Table_ExternalData_17[[#Headers],[SR]],GDList,"&lt;&gt;"&amp;0)</f>
        <v>0</v>
      </c>
      <c r="H168" s="10">
        <f>SUMIFS(GQList,GIList,Table_ExternalData_17[[#This Row],[item_key]],GTList,Table_ExternalData_17[[#Headers],[TR]],GDList,"&lt;&gt;"&amp;0)</f>
        <v>0</v>
      </c>
      <c r="I168" s="10">
        <f>SUMIFS(GQList,GIList,Table_ExternalData_17[[#This Row],[item_key]],GTList,Table_ExternalData_17[[#Headers],[RCA]],GDList,"&lt;&gt;"&amp;0)</f>
        <v>0</v>
      </c>
      <c r="J168" s="10">
        <f>SUM(Table_ExternalData_17[[#This Row],[GRN]]+Table_ExternalData_17[[#This Row],[VSTR]]+Table_ExternalData_17[[#This Row],[SR]]+Table_ExternalData_17[[#This Row],[TR]]+Table_ExternalData_17[[#This Row],[RCA]])</f>
        <v>0</v>
      </c>
      <c r="K168" s="10">
        <f>SUMIFS(IsQList,IsIList,Table_ExternalData_17[[#This Row],[item_key]],IsITypeList,Table_ExternalData_17[[#Headers],[R/P]],IsDList,"&lt;&gt;"&amp;0)</f>
        <v>0</v>
      </c>
      <c r="L168" s="10">
        <f>SUMIFS(IsQList,IsIList,Table_ExternalData_17[[#This Row],[item_key]],IsITypeList,Table_ExternalData_17[[#Headers],[CST]],IsDList,"&lt;&gt;"&amp;0)</f>
        <v>0</v>
      </c>
      <c r="M168" s="10">
        <f>SUMIFS(IsQList,IsIList,Table_ExternalData_15[[#This Row],[item_key]],IsITypeList,Table_ExternalData_17[[#Headers],[S/I]],IsDList,"&lt;&gt;"&amp;0)</f>
        <v>42</v>
      </c>
      <c r="N168" s="10">
        <f>SUMIFS(IsQList,IsIList,Table_ExternalData_15[[#This Row],[item_key]],IsITypeList,Table_ExternalData_17[[#Headers],[VST]],IsDList,"&lt;&gt;"&amp;0)</f>
        <v>0</v>
      </c>
      <c r="O168" s="10">
        <f>ABS(SUMIFS(IsQList,IsIList,Table_ExternalData_17[[#This Row],[item_key]],IsITypeList,Table_ExternalData_17[[#Headers],[RTN]],IsDList,"&lt;&gt;"&amp;0))</f>
        <v>0</v>
      </c>
      <c r="P168" s="10">
        <f>SUM(Table_ExternalData_17[[#This Row],[R/P]:[RTN]])</f>
        <v>42</v>
      </c>
      <c r="Q168" s="10">
        <f>SUM((Table_ExternalData_17[[#This Row],[Opening]]+Table_ExternalData_17[[#This Row],[Total Receipt]])-ABS(Table_ExternalData_17[[#This Row],[Total Issue]]))</f>
        <v>-42</v>
      </c>
    </row>
    <row r="169" spans="1:17">
      <c r="A169" s="1" t="s">
        <v>563</v>
      </c>
      <c r="B169" s="1" t="s">
        <v>2579</v>
      </c>
      <c r="C169" s="1" t="s">
        <v>2580</v>
      </c>
      <c r="D169" s="10">
        <f>SUMIFS(OPBQList,OPBIList,Table_ExternalData_17[[#This Row],[item_key]])+SUMIFS(GQList,GIList,Table_ExternalData_17[[#This Row],[item_key]],GDList,0)-ABS(SUMIFS(IsQList,IsIList,Table_ExternalData_17[[#This Row],[item_key]],IsDList,0))</f>
        <v>-2</v>
      </c>
      <c r="E169" s="10">
        <f>SUMIFS(GQList,GIList,Table_ExternalData_17[[#This Row],[item_key]],GTList,Table_ExternalData_17[[#Headers],[GRN]],GDList,"&lt;&gt;"&amp;0)</f>
        <v>0</v>
      </c>
      <c r="F169" s="10">
        <f>SUMIFS(GQList,GIList,Table_ExternalData_17[[#This Row],[item_key]],GTList,Table_ExternalData_17[[#Headers],[VSTR]],GDList,"&lt;&gt;"&amp;0)</f>
        <v>0</v>
      </c>
      <c r="G169" s="10">
        <f>SUMIFS(GQList,GIList,Table_ExternalData_17[[#This Row],[item_key]],GTList,Table_ExternalData_17[[#Headers],[SR]],GDList,"&lt;&gt;"&amp;0)</f>
        <v>0</v>
      </c>
      <c r="H169" s="10">
        <f>SUMIFS(GQList,GIList,Table_ExternalData_17[[#This Row],[item_key]],GTList,Table_ExternalData_17[[#Headers],[TR]],GDList,"&lt;&gt;"&amp;0)</f>
        <v>0</v>
      </c>
      <c r="I169" s="10">
        <f>SUMIFS(GQList,GIList,Table_ExternalData_17[[#This Row],[item_key]],GTList,Table_ExternalData_17[[#Headers],[RCA]],GDList,"&lt;&gt;"&amp;0)</f>
        <v>0</v>
      </c>
      <c r="J169" s="10">
        <f>SUM(Table_ExternalData_17[[#This Row],[GRN]]+Table_ExternalData_17[[#This Row],[VSTR]]+Table_ExternalData_17[[#This Row],[SR]]+Table_ExternalData_17[[#This Row],[TR]]+Table_ExternalData_17[[#This Row],[RCA]])</f>
        <v>0</v>
      </c>
      <c r="K169" s="10">
        <f>SUMIFS(IsQList,IsIList,Table_ExternalData_17[[#This Row],[item_key]],IsITypeList,Table_ExternalData_17[[#Headers],[R/P]],IsDList,"&lt;&gt;"&amp;0)</f>
        <v>0</v>
      </c>
      <c r="L169" s="10">
        <f>SUMIFS(IsQList,IsIList,Table_ExternalData_17[[#This Row],[item_key]],IsITypeList,Table_ExternalData_17[[#Headers],[CST]],IsDList,"&lt;&gt;"&amp;0)</f>
        <v>0</v>
      </c>
      <c r="M169" s="10">
        <f>SUMIFS(IsQList,IsIList,Table_ExternalData_15[[#This Row],[item_key]],IsITypeList,Table_ExternalData_17[[#Headers],[S/I]],IsDList,"&lt;&gt;"&amp;0)</f>
        <v>30</v>
      </c>
      <c r="N169" s="10">
        <f>SUMIFS(IsQList,IsIList,Table_ExternalData_15[[#This Row],[item_key]],IsITypeList,Table_ExternalData_17[[#Headers],[VST]],IsDList,"&lt;&gt;"&amp;0)</f>
        <v>0</v>
      </c>
      <c r="O169" s="10">
        <f>ABS(SUMIFS(IsQList,IsIList,Table_ExternalData_17[[#This Row],[item_key]],IsITypeList,Table_ExternalData_17[[#Headers],[RTN]],IsDList,"&lt;&gt;"&amp;0))</f>
        <v>0</v>
      </c>
      <c r="P169" s="10">
        <f>SUM(Table_ExternalData_17[[#This Row],[R/P]:[RTN]])</f>
        <v>30</v>
      </c>
      <c r="Q169" s="10">
        <f>SUM((Table_ExternalData_17[[#This Row],[Opening]]+Table_ExternalData_17[[#This Row],[Total Receipt]])-ABS(Table_ExternalData_17[[#This Row],[Total Issue]]))</f>
        <v>-32</v>
      </c>
    </row>
    <row r="170" spans="1:17">
      <c r="A170" s="1" t="s">
        <v>564</v>
      </c>
      <c r="B170" s="1" t="s">
        <v>1322</v>
      </c>
      <c r="C170" s="1" t="s">
        <v>1323</v>
      </c>
      <c r="D170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170" s="10">
        <f>SUMIFS(GQList,GIList,Table_ExternalData_17[[#This Row],[item_key]],GTList,Table_ExternalData_17[[#Headers],[GRN]],GDList,"&lt;&gt;"&amp;0)</f>
        <v>0</v>
      </c>
      <c r="F170" s="10">
        <f>SUMIFS(GQList,GIList,Table_ExternalData_17[[#This Row],[item_key]],GTList,Table_ExternalData_17[[#Headers],[VSTR]],GDList,"&lt;&gt;"&amp;0)</f>
        <v>0</v>
      </c>
      <c r="G170" s="10">
        <f>SUMIFS(GQList,GIList,Table_ExternalData_17[[#This Row],[item_key]],GTList,Table_ExternalData_17[[#Headers],[SR]],GDList,"&lt;&gt;"&amp;0)</f>
        <v>0</v>
      </c>
      <c r="H170" s="10">
        <f>SUMIFS(GQList,GIList,Table_ExternalData_17[[#This Row],[item_key]],GTList,Table_ExternalData_17[[#Headers],[TR]],GDList,"&lt;&gt;"&amp;0)</f>
        <v>0</v>
      </c>
      <c r="I170" s="10">
        <f>SUMIFS(GQList,GIList,Table_ExternalData_17[[#This Row],[item_key]],GTList,Table_ExternalData_17[[#Headers],[RCA]],GDList,"&lt;&gt;"&amp;0)</f>
        <v>0</v>
      </c>
      <c r="J170" s="10">
        <f>SUM(Table_ExternalData_17[[#This Row],[GRN]]+Table_ExternalData_17[[#This Row],[VSTR]]+Table_ExternalData_17[[#This Row],[SR]]+Table_ExternalData_17[[#This Row],[TR]]+Table_ExternalData_17[[#This Row],[RCA]])</f>
        <v>0</v>
      </c>
      <c r="K170" s="10">
        <f>SUMIFS(IsQList,IsIList,Table_ExternalData_17[[#This Row],[item_key]],IsITypeList,Table_ExternalData_17[[#Headers],[R/P]],IsDList,"&lt;&gt;"&amp;0)</f>
        <v>0</v>
      </c>
      <c r="L170" s="10">
        <f>SUMIFS(IsQList,IsIList,Table_ExternalData_17[[#This Row],[item_key]],IsITypeList,Table_ExternalData_17[[#Headers],[CST]],IsDList,"&lt;&gt;"&amp;0)</f>
        <v>0</v>
      </c>
      <c r="M170" s="10">
        <f>SUMIFS(IsQList,IsIList,Table_ExternalData_15[[#This Row],[item_key]],IsITypeList,Table_ExternalData_17[[#Headers],[S/I]],IsDList,"&lt;&gt;"&amp;0)</f>
        <v>390</v>
      </c>
      <c r="N170" s="10">
        <f>SUMIFS(IsQList,IsIList,Table_ExternalData_15[[#This Row],[item_key]],IsITypeList,Table_ExternalData_17[[#Headers],[VST]],IsDList,"&lt;&gt;"&amp;0)</f>
        <v>0</v>
      </c>
      <c r="O170" s="10">
        <f>ABS(SUMIFS(IsQList,IsIList,Table_ExternalData_17[[#This Row],[item_key]],IsITypeList,Table_ExternalData_17[[#Headers],[RTN]],IsDList,"&lt;&gt;"&amp;0))</f>
        <v>0</v>
      </c>
      <c r="P170" s="10">
        <f>SUM(Table_ExternalData_17[[#This Row],[R/P]:[RTN]])</f>
        <v>390</v>
      </c>
      <c r="Q170" s="10">
        <f>SUM((Table_ExternalData_17[[#This Row],[Opening]]+Table_ExternalData_17[[#This Row],[Total Receipt]])-ABS(Table_ExternalData_17[[#This Row],[Total Issue]]))</f>
        <v>-385</v>
      </c>
    </row>
    <row r="171" spans="1:17">
      <c r="A171" s="1" t="s">
        <v>565</v>
      </c>
      <c r="B171" s="1" t="s">
        <v>1324</v>
      </c>
      <c r="C171" s="1" t="s">
        <v>1325</v>
      </c>
      <c r="D17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71" s="10">
        <f>SUMIFS(GQList,GIList,Table_ExternalData_17[[#This Row],[item_key]],GTList,Table_ExternalData_17[[#Headers],[GRN]],GDList,"&lt;&gt;"&amp;0)</f>
        <v>0</v>
      </c>
      <c r="F171" s="10">
        <f>SUMIFS(GQList,GIList,Table_ExternalData_17[[#This Row],[item_key]],GTList,Table_ExternalData_17[[#Headers],[VSTR]],GDList,"&lt;&gt;"&amp;0)</f>
        <v>0</v>
      </c>
      <c r="G171" s="10">
        <f>SUMIFS(GQList,GIList,Table_ExternalData_17[[#This Row],[item_key]],GTList,Table_ExternalData_17[[#Headers],[SR]],GDList,"&lt;&gt;"&amp;0)</f>
        <v>0</v>
      </c>
      <c r="H171" s="10">
        <f>SUMIFS(GQList,GIList,Table_ExternalData_17[[#This Row],[item_key]],GTList,Table_ExternalData_17[[#Headers],[TR]],GDList,"&lt;&gt;"&amp;0)</f>
        <v>0</v>
      </c>
      <c r="I171" s="10">
        <f>SUMIFS(GQList,GIList,Table_ExternalData_17[[#This Row],[item_key]],GTList,Table_ExternalData_17[[#Headers],[RCA]],GDList,"&lt;&gt;"&amp;0)</f>
        <v>0</v>
      </c>
      <c r="J171" s="10">
        <f>SUM(Table_ExternalData_17[[#This Row],[GRN]]+Table_ExternalData_17[[#This Row],[VSTR]]+Table_ExternalData_17[[#This Row],[SR]]+Table_ExternalData_17[[#This Row],[TR]]+Table_ExternalData_17[[#This Row],[RCA]])</f>
        <v>0</v>
      </c>
      <c r="K171" s="10">
        <f>SUMIFS(IsQList,IsIList,Table_ExternalData_17[[#This Row],[item_key]],IsITypeList,Table_ExternalData_17[[#Headers],[R/P]],IsDList,"&lt;&gt;"&amp;0)</f>
        <v>0</v>
      </c>
      <c r="L171" s="10">
        <f>SUMIFS(IsQList,IsIList,Table_ExternalData_17[[#This Row],[item_key]],IsITypeList,Table_ExternalData_17[[#Headers],[CST]],IsDList,"&lt;&gt;"&amp;0)</f>
        <v>0</v>
      </c>
      <c r="M171" s="10">
        <f>SUMIFS(IsQList,IsIList,Table_ExternalData_15[[#This Row],[item_key]],IsITypeList,Table_ExternalData_17[[#Headers],[S/I]],IsDList,"&lt;&gt;"&amp;0)</f>
        <v>0</v>
      </c>
      <c r="N171" s="10">
        <f>SUMIFS(IsQList,IsIList,Table_ExternalData_15[[#This Row],[item_key]],IsITypeList,Table_ExternalData_17[[#Headers],[VST]],IsDList,"&lt;&gt;"&amp;0)</f>
        <v>0</v>
      </c>
      <c r="O171" s="10">
        <f>ABS(SUMIFS(IsQList,IsIList,Table_ExternalData_17[[#This Row],[item_key]],IsITypeList,Table_ExternalData_17[[#Headers],[RTN]],IsDList,"&lt;&gt;"&amp;0))</f>
        <v>0</v>
      </c>
      <c r="P171" s="10">
        <f>SUM(Table_ExternalData_17[[#This Row],[R/P]:[RTN]])</f>
        <v>0</v>
      </c>
      <c r="Q171" s="10">
        <f>SUM((Table_ExternalData_17[[#This Row],[Opening]]+Table_ExternalData_17[[#This Row],[Total Receipt]])-ABS(Table_ExternalData_17[[#This Row],[Total Issue]]))</f>
        <v>0</v>
      </c>
    </row>
    <row r="172" spans="1:17">
      <c r="A172" s="1" t="s">
        <v>566</v>
      </c>
      <c r="B172" s="1" t="s">
        <v>2581</v>
      </c>
      <c r="C172" s="1" t="s">
        <v>2582</v>
      </c>
      <c r="D172" s="10">
        <f>SUMIFS(OPBQList,OPBIList,Table_ExternalData_17[[#This Row],[item_key]])+SUMIFS(GQList,GIList,Table_ExternalData_17[[#This Row],[item_key]],GDList,0)-ABS(SUMIFS(IsQList,IsIList,Table_ExternalData_17[[#This Row],[item_key]],IsDList,0))</f>
        <v>203</v>
      </c>
      <c r="E172" s="10">
        <f>SUMIFS(GQList,GIList,Table_ExternalData_17[[#This Row],[item_key]],GTList,Table_ExternalData_17[[#Headers],[GRN]],GDList,"&lt;&gt;"&amp;0)</f>
        <v>0</v>
      </c>
      <c r="F172" s="10">
        <f>SUMIFS(GQList,GIList,Table_ExternalData_17[[#This Row],[item_key]],GTList,Table_ExternalData_17[[#Headers],[VSTR]],GDList,"&lt;&gt;"&amp;0)</f>
        <v>0</v>
      </c>
      <c r="G172" s="10">
        <f>SUMIFS(GQList,GIList,Table_ExternalData_17[[#This Row],[item_key]],GTList,Table_ExternalData_17[[#Headers],[SR]],GDList,"&lt;&gt;"&amp;0)</f>
        <v>0</v>
      </c>
      <c r="H172" s="10">
        <f>SUMIFS(GQList,GIList,Table_ExternalData_17[[#This Row],[item_key]],GTList,Table_ExternalData_17[[#Headers],[TR]],GDList,"&lt;&gt;"&amp;0)</f>
        <v>0</v>
      </c>
      <c r="I172" s="10">
        <f>SUMIFS(GQList,GIList,Table_ExternalData_17[[#This Row],[item_key]],GTList,Table_ExternalData_17[[#Headers],[RCA]],GDList,"&lt;&gt;"&amp;0)</f>
        <v>0</v>
      </c>
      <c r="J172" s="10">
        <f>SUM(Table_ExternalData_17[[#This Row],[GRN]]+Table_ExternalData_17[[#This Row],[VSTR]]+Table_ExternalData_17[[#This Row],[SR]]+Table_ExternalData_17[[#This Row],[TR]]+Table_ExternalData_17[[#This Row],[RCA]])</f>
        <v>0</v>
      </c>
      <c r="K172" s="10">
        <f>SUMIFS(IsQList,IsIList,Table_ExternalData_17[[#This Row],[item_key]],IsITypeList,Table_ExternalData_17[[#Headers],[R/P]],IsDList,"&lt;&gt;"&amp;0)</f>
        <v>0</v>
      </c>
      <c r="L172" s="10">
        <f>SUMIFS(IsQList,IsIList,Table_ExternalData_17[[#This Row],[item_key]],IsITypeList,Table_ExternalData_17[[#Headers],[CST]],IsDList,"&lt;&gt;"&amp;0)</f>
        <v>0</v>
      </c>
      <c r="M172" s="10">
        <f>SUMIFS(IsQList,IsIList,Table_ExternalData_15[[#This Row],[item_key]],IsITypeList,Table_ExternalData_17[[#Headers],[S/I]],IsDList,"&lt;&gt;"&amp;0)</f>
        <v>0</v>
      </c>
      <c r="N172" s="10">
        <f>SUMIFS(IsQList,IsIList,Table_ExternalData_15[[#This Row],[item_key]],IsITypeList,Table_ExternalData_17[[#Headers],[VST]],IsDList,"&lt;&gt;"&amp;0)</f>
        <v>0</v>
      </c>
      <c r="O172" s="10">
        <f>ABS(SUMIFS(IsQList,IsIList,Table_ExternalData_17[[#This Row],[item_key]],IsITypeList,Table_ExternalData_17[[#Headers],[RTN]],IsDList,"&lt;&gt;"&amp;0))</f>
        <v>0</v>
      </c>
      <c r="P172" s="10">
        <f>SUM(Table_ExternalData_17[[#This Row],[R/P]:[RTN]])</f>
        <v>0</v>
      </c>
      <c r="Q172" s="10">
        <f>SUM((Table_ExternalData_17[[#This Row],[Opening]]+Table_ExternalData_17[[#This Row],[Total Receipt]])-ABS(Table_ExternalData_17[[#This Row],[Total Issue]]))</f>
        <v>203</v>
      </c>
    </row>
    <row r="173" spans="1:17">
      <c r="A173" s="1" t="s">
        <v>1751</v>
      </c>
      <c r="B173" s="1" t="s">
        <v>2583</v>
      </c>
      <c r="C173" s="1" t="s">
        <v>2584</v>
      </c>
      <c r="D173" s="10">
        <f>SUMIFS(OPBQList,OPBIList,Table_ExternalData_17[[#This Row],[item_key]])+SUMIFS(GQList,GIList,Table_ExternalData_17[[#This Row],[item_key]],GDList,0)-ABS(SUMIFS(IsQList,IsIList,Table_ExternalData_17[[#This Row],[item_key]],IsDList,0))</f>
        <v>179</v>
      </c>
      <c r="E173" s="10">
        <f>SUMIFS(GQList,GIList,Table_ExternalData_17[[#This Row],[item_key]],GTList,Table_ExternalData_17[[#Headers],[GRN]],GDList,"&lt;&gt;"&amp;0)</f>
        <v>0</v>
      </c>
      <c r="F173" s="10">
        <f>SUMIFS(GQList,GIList,Table_ExternalData_17[[#This Row],[item_key]],GTList,Table_ExternalData_17[[#Headers],[VSTR]],GDList,"&lt;&gt;"&amp;0)</f>
        <v>0</v>
      </c>
      <c r="G173" s="10">
        <f>SUMIFS(GQList,GIList,Table_ExternalData_17[[#This Row],[item_key]],GTList,Table_ExternalData_17[[#Headers],[SR]],GDList,"&lt;&gt;"&amp;0)</f>
        <v>0</v>
      </c>
      <c r="H173" s="10">
        <f>SUMIFS(GQList,GIList,Table_ExternalData_17[[#This Row],[item_key]],GTList,Table_ExternalData_17[[#Headers],[TR]],GDList,"&lt;&gt;"&amp;0)</f>
        <v>0</v>
      </c>
      <c r="I173" s="10">
        <f>SUMIFS(GQList,GIList,Table_ExternalData_17[[#This Row],[item_key]],GTList,Table_ExternalData_17[[#Headers],[RCA]],GDList,"&lt;&gt;"&amp;0)</f>
        <v>0</v>
      </c>
      <c r="J173" s="10">
        <f>SUM(Table_ExternalData_17[[#This Row],[GRN]]+Table_ExternalData_17[[#This Row],[VSTR]]+Table_ExternalData_17[[#This Row],[SR]]+Table_ExternalData_17[[#This Row],[TR]]+Table_ExternalData_17[[#This Row],[RCA]])</f>
        <v>0</v>
      </c>
      <c r="K173" s="10">
        <f>SUMIFS(IsQList,IsIList,Table_ExternalData_17[[#This Row],[item_key]],IsITypeList,Table_ExternalData_17[[#Headers],[R/P]],IsDList,"&lt;&gt;"&amp;0)</f>
        <v>0</v>
      </c>
      <c r="L173" s="10">
        <f>SUMIFS(IsQList,IsIList,Table_ExternalData_17[[#This Row],[item_key]],IsITypeList,Table_ExternalData_17[[#Headers],[CST]],IsDList,"&lt;&gt;"&amp;0)</f>
        <v>0</v>
      </c>
      <c r="M173" s="10">
        <f>SUMIFS(IsQList,IsIList,Table_ExternalData_15[[#This Row],[item_key]],IsITypeList,Table_ExternalData_17[[#Headers],[S/I]],IsDList,"&lt;&gt;"&amp;0)</f>
        <v>230</v>
      </c>
      <c r="N173" s="10">
        <f>SUMIFS(IsQList,IsIList,Table_ExternalData_15[[#This Row],[item_key]],IsITypeList,Table_ExternalData_17[[#Headers],[VST]],IsDList,"&lt;&gt;"&amp;0)</f>
        <v>0</v>
      </c>
      <c r="O173" s="10">
        <f>ABS(SUMIFS(IsQList,IsIList,Table_ExternalData_17[[#This Row],[item_key]],IsITypeList,Table_ExternalData_17[[#Headers],[RTN]],IsDList,"&lt;&gt;"&amp;0))</f>
        <v>0</v>
      </c>
      <c r="P173" s="10">
        <f>SUM(Table_ExternalData_17[[#This Row],[R/P]:[RTN]])</f>
        <v>230</v>
      </c>
      <c r="Q173" s="10">
        <f>SUM((Table_ExternalData_17[[#This Row],[Opening]]+Table_ExternalData_17[[#This Row],[Total Receipt]])-ABS(Table_ExternalData_17[[#This Row],[Total Issue]]))</f>
        <v>-51</v>
      </c>
    </row>
    <row r="174" spans="1:17">
      <c r="A174" s="1" t="s">
        <v>1752</v>
      </c>
      <c r="B174" s="1" t="s">
        <v>1403</v>
      </c>
      <c r="C174" s="1" t="s">
        <v>1404</v>
      </c>
      <c r="D174" s="10">
        <f>SUMIFS(OPBQList,OPBIList,Table_ExternalData_17[[#This Row],[item_key]])+SUMIFS(GQList,GIList,Table_ExternalData_17[[#This Row],[item_key]],GDList,0)-ABS(SUMIFS(IsQList,IsIList,Table_ExternalData_17[[#This Row],[item_key]],IsDList,0))</f>
        <v>186</v>
      </c>
      <c r="E174" s="10">
        <f>SUMIFS(GQList,GIList,Table_ExternalData_17[[#This Row],[item_key]],GTList,Table_ExternalData_17[[#Headers],[GRN]],GDList,"&lt;&gt;"&amp;0)</f>
        <v>0</v>
      </c>
      <c r="F174" s="10">
        <f>SUMIFS(GQList,GIList,Table_ExternalData_17[[#This Row],[item_key]],GTList,Table_ExternalData_17[[#Headers],[VSTR]],GDList,"&lt;&gt;"&amp;0)</f>
        <v>0</v>
      </c>
      <c r="G174" s="10">
        <f>SUMIFS(GQList,GIList,Table_ExternalData_17[[#This Row],[item_key]],GTList,Table_ExternalData_17[[#Headers],[SR]],GDList,"&lt;&gt;"&amp;0)</f>
        <v>0</v>
      </c>
      <c r="H174" s="10">
        <f>SUMIFS(GQList,GIList,Table_ExternalData_17[[#This Row],[item_key]],GTList,Table_ExternalData_17[[#Headers],[TR]],GDList,"&lt;&gt;"&amp;0)</f>
        <v>0</v>
      </c>
      <c r="I174" s="10">
        <f>SUMIFS(GQList,GIList,Table_ExternalData_17[[#This Row],[item_key]],GTList,Table_ExternalData_17[[#Headers],[RCA]],GDList,"&lt;&gt;"&amp;0)</f>
        <v>0</v>
      </c>
      <c r="J174" s="10">
        <f>SUM(Table_ExternalData_17[[#This Row],[GRN]]+Table_ExternalData_17[[#This Row],[VSTR]]+Table_ExternalData_17[[#This Row],[SR]]+Table_ExternalData_17[[#This Row],[TR]]+Table_ExternalData_17[[#This Row],[RCA]])</f>
        <v>0</v>
      </c>
      <c r="K174" s="10">
        <f>SUMIFS(IsQList,IsIList,Table_ExternalData_17[[#This Row],[item_key]],IsITypeList,Table_ExternalData_17[[#Headers],[R/P]],IsDList,"&lt;&gt;"&amp;0)</f>
        <v>0</v>
      </c>
      <c r="L174" s="10">
        <f>SUMIFS(IsQList,IsIList,Table_ExternalData_17[[#This Row],[item_key]],IsITypeList,Table_ExternalData_17[[#Headers],[CST]],IsDList,"&lt;&gt;"&amp;0)</f>
        <v>0</v>
      </c>
      <c r="M174" s="10">
        <f>SUMIFS(IsQList,IsIList,Table_ExternalData_15[[#This Row],[item_key]],IsITypeList,Table_ExternalData_17[[#Headers],[S/I]],IsDList,"&lt;&gt;"&amp;0)</f>
        <v>60</v>
      </c>
      <c r="N174" s="10">
        <f>SUMIFS(IsQList,IsIList,Table_ExternalData_15[[#This Row],[item_key]],IsITypeList,Table_ExternalData_17[[#Headers],[VST]],IsDList,"&lt;&gt;"&amp;0)</f>
        <v>0</v>
      </c>
      <c r="O174" s="10">
        <f>ABS(SUMIFS(IsQList,IsIList,Table_ExternalData_17[[#This Row],[item_key]],IsITypeList,Table_ExternalData_17[[#Headers],[RTN]],IsDList,"&lt;&gt;"&amp;0))</f>
        <v>0</v>
      </c>
      <c r="P174" s="10">
        <f>SUM(Table_ExternalData_17[[#This Row],[R/P]:[RTN]])</f>
        <v>60</v>
      </c>
      <c r="Q174" s="10">
        <f>SUM((Table_ExternalData_17[[#This Row],[Opening]]+Table_ExternalData_17[[#This Row],[Total Receipt]])-ABS(Table_ExternalData_17[[#This Row],[Total Issue]]))</f>
        <v>126</v>
      </c>
    </row>
    <row r="175" spans="1:17">
      <c r="A175" s="1" t="s">
        <v>1755</v>
      </c>
      <c r="B175" s="1" t="s">
        <v>2373</v>
      </c>
      <c r="C175" s="1" t="s">
        <v>2374</v>
      </c>
      <c r="D17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75" s="10">
        <f>SUMIFS(GQList,GIList,Table_ExternalData_17[[#This Row],[item_key]],GTList,Table_ExternalData_17[[#Headers],[GRN]],GDList,"&lt;&gt;"&amp;0)</f>
        <v>0</v>
      </c>
      <c r="F175" s="10">
        <f>SUMIFS(GQList,GIList,Table_ExternalData_17[[#This Row],[item_key]],GTList,Table_ExternalData_17[[#Headers],[VSTR]],GDList,"&lt;&gt;"&amp;0)</f>
        <v>0</v>
      </c>
      <c r="G175" s="10">
        <f>SUMIFS(GQList,GIList,Table_ExternalData_17[[#This Row],[item_key]],GTList,Table_ExternalData_17[[#Headers],[SR]],GDList,"&lt;&gt;"&amp;0)</f>
        <v>0</v>
      </c>
      <c r="H175" s="10">
        <f>SUMIFS(GQList,GIList,Table_ExternalData_17[[#This Row],[item_key]],GTList,Table_ExternalData_17[[#Headers],[TR]],GDList,"&lt;&gt;"&amp;0)</f>
        <v>0</v>
      </c>
      <c r="I175" s="10">
        <f>SUMIFS(GQList,GIList,Table_ExternalData_17[[#This Row],[item_key]],GTList,Table_ExternalData_17[[#Headers],[RCA]],GDList,"&lt;&gt;"&amp;0)</f>
        <v>0</v>
      </c>
      <c r="J175" s="10">
        <f>SUM(Table_ExternalData_17[[#This Row],[GRN]]+Table_ExternalData_17[[#This Row],[VSTR]]+Table_ExternalData_17[[#This Row],[SR]]+Table_ExternalData_17[[#This Row],[TR]]+Table_ExternalData_17[[#This Row],[RCA]])</f>
        <v>0</v>
      </c>
      <c r="K175" s="10">
        <f>SUMIFS(IsQList,IsIList,Table_ExternalData_17[[#This Row],[item_key]],IsITypeList,Table_ExternalData_17[[#Headers],[R/P]],IsDList,"&lt;&gt;"&amp;0)</f>
        <v>0</v>
      </c>
      <c r="L175" s="10">
        <f>SUMIFS(IsQList,IsIList,Table_ExternalData_17[[#This Row],[item_key]],IsITypeList,Table_ExternalData_17[[#Headers],[CST]],IsDList,"&lt;&gt;"&amp;0)</f>
        <v>0</v>
      </c>
      <c r="M175" s="10">
        <f>SUMIFS(IsQList,IsIList,Table_ExternalData_15[[#This Row],[item_key]],IsITypeList,Table_ExternalData_17[[#Headers],[S/I]],IsDList,"&lt;&gt;"&amp;0)</f>
        <v>0</v>
      </c>
      <c r="N175" s="10">
        <f>SUMIFS(IsQList,IsIList,Table_ExternalData_15[[#This Row],[item_key]],IsITypeList,Table_ExternalData_17[[#Headers],[VST]],IsDList,"&lt;&gt;"&amp;0)</f>
        <v>0</v>
      </c>
      <c r="O175" s="10">
        <f>ABS(SUMIFS(IsQList,IsIList,Table_ExternalData_17[[#This Row],[item_key]],IsITypeList,Table_ExternalData_17[[#Headers],[RTN]],IsDList,"&lt;&gt;"&amp;0))</f>
        <v>0</v>
      </c>
      <c r="P175" s="10">
        <f>SUM(Table_ExternalData_17[[#This Row],[R/P]:[RTN]])</f>
        <v>0</v>
      </c>
      <c r="Q175" s="10">
        <f>SUM((Table_ExternalData_17[[#This Row],[Opening]]+Table_ExternalData_17[[#This Row],[Total Receipt]])-ABS(Table_ExternalData_17[[#This Row],[Total Issue]]))</f>
        <v>0</v>
      </c>
    </row>
    <row r="176" spans="1:17">
      <c r="A176" s="1" t="s">
        <v>567</v>
      </c>
      <c r="B176" s="1" t="s">
        <v>1326</v>
      </c>
      <c r="C176" s="1" t="s">
        <v>1327</v>
      </c>
      <c r="D17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76" s="10">
        <f>SUMIFS(GQList,GIList,Table_ExternalData_17[[#This Row],[item_key]],GTList,Table_ExternalData_17[[#Headers],[GRN]],GDList,"&lt;&gt;"&amp;0)</f>
        <v>0</v>
      </c>
      <c r="F176" s="10">
        <f>SUMIFS(GQList,GIList,Table_ExternalData_17[[#This Row],[item_key]],GTList,Table_ExternalData_17[[#Headers],[VSTR]],GDList,"&lt;&gt;"&amp;0)</f>
        <v>0</v>
      </c>
      <c r="G176" s="10">
        <f>SUMIFS(GQList,GIList,Table_ExternalData_17[[#This Row],[item_key]],GTList,Table_ExternalData_17[[#Headers],[SR]],GDList,"&lt;&gt;"&amp;0)</f>
        <v>0</v>
      </c>
      <c r="H176" s="10">
        <f>SUMIFS(GQList,GIList,Table_ExternalData_17[[#This Row],[item_key]],GTList,Table_ExternalData_17[[#Headers],[TR]],GDList,"&lt;&gt;"&amp;0)</f>
        <v>0</v>
      </c>
      <c r="I176" s="10">
        <f>SUMIFS(GQList,GIList,Table_ExternalData_17[[#This Row],[item_key]],GTList,Table_ExternalData_17[[#Headers],[RCA]],GDList,"&lt;&gt;"&amp;0)</f>
        <v>0</v>
      </c>
      <c r="J176" s="10">
        <f>SUM(Table_ExternalData_17[[#This Row],[GRN]]+Table_ExternalData_17[[#This Row],[VSTR]]+Table_ExternalData_17[[#This Row],[SR]]+Table_ExternalData_17[[#This Row],[TR]]+Table_ExternalData_17[[#This Row],[RCA]])</f>
        <v>0</v>
      </c>
      <c r="K176" s="10">
        <f>SUMIFS(IsQList,IsIList,Table_ExternalData_17[[#This Row],[item_key]],IsITypeList,Table_ExternalData_17[[#Headers],[R/P]],IsDList,"&lt;&gt;"&amp;0)</f>
        <v>0</v>
      </c>
      <c r="L176" s="10">
        <f>SUMIFS(IsQList,IsIList,Table_ExternalData_17[[#This Row],[item_key]],IsITypeList,Table_ExternalData_17[[#Headers],[CST]],IsDList,"&lt;&gt;"&amp;0)</f>
        <v>0</v>
      </c>
      <c r="M176" s="10">
        <f>SUMIFS(IsQList,IsIList,Table_ExternalData_15[[#This Row],[item_key]],IsITypeList,Table_ExternalData_17[[#Headers],[S/I]],IsDList,"&lt;&gt;"&amp;0)</f>
        <v>90</v>
      </c>
      <c r="N176" s="10">
        <f>SUMIFS(IsQList,IsIList,Table_ExternalData_15[[#This Row],[item_key]],IsITypeList,Table_ExternalData_17[[#Headers],[VST]],IsDList,"&lt;&gt;"&amp;0)</f>
        <v>0</v>
      </c>
      <c r="O176" s="10">
        <f>ABS(SUMIFS(IsQList,IsIList,Table_ExternalData_17[[#This Row],[item_key]],IsITypeList,Table_ExternalData_17[[#Headers],[RTN]],IsDList,"&lt;&gt;"&amp;0))</f>
        <v>0</v>
      </c>
      <c r="P176" s="10">
        <f>SUM(Table_ExternalData_17[[#This Row],[R/P]:[RTN]])</f>
        <v>90</v>
      </c>
      <c r="Q176" s="10">
        <f>SUM((Table_ExternalData_17[[#This Row],[Opening]]+Table_ExternalData_17[[#This Row],[Total Receipt]])-ABS(Table_ExternalData_17[[#This Row],[Total Issue]]))</f>
        <v>-90</v>
      </c>
    </row>
    <row r="177" spans="1:17">
      <c r="A177" s="1" t="s">
        <v>593</v>
      </c>
      <c r="B177" s="1" t="s">
        <v>2585</v>
      </c>
      <c r="C177" s="1" t="s">
        <v>2586</v>
      </c>
      <c r="D177" s="10">
        <f>SUMIFS(OPBQList,OPBIList,Table_ExternalData_17[[#This Row],[item_key]])+SUMIFS(GQList,GIList,Table_ExternalData_17[[#This Row],[item_key]],GDList,0)-ABS(SUMIFS(IsQList,IsIList,Table_ExternalData_17[[#This Row],[item_key]],IsDList,0))</f>
        <v>750</v>
      </c>
      <c r="E177" s="10">
        <f>SUMIFS(GQList,GIList,Table_ExternalData_17[[#This Row],[item_key]],GTList,Table_ExternalData_17[[#Headers],[GRN]],GDList,"&lt;&gt;"&amp;0)</f>
        <v>0</v>
      </c>
      <c r="F177" s="10">
        <f>SUMIFS(GQList,GIList,Table_ExternalData_17[[#This Row],[item_key]],GTList,Table_ExternalData_17[[#Headers],[VSTR]],GDList,"&lt;&gt;"&amp;0)</f>
        <v>0</v>
      </c>
      <c r="G177" s="10">
        <f>SUMIFS(GQList,GIList,Table_ExternalData_17[[#This Row],[item_key]],GTList,Table_ExternalData_17[[#Headers],[SR]],GDList,"&lt;&gt;"&amp;0)</f>
        <v>0</v>
      </c>
      <c r="H177" s="10">
        <f>SUMIFS(GQList,GIList,Table_ExternalData_17[[#This Row],[item_key]],GTList,Table_ExternalData_17[[#Headers],[TR]],GDList,"&lt;&gt;"&amp;0)</f>
        <v>0</v>
      </c>
      <c r="I177" s="10">
        <f>SUMIFS(GQList,GIList,Table_ExternalData_17[[#This Row],[item_key]],GTList,Table_ExternalData_17[[#Headers],[RCA]],GDList,"&lt;&gt;"&amp;0)</f>
        <v>0</v>
      </c>
      <c r="J177" s="10">
        <f>SUM(Table_ExternalData_17[[#This Row],[GRN]]+Table_ExternalData_17[[#This Row],[VSTR]]+Table_ExternalData_17[[#This Row],[SR]]+Table_ExternalData_17[[#This Row],[TR]]+Table_ExternalData_17[[#This Row],[RCA]])</f>
        <v>0</v>
      </c>
      <c r="K177" s="10">
        <f>SUMIFS(IsQList,IsIList,Table_ExternalData_17[[#This Row],[item_key]],IsITypeList,Table_ExternalData_17[[#Headers],[R/P]],IsDList,"&lt;&gt;"&amp;0)</f>
        <v>0</v>
      </c>
      <c r="L177" s="10">
        <f>SUMIFS(IsQList,IsIList,Table_ExternalData_17[[#This Row],[item_key]],IsITypeList,Table_ExternalData_17[[#Headers],[CST]],IsDList,"&lt;&gt;"&amp;0)</f>
        <v>0</v>
      </c>
      <c r="M177" s="10">
        <f>SUMIFS(IsQList,IsIList,Table_ExternalData_15[[#This Row],[item_key]],IsITypeList,Table_ExternalData_17[[#Headers],[S/I]],IsDList,"&lt;&gt;"&amp;0)</f>
        <v>20</v>
      </c>
      <c r="N177" s="10">
        <f>SUMIFS(IsQList,IsIList,Table_ExternalData_15[[#This Row],[item_key]],IsITypeList,Table_ExternalData_17[[#Headers],[VST]],IsDList,"&lt;&gt;"&amp;0)</f>
        <v>0</v>
      </c>
      <c r="O177" s="10">
        <f>ABS(SUMIFS(IsQList,IsIList,Table_ExternalData_17[[#This Row],[item_key]],IsITypeList,Table_ExternalData_17[[#Headers],[RTN]],IsDList,"&lt;&gt;"&amp;0))</f>
        <v>0</v>
      </c>
      <c r="P177" s="10">
        <f>SUM(Table_ExternalData_17[[#This Row],[R/P]:[RTN]])</f>
        <v>20</v>
      </c>
      <c r="Q177" s="10">
        <f>SUM((Table_ExternalData_17[[#This Row],[Opening]]+Table_ExternalData_17[[#This Row],[Total Receipt]])-ABS(Table_ExternalData_17[[#This Row],[Total Issue]]))</f>
        <v>730</v>
      </c>
    </row>
    <row r="178" spans="1:17">
      <c r="A178" s="1" t="s">
        <v>608</v>
      </c>
      <c r="B178" s="1" t="s">
        <v>1328</v>
      </c>
      <c r="C178" s="1" t="s">
        <v>1329</v>
      </c>
      <c r="D17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78" s="10">
        <f>SUMIFS(GQList,GIList,Table_ExternalData_17[[#This Row],[item_key]],GTList,Table_ExternalData_17[[#Headers],[GRN]],GDList,"&lt;&gt;"&amp;0)</f>
        <v>0</v>
      </c>
      <c r="F178" s="10">
        <f>SUMIFS(GQList,GIList,Table_ExternalData_17[[#This Row],[item_key]],GTList,Table_ExternalData_17[[#Headers],[VSTR]],GDList,"&lt;&gt;"&amp;0)</f>
        <v>0</v>
      </c>
      <c r="G178" s="10">
        <f>SUMIFS(GQList,GIList,Table_ExternalData_17[[#This Row],[item_key]],GTList,Table_ExternalData_17[[#Headers],[SR]],GDList,"&lt;&gt;"&amp;0)</f>
        <v>0</v>
      </c>
      <c r="H178" s="10">
        <f>SUMIFS(GQList,GIList,Table_ExternalData_17[[#This Row],[item_key]],GTList,Table_ExternalData_17[[#Headers],[TR]],GDList,"&lt;&gt;"&amp;0)</f>
        <v>0</v>
      </c>
      <c r="I178" s="10">
        <f>SUMIFS(GQList,GIList,Table_ExternalData_17[[#This Row],[item_key]],GTList,Table_ExternalData_17[[#Headers],[RCA]],GDList,"&lt;&gt;"&amp;0)</f>
        <v>0</v>
      </c>
      <c r="J178" s="10">
        <f>SUM(Table_ExternalData_17[[#This Row],[GRN]]+Table_ExternalData_17[[#This Row],[VSTR]]+Table_ExternalData_17[[#This Row],[SR]]+Table_ExternalData_17[[#This Row],[TR]]+Table_ExternalData_17[[#This Row],[RCA]])</f>
        <v>0</v>
      </c>
      <c r="K178" s="10">
        <f>SUMIFS(IsQList,IsIList,Table_ExternalData_17[[#This Row],[item_key]],IsITypeList,Table_ExternalData_17[[#Headers],[R/P]],IsDList,"&lt;&gt;"&amp;0)</f>
        <v>0</v>
      </c>
      <c r="L178" s="10">
        <f>SUMIFS(IsQList,IsIList,Table_ExternalData_17[[#This Row],[item_key]],IsITypeList,Table_ExternalData_17[[#Headers],[CST]],IsDList,"&lt;&gt;"&amp;0)</f>
        <v>0</v>
      </c>
      <c r="M178" s="10">
        <f>SUMIFS(IsQList,IsIList,Table_ExternalData_15[[#This Row],[item_key]],IsITypeList,Table_ExternalData_17[[#Headers],[S/I]],IsDList,"&lt;&gt;"&amp;0)</f>
        <v>0</v>
      </c>
      <c r="N178" s="10">
        <f>SUMIFS(IsQList,IsIList,Table_ExternalData_15[[#This Row],[item_key]],IsITypeList,Table_ExternalData_17[[#Headers],[VST]],IsDList,"&lt;&gt;"&amp;0)</f>
        <v>0</v>
      </c>
      <c r="O178" s="10">
        <f>ABS(SUMIFS(IsQList,IsIList,Table_ExternalData_17[[#This Row],[item_key]],IsITypeList,Table_ExternalData_17[[#Headers],[RTN]],IsDList,"&lt;&gt;"&amp;0))</f>
        <v>0</v>
      </c>
      <c r="P178" s="10">
        <f>SUM(Table_ExternalData_17[[#This Row],[R/P]:[RTN]])</f>
        <v>0</v>
      </c>
      <c r="Q178" s="10">
        <f>SUM((Table_ExternalData_17[[#This Row],[Opening]]+Table_ExternalData_17[[#This Row],[Total Receipt]])-ABS(Table_ExternalData_17[[#This Row],[Total Issue]]))</f>
        <v>0</v>
      </c>
    </row>
    <row r="179" spans="1:17">
      <c r="A179" s="1" t="s">
        <v>609</v>
      </c>
      <c r="B179" s="1" t="s">
        <v>1330</v>
      </c>
      <c r="C179" s="1" t="s">
        <v>1331</v>
      </c>
      <c r="D179" s="10">
        <f>SUMIFS(OPBQList,OPBIList,Table_ExternalData_17[[#This Row],[item_key]])+SUMIFS(GQList,GIList,Table_ExternalData_17[[#This Row],[item_key]],GDList,0)-ABS(SUMIFS(IsQList,IsIList,Table_ExternalData_17[[#This Row],[item_key]],IsDList,0))</f>
        <v>37</v>
      </c>
      <c r="E179" s="10">
        <f>SUMIFS(GQList,GIList,Table_ExternalData_17[[#This Row],[item_key]],GTList,Table_ExternalData_17[[#Headers],[GRN]],GDList,"&lt;&gt;"&amp;0)</f>
        <v>0</v>
      </c>
      <c r="F179" s="10">
        <f>SUMIFS(GQList,GIList,Table_ExternalData_17[[#This Row],[item_key]],GTList,Table_ExternalData_17[[#Headers],[VSTR]],GDList,"&lt;&gt;"&amp;0)</f>
        <v>0</v>
      </c>
      <c r="G179" s="10">
        <f>SUMIFS(GQList,GIList,Table_ExternalData_17[[#This Row],[item_key]],GTList,Table_ExternalData_17[[#Headers],[SR]],GDList,"&lt;&gt;"&amp;0)</f>
        <v>0</v>
      </c>
      <c r="H179" s="10">
        <f>SUMIFS(GQList,GIList,Table_ExternalData_17[[#This Row],[item_key]],GTList,Table_ExternalData_17[[#Headers],[TR]],GDList,"&lt;&gt;"&amp;0)</f>
        <v>0</v>
      </c>
      <c r="I179" s="10">
        <f>SUMIFS(GQList,GIList,Table_ExternalData_17[[#This Row],[item_key]],GTList,Table_ExternalData_17[[#Headers],[RCA]],GDList,"&lt;&gt;"&amp;0)</f>
        <v>0</v>
      </c>
      <c r="J179" s="10">
        <f>SUM(Table_ExternalData_17[[#This Row],[GRN]]+Table_ExternalData_17[[#This Row],[VSTR]]+Table_ExternalData_17[[#This Row],[SR]]+Table_ExternalData_17[[#This Row],[TR]]+Table_ExternalData_17[[#This Row],[RCA]])</f>
        <v>0</v>
      </c>
      <c r="K179" s="10">
        <f>SUMIFS(IsQList,IsIList,Table_ExternalData_17[[#This Row],[item_key]],IsITypeList,Table_ExternalData_17[[#Headers],[R/P]],IsDList,"&lt;&gt;"&amp;0)</f>
        <v>0</v>
      </c>
      <c r="L179" s="10">
        <f>SUMIFS(IsQList,IsIList,Table_ExternalData_17[[#This Row],[item_key]],IsITypeList,Table_ExternalData_17[[#Headers],[CST]],IsDList,"&lt;&gt;"&amp;0)</f>
        <v>0</v>
      </c>
      <c r="M179" s="10">
        <f>SUMIFS(IsQList,IsIList,Table_ExternalData_15[[#This Row],[item_key]],IsITypeList,Table_ExternalData_17[[#Headers],[S/I]],IsDList,"&lt;&gt;"&amp;0)</f>
        <v>0</v>
      </c>
      <c r="N179" s="10">
        <f>SUMIFS(IsQList,IsIList,Table_ExternalData_15[[#This Row],[item_key]],IsITypeList,Table_ExternalData_17[[#Headers],[VST]],IsDList,"&lt;&gt;"&amp;0)</f>
        <v>0</v>
      </c>
      <c r="O179" s="10">
        <f>ABS(SUMIFS(IsQList,IsIList,Table_ExternalData_17[[#This Row],[item_key]],IsITypeList,Table_ExternalData_17[[#Headers],[RTN]],IsDList,"&lt;&gt;"&amp;0))</f>
        <v>0</v>
      </c>
      <c r="P179" s="10">
        <f>SUM(Table_ExternalData_17[[#This Row],[R/P]:[RTN]])</f>
        <v>0</v>
      </c>
      <c r="Q179" s="10">
        <f>SUM((Table_ExternalData_17[[#This Row],[Opening]]+Table_ExternalData_17[[#This Row],[Total Receipt]])-ABS(Table_ExternalData_17[[#This Row],[Total Issue]]))</f>
        <v>37</v>
      </c>
    </row>
    <row r="180" spans="1:17">
      <c r="A180" s="1" t="s">
        <v>610</v>
      </c>
      <c r="B180" s="1" t="s">
        <v>2397</v>
      </c>
      <c r="C180" s="1" t="s">
        <v>2398</v>
      </c>
      <c r="D180" s="10">
        <f>SUMIFS(OPBQList,OPBIList,Table_ExternalData_17[[#This Row],[item_key]])+SUMIFS(GQList,GIList,Table_ExternalData_17[[#This Row],[item_key]],GDList,0)-ABS(SUMIFS(IsQList,IsIList,Table_ExternalData_17[[#This Row],[item_key]],IsDList,0))</f>
        <v>45</v>
      </c>
      <c r="E180" s="10">
        <f>SUMIFS(GQList,GIList,Table_ExternalData_17[[#This Row],[item_key]],GTList,Table_ExternalData_17[[#Headers],[GRN]],GDList,"&lt;&gt;"&amp;0)</f>
        <v>0</v>
      </c>
      <c r="F180" s="10">
        <f>SUMIFS(GQList,GIList,Table_ExternalData_17[[#This Row],[item_key]],GTList,Table_ExternalData_17[[#Headers],[VSTR]],GDList,"&lt;&gt;"&amp;0)</f>
        <v>0</v>
      </c>
      <c r="G180" s="10">
        <f>SUMIFS(GQList,GIList,Table_ExternalData_17[[#This Row],[item_key]],GTList,Table_ExternalData_17[[#Headers],[SR]],GDList,"&lt;&gt;"&amp;0)</f>
        <v>0</v>
      </c>
      <c r="H180" s="10">
        <f>SUMIFS(GQList,GIList,Table_ExternalData_17[[#This Row],[item_key]],GTList,Table_ExternalData_17[[#Headers],[TR]],GDList,"&lt;&gt;"&amp;0)</f>
        <v>0</v>
      </c>
      <c r="I180" s="10">
        <f>SUMIFS(GQList,GIList,Table_ExternalData_17[[#This Row],[item_key]],GTList,Table_ExternalData_17[[#Headers],[RCA]],GDList,"&lt;&gt;"&amp;0)</f>
        <v>0</v>
      </c>
      <c r="J180" s="10">
        <f>SUM(Table_ExternalData_17[[#This Row],[GRN]]+Table_ExternalData_17[[#This Row],[VSTR]]+Table_ExternalData_17[[#This Row],[SR]]+Table_ExternalData_17[[#This Row],[TR]]+Table_ExternalData_17[[#This Row],[RCA]])</f>
        <v>0</v>
      </c>
      <c r="K180" s="10">
        <f>SUMIFS(IsQList,IsIList,Table_ExternalData_17[[#This Row],[item_key]],IsITypeList,Table_ExternalData_17[[#Headers],[R/P]],IsDList,"&lt;&gt;"&amp;0)</f>
        <v>0</v>
      </c>
      <c r="L180" s="10">
        <f>SUMIFS(IsQList,IsIList,Table_ExternalData_17[[#This Row],[item_key]],IsITypeList,Table_ExternalData_17[[#Headers],[CST]],IsDList,"&lt;&gt;"&amp;0)</f>
        <v>0</v>
      </c>
      <c r="M180" s="10">
        <f>SUMIFS(IsQList,IsIList,Table_ExternalData_15[[#This Row],[item_key]],IsITypeList,Table_ExternalData_17[[#Headers],[S/I]],IsDList,"&lt;&gt;"&amp;0)</f>
        <v>305</v>
      </c>
      <c r="N180" s="10">
        <f>SUMIFS(IsQList,IsIList,Table_ExternalData_15[[#This Row],[item_key]],IsITypeList,Table_ExternalData_17[[#Headers],[VST]],IsDList,"&lt;&gt;"&amp;0)</f>
        <v>0</v>
      </c>
      <c r="O180" s="10">
        <f>ABS(SUMIFS(IsQList,IsIList,Table_ExternalData_17[[#This Row],[item_key]],IsITypeList,Table_ExternalData_17[[#Headers],[RTN]],IsDList,"&lt;&gt;"&amp;0))</f>
        <v>0</v>
      </c>
      <c r="P180" s="10">
        <f>SUM(Table_ExternalData_17[[#This Row],[R/P]:[RTN]])</f>
        <v>305</v>
      </c>
      <c r="Q180" s="10">
        <f>SUM((Table_ExternalData_17[[#This Row],[Opening]]+Table_ExternalData_17[[#This Row],[Total Receipt]])-ABS(Table_ExternalData_17[[#This Row],[Total Issue]]))</f>
        <v>-260</v>
      </c>
    </row>
    <row r="181" spans="1:17">
      <c r="A181" s="1" t="s">
        <v>1759</v>
      </c>
      <c r="B181" s="1" t="s">
        <v>2587</v>
      </c>
      <c r="C181" s="1" t="s">
        <v>2588</v>
      </c>
      <c r="D181" s="10">
        <f>SUMIFS(OPBQList,OPBIList,Table_ExternalData_17[[#This Row],[item_key]])+SUMIFS(GQList,GIList,Table_ExternalData_17[[#This Row],[item_key]],GDList,0)-ABS(SUMIFS(IsQList,IsIList,Table_ExternalData_17[[#This Row],[item_key]],IsDList,0))</f>
        <v>32</v>
      </c>
      <c r="E181" s="10">
        <f>SUMIFS(GQList,GIList,Table_ExternalData_17[[#This Row],[item_key]],GTList,Table_ExternalData_17[[#Headers],[GRN]],GDList,"&lt;&gt;"&amp;0)</f>
        <v>0</v>
      </c>
      <c r="F181" s="10">
        <f>SUMIFS(GQList,GIList,Table_ExternalData_17[[#This Row],[item_key]],GTList,Table_ExternalData_17[[#Headers],[VSTR]],GDList,"&lt;&gt;"&amp;0)</f>
        <v>0</v>
      </c>
      <c r="G181" s="10">
        <f>SUMIFS(GQList,GIList,Table_ExternalData_17[[#This Row],[item_key]],GTList,Table_ExternalData_17[[#Headers],[SR]],GDList,"&lt;&gt;"&amp;0)</f>
        <v>0</v>
      </c>
      <c r="H181" s="10">
        <f>SUMIFS(GQList,GIList,Table_ExternalData_17[[#This Row],[item_key]],GTList,Table_ExternalData_17[[#Headers],[TR]],GDList,"&lt;&gt;"&amp;0)</f>
        <v>0</v>
      </c>
      <c r="I181" s="10">
        <f>SUMIFS(GQList,GIList,Table_ExternalData_17[[#This Row],[item_key]],GTList,Table_ExternalData_17[[#Headers],[RCA]],GDList,"&lt;&gt;"&amp;0)</f>
        <v>0</v>
      </c>
      <c r="J181" s="10">
        <f>SUM(Table_ExternalData_17[[#This Row],[GRN]]+Table_ExternalData_17[[#This Row],[VSTR]]+Table_ExternalData_17[[#This Row],[SR]]+Table_ExternalData_17[[#This Row],[TR]]+Table_ExternalData_17[[#This Row],[RCA]])</f>
        <v>0</v>
      </c>
      <c r="K181" s="10">
        <f>SUMIFS(IsQList,IsIList,Table_ExternalData_17[[#This Row],[item_key]],IsITypeList,Table_ExternalData_17[[#Headers],[R/P]],IsDList,"&lt;&gt;"&amp;0)</f>
        <v>0</v>
      </c>
      <c r="L181" s="10">
        <f>SUMIFS(IsQList,IsIList,Table_ExternalData_17[[#This Row],[item_key]],IsITypeList,Table_ExternalData_17[[#Headers],[CST]],IsDList,"&lt;&gt;"&amp;0)</f>
        <v>0</v>
      </c>
      <c r="M181" s="10">
        <f>SUMIFS(IsQList,IsIList,Table_ExternalData_15[[#This Row],[item_key]],IsITypeList,Table_ExternalData_17[[#Headers],[S/I]],IsDList,"&lt;&gt;"&amp;0)</f>
        <v>20</v>
      </c>
      <c r="N181" s="10">
        <f>SUMIFS(IsQList,IsIList,Table_ExternalData_15[[#This Row],[item_key]],IsITypeList,Table_ExternalData_17[[#Headers],[VST]],IsDList,"&lt;&gt;"&amp;0)</f>
        <v>0</v>
      </c>
      <c r="O181" s="10">
        <f>ABS(SUMIFS(IsQList,IsIList,Table_ExternalData_17[[#This Row],[item_key]],IsITypeList,Table_ExternalData_17[[#Headers],[RTN]],IsDList,"&lt;&gt;"&amp;0))</f>
        <v>0</v>
      </c>
      <c r="P181" s="10">
        <f>SUM(Table_ExternalData_17[[#This Row],[R/P]:[RTN]])</f>
        <v>20</v>
      </c>
      <c r="Q181" s="10">
        <f>SUM((Table_ExternalData_17[[#This Row],[Opening]]+Table_ExternalData_17[[#This Row],[Total Receipt]])-ABS(Table_ExternalData_17[[#This Row],[Total Issue]]))</f>
        <v>12</v>
      </c>
    </row>
    <row r="182" spans="1:17">
      <c r="A182" s="1" t="s">
        <v>614</v>
      </c>
      <c r="B182" s="1" t="s">
        <v>2589</v>
      </c>
      <c r="C182" s="1" t="s">
        <v>2590</v>
      </c>
      <c r="D182" s="10">
        <f>SUMIFS(OPBQList,OPBIList,Table_ExternalData_17[[#This Row],[item_key]])+SUMIFS(GQList,GIList,Table_ExternalData_17[[#This Row],[item_key]],GDList,0)-ABS(SUMIFS(IsQList,IsIList,Table_ExternalData_17[[#This Row],[item_key]],IsDList,0))</f>
        <v>371</v>
      </c>
      <c r="E182" s="10">
        <f>SUMIFS(GQList,GIList,Table_ExternalData_17[[#This Row],[item_key]],GTList,Table_ExternalData_17[[#Headers],[GRN]],GDList,"&lt;&gt;"&amp;0)</f>
        <v>0</v>
      </c>
      <c r="F182" s="10">
        <f>SUMIFS(GQList,GIList,Table_ExternalData_17[[#This Row],[item_key]],GTList,Table_ExternalData_17[[#Headers],[VSTR]],GDList,"&lt;&gt;"&amp;0)</f>
        <v>0</v>
      </c>
      <c r="G182" s="10">
        <f>SUMIFS(GQList,GIList,Table_ExternalData_17[[#This Row],[item_key]],GTList,Table_ExternalData_17[[#Headers],[SR]],GDList,"&lt;&gt;"&amp;0)</f>
        <v>0</v>
      </c>
      <c r="H182" s="10">
        <f>SUMIFS(GQList,GIList,Table_ExternalData_17[[#This Row],[item_key]],GTList,Table_ExternalData_17[[#Headers],[TR]],GDList,"&lt;&gt;"&amp;0)</f>
        <v>0</v>
      </c>
      <c r="I182" s="10">
        <f>SUMIFS(GQList,GIList,Table_ExternalData_17[[#This Row],[item_key]],GTList,Table_ExternalData_17[[#Headers],[RCA]],GDList,"&lt;&gt;"&amp;0)</f>
        <v>0</v>
      </c>
      <c r="J182" s="10">
        <f>SUM(Table_ExternalData_17[[#This Row],[GRN]]+Table_ExternalData_17[[#This Row],[VSTR]]+Table_ExternalData_17[[#This Row],[SR]]+Table_ExternalData_17[[#This Row],[TR]]+Table_ExternalData_17[[#This Row],[RCA]])</f>
        <v>0</v>
      </c>
      <c r="K182" s="10">
        <f>SUMIFS(IsQList,IsIList,Table_ExternalData_17[[#This Row],[item_key]],IsITypeList,Table_ExternalData_17[[#Headers],[R/P]],IsDList,"&lt;&gt;"&amp;0)</f>
        <v>0</v>
      </c>
      <c r="L182" s="10">
        <f>SUMIFS(IsQList,IsIList,Table_ExternalData_17[[#This Row],[item_key]],IsITypeList,Table_ExternalData_17[[#Headers],[CST]],IsDList,"&lt;&gt;"&amp;0)</f>
        <v>0</v>
      </c>
      <c r="M182" s="10">
        <f>SUMIFS(IsQList,IsIList,Table_ExternalData_15[[#This Row],[item_key]],IsITypeList,Table_ExternalData_17[[#Headers],[S/I]],IsDList,"&lt;&gt;"&amp;0)</f>
        <v>0</v>
      </c>
      <c r="N182" s="10">
        <f>SUMIFS(IsQList,IsIList,Table_ExternalData_15[[#This Row],[item_key]],IsITypeList,Table_ExternalData_17[[#Headers],[VST]],IsDList,"&lt;&gt;"&amp;0)</f>
        <v>0</v>
      </c>
      <c r="O182" s="10">
        <f>ABS(SUMIFS(IsQList,IsIList,Table_ExternalData_17[[#This Row],[item_key]],IsITypeList,Table_ExternalData_17[[#Headers],[RTN]],IsDList,"&lt;&gt;"&amp;0))</f>
        <v>0</v>
      </c>
      <c r="P182" s="10">
        <f>SUM(Table_ExternalData_17[[#This Row],[R/P]:[RTN]])</f>
        <v>0</v>
      </c>
      <c r="Q182" s="10">
        <f>SUM((Table_ExternalData_17[[#This Row],[Opening]]+Table_ExternalData_17[[#This Row],[Total Receipt]])-ABS(Table_ExternalData_17[[#This Row],[Total Issue]]))</f>
        <v>371</v>
      </c>
    </row>
    <row r="183" spans="1:17">
      <c r="A183" s="1" t="s">
        <v>616</v>
      </c>
      <c r="B183" s="1" t="s">
        <v>1332</v>
      </c>
      <c r="C183" s="1" t="s">
        <v>1333</v>
      </c>
      <c r="D183" s="10">
        <f>SUMIFS(OPBQList,OPBIList,Table_ExternalData_17[[#This Row],[item_key]])+SUMIFS(GQList,GIList,Table_ExternalData_17[[#This Row],[item_key]],GDList,0)-ABS(SUMIFS(IsQList,IsIList,Table_ExternalData_17[[#This Row],[item_key]],IsDList,0))</f>
        <v>12</v>
      </c>
      <c r="E183" s="10">
        <f>SUMIFS(GQList,GIList,Table_ExternalData_17[[#This Row],[item_key]],GTList,Table_ExternalData_17[[#Headers],[GRN]],GDList,"&lt;&gt;"&amp;0)</f>
        <v>0</v>
      </c>
      <c r="F183" s="10">
        <f>SUMIFS(GQList,GIList,Table_ExternalData_17[[#This Row],[item_key]],GTList,Table_ExternalData_17[[#Headers],[VSTR]],GDList,"&lt;&gt;"&amp;0)</f>
        <v>0</v>
      </c>
      <c r="G183" s="10">
        <f>SUMIFS(GQList,GIList,Table_ExternalData_17[[#This Row],[item_key]],GTList,Table_ExternalData_17[[#Headers],[SR]],GDList,"&lt;&gt;"&amp;0)</f>
        <v>0</v>
      </c>
      <c r="H183" s="10">
        <f>SUMIFS(GQList,GIList,Table_ExternalData_17[[#This Row],[item_key]],GTList,Table_ExternalData_17[[#Headers],[TR]],GDList,"&lt;&gt;"&amp;0)</f>
        <v>0</v>
      </c>
      <c r="I183" s="10">
        <f>SUMIFS(GQList,GIList,Table_ExternalData_17[[#This Row],[item_key]],GTList,Table_ExternalData_17[[#Headers],[RCA]],GDList,"&lt;&gt;"&amp;0)</f>
        <v>0</v>
      </c>
      <c r="J183" s="10">
        <f>SUM(Table_ExternalData_17[[#This Row],[GRN]]+Table_ExternalData_17[[#This Row],[VSTR]]+Table_ExternalData_17[[#This Row],[SR]]+Table_ExternalData_17[[#This Row],[TR]]+Table_ExternalData_17[[#This Row],[RCA]])</f>
        <v>0</v>
      </c>
      <c r="K183" s="10">
        <f>SUMIFS(IsQList,IsIList,Table_ExternalData_17[[#This Row],[item_key]],IsITypeList,Table_ExternalData_17[[#Headers],[R/P]],IsDList,"&lt;&gt;"&amp;0)</f>
        <v>0</v>
      </c>
      <c r="L183" s="10">
        <f>SUMIFS(IsQList,IsIList,Table_ExternalData_17[[#This Row],[item_key]],IsITypeList,Table_ExternalData_17[[#Headers],[CST]],IsDList,"&lt;&gt;"&amp;0)</f>
        <v>0</v>
      </c>
      <c r="M183" s="10">
        <f>SUMIFS(IsQList,IsIList,Table_ExternalData_15[[#This Row],[item_key]],IsITypeList,Table_ExternalData_17[[#Headers],[S/I]],IsDList,"&lt;&gt;"&amp;0)</f>
        <v>14</v>
      </c>
      <c r="N183" s="10">
        <f>SUMIFS(IsQList,IsIList,Table_ExternalData_15[[#This Row],[item_key]],IsITypeList,Table_ExternalData_17[[#Headers],[VST]],IsDList,"&lt;&gt;"&amp;0)</f>
        <v>0</v>
      </c>
      <c r="O183" s="10">
        <f>ABS(SUMIFS(IsQList,IsIList,Table_ExternalData_17[[#This Row],[item_key]],IsITypeList,Table_ExternalData_17[[#Headers],[RTN]],IsDList,"&lt;&gt;"&amp;0))</f>
        <v>0</v>
      </c>
      <c r="P183" s="10">
        <f>SUM(Table_ExternalData_17[[#This Row],[R/P]:[RTN]])</f>
        <v>14</v>
      </c>
      <c r="Q183" s="10">
        <f>SUM((Table_ExternalData_17[[#This Row],[Opening]]+Table_ExternalData_17[[#This Row],[Total Receipt]])-ABS(Table_ExternalData_17[[#This Row],[Total Issue]]))</f>
        <v>-2</v>
      </c>
    </row>
    <row r="184" spans="1:17">
      <c r="A184" s="1" t="s">
        <v>617</v>
      </c>
      <c r="B184" s="1" t="s">
        <v>2591</v>
      </c>
      <c r="C184" s="1" t="s">
        <v>2592</v>
      </c>
      <c r="D184" s="10">
        <f>SUMIFS(OPBQList,OPBIList,Table_ExternalData_17[[#This Row],[item_key]])+SUMIFS(GQList,GIList,Table_ExternalData_17[[#This Row],[item_key]],GDList,0)-ABS(SUMIFS(IsQList,IsIList,Table_ExternalData_17[[#This Row],[item_key]],IsDList,0))</f>
        <v>176</v>
      </c>
      <c r="E184" s="10">
        <f>SUMIFS(GQList,GIList,Table_ExternalData_17[[#This Row],[item_key]],GTList,Table_ExternalData_17[[#Headers],[GRN]],GDList,"&lt;&gt;"&amp;0)</f>
        <v>0</v>
      </c>
      <c r="F184" s="10">
        <f>SUMIFS(GQList,GIList,Table_ExternalData_17[[#This Row],[item_key]],GTList,Table_ExternalData_17[[#Headers],[VSTR]],GDList,"&lt;&gt;"&amp;0)</f>
        <v>0</v>
      </c>
      <c r="G184" s="10">
        <f>SUMIFS(GQList,GIList,Table_ExternalData_17[[#This Row],[item_key]],GTList,Table_ExternalData_17[[#Headers],[SR]],GDList,"&lt;&gt;"&amp;0)</f>
        <v>0</v>
      </c>
      <c r="H184" s="10">
        <f>SUMIFS(GQList,GIList,Table_ExternalData_17[[#This Row],[item_key]],GTList,Table_ExternalData_17[[#Headers],[TR]],GDList,"&lt;&gt;"&amp;0)</f>
        <v>0</v>
      </c>
      <c r="I184" s="10">
        <f>SUMIFS(GQList,GIList,Table_ExternalData_17[[#This Row],[item_key]],GTList,Table_ExternalData_17[[#Headers],[RCA]],GDList,"&lt;&gt;"&amp;0)</f>
        <v>0</v>
      </c>
      <c r="J184" s="10">
        <f>SUM(Table_ExternalData_17[[#This Row],[GRN]]+Table_ExternalData_17[[#This Row],[VSTR]]+Table_ExternalData_17[[#This Row],[SR]]+Table_ExternalData_17[[#This Row],[TR]]+Table_ExternalData_17[[#This Row],[RCA]])</f>
        <v>0</v>
      </c>
      <c r="K184" s="10">
        <f>SUMIFS(IsQList,IsIList,Table_ExternalData_17[[#This Row],[item_key]],IsITypeList,Table_ExternalData_17[[#Headers],[R/P]],IsDList,"&lt;&gt;"&amp;0)</f>
        <v>0</v>
      </c>
      <c r="L184" s="10">
        <f>SUMIFS(IsQList,IsIList,Table_ExternalData_17[[#This Row],[item_key]],IsITypeList,Table_ExternalData_17[[#Headers],[CST]],IsDList,"&lt;&gt;"&amp;0)</f>
        <v>0</v>
      </c>
      <c r="M184" s="10">
        <f>SUMIFS(IsQList,IsIList,Table_ExternalData_15[[#This Row],[item_key]],IsITypeList,Table_ExternalData_17[[#Headers],[S/I]],IsDList,"&lt;&gt;"&amp;0)</f>
        <v>89</v>
      </c>
      <c r="N184" s="10">
        <f>SUMIFS(IsQList,IsIList,Table_ExternalData_15[[#This Row],[item_key]],IsITypeList,Table_ExternalData_17[[#Headers],[VST]],IsDList,"&lt;&gt;"&amp;0)</f>
        <v>0</v>
      </c>
      <c r="O184" s="10">
        <f>ABS(SUMIFS(IsQList,IsIList,Table_ExternalData_17[[#This Row],[item_key]],IsITypeList,Table_ExternalData_17[[#Headers],[RTN]],IsDList,"&lt;&gt;"&amp;0))</f>
        <v>0</v>
      </c>
      <c r="P184" s="10">
        <f>SUM(Table_ExternalData_17[[#This Row],[R/P]:[RTN]])</f>
        <v>89</v>
      </c>
      <c r="Q184" s="10">
        <f>SUM((Table_ExternalData_17[[#This Row],[Opening]]+Table_ExternalData_17[[#This Row],[Total Receipt]])-ABS(Table_ExternalData_17[[#This Row],[Total Issue]]))</f>
        <v>87</v>
      </c>
    </row>
    <row r="185" spans="1:17">
      <c r="A185" s="1" t="s">
        <v>618</v>
      </c>
      <c r="B185" s="1" t="s">
        <v>1334</v>
      </c>
      <c r="C185" s="1" t="s">
        <v>1335</v>
      </c>
      <c r="D185" s="10">
        <f>SUMIFS(OPBQList,OPBIList,Table_ExternalData_17[[#This Row],[item_key]])+SUMIFS(GQList,GIList,Table_ExternalData_17[[#This Row],[item_key]],GDList,0)-ABS(SUMIFS(IsQList,IsIList,Table_ExternalData_17[[#This Row],[item_key]],IsDList,0))</f>
        <v>819</v>
      </c>
      <c r="E185" s="10">
        <f>SUMIFS(GQList,GIList,Table_ExternalData_17[[#This Row],[item_key]],GTList,Table_ExternalData_17[[#Headers],[GRN]],GDList,"&lt;&gt;"&amp;0)</f>
        <v>0</v>
      </c>
      <c r="F185" s="10">
        <f>SUMIFS(GQList,GIList,Table_ExternalData_17[[#This Row],[item_key]],GTList,Table_ExternalData_17[[#Headers],[VSTR]],GDList,"&lt;&gt;"&amp;0)</f>
        <v>0</v>
      </c>
      <c r="G185" s="10">
        <f>SUMIFS(GQList,GIList,Table_ExternalData_17[[#This Row],[item_key]],GTList,Table_ExternalData_17[[#Headers],[SR]],GDList,"&lt;&gt;"&amp;0)</f>
        <v>0</v>
      </c>
      <c r="H185" s="10">
        <f>SUMIFS(GQList,GIList,Table_ExternalData_17[[#This Row],[item_key]],GTList,Table_ExternalData_17[[#Headers],[TR]],GDList,"&lt;&gt;"&amp;0)</f>
        <v>0</v>
      </c>
      <c r="I185" s="10">
        <f>SUMIFS(GQList,GIList,Table_ExternalData_17[[#This Row],[item_key]],GTList,Table_ExternalData_17[[#Headers],[RCA]],GDList,"&lt;&gt;"&amp;0)</f>
        <v>0</v>
      </c>
      <c r="J185" s="10">
        <f>SUM(Table_ExternalData_17[[#This Row],[GRN]]+Table_ExternalData_17[[#This Row],[VSTR]]+Table_ExternalData_17[[#This Row],[SR]]+Table_ExternalData_17[[#This Row],[TR]]+Table_ExternalData_17[[#This Row],[RCA]])</f>
        <v>0</v>
      </c>
      <c r="K185" s="10">
        <f>SUMIFS(IsQList,IsIList,Table_ExternalData_17[[#This Row],[item_key]],IsITypeList,Table_ExternalData_17[[#Headers],[R/P]],IsDList,"&lt;&gt;"&amp;0)</f>
        <v>0</v>
      </c>
      <c r="L185" s="10">
        <f>SUMIFS(IsQList,IsIList,Table_ExternalData_17[[#This Row],[item_key]],IsITypeList,Table_ExternalData_17[[#Headers],[CST]],IsDList,"&lt;&gt;"&amp;0)</f>
        <v>0</v>
      </c>
      <c r="M185" s="10">
        <f>SUMIFS(IsQList,IsIList,Table_ExternalData_15[[#This Row],[item_key]],IsITypeList,Table_ExternalData_17[[#Headers],[S/I]],IsDList,"&lt;&gt;"&amp;0)</f>
        <v>124</v>
      </c>
      <c r="N185" s="10">
        <f>SUMIFS(IsQList,IsIList,Table_ExternalData_15[[#This Row],[item_key]],IsITypeList,Table_ExternalData_17[[#Headers],[VST]],IsDList,"&lt;&gt;"&amp;0)</f>
        <v>0</v>
      </c>
      <c r="O185" s="10">
        <f>ABS(SUMIFS(IsQList,IsIList,Table_ExternalData_17[[#This Row],[item_key]],IsITypeList,Table_ExternalData_17[[#Headers],[RTN]],IsDList,"&lt;&gt;"&amp;0))</f>
        <v>0</v>
      </c>
      <c r="P185" s="10">
        <f>SUM(Table_ExternalData_17[[#This Row],[R/P]:[RTN]])</f>
        <v>124</v>
      </c>
      <c r="Q185" s="10">
        <f>SUM((Table_ExternalData_17[[#This Row],[Opening]]+Table_ExternalData_17[[#This Row],[Total Receipt]])-ABS(Table_ExternalData_17[[#This Row],[Total Issue]]))</f>
        <v>695</v>
      </c>
    </row>
    <row r="186" spans="1:17">
      <c r="A186" s="1" t="s">
        <v>622</v>
      </c>
      <c r="B186" s="1" t="s">
        <v>2593</v>
      </c>
      <c r="C186" s="1" t="s">
        <v>2594</v>
      </c>
      <c r="D186" s="10">
        <f>SUMIFS(OPBQList,OPBIList,Table_ExternalData_17[[#This Row],[item_key]])+SUMIFS(GQList,GIList,Table_ExternalData_17[[#This Row],[item_key]],GDList,0)-ABS(SUMIFS(IsQList,IsIList,Table_ExternalData_17[[#This Row],[item_key]],IsDList,0))</f>
        <v>276</v>
      </c>
      <c r="E186" s="10">
        <f>SUMIFS(GQList,GIList,Table_ExternalData_17[[#This Row],[item_key]],GTList,Table_ExternalData_17[[#Headers],[GRN]],GDList,"&lt;&gt;"&amp;0)</f>
        <v>0</v>
      </c>
      <c r="F186" s="10">
        <f>SUMIFS(GQList,GIList,Table_ExternalData_17[[#This Row],[item_key]],GTList,Table_ExternalData_17[[#Headers],[VSTR]],GDList,"&lt;&gt;"&amp;0)</f>
        <v>0</v>
      </c>
      <c r="G186" s="10">
        <f>SUMIFS(GQList,GIList,Table_ExternalData_17[[#This Row],[item_key]],GTList,Table_ExternalData_17[[#Headers],[SR]],GDList,"&lt;&gt;"&amp;0)</f>
        <v>0</v>
      </c>
      <c r="H186" s="10">
        <f>SUMIFS(GQList,GIList,Table_ExternalData_17[[#This Row],[item_key]],GTList,Table_ExternalData_17[[#Headers],[TR]],GDList,"&lt;&gt;"&amp;0)</f>
        <v>0</v>
      </c>
      <c r="I186" s="10">
        <f>SUMIFS(GQList,GIList,Table_ExternalData_17[[#This Row],[item_key]],GTList,Table_ExternalData_17[[#Headers],[RCA]],GDList,"&lt;&gt;"&amp;0)</f>
        <v>0</v>
      </c>
      <c r="J186" s="10">
        <f>SUM(Table_ExternalData_17[[#This Row],[GRN]]+Table_ExternalData_17[[#This Row],[VSTR]]+Table_ExternalData_17[[#This Row],[SR]]+Table_ExternalData_17[[#This Row],[TR]]+Table_ExternalData_17[[#This Row],[RCA]])</f>
        <v>0</v>
      </c>
      <c r="K186" s="10">
        <f>SUMIFS(IsQList,IsIList,Table_ExternalData_17[[#This Row],[item_key]],IsITypeList,Table_ExternalData_17[[#Headers],[R/P]],IsDList,"&lt;&gt;"&amp;0)</f>
        <v>0</v>
      </c>
      <c r="L186" s="10">
        <f>SUMIFS(IsQList,IsIList,Table_ExternalData_17[[#This Row],[item_key]],IsITypeList,Table_ExternalData_17[[#Headers],[CST]],IsDList,"&lt;&gt;"&amp;0)</f>
        <v>0</v>
      </c>
      <c r="M186" s="10">
        <f>SUMIFS(IsQList,IsIList,Table_ExternalData_15[[#This Row],[item_key]],IsITypeList,Table_ExternalData_17[[#Headers],[S/I]],IsDList,"&lt;&gt;"&amp;0)</f>
        <v>4</v>
      </c>
      <c r="N186" s="10">
        <f>SUMIFS(IsQList,IsIList,Table_ExternalData_15[[#This Row],[item_key]],IsITypeList,Table_ExternalData_17[[#Headers],[VST]],IsDList,"&lt;&gt;"&amp;0)</f>
        <v>0</v>
      </c>
      <c r="O186" s="10">
        <f>ABS(SUMIFS(IsQList,IsIList,Table_ExternalData_17[[#This Row],[item_key]],IsITypeList,Table_ExternalData_17[[#Headers],[RTN]],IsDList,"&lt;&gt;"&amp;0))</f>
        <v>0</v>
      </c>
      <c r="P186" s="10">
        <f>SUM(Table_ExternalData_17[[#This Row],[R/P]:[RTN]])</f>
        <v>4</v>
      </c>
      <c r="Q186" s="10">
        <f>SUM((Table_ExternalData_17[[#This Row],[Opening]]+Table_ExternalData_17[[#This Row],[Total Receipt]])-ABS(Table_ExternalData_17[[#This Row],[Total Issue]]))</f>
        <v>272</v>
      </c>
    </row>
    <row r="187" spans="1:17">
      <c r="A187" s="1" t="s">
        <v>1762</v>
      </c>
      <c r="B187" s="1" t="s">
        <v>2595</v>
      </c>
      <c r="C187" s="1" t="s">
        <v>2596</v>
      </c>
      <c r="D187" s="10">
        <f>SUMIFS(OPBQList,OPBIList,Table_ExternalData_17[[#This Row],[item_key]])+SUMIFS(GQList,GIList,Table_ExternalData_17[[#This Row],[item_key]],GDList,0)-ABS(SUMIFS(IsQList,IsIList,Table_ExternalData_17[[#This Row],[item_key]],IsDList,0))</f>
        <v>10</v>
      </c>
      <c r="E187" s="10">
        <f>SUMIFS(GQList,GIList,Table_ExternalData_17[[#This Row],[item_key]],GTList,Table_ExternalData_17[[#Headers],[GRN]],GDList,"&lt;&gt;"&amp;0)</f>
        <v>0</v>
      </c>
      <c r="F187" s="10">
        <f>SUMIFS(GQList,GIList,Table_ExternalData_17[[#This Row],[item_key]],GTList,Table_ExternalData_17[[#Headers],[VSTR]],GDList,"&lt;&gt;"&amp;0)</f>
        <v>0</v>
      </c>
      <c r="G187" s="10">
        <f>SUMIFS(GQList,GIList,Table_ExternalData_17[[#This Row],[item_key]],GTList,Table_ExternalData_17[[#Headers],[SR]],GDList,"&lt;&gt;"&amp;0)</f>
        <v>0</v>
      </c>
      <c r="H187" s="10">
        <f>SUMIFS(GQList,GIList,Table_ExternalData_17[[#This Row],[item_key]],GTList,Table_ExternalData_17[[#Headers],[TR]],GDList,"&lt;&gt;"&amp;0)</f>
        <v>0</v>
      </c>
      <c r="I187" s="10">
        <f>SUMIFS(GQList,GIList,Table_ExternalData_17[[#This Row],[item_key]],GTList,Table_ExternalData_17[[#Headers],[RCA]],GDList,"&lt;&gt;"&amp;0)</f>
        <v>0</v>
      </c>
      <c r="J187" s="10">
        <f>SUM(Table_ExternalData_17[[#This Row],[GRN]]+Table_ExternalData_17[[#This Row],[VSTR]]+Table_ExternalData_17[[#This Row],[SR]]+Table_ExternalData_17[[#This Row],[TR]]+Table_ExternalData_17[[#This Row],[RCA]])</f>
        <v>0</v>
      </c>
      <c r="K187" s="10">
        <f>SUMIFS(IsQList,IsIList,Table_ExternalData_17[[#This Row],[item_key]],IsITypeList,Table_ExternalData_17[[#Headers],[R/P]],IsDList,"&lt;&gt;"&amp;0)</f>
        <v>0</v>
      </c>
      <c r="L187" s="10">
        <f>SUMIFS(IsQList,IsIList,Table_ExternalData_17[[#This Row],[item_key]],IsITypeList,Table_ExternalData_17[[#Headers],[CST]],IsDList,"&lt;&gt;"&amp;0)</f>
        <v>0</v>
      </c>
      <c r="M187" s="10">
        <f>SUMIFS(IsQList,IsIList,Table_ExternalData_15[[#This Row],[item_key]],IsITypeList,Table_ExternalData_17[[#Headers],[S/I]],IsDList,"&lt;&gt;"&amp;0)</f>
        <v>20</v>
      </c>
      <c r="N187" s="10">
        <f>SUMIFS(IsQList,IsIList,Table_ExternalData_15[[#This Row],[item_key]],IsITypeList,Table_ExternalData_17[[#Headers],[VST]],IsDList,"&lt;&gt;"&amp;0)</f>
        <v>0</v>
      </c>
      <c r="O187" s="10">
        <f>ABS(SUMIFS(IsQList,IsIList,Table_ExternalData_17[[#This Row],[item_key]],IsITypeList,Table_ExternalData_17[[#Headers],[RTN]],IsDList,"&lt;&gt;"&amp;0))</f>
        <v>0</v>
      </c>
      <c r="P187" s="10">
        <f>SUM(Table_ExternalData_17[[#This Row],[R/P]:[RTN]])</f>
        <v>20</v>
      </c>
      <c r="Q187" s="10">
        <f>SUM((Table_ExternalData_17[[#This Row],[Opening]]+Table_ExternalData_17[[#This Row],[Total Receipt]])-ABS(Table_ExternalData_17[[#This Row],[Total Issue]]))</f>
        <v>-10</v>
      </c>
    </row>
    <row r="188" spans="1:17">
      <c r="A188" s="1" t="s">
        <v>629</v>
      </c>
      <c r="B188" s="1" t="s">
        <v>2597</v>
      </c>
      <c r="C188" s="1" t="s">
        <v>2352</v>
      </c>
      <c r="D188" s="10">
        <f>SUMIFS(OPBQList,OPBIList,Table_ExternalData_17[[#This Row],[item_key]])+SUMIFS(GQList,GIList,Table_ExternalData_17[[#This Row],[item_key]],GDList,0)-ABS(SUMIFS(IsQList,IsIList,Table_ExternalData_17[[#This Row],[item_key]],IsDList,0))</f>
        <v>330</v>
      </c>
      <c r="E188" s="10">
        <f>SUMIFS(GQList,GIList,Table_ExternalData_17[[#This Row],[item_key]],GTList,Table_ExternalData_17[[#Headers],[GRN]],GDList,"&lt;&gt;"&amp;0)</f>
        <v>0</v>
      </c>
      <c r="F188" s="10">
        <f>SUMIFS(GQList,GIList,Table_ExternalData_17[[#This Row],[item_key]],GTList,Table_ExternalData_17[[#Headers],[VSTR]],GDList,"&lt;&gt;"&amp;0)</f>
        <v>0</v>
      </c>
      <c r="G188" s="10">
        <f>SUMIFS(GQList,GIList,Table_ExternalData_17[[#This Row],[item_key]],GTList,Table_ExternalData_17[[#Headers],[SR]],GDList,"&lt;&gt;"&amp;0)</f>
        <v>0</v>
      </c>
      <c r="H188" s="10">
        <f>SUMIFS(GQList,GIList,Table_ExternalData_17[[#This Row],[item_key]],GTList,Table_ExternalData_17[[#Headers],[TR]],GDList,"&lt;&gt;"&amp;0)</f>
        <v>0</v>
      </c>
      <c r="I188" s="10">
        <f>SUMIFS(GQList,GIList,Table_ExternalData_17[[#This Row],[item_key]],GTList,Table_ExternalData_17[[#Headers],[RCA]],GDList,"&lt;&gt;"&amp;0)</f>
        <v>0</v>
      </c>
      <c r="J188" s="10">
        <f>SUM(Table_ExternalData_17[[#This Row],[GRN]]+Table_ExternalData_17[[#This Row],[VSTR]]+Table_ExternalData_17[[#This Row],[SR]]+Table_ExternalData_17[[#This Row],[TR]]+Table_ExternalData_17[[#This Row],[RCA]])</f>
        <v>0</v>
      </c>
      <c r="K188" s="10">
        <f>SUMIFS(IsQList,IsIList,Table_ExternalData_17[[#This Row],[item_key]],IsITypeList,Table_ExternalData_17[[#Headers],[R/P]],IsDList,"&lt;&gt;"&amp;0)</f>
        <v>0</v>
      </c>
      <c r="L188" s="10">
        <f>SUMIFS(IsQList,IsIList,Table_ExternalData_17[[#This Row],[item_key]],IsITypeList,Table_ExternalData_17[[#Headers],[CST]],IsDList,"&lt;&gt;"&amp;0)</f>
        <v>0</v>
      </c>
      <c r="M188" s="10">
        <f>SUMIFS(IsQList,IsIList,Table_ExternalData_15[[#This Row],[item_key]],IsITypeList,Table_ExternalData_17[[#Headers],[S/I]],IsDList,"&lt;&gt;"&amp;0)</f>
        <v>25</v>
      </c>
      <c r="N188" s="10">
        <f>SUMIFS(IsQList,IsIList,Table_ExternalData_15[[#This Row],[item_key]],IsITypeList,Table_ExternalData_17[[#Headers],[VST]],IsDList,"&lt;&gt;"&amp;0)</f>
        <v>0</v>
      </c>
      <c r="O188" s="10">
        <f>ABS(SUMIFS(IsQList,IsIList,Table_ExternalData_17[[#This Row],[item_key]],IsITypeList,Table_ExternalData_17[[#Headers],[RTN]],IsDList,"&lt;&gt;"&amp;0))</f>
        <v>0</v>
      </c>
      <c r="P188" s="10">
        <f>SUM(Table_ExternalData_17[[#This Row],[R/P]:[RTN]])</f>
        <v>25</v>
      </c>
      <c r="Q188" s="10">
        <f>SUM((Table_ExternalData_17[[#This Row],[Opening]]+Table_ExternalData_17[[#This Row],[Total Receipt]])-ABS(Table_ExternalData_17[[#This Row],[Total Issue]]))</f>
        <v>305</v>
      </c>
    </row>
    <row r="189" spans="1:17">
      <c r="A189" s="1" t="s">
        <v>1763</v>
      </c>
      <c r="B189" s="1" t="s">
        <v>2351</v>
      </c>
      <c r="C189" s="1" t="s">
        <v>2352</v>
      </c>
      <c r="D189" s="10">
        <f>SUMIFS(OPBQList,OPBIList,Table_ExternalData_17[[#This Row],[item_key]])+SUMIFS(GQList,GIList,Table_ExternalData_17[[#This Row],[item_key]],GDList,0)-ABS(SUMIFS(IsQList,IsIList,Table_ExternalData_17[[#This Row],[item_key]],IsDList,0))</f>
        <v>21</v>
      </c>
      <c r="E189" s="10">
        <f>SUMIFS(GQList,GIList,Table_ExternalData_17[[#This Row],[item_key]],GTList,Table_ExternalData_17[[#Headers],[GRN]],GDList,"&lt;&gt;"&amp;0)</f>
        <v>100</v>
      </c>
      <c r="F189" s="10">
        <f>SUMIFS(GQList,GIList,Table_ExternalData_17[[#This Row],[item_key]],GTList,Table_ExternalData_17[[#Headers],[VSTR]],GDList,"&lt;&gt;"&amp;0)</f>
        <v>0</v>
      </c>
      <c r="G189" s="10">
        <f>SUMIFS(GQList,GIList,Table_ExternalData_17[[#This Row],[item_key]],GTList,Table_ExternalData_17[[#Headers],[SR]],GDList,"&lt;&gt;"&amp;0)</f>
        <v>0</v>
      </c>
      <c r="H189" s="10">
        <f>SUMIFS(GQList,GIList,Table_ExternalData_17[[#This Row],[item_key]],GTList,Table_ExternalData_17[[#Headers],[TR]],GDList,"&lt;&gt;"&amp;0)</f>
        <v>0</v>
      </c>
      <c r="I189" s="10">
        <f>SUMIFS(GQList,GIList,Table_ExternalData_17[[#This Row],[item_key]],GTList,Table_ExternalData_17[[#Headers],[RCA]],GDList,"&lt;&gt;"&amp;0)</f>
        <v>0</v>
      </c>
      <c r="J189" s="10">
        <f>SUM(Table_ExternalData_17[[#This Row],[GRN]]+Table_ExternalData_17[[#This Row],[VSTR]]+Table_ExternalData_17[[#This Row],[SR]]+Table_ExternalData_17[[#This Row],[TR]]+Table_ExternalData_17[[#This Row],[RCA]])</f>
        <v>100</v>
      </c>
      <c r="K189" s="10">
        <f>SUMIFS(IsQList,IsIList,Table_ExternalData_17[[#This Row],[item_key]],IsITypeList,Table_ExternalData_17[[#Headers],[R/P]],IsDList,"&lt;&gt;"&amp;0)</f>
        <v>0</v>
      </c>
      <c r="L189" s="10">
        <f>SUMIFS(IsQList,IsIList,Table_ExternalData_17[[#This Row],[item_key]],IsITypeList,Table_ExternalData_17[[#Headers],[CST]],IsDList,"&lt;&gt;"&amp;0)</f>
        <v>0</v>
      </c>
      <c r="M189" s="10">
        <f>SUMIFS(IsQList,IsIList,Table_ExternalData_15[[#This Row],[item_key]],IsITypeList,Table_ExternalData_17[[#Headers],[S/I]],IsDList,"&lt;&gt;"&amp;0)</f>
        <v>0</v>
      </c>
      <c r="N189" s="10">
        <f>SUMIFS(IsQList,IsIList,Table_ExternalData_15[[#This Row],[item_key]],IsITypeList,Table_ExternalData_17[[#Headers],[VST]],IsDList,"&lt;&gt;"&amp;0)</f>
        <v>0</v>
      </c>
      <c r="O189" s="10">
        <f>ABS(SUMIFS(IsQList,IsIList,Table_ExternalData_17[[#This Row],[item_key]],IsITypeList,Table_ExternalData_17[[#Headers],[RTN]],IsDList,"&lt;&gt;"&amp;0))</f>
        <v>0</v>
      </c>
      <c r="P189" s="10">
        <f>SUM(Table_ExternalData_17[[#This Row],[R/P]:[RTN]])</f>
        <v>0</v>
      </c>
      <c r="Q189" s="10">
        <f>SUM((Table_ExternalData_17[[#This Row],[Opening]]+Table_ExternalData_17[[#This Row],[Total Receipt]])-ABS(Table_ExternalData_17[[#This Row],[Total Issue]]))</f>
        <v>121</v>
      </c>
    </row>
    <row r="190" spans="1:17">
      <c r="A190" s="1" t="s">
        <v>1764</v>
      </c>
      <c r="B190" s="1" t="s">
        <v>2598</v>
      </c>
      <c r="C190" s="1" t="s">
        <v>1336</v>
      </c>
      <c r="D190" s="10">
        <f>SUMIFS(OPBQList,OPBIList,Table_ExternalData_17[[#This Row],[item_key]])+SUMIFS(GQList,GIList,Table_ExternalData_17[[#This Row],[item_key]],GDList,0)-ABS(SUMIFS(IsQList,IsIList,Table_ExternalData_17[[#This Row],[item_key]],IsDList,0))</f>
        <v>297</v>
      </c>
      <c r="E190" s="10">
        <f>SUMIFS(GQList,GIList,Table_ExternalData_17[[#This Row],[item_key]],GTList,Table_ExternalData_17[[#Headers],[GRN]],GDList,"&lt;&gt;"&amp;0)</f>
        <v>0</v>
      </c>
      <c r="F190" s="10">
        <f>SUMIFS(GQList,GIList,Table_ExternalData_17[[#This Row],[item_key]],GTList,Table_ExternalData_17[[#Headers],[VSTR]],GDList,"&lt;&gt;"&amp;0)</f>
        <v>0</v>
      </c>
      <c r="G190" s="10">
        <f>SUMIFS(GQList,GIList,Table_ExternalData_17[[#This Row],[item_key]],GTList,Table_ExternalData_17[[#Headers],[SR]],GDList,"&lt;&gt;"&amp;0)</f>
        <v>0</v>
      </c>
      <c r="H190" s="10">
        <f>SUMIFS(GQList,GIList,Table_ExternalData_17[[#This Row],[item_key]],GTList,Table_ExternalData_17[[#Headers],[TR]],GDList,"&lt;&gt;"&amp;0)</f>
        <v>0</v>
      </c>
      <c r="I190" s="10">
        <f>SUMIFS(GQList,GIList,Table_ExternalData_17[[#This Row],[item_key]],GTList,Table_ExternalData_17[[#Headers],[RCA]],GDList,"&lt;&gt;"&amp;0)</f>
        <v>0</v>
      </c>
      <c r="J190" s="10">
        <f>SUM(Table_ExternalData_17[[#This Row],[GRN]]+Table_ExternalData_17[[#This Row],[VSTR]]+Table_ExternalData_17[[#This Row],[SR]]+Table_ExternalData_17[[#This Row],[TR]]+Table_ExternalData_17[[#This Row],[RCA]])</f>
        <v>0</v>
      </c>
      <c r="K190" s="10">
        <f>SUMIFS(IsQList,IsIList,Table_ExternalData_17[[#This Row],[item_key]],IsITypeList,Table_ExternalData_17[[#Headers],[R/P]],IsDList,"&lt;&gt;"&amp;0)</f>
        <v>0</v>
      </c>
      <c r="L190" s="10">
        <f>SUMIFS(IsQList,IsIList,Table_ExternalData_17[[#This Row],[item_key]],IsITypeList,Table_ExternalData_17[[#Headers],[CST]],IsDList,"&lt;&gt;"&amp;0)</f>
        <v>0</v>
      </c>
      <c r="M190" s="10">
        <f>SUMIFS(IsQList,IsIList,Table_ExternalData_15[[#This Row],[item_key]],IsITypeList,Table_ExternalData_17[[#Headers],[S/I]],IsDList,"&lt;&gt;"&amp;0)</f>
        <v>0</v>
      </c>
      <c r="N190" s="10">
        <f>SUMIFS(IsQList,IsIList,Table_ExternalData_15[[#This Row],[item_key]],IsITypeList,Table_ExternalData_17[[#Headers],[VST]],IsDList,"&lt;&gt;"&amp;0)</f>
        <v>0</v>
      </c>
      <c r="O190" s="10">
        <f>ABS(SUMIFS(IsQList,IsIList,Table_ExternalData_17[[#This Row],[item_key]],IsITypeList,Table_ExternalData_17[[#Headers],[RTN]],IsDList,"&lt;&gt;"&amp;0))</f>
        <v>0</v>
      </c>
      <c r="P190" s="10">
        <f>SUM(Table_ExternalData_17[[#This Row],[R/P]:[RTN]])</f>
        <v>0</v>
      </c>
      <c r="Q190" s="10">
        <f>SUM((Table_ExternalData_17[[#This Row],[Opening]]+Table_ExternalData_17[[#This Row],[Total Receipt]])-ABS(Table_ExternalData_17[[#This Row],[Total Issue]]))</f>
        <v>297</v>
      </c>
    </row>
    <row r="191" spans="1:17">
      <c r="A191" s="1" t="s">
        <v>1765</v>
      </c>
      <c r="B191" s="1" t="s">
        <v>2599</v>
      </c>
      <c r="C191" s="1" t="s">
        <v>2600</v>
      </c>
      <c r="D191" s="10">
        <f>SUMIFS(OPBQList,OPBIList,Table_ExternalData_17[[#This Row],[item_key]])+SUMIFS(GQList,GIList,Table_ExternalData_17[[#This Row],[item_key]],GDList,0)-ABS(SUMIFS(IsQList,IsIList,Table_ExternalData_17[[#This Row],[item_key]],IsDList,0))</f>
        <v>3984</v>
      </c>
      <c r="E191" s="10">
        <f>SUMIFS(GQList,GIList,Table_ExternalData_17[[#This Row],[item_key]],GTList,Table_ExternalData_17[[#Headers],[GRN]],GDList,"&lt;&gt;"&amp;0)</f>
        <v>0</v>
      </c>
      <c r="F191" s="10">
        <f>SUMIFS(GQList,GIList,Table_ExternalData_17[[#This Row],[item_key]],GTList,Table_ExternalData_17[[#Headers],[VSTR]],GDList,"&lt;&gt;"&amp;0)</f>
        <v>0</v>
      </c>
      <c r="G191" s="10">
        <f>SUMIFS(GQList,GIList,Table_ExternalData_17[[#This Row],[item_key]],GTList,Table_ExternalData_17[[#Headers],[SR]],GDList,"&lt;&gt;"&amp;0)</f>
        <v>0</v>
      </c>
      <c r="H191" s="10">
        <f>SUMIFS(GQList,GIList,Table_ExternalData_17[[#This Row],[item_key]],GTList,Table_ExternalData_17[[#Headers],[TR]],GDList,"&lt;&gt;"&amp;0)</f>
        <v>0</v>
      </c>
      <c r="I191" s="10">
        <f>SUMIFS(GQList,GIList,Table_ExternalData_17[[#This Row],[item_key]],GTList,Table_ExternalData_17[[#Headers],[RCA]],GDList,"&lt;&gt;"&amp;0)</f>
        <v>0</v>
      </c>
      <c r="J191" s="10">
        <f>SUM(Table_ExternalData_17[[#This Row],[GRN]]+Table_ExternalData_17[[#This Row],[VSTR]]+Table_ExternalData_17[[#This Row],[SR]]+Table_ExternalData_17[[#This Row],[TR]]+Table_ExternalData_17[[#This Row],[RCA]])</f>
        <v>0</v>
      </c>
      <c r="K191" s="10">
        <f>SUMIFS(IsQList,IsIList,Table_ExternalData_17[[#This Row],[item_key]],IsITypeList,Table_ExternalData_17[[#Headers],[R/P]],IsDList,"&lt;&gt;"&amp;0)</f>
        <v>0</v>
      </c>
      <c r="L191" s="10">
        <f>SUMIFS(IsQList,IsIList,Table_ExternalData_17[[#This Row],[item_key]],IsITypeList,Table_ExternalData_17[[#Headers],[CST]],IsDList,"&lt;&gt;"&amp;0)</f>
        <v>0</v>
      </c>
      <c r="M191" s="10">
        <f>SUMIFS(IsQList,IsIList,Table_ExternalData_15[[#This Row],[item_key]],IsITypeList,Table_ExternalData_17[[#Headers],[S/I]],IsDList,"&lt;&gt;"&amp;0)</f>
        <v>0</v>
      </c>
      <c r="N191" s="10">
        <f>SUMIFS(IsQList,IsIList,Table_ExternalData_15[[#This Row],[item_key]],IsITypeList,Table_ExternalData_17[[#Headers],[VST]],IsDList,"&lt;&gt;"&amp;0)</f>
        <v>0</v>
      </c>
      <c r="O191" s="10">
        <f>ABS(SUMIFS(IsQList,IsIList,Table_ExternalData_17[[#This Row],[item_key]],IsITypeList,Table_ExternalData_17[[#Headers],[RTN]],IsDList,"&lt;&gt;"&amp;0))</f>
        <v>0</v>
      </c>
      <c r="P191" s="10">
        <f>SUM(Table_ExternalData_17[[#This Row],[R/P]:[RTN]])</f>
        <v>0</v>
      </c>
      <c r="Q191" s="10">
        <f>SUM((Table_ExternalData_17[[#This Row],[Opening]]+Table_ExternalData_17[[#This Row],[Total Receipt]])-ABS(Table_ExternalData_17[[#This Row],[Total Issue]]))</f>
        <v>3984</v>
      </c>
    </row>
    <row r="192" spans="1:17">
      <c r="A192" s="1" t="s">
        <v>1766</v>
      </c>
      <c r="B192" s="1" t="s">
        <v>2399</v>
      </c>
      <c r="C192" s="1" t="s">
        <v>1336</v>
      </c>
      <c r="D192" s="10">
        <f>SUMIFS(OPBQList,OPBIList,Table_ExternalData_17[[#This Row],[item_key]])+SUMIFS(GQList,GIList,Table_ExternalData_17[[#This Row],[item_key]],GDList,0)-ABS(SUMIFS(IsQList,IsIList,Table_ExternalData_17[[#This Row],[item_key]],IsDList,0))</f>
        <v>167</v>
      </c>
      <c r="E192" s="10">
        <f>SUMIFS(GQList,GIList,Table_ExternalData_17[[#This Row],[item_key]],GTList,Table_ExternalData_17[[#Headers],[GRN]],GDList,"&lt;&gt;"&amp;0)</f>
        <v>0</v>
      </c>
      <c r="F192" s="10">
        <f>SUMIFS(GQList,GIList,Table_ExternalData_17[[#This Row],[item_key]],GTList,Table_ExternalData_17[[#Headers],[VSTR]],GDList,"&lt;&gt;"&amp;0)</f>
        <v>0</v>
      </c>
      <c r="G192" s="10">
        <f>SUMIFS(GQList,GIList,Table_ExternalData_17[[#This Row],[item_key]],GTList,Table_ExternalData_17[[#Headers],[SR]],GDList,"&lt;&gt;"&amp;0)</f>
        <v>0</v>
      </c>
      <c r="H192" s="10">
        <f>SUMIFS(GQList,GIList,Table_ExternalData_17[[#This Row],[item_key]],GTList,Table_ExternalData_17[[#Headers],[TR]],GDList,"&lt;&gt;"&amp;0)</f>
        <v>0</v>
      </c>
      <c r="I192" s="10">
        <f>SUMIFS(GQList,GIList,Table_ExternalData_17[[#This Row],[item_key]],GTList,Table_ExternalData_17[[#Headers],[RCA]],GDList,"&lt;&gt;"&amp;0)</f>
        <v>0</v>
      </c>
      <c r="J192" s="10">
        <f>SUM(Table_ExternalData_17[[#This Row],[GRN]]+Table_ExternalData_17[[#This Row],[VSTR]]+Table_ExternalData_17[[#This Row],[SR]]+Table_ExternalData_17[[#This Row],[TR]]+Table_ExternalData_17[[#This Row],[RCA]])</f>
        <v>0</v>
      </c>
      <c r="K192" s="10">
        <f>SUMIFS(IsQList,IsIList,Table_ExternalData_17[[#This Row],[item_key]],IsITypeList,Table_ExternalData_17[[#Headers],[R/P]],IsDList,"&lt;&gt;"&amp;0)</f>
        <v>0</v>
      </c>
      <c r="L192" s="10">
        <f>SUMIFS(IsQList,IsIList,Table_ExternalData_17[[#This Row],[item_key]],IsITypeList,Table_ExternalData_17[[#Headers],[CST]],IsDList,"&lt;&gt;"&amp;0)</f>
        <v>0</v>
      </c>
      <c r="M192" s="10">
        <f>SUMIFS(IsQList,IsIList,Table_ExternalData_15[[#This Row],[item_key]],IsITypeList,Table_ExternalData_17[[#Headers],[S/I]],IsDList,"&lt;&gt;"&amp;0)</f>
        <v>243</v>
      </c>
      <c r="N192" s="10">
        <f>SUMIFS(IsQList,IsIList,Table_ExternalData_15[[#This Row],[item_key]],IsITypeList,Table_ExternalData_17[[#Headers],[VST]],IsDList,"&lt;&gt;"&amp;0)</f>
        <v>0</v>
      </c>
      <c r="O192" s="10">
        <f>ABS(SUMIFS(IsQList,IsIList,Table_ExternalData_17[[#This Row],[item_key]],IsITypeList,Table_ExternalData_17[[#Headers],[RTN]],IsDList,"&lt;&gt;"&amp;0))</f>
        <v>0</v>
      </c>
      <c r="P192" s="10">
        <f>SUM(Table_ExternalData_17[[#This Row],[R/P]:[RTN]])</f>
        <v>243</v>
      </c>
      <c r="Q192" s="10">
        <f>SUM((Table_ExternalData_17[[#This Row],[Opening]]+Table_ExternalData_17[[#This Row],[Total Receipt]])-ABS(Table_ExternalData_17[[#This Row],[Total Issue]]))</f>
        <v>-76</v>
      </c>
    </row>
    <row r="193" spans="1:17">
      <c r="A193" s="1" t="s">
        <v>634</v>
      </c>
      <c r="B193" s="1" t="s">
        <v>2601</v>
      </c>
      <c r="C193" s="1" t="s">
        <v>2602</v>
      </c>
      <c r="D193" s="10">
        <f>SUMIFS(OPBQList,OPBIList,Table_ExternalData_17[[#This Row],[item_key]])+SUMIFS(GQList,GIList,Table_ExternalData_17[[#This Row],[item_key]],GDList,0)-ABS(SUMIFS(IsQList,IsIList,Table_ExternalData_17[[#This Row],[item_key]],IsDList,0))</f>
        <v>450</v>
      </c>
      <c r="E193" s="10">
        <f>SUMIFS(GQList,GIList,Table_ExternalData_17[[#This Row],[item_key]],GTList,Table_ExternalData_17[[#Headers],[GRN]],GDList,"&lt;&gt;"&amp;0)</f>
        <v>0</v>
      </c>
      <c r="F193" s="10">
        <f>SUMIFS(GQList,GIList,Table_ExternalData_17[[#This Row],[item_key]],GTList,Table_ExternalData_17[[#Headers],[VSTR]],GDList,"&lt;&gt;"&amp;0)</f>
        <v>0</v>
      </c>
      <c r="G193" s="10">
        <f>SUMIFS(GQList,GIList,Table_ExternalData_17[[#This Row],[item_key]],GTList,Table_ExternalData_17[[#Headers],[SR]],GDList,"&lt;&gt;"&amp;0)</f>
        <v>0</v>
      </c>
      <c r="H193" s="10">
        <f>SUMIFS(GQList,GIList,Table_ExternalData_17[[#This Row],[item_key]],GTList,Table_ExternalData_17[[#Headers],[TR]],GDList,"&lt;&gt;"&amp;0)</f>
        <v>0</v>
      </c>
      <c r="I193" s="10">
        <f>SUMIFS(GQList,GIList,Table_ExternalData_17[[#This Row],[item_key]],GTList,Table_ExternalData_17[[#Headers],[RCA]],GDList,"&lt;&gt;"&amp;0)</f>
        <v>0</v>
      </c>
      <c r="J193" s="10">
        <f>SUM(Table_ExternalData_17[[#This Row],[GRN]]+Table_ExternalData_17[[#This Row],[VSTR]]+Table_ExternalData_17[[#This Row],[SR]]+Table_ExternalData_17[[#This Row],[TR]]+Table_ExternalData_17[[#This Row],[RCA]])</f>
        <v>0</v>
      </c>
      <c r="K193" s="10">
        <f>SUMIFS(IsQList,IsIList,Table_ExternalData_17[[#This Row],[item_key]],IsITypeList,Table_ExternalData_17[[#Headers],[R/P]],IsDList,"&lt;&gt;"&amp;0)</f>
        <v>0</v>
      </c>
      <c r="L193" s="10">
        <f>SUMIFS(IsQList,IsIList,Table_ExternalData_17[[#This Row],[item_key]],IsITypeList,Table_ExternalData_17[[#Headers],[CST]],IsDList,"&lt;&gt;"&amp;0)</f>
        <v>0</v>
      </c>
      <c r="M193" s="10">
        <f>SUMIFS(IsQList,IsIList,Table_ExternalData_15[[#This Row],[item_key]],IsITypeList,Table_ExternalData_17[[#Headers],[S/I]],IsDList,"&lt;&gt;"&amp;0)</f>
        <v>10</v>
      </c>
      <c r="N193" s="10">
        <f>SUMIFS(IsQList,IsIList,Table_ExternalData_15[[#This Row],[item_key]],IsITypeList,Table_ExternalData_17[[#Headers],[VST]],IsDList,"&lt;&gt;"&amp;0)</f>
        <v>0</v>
      </c>
      <c r="O193" s="10">
        <f>ABS(SUMIFS(IsQList,IsIList,Table_ExternalData_17[[#This Row],[item_key]],IsITypeList,Table_ExternalData_17[[#Headers],[RTN]],IsDList,"&lt;&gt;"&amp;0))</f>
        <v>0</v>
      </c>
      <c r="P193" s="10">
        <f>SUM(Table_ExternalData_17[[#This Row],[R/P]:[RTN]])</f>
        <v>10</v>
      </c>
      <c r="Q193" s="10">
        <f>SUM((Table_ExternalData_17[[#This Row],[Opening]]+Table_ExternalData_17[[#This Row],[Total Receipt]])-ABS(Table_ExternalData_17[[#This Row],[Total Issue]]))</f>
        <v>440</v>
      </c>
    </row>
    <row r="194" spans="1:17">
      <c r="A194" s="1" t="s">
        <v>635</v>
      </c>
      <c r="B194" s="1" t="s">
        <v>2603</v>
      </c>
      <c r="C194" s="1" t="s">
        <v>2604</v>
      </c>
      <c r="D194" s="10">
        <f>SUMIFS(OPBQList,OPBIList,Table_ExternalData_17[[#This Row],[item_key]])+SUMIFS(GQList,GIList,Table_ExternalData_17[[#This Row],[item_key]],GDList,0)-ABS(SUMIFS(IsQList,IsIList,Table_ExternalData_17[[#This Row],[item_key]],IsDList,0))</f>
        <v>4148</v>
      </c>
      <c r="E194" s="10">
        <f>SUMIFS(GQList,GIList,Table_ExternalData_17[[#This Row],[item_key]],GTList,Table_ExternalData_17[[#Headers],[GRN]],GDList,"&lt;&gt;"&amp;0)</f>
        <v>0</v>
      </c>
      <c r="F194" s="10">
        <f>SUMIFS(GQList,GIList,Table_ExternalData_17[[#This Row],[item_key]],GTList,Table_ExternalData_17[[#Headers],[VSTR]],GDList,"&lt;&gt;"&amp;0)</f>
        <v>0</v>
      </c>
      <c r="G194" s="10">
        <f>SUMIFS(GQList,GIList,Table_ExternalData_17[[#This Row],[item_key]],GTList,Table_ExternalData_17[[#Headers],[SR]],GDList,"&lt;&gt;"&amp;0)</f>
        <v>0</v>
      </c>
      <c r="H194" s="10">
        <f>SUMIFS(GQList,GIList,Table_ExternalData_17[[#This Row],[item_key]],GTList,Table_ExternalData_17[[#Headers],[TR]],GDList,"&lt;&gt;"&amp;0)</f>
        <v>0</v>
      </c>
      <c r="I194" s="10">
        <f>SUMIFS(GQList,GIList,Table_ExternalData_17[[#This Row],[item_key]],GTList,Table_ExternalData_17[[#Headers],[RCA]],GDList,"&lt;&gt;"&amp;0)</f>
        <v>0</v>
      </c>
      <c r="J194" s="10">
        <f>SUM(Table_ExternalData_17[[#This Row],[GRN]]+Table_ExternalData_17[[#This Row],[VSTR]]+Table_ExternalData_17[[#This Row],[SR]]+Table_ExternalData_17[[#This Row],[TR]]+Table_ExternalData_17[[#This Row],[RCA]])</f>
        <v>0</v>
      </c>
      <c r="K194" s="10">
        <f>SUMIFS(IsQList,IsIList,Table_ExternalData_17[[#This Row],[item_key]],IsITypeList,Table_ExternalData_17[[#Headers],[R/P]],IsDList,"&lt;&gt;"&amp;0)</f>
        <v>0</v>
      </c>
      <c r="L194" s="10">
        <f>SUMIFS(IsQList,IsIList,Table_ExternalData_17[[#This Row],[item_key]],IsITypeList,Table_ExternalData_17[[#Headers],[CST]],IsDList,"&lt;&gt;"&amp;0)</f>
        <v>0</v>
      </c>
      <c r="M194" s="10">
        <f>SUMIFS(IsQList,IsIList,Table_ExternalData_15[[#This Row],[item_key]],IsITypeList,Table_ExternalData_17[[#Headers],[S/I]],IsDList,"&lt;&gt;"&amp;0)</f>
        <v>0</v>
      </c>
      <c r="N194" s="10">
        <f>SUMIFS(IsQList,IsIList,Table_ExternalData_15[[#This Row],[item_key]],IsITypeList,Table_ExternalData_17[[#Headers],[VST]],IsDList,"&lt;&gt;"&amp;0)</f>
        <v>0</v>
      </c>
      <c r="O194" s="10">
        <f>ABS(SUMIFS(IsQList,IsIList,Table_ExternalData_17[[#This Row],[item_key]],IsITypeList,Table_ExternalData_17[[#Headers],[RTN]],IsDList,"&lt;&gt;"&amp;0))</f>
        <v>0</v>
      </c>
      <c r="P194" s="10">
        <f>SUM(Table_ExternalData_17[[#This Row],[R/P]:[RTN]])</f>
        <v>0</v>
      </c>
      <c r="Q194" s="10">
        <f>SUM((Table_ExternalData_17[[#This Row],[Opening]]+Table_ExternalData_17[[#This Row],[Total Receipt]])-ABS(Table_ExternalData_17[[#This Row],[Total Issue]]))</f>
        <v>4148</v>
      </c>
    </row>
    <row r="195" spans="1:17">
      <c r="A195" s="1" t="s">
        <v>636</v>
      </c>
      <c r="B195" s="1" t="s">
        <v>2605</v>
      </c>
      <c r="C195" s="1" t="s">
        <v>1338</v>
      </c>
      <c r="D195" s="10">
        <f>SUMIFS(OPBQList,OPBIList,Table_ExternalData_17[[#This Row],[item_key]])+SUMIFS(GQList,GIList,Table_ExternalData_17[[#This Row],[item_key]],GDList,0)-ABS(SUMIFS(IsQList,IsIList,Table_ExternalData_17[[#This Row],[item_key]],IsDList,0))</f>
        <v>1431</v>
      </c>
      <c r="E195" s="10">
        <f>SUMIFS(GQList,GIList,Table_ExternalData_17[[#This Row],[item_key]],GTList,Table_ExternalData_17[[#Headers],[GRN]],GDList,"&lt;&gt;"&amp;0)</f>
        <v>0</v>
      </c>
      <c r="F195" s="10">
        <f>SUMIFS(GQList,GIList,Table_ExternalData_17[[#This Row],[item_key]],GTList,Table_ExternalData_17[[#Headers],[VSTR]],GDList,"&lt;&gt;"&amp;0)</f>
        <v>0</v>
      </c>
      <c r="G195" s="10">
        <f>SUMIFS(GQList,GIList,Table_ExternalData_17[[#This Row],[item_key]],GTList,Table_ExternalData_17[[#Headers],[SR]],GDList,"&lt;&gt;"&amp;0)</f>
        <v>0</v>
      </c>
      <c r="H195" s="10">
        <f>SUMIFS(GQList,GIList,Table_ExternalData_17[[#This Row],[item_key]],GTList,Table_ExternalData_17[[#Headers],[TR]],GDList,"&lt;&gt;"&amp;0)</f>
        <v>0</v>
      </c>
      <c r="I195" s="10">
        <f>SUMIFS(GQList,GIList,Table_ExternalData_17[[#This Row],[item_key]],GTList,Table_ExternalData_17[[#Headers],[RCA]],GDList,"&lt;&gt;"&amp;0)</f>
        <v>0</v>
      </c>
      <c r="J195" s="10">
        <f>SUM(Table_ExternalData_17[[#This Row],[GRN]]+Table_ExternalData_17[[#This Row],[VSTR]]+Table_ExternalData_17[[#This Row],[SR]]+Table_ExternalData_17[[#This Row],[TR]]+Table_ExternalData_17[[#This Row],[RCA]])</f>
        <v>0</v>
      </c>
      <c r="K195" s="10">
        <f>SUMIFS(IsQList,IsIList,Table_ExternalData_17[[#This Row],[item_key]],IsITypeList,Table_ExternalData_17[[#Headers],[R/P]],IsDList,"&lt;&gt;"&amp;0)</f>
        <v>0</v>
      </c>
      <c r="L195" s="10">
        <f>SUMIFS(IsQList,IsIList,Table_ExternalData_17[[#This Row],[item_key]],IsITypeList,Table_ExternalData_17[[#Headers],[CST]],IsDList,"&lt;&gt;"&amp;0)</f>
        <v>0</v>
      </c>
      <c r="M195" s="10">
        <f>SUMIFS(IsQList,IsIList,Table_ExternalData_15[[#This Row],[item_key]],IsITypeList,Table_ExternalData_17[[#Headers],[S/I]],IsDList,"&lt;&gt;"&amp;0)</f>
        <v>30</v>
      </c>
      <c r="N195" s="10">
        <f>SUMIFS(IsQList,IsIList,Table_ExternalData_15[[#This Row],[item_key]],IsITypeList,Table_ExternalData_17[[#Headers],[VST]],IsDList,"&lt;&gt;"&amp;0)</f>
        <v>0</v>
      </c>
      <c r="O195" s="10">
        <f>ABS(SUMIFS(IsQList,IsIList,Table_ExternalData_17[[#This Row],[item_key]],IsITypeList,Table_ExternalData_17[[#Headers],[RTN]],IsDList,"&lt;&gt;"&amp;0))</f>
        <v>0</v>
      </c>
      <c r="P195" s="10">
        <f>SUM(Table_ExternalData_17[[#This Row],[R/P]:[RTN]])</f>
        <v>30</v>
      </c>
      <c r="Q195" s="10">
        <f>SUM((Table_ExternalData_17[[#This Row],[Opening]]+Table_ExternalData_17[[#This Row],[Total Receipt]])-ABS(Table_ExternalData_17[[#This Row],[Total Issue]]))</f>
        <v>1401</v>
      </c>
    </row>
    <row r="196" spans="1:17">
      <c r="A196" s="1" t="s">
        <v>637</v>
      </c>
      <c r="B196" s="1" t="s">
        <v>2606</v>
      </c>
      <c r="C196" s="1" t="s">
        <v>1338</v>
      </c>
      <c r="D196" s="10">
        <f>SUMIFS(OPBQList,OPBIList,Table_ExternalData_17[[#This Row],[item_key]])+SUMIFS(GQList,GIList,Table_ExternalData_17[[#This Row],[item_key]],GDList,0)-ABS(SUMIFS(IsQList,IsIList,Table_ExternalData_17[[#This Row],[item_key]],IsDList,0))</f>
        <v>1970</v>
      </c>
      <c r="E196" s="10">
        <f>SUMIFS(GQList,GIList,Table_ExternalData_17[[#This Row],[item_key]],GTList,Table_ExternalData_17[[#Headers],[GRN]],GDList,"&lt;&gt;"&amp;0)</f>
        <v>0</v>
      </c>
      <c r="F196" s="10">
        <f>SUMIFS(GQList,GIList,Table_ExternalData_17[[#This Row],[item_key]],GTList,Table_ExternalData_17[[#Headers],[VSTR]],GDList,"&lt;&gt;"&amp;0)</f>
        <v>0</v>
      </c>
      <c r="G196" s="10">
        <f>SUMIFS(GQList,GIList,Table_ExternalData_17[[#This Row],[item_key]],GTList,Table_ExternalData_17[[#Headers],[SR]],GDList,"&lt;&gt;"&amp;0)</f>
        <v>0</v>
      </c>
      <c r="H196" s="10">
        <f>SUMIFS(GQList,GIList,Table_ExternalData_17[[#This Row],[item_key]],GTList,Table_ExternalData_17[[#Headers],[TR]],GDList,"&lt;&gt;"&amp;0)</f>
        <v>0</v>
      </c>
      <c r="I196" s="10">
        <f>SUMIFS(GQList,GIList,Table_ExternalData_17[[#This Row],[item_key]],GTList,Table_ExternalData_17[[#Headers],[RCA]],GDList,"&lt;&gt;"&amp;0)</f>
        <v>0</v>
      </c>
      <c r="J196" s="10">
        <f>SUM(Table_ExternalData_17[[#This Row],[GRN]]+Table_ExternalData_17[[#This Row],[VSTR]]+Table_ExternalData_17[[#This Row],[SR]]+Table_ExternalData_17[[#This Row],[TR]]+Table_ExternalData_17[[#This Row],[RCA]])</f>
        <v>0</v>
      </c>
      <c r="K196" s="10">
        <f>SUMIFS(IsQList,IsIList,Table_ExternalData_17[[#This Row],[item_key]],IsITypeList,Table_ExternalData_17[[#Headers],[R/P]],IsDList,"&lt;&gt;"&amp;0)</f>
        <v>0</v>
      </c>
      <c r="L196" s="10">
        <f>SUMIFS(IsQList,IsIList,Table_ExternalData_17[[#This Row],[item_key]],IsITypeList,Table_ExternalData_17[[#Headers],[CST]],IsDList,"&lt;&gt;"&amp;0)</f>
        <v>0</v>
      </c>
      <c r="M196" s="10">
        <f>SUMIFS(IsQList,IsIList,Table_ExternalData_15[[#This Row],[item_key]],IsITypeList,Table_ExternalData_17[[#Headers],[S/I]],IsDList,"&lt;&gt;"&amp;0)</f>
        <v>0</v>
      </c>
      <c r="N196" s="10">
        <f>SUMIFS(IsQList,IsIList,Table_ExternalData_15[[#This Row],[item_key]],IsITypeList,Table_ExternalData_17[[#Headers],[VST]],IsDList,"&lt;&gt;"&amp;0)</f>
        <v>0</v>
      </c>
      <c r="O196" s="10">
        <f>ABS(SUMIFS(IsQList,IsIList,Table_ExternalData_17[[#This Row],[item_key]],IsITypeList,Table_ExternalData_17[[#Headers],[RTN]],IsDList,"&lt;&gt;"&amp;0))</f>
        <v>0</v>
      </c>
      <c r="P196" s="10">
        <f>SUM(Table_ExternalData_17[[#This Row],[R/P]:[RTN]])</f>
        <v>0</v>
      </c>
      <c r="Q196" s="10">
        <f>SUM((Table_ExternalData_17[[#This Row],[Opening]]+Table_ExternalData_17[[#This Row],[Total Receipt]])-ABS(Table_ExternalData_17[[#This Row],[Total Issue]]))</f>
        <v>1970</v>
      </c>
    </row>
    <row r="197" spans="1:17">
      <c r="A197" s="1" t="s">
        <v>638</v>
      </c>
      <c r="B197" s="1" t="s">
        <v>1337</v>
      </c>
      <c r="C197" s="1" t="s">
        <v>1338</v>
      </c>
      <c r="D197" s="10">
        <f>SUMIFS(OPBQList,OPBIList,Table_ExternalData_17[[#This Row],[item_key]])+SUMIFS(GQList,GIList,Table_ExternalData_17[[#This Row],[item_key]],GDList,0)-ABS(SUMIFS(IsQList,IsIList,Table_ExternalData_17[[#This Row],[item_key]],IsDList,0))</f>
        <v>75</v>
      </c>
      <c r="E197" s="10">
        <f>SUMIFS(GQList,GIList,Table_ExternalData_17[[#This Row],[item_key]],GTList,Table_ExternalData_17[[#Headers],[GRN]],GDList,"&lt;&gt;"&amp;0)</f>
        <v>0</v>
      </c>
      <c r="F197" s="10">
        <f>SUMIFS(GQList,GIList,Table_ExternalData_17[[#This Row],[item_key]],GTList,Table_ExternalData_17[[#Headers],[VSTR]],GDList,"&lt;&gt;"&amp;0)</f>
        <v>0</v>
      </c>
      <c r="G197" s="10">
        <f>SUMIFS(GQList,GIList,Table_ExternalData_17[[#This Row],[item_key]],GTList,Table_ExternalData_17[[#Headers],[SR]],GDList,"&lt;&gt;"&amp;0)</f>
        <v>0</v>
      </c>
      <c r="H197" s="10">
        <f>SUMIFS(GQList,GIList,Table_ExternalData_17[[#This Row],[item_key]],GTList,Table_ExternalData_17[[#Headers],[TR]],GDList,"&lt;&gt;"&amp;0)</f>
        <v>0</v>
      </c>
      <c r="I197" s="10">
        <f>SUMIFS(GQList,GIList,Table_ExternalData_17[[#This Row],[item_key]],GTList,Table_ExternalData_17[[#Headers],[RCA]],GDList,"&lt;&gt;"&amp;0)</f>
        <v>0</v>
      </c>
      <c r="J197" s="10">
        <f>SUM(Table_ExternalData_17[[#This Row],[GRN]]+Table_ExternalData_17[[#This Row],[VSTR]]+Table_ExternalData_17[[#This Row],[SR]]+Table_ExternalData_17[[#This Row],[TR]]+Table_ExternalData_17[[#This Row],[RCA]])</f>
        <v>0</v>
      </c>
      <c r="K197" s="10">
        <f>SUMIFS(IsQList,IsIList,Table_ExternalData_17[[#This Row],[item_key]],IsITypeList,Table_ExternalData_17[[#Headers],[R/P]],IsDList,"&lt;&gt;"&amp;0)</f>
        <v>0</v>
      </c>
      <c r="L197" s="10">
        <f>SUMIFS(IsQList,IsIList,Table_ExternalData_17[[#This Row],[item_key]],IsITypeList,Table_ExternalData_17[[#Headers],[CST]],IsDList,"&lt;&gt;"&amp;0)</f>
        <v>0</v>
      </c>
      <c r="M197" s="10">
        <f>SUMIFS(IsQList,IsIList,Table_ExternalData_15[[#This Row],[item_key]],IsITypeList,Table_ExternalData_17[[#Headers],[S/I]],IsDList,"&lt;&gt;"&amp;0)</f>
        <v>10</v>
      </c>
      <c r="N197" s="10">
        <f>SUMIFS(IsQList,IsIList,Table_ExternalData_15[[#This Row],[item_key]],IsITypeList,Table_ExternalData_17[[#Headers],[VST]],IsDList,"&lt;&gt;"&amp;0)</f>
        <v>0</v>
      </c>
      <c r="O197" s="10">
        <f>ABS(SUMIFS(IsQList,IsIList,Table_ExternalData_17[[#This Row],[item_key]],IsITypeList,Table_ExternalData_17[[#Headers],[RTN]],IsDList,"&lt;&gt;"&amp;0))</f>
        <v>0</v>
      </c>
      <c r="P197" s="10">
        <f>SUM(Table_ExternalData_17[[#This Row],[R/P]:[RTN]])</f>
        <v>10</v>
      </c>
      <c r="Q197" s="10">
        <f>SUM((Table_ExternalData_17[[#This Row],[Opening]]+Table_ExternalData_17[[#This Row],[Total Receipt]])-ABS(Table_ExternalData_17[[#This Row],[Total Issue]]))</f>
        <v>65</v>
      </c>
    </row>
    <row r="198" spans="1:17">
      <c r="A198" s="1" t="s">
        <v>639</v>
      </c>
      <c r="B198" s="1" t="s">
        <v>1339</v>
      </c>
      <c r="C198" s="1" t="s">
        <v>1338</v>
      </c>
      <c r="D19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198" s="10">
        <f>SUMIFS(GQList,GIList,Table_ExternalData_17[[#This Row],[item_key]],GTList,Table_ExternalData_17[[#Headers],[GRN]],GDList,"&lt;&gt;"&amp;0)</f>
        <v>0</v>
      </c>
      <c r="F198" s="10">
        <f>SUMIFS(GQList,GIList,Table_ExternalData_17[[#This Row],[item_key]],GTList,Table_ExternalData_17[[#Headers],[VSTR]],GDList,"&lt;&gt;"&amp;0)</f>
        <v>0</v>
      </c>
      <c r="G198" s="10">
        <f>SUMIFS(GQList,GIList,Table_ExternalData_17[[#This Row],[item_key]],GTList,Table_ExternalData_17[[#Headers],[SR]],GDList,"&lt;&gt;"&amp;0)</f>
        <v>0</v>
      </c>
      <c r="H198" s="10">
        <f>SUMIFS(GQList,GIList,Table_ExternalData_17[[#This Row],[item_key]],GTList,Table_ExternalData_17[[#Headers],[TR]],GDList,"&lt;&gt;"&amp;0)</f>
        <v>0</v>
      </c>
      <c r="I198" s="10">
        <f>SUMIFS(GQList,GIList,Table_ExternalData_17[[#This Row],[item_key]],GTList,Table_ExternalData_17[[#Headers],[RCA]],GDList,"&lt;&gt;"&amp;0)</f>
        <v>0</v>
      </c>
      <c r="J198" s="10">
        <f>SUM(Table_ExternalData_17[[#This Row],[GRN]]+Table_ExternalData_17[[#This Row],[VSTR]]+Table_ExternalData_17[[#This Row],[SR]]+Table_ExternalData_17[[#This Row],[TR]]+Table_ExternalData_17[[#This Row],[RCA]])</f>
        <v>0</v>
      </c>
      <c r="K198" s="10">
        <f>SUMIFS(IsQList,IsIList,Table_ExternalData_17[[#This Row],[item_key]],IsITypeList,Table_ExternalData_17[[#Headers],[R/P]],IsDList,"&lt;&gt;"&amp;0)</f>
        <v>0</v>
      </c>
      <c r="L198" s="10">
        <f>SUMIFS(IsQList,IsIList,Table_ExternalData_17[[#This Row],[item_key]],IsITypeList,Table_ExternalData_17[[#Headers],[CST]],IsDList,"&lt;&gt;"&amp;0)</f>
        <v>0</v>
      </c>
      <c r="M198" s="10">
        <f>SUMIFS(IsQList,IsIList,Table_ExternalData_15[[#This Row],[item_key]],IsITypeList,Table_ExternalData_17[[#Headers],[S/I]],IsDList,"&lt;&gt;"&amp;0)</f>
        <v>0</v>
      </c>
      <c r="N198" s="10">
        <f>SUMIFS(IsQList,IsIList,Table_ExternalData_15[[#This Row],[item_key]],IsITypeList,Table_ExternalData_17[[#Headers],[VST]],IsDList,"&lt;&gt;"&amp;0)</f>
        <v>0</v>
      </c>
      <c r="O198" s="10">
        <f>ABS(SUMIFS(IsQList,IsIList,Table_ExternalData_17[[#This Row],[item_key]],IsITypeList,Table_ExternalData_17[[#Headers],[RTN]],IsDList,"&lt;&gt;"&amp;0))</f>
        <v>0</v>
      </c>
      <c r="P198" s="10">
        <f>SUM(Table_ExternalData_17[[#This Row],[R/P]:[RTN]])</f>
        <v>0</v>
      </c>
      <c r="Q198" s="10">
        <f>SUM((Table_ExternalData_17[[#This Row],[Opening]]+Table_ExternalData_17[[#This Row],[Total Receipt]])-ABS(Table_ExternalData_17[[#This Row],[Total Issue]]))</f>
        <v>0</v>
      </c>
    </row>
    <row r="199" spans="1:17">
      <c r="A199" s="1" t="s">
        <v>640</v>
      </c>
      <c r="B199" s="1" t="s">
        <v>1340</v>
      </c>
      <c r="C199" s="1" t="s">
        <v>1338</v>
      </c>
      <c r="D199" s="10">
        <f>SUMIFS(OPBQList,OPBIList,Table_ExternalData_17[[#This Row],[item_key]])+SUMIFS(GQList,GIList,Table_ExternalData_17[[#This Row],[item_key]],GDList,0)-ABS(SUMIFS(IsQList,IsIList,Table_ExternalData_17[[#This Row],[item_key]],IsDList,0))</f>
        <v>525</v>
      </c>
      <c r="E199" s="10">
        <f>SUMIFS(GQList,GIList,Table_ExternalData_17[[#This Row],[item_key]],GTList,Table_ExternalData_17[[#Headers],[GRN]],GDList,"&lt;&gt;"&amp;0)</f>
        <v>0</v>
      </c>
      <c r="F199" s="10">
        <f>SUMIFS(GQList,GIList,Table_ExternalData_17[[#This Row],[item_key]],GTList,Table_ExternalData_17[[#Headers],[VSTR]],GDList,"&lt;&gt;"&amp;0)</f>
        <v>0</v>
      </c>
      <c r="G199" s="10">
        <f>SUMIFS(GQList,GIList,Table_ExternalData_17[[#This Row],[item_key]],GTList,Table_ExternalData_17[[#Headers],[SR]],GDList,"&lt;&gt;"&amp;0)</f>
        <v>0</v>
      </c>
      <c r="H199" s="10">
        <f>SUMIFS(GQList,GIList,Table_ExternalData_17[[#This Row],[item_key]],GTList,Table_ExternalData_17[[#Headers],[TR]],GDList,"&lt;&gt;"&amp;0)</f>
        <v>0</v>
      </c>
      <c r="I199" s="10">
        <f>SUMIFS(GQList,GIList,Table_ExternalData_17[[#This Row],[item_key]],GTList,Table_ExternalData_17[[#Headers],[RCA]],GDList,"&lt;&gt;"&amp;0)</f>
        <v>0</v>
      </c>
      <c r="J199" s="10">
        <f>SUM(Table_ExternalData_17[[#This Row],[GRN]]+Table_ExternalData_17[[#This Row],[VSTR]]+Table_ExternalData_17[[#This Row],[SR]]+Table_ExternalData_17[[#This Row],[TR]]+Table_ExternalData_17[[#This Row],[RCA]])</f>
        <v>0</v>
      </c>
      <c r="K199" s="10">
        <f>SUMIFS(IsQList,IsIList,Table_ExternalData_17[[#This Row],[item_key]],IsITypeList,Table_ExternalData_17[[#Headers],[R/P]],IsDList,"&lt;&gt;"&amp;0)</f>
        <v>0</v>
      </c>
      <c r="L199" s="10">
        <f>SUMIFS(IsQList,IsIList,Table_ExternalData_17[[#This Row],[item_key]],IsITypeList,Table_ExternalData_17[[#Headers],[CST]],IsDList,"&lt;&gt;"&amp;0)</f>
        <v>0</v>
      </c>
      <c r="M199" s="10">
        <f>SUMIFS(IsQList,IsIList,Table_ExternalData_15[[#This Row],[item_key]],IsITypeList,Table_ExternalData_17[[#Headers],[S/I]],IsDList,"&lt;&gt;"&amp;0)</f>
        <v>133</v>
      </c>
      <c r="N199" s="10">
        <f>SUMIFS(IsQList,IsIList,Table_ExternalData_15[[#This Row],[item_key]],IsITypeList,Table_ExternalData_17[[#Headers],[VST]],IsDList,"&lt;&gt;"&amp;0)</f>
        <v>0</v>
      </c>
      <c r="O199" s="10">
        <f>ABS(SUMIFS(IsQList,IsIList,Table_ExternalData_17[[#This Row],[item_key]],IsITypeList,Table_ExternalData_17[[#Headers],[RTN]],IsDList,"&lt;&gt;"&amp;0))</f>
        <v>0</v>
      </c>
      <c r="P199" s="10">
        <f>SUM(Table_ExternalData_17[[#This Row],[R/P]:[RTN]])</f>
        <v>133</v>
      </c>
      <c r="Q199" s="10">
        <f>SUM((Table_ExternalData_17[[#This Row],[Opening]]+Table_ExternalData_17[[#This Row],[Total Receipt]])-ABS(Table_ExternalData_17[[#This Row],[Total Issue]]))</f>
        <v>392</v>
      </c>
    </row>
    <row r="200" spans="1:17">
      <c r="A200" s="1" t="s">
        <v>1199</v>
      </c>
      <c r="B200" s="1" t="s">
        <v>1341</v>
      </c>
      <c r="C200" s="1" t="s">
        <v>1342</v>
      </c>
      <c r="D200" s="10">
        <f>SUMIFS(OPBQList,OPBIList,Table_ExternalData_17[[#This Row],[item_key]])+SUMIFS(GQList,GIList,Table_ExternalData_17[[#This Row],[item_key]],GDList,0)-ABS(SUMIFS(IsQList,IsIList,Table_ExternalData_17[[#This Row],[item_key]],IsDList,0))</f>
        <v>176</v>
      </c>
      <c r="E200" s="10">
        <f>SUMIFS(GQList,GIList,Table_ExternalData_17[[#This Row],[item_key]],GTList,Table_ExternalData_17[[#Headers],[GRN]],GDList,"&lt;&gt;"&amp;0)</f>
        <v>0</v>
      </c>
      <c r="F200" s="10">
        <f>SUMIFS(GQList,GIList,Table_ExternalData_17[[#This Row],[item_key]],GTList,Table_ExternalData_17[[#Headers],[VSTR]],GDList,"&lt;&gt;"&amp;0)</f>
        <v>0</v>
      </c>
      <c r="G200" s="10">
        <f>SUMIFS(GQList,GIList,Table_ExternalData_17[[#This Row],[item_key]],GTList,Table_ExternalData_17[[#Headers],[SR]],GDList,"&lt;&gt;"&amp;0)</f>
        <v>0</v>
      </c>
      <c r="H200" s="10">
        <f>SUMIFS(GQList,GIList,Table_ExternalData_17[[#This Row],[item_key]],GTList,Table_ExternalData_17[[#Headers],[TR]],GDList,"&lt;&gt;"&amp;0)</f>
        <v>0</v>
      </c>
      <c r="I200" s="10">
        <f>SUMIFS(GQList,GIList,Table_ExternalData_17[[#This Row],[item_key]],GTList,Table_ExternalData_17[[#Headers],[RCA]],GDList,"&lt;&gt;"&amp;0)</f>
        <v>0</v>
      </c>
      <c r="J200" s="10">
        <f>SUM(Table_ExternalData_17[[#This Row],[GRN]]+Table_ExternalData_17[[#This Row],[VSTR]]+Table_ExternalData_17[[#This Row],[SR]]+Table_ExternalData_17[[#This Row],[TR]]+Table_ExternalData_17[[#This Row],[RCA]])</f>
        <v>0</v>
      </c>
      <c r="K200" s="10">
        <f>SUMIFS(IsQList,IsIList,Table_ExternalData_17[[#This Row],[item_key]],IsITypeList,Table_ExternalData_17[[#Headers],[R/P]],IsDList,"&lt;&gt;"&amp;0)</f>
        <v>0</v>
      </c>
      <c r="L200" s="10">
        <f>SUMIFS(IsQList,IsIList,Table_ExternalData_17[[#This Row],[item_key]],IsITypeList,Table_ExternalData_17[[#Headers],[CST]],IsDList,"&lt;&gt;"&amp;0)</f>
        <v>0</v>
      </c>
      <c r="M200" s="10">
        <f>SUMIFS(IsQList,IsIList,Table_ExternalData_15[[#This Row],[item_key]],IsITypeList,Table_ExternalData_17[[#Headers],[S/I]],IsDList,"&lt;&gt;"&amp;0)</f>
        <v>143</v>
      </c>
      <c r="N200" s="10">
        <f>SUMIFS(IsQList,IsIList,Table_ExternalData_15[[#This Row],[item_key]],IsITypeList,Table_ExternalData_17[[#Headers],[VST]],IsDList,"&lt;&gt;"&amp;0)</f>
        <v>0</v>
      </c>
      <c r="O200" s="10">
        <f>ABS(SUMIFS(IsQList,IsIList,Table_ExternalData_17[[#This Row],[item_key]],IsITypeList,Table_ExternalData_17[[#Headers],[RTN]],IsDList,"&lt;&gt;"&amp;0))</f>
        <v>0</v>
      </c>
      <c r="P200" s="10">
        <f>SUM(Table_ExternalData_17[[#This Row],[R/P]:[RTN]])</f>
        <v>143</v>
      </c>
      <c r="Q200" s="10">
        <f>SUM((Table_ExternalData_17[[#This Row],[Opening]]+Table_ExternalData_17[[#This Row],[Total Receipt]])-ABS(Table_ExternalData_17[[#This Row],[Total Issue]]))</f>
        <v>33</v>
      </c>
    </row>
    <row r="201" spans="1:17">
      <c r="A201" s="1" t="s">
        <v>1767</v>
      </c>
      <c r="B201" s="1" t="s">
        <v>2607</v>
      </c>
      <c r="C201" s="1" t="s">
        <v>2608</v>
      </c>
      <c r="D201" s="10">
        <f>SUMIFS(OPBQList,OPBIList,Table_ExternalData_17[[#This Row],[item_key]])+SUMIFS(GQList,GIList,Table_ExternalData_17[[#This Row],[item_key]],GDList,0)-ABS(SUMIFS(IsQList,IsIList,Table_ExternalData_17[[#This Row],[item_key]],IsDList,0))</f>
        <v>23</v>
      </c>
      <c r="E201" s="10">
        <f>SUMIFS(GQList,GIList,Table_ExternalData_17[[#This Row],[item_key]],GTList,Table_ExternalData_17[[#Headers],[GRN]],GDList,"&lt;&gt;"&amp;0)</f>
        <v>0</v>
      </c>
      <c r="F201" s="10">
        <f>SUMIFS(GQList,GIList,Table_ExternalData_17[[#This Row],[item_key]],GTList,Table_ExternalData_17[[#Headers],[VSTR]],GDList,"&lt;&gt;"&amp;0)</f>
        <v>0</v>
      </c>
      <c r="G201" s="10">
        <f>SUMIFS(GQList,GIList,Table_ExternalData_17[[#This Row],[item_key]],GTList,Table_ExternalData_17[[#Headers],[SR]],GDList,"&lt;&gt;"&amp;0)</f>
        <v>0</v>
      </c>
      <c r="H201" s="10">
        <f>SUMIFS(GQList,GIList,Table_ExternalData_17[[#This Row],[item_key]],GTList,Table_ExternalData_17[[#Headers],[TR]],GDList,"&lt;&gt;"&amp;0)</f>
        <v>0</v>
      </c>
      <c r="I201" s="10">
        <f>SUMIFS(GQList,GIList,Table_ExternalData_17[[#This Row],[item_key]],GTList,Table_ExternalData_17[[#Headers],[RCA]],GDList,"&lt;&gt;"&amp;0)</f>
        <v>0</v>
      </c>
      <c r="J201" s="10">
        <f>SUM(Table_ExternalData_17[[#This Row],[GRN]]+Table_ExternalData_17[[#This Row],[VSTR]]+Table_ExternalData_17[[#This Row],[SR]]+Table_ExternalData_17[[#This Row],[TR]]+Table_ExternalData_17[[#This Row],[RCA]])</f>
        <v>0</v>
      </c>
      <c r="K201" s="10">
        <f>SUMIFS(IsQList,IsIList,Table_ExternalData_17[[#This Row],[item_key]],IsITypeList,Table_ExternalData_17[[#Headers],[R/P]],IsDList,"&lt;&gt;"&amp;0)</f>
        <v>0</v>
      </c>
      <c r="L201" s="10">
        <f>SUMIFS(IsQList,IsIList,Table_ExternalData_17[[#This Row],[item_key]],IsITypeList,Table_ExternalData_17[[#Headers],[CST]],IsDList,"&lt;&gt;"&amp;0)</f>
        <v>0</v>
      </c>
      <c r="M201" s="10">
        <f>SUMIFS(IsQList,IsIList,Table_ExternalData_15[[#This Row],[item_key]],IsITypeList,Table_ExternalData_17[[#Headers],[S/I]],IsDList,"&lt;&gt;"&amp;0)</f>
        <v>20</v>
      </c>
      <c r="N201" s="10">
        <f>SUMIFS(IsQList,IsIList,Table_ExternalData_15[[#This Row],[item_key]],IsITypeList,Table_ExternalData_17[[#Headers],[VST]],IsDList,"&lt;&gt;"&amp;0)</f>
        <v>0</v>
      </c>
      <c r="O201" s="10">
        <f>ABS(SUMIFS(IsQList,IsIList,Table_ExternalData_17[[#This Row],[item_key]],IsITypeList,Table_ExternalData_17[[#Headers],[RTN]],IsDList,"&lt;&gt;"&amp;0))</f>
        <v>0</v>
      </c>
      <c r="P201" s="10">
        <f>SUM(Table_ExternalData_17[[#This Row],[R/P]:[RTN]])</f>
        <v>20</v>
      </c>
      <c r="Q201" s="10">
        <f>SUM((Table_ExternalData_17[[#This Row],[Opening]]+Table_ExternalData_17[[#This Row],[Total Receipt]])-ABS(Table_ExternalData_17[[#This Row],[Total Issue]]))</f>
        <v>3</v>
      </c>
    </row>
    <row r="202" spans="1:17">
      <c r="A202" s="1" t="s">
        <v>641</v>
      </c>
      <c r="B202" s="1" t="s">
        <v>2609</v>
      </c>
      <c r="C202" s="1" t="s">
        <v>2610</v>
      </c>
      <c r="D20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02" s="10">
        <f>SUMIFS(GQList,GIList,Table_ExternalData_17[[#This Row],[item_key]],GTList,Table_ExternalData_17[[#Headers],[GRN]],GDList,"&lt;&gt;"&amp;0)</f>
        <v>0</v>
      </c>
      <c r="F202" s="10">
        <f>SUMIFS(GQList,GIList,Table_ExternalData_17[[#This Row],[item_key]],GTList,Table_ExternalData_17[[#Headers],[VSTR]],GDList,"&lt;&gt;"&amp;0)</f>
        <v>0</v>
      </c>
      <c r="G202" s="10">
        <f>SUMIFS(GQList,GIList,Table_ExternalData_17[[#This Row],[item_key]],GTList,Table_ExternalData_17[[#Headers],[SR]],GDList,"&lt;&gt;"&amp;0)</f>
        <v>0</v>
      </c>
      <c r="H202" s="10">
        <f>SUMIFS(GQList,GIList,Table_ExternalData_17[[#This Row],[item_key]],GTList,Table_ExternalData_17[[#Headers],[TR]],GDList,"&lt;&gt;"&amp;0)</f>
        <v>0</v>
      </c>
      <c r="I202" s="10">
        <f>SUMIFS(GQList,GIList,Table_ExternalData_17[[#This Row],[item_key]],GTList,Table_ExternalData_17[[#Headers],[RCA]],GDList,"&lt;&gt;"&amp;0)</f>
        <v>0</v>
      </c>
      <c r="J202" s="10">
        <f>SUM(Table_ExternalData_17[[#This Row],[GRN]]+Table_ExternalData_17[[#This Row],[VSTR]]+Table_ExternalData_17[[#This Row],[SR]]+Table_ExternalData_17[[#This Row],[TR]]+Table_ExternalData_17[[#This Row],[RCA]])</f>
        <v>0</v>
      </c>
      <c r="K202" s="10">
        <f>SUMIFS(IsQList,IsIList,Table_ExternalData_17[[#This Row],[item_key]],IsITypeList,Table_ExternalData_17[[#Headers],[R/P]],IsDList,"&lt;&gt;"&amp;0)</f>
        <v>0</v>
      </c>
      <c r="L202" s="10">
        <f>SUMIFS(IsQList,IsIList,Table_ExternalData_17[[#This Row],[item_key]],IsITypeList,Table_ExternalData_17[[#Headers],[CST]],IsDList,"&lt;&gt;"&amp;0)</f>
        <v>0</v>
      </c>
      <c r="M202" s="10">
        <f>SUMIFS(IsQList,IsIList,Table_ExternalData_15[[#This Row],[item_key]],IsITypeList,Table_ExternalData_17[[#Headers],[S/I]],IsDList,"&lt;&gt;"&amp;0)</f>
        <v>64</v>
      </c>
      <c r="N202" s="10">
        <f>SUMIFS(IsQList,IsIList,Table_ExternalData_15[[#This Row],[item_key]],IsITypeList,Table_ExternalData_17[[#Headers],[VST]],IsDList,"&lt;&gt;"&amp;0)</f>
        <v>0</v>
      </c>
      <c r="O202" s="10">
        <f>ABS(SUMIFS(IsQList,IsIList,Table_ExternalData_17[[#This Row],[item_key]],IsITypeList,Table_ExternalData_17[[#Headers],[RTN]],IsDList,"&lt;&gt;"&amp;0))</f>
        <v>0</v>
      </c>
      <c r="P202" s="10">
        <f>SUM(Table_ExternalData_17[[#This Row],[R/P]:[RTN]])</f>
        <v>64</v>
      </c>
      <c r="Q202" s="10">
        <f>SUM((Table_ExternalData_17[[#This Row],[Opening]]+Table_ExternalData_17[[#This Row],[Total Receipt]])-ABS(Table_ExternalData_17[[#This Row],[Total Issue]]))</f>
        <v>-64</v>
      </c>
    </row>
    <row r="203" spans="1:17">
      <c r="A203" s="1" t="s">
        <v>642</v>
      </c>
      <c r="B203" s="1" t="s">
        <v>1343</v>
      </c>
      <c r="C203" s="1" t="s">
        <v>1342</v>
      </c>
      <c r="D203" s="10">
        <f>SUMIFS(OPBQList,OPBIList,Table_ExternalData_17[[#This Row],[item_key]])+SUMIFS(GQList,GIList,Table_ExternalData_17[[#This Row],[item_key]],GDList,0)-ABS(SUMIFS(IsQList,IsIList,Table_ExternalData_17[[#This Row],[item_key]],IsDList,0))</f>
        <v>305</v>
      </c>
      <c r="E203" s="10">
        <f>SUMIFS(GQList,GIList,Table_ExternalData_17[[#This Row],[item_key]],GTList,Table_ExternalData_17[[#Headers],[GRN]],GDList,"&lt;&gt;"&amp;0)</f>
        <v>0</v>
      </c>
      <c r="F203" s="10">
        <f>SUMIFS(GQList,GIList,Table_ExternalData_17[[#This Row],[item_key]],GTList,Table_ExternalData_17[[#Headers],[VSTR]],GDList,"&lt;&gt;"&amp;0)</f>
        <v>0</v>
      </c>
      <c r="G203" s="10">
        <f>SUMIFS(GQList,GIList,Table_ExternalData_17[[#This Row],[item_key]],GTList,Table_ExternalData_17[[#Headers],[SR]],GDList,"&lt;&gt;"&amp;0)</f>
        <v>0</v>
      </c>
      <c r="H203" s="10">
        <f>SUMIFS(GQList,GIList,Table_ExternalData_17[[#This Row],[item_key]],GTList,Table_ExternalData_17[[#Headers],[TR]],GDList,"&lt;&gt;"&amp;0)</f>
        <v>0</v>
      </c>
      <c r="I203" s="10">
        <f>SUMIFS(GQList,GIList,Table_ExternalData_17[[#This Row],[item_key]],GTList,Table_ExternalData_17[[#Headers],[RCA]],GDList,"&lt;&gt;"&amp;0)</f>
        <v>0</v>
      </c>
      <c r="J203" s="10">
        <f>SUM(Table_ExternalData_17[[#This Row],[GRN]]+Table_ExternalData_17[[#This Row],[VSTR]]+Table_ExternalData_17[[#This Row],[SR]]+Table_ExternalData_17[[#This Row],[TR]]+Table_ExternalData_17[[#This Row],[RCA]])</f>
        <v>0</v>
      </c>
      <c r="K203" s="10">
        <f>SUMIFS(IsQList,IsIList,Table_ExternalData_17[[#This Row],[item_key]],IsITypeList,Table_ExternalData_17[[#Headers],[R/P]],IsDList,"&lt;&gt;"&amp;0)</f>
        <v>0</v>
      </c>
      <c r="L203" s="10">
        <f>SUMIFS(IsQList,IsIList,Table_ExternalData_17[[#This Row],[item_key]],IsITypeList,Table_ExternalData_17[[#Headers],[CST]],IsDList,"&lt;&gt;"&amp;0)</f>
        <v>0</v>
      </c>
      <c r="M203" s="10">
        <f>SUMIFS(IsQList,IsIList,Table_ExternalData_15[[#This Row],[item_key]],IsITypeList,Table_ExternalData_17[[#Headers],[S/I]],IsDList,"&lt;&gt;"&amp;0)</f>
        <v>40</v>
      </c>
      <c r="N203" s="10">
        <f>SUMIFS(IsQList,IsIList,Table_ExternalData_15[[#This Row],[item_key]],IsITypeList,Table_ExternalData_17[[#Headers],[VST]],IsDList,"&lt;&gt;"&amp;0)</f>
        <v>0</v>
      </c>
      <c r="O203" s="10">
        <f>ABS(SUMIFS(IsQList,IsIList,Table_ExternalData_17[[#This Row],[item_key]],IsITypeList,Table_ExternalData_17[[#Headers],[RTN]],IsDList,"&lt;&gt;"&amp;0))</f>
        <v>0</v>
      </c>
      <c r="P203" s="10">
        <f>SUM(Table_ExternalData_17[[#This Row],[R/P]:[RTN]])</f>
        <v>40</v>
      </c>
      <c r="Q203" s="10">
        <f>SUM((Table_ExternalData_17[[#This Row],[Opening]]+Table_ExternalData_17[[#This Row],[Total Receipt]])-ABS(Table_ExternalData_17[[#This Row],[Total Issue]]))</f>
        <v>265</v>
      </c>
    </row>
    <row r="204" spans="1:17">
      <c r="A204" s="1" t="s">
        <v>643</v>
      </c>
      <c r="B204" s="1" t="s">
        <v>1344</v>
      </c>
      <c r="C204" s="1" t="s">
        <v>1342</v>
      </c>
      <c r="D204" s="10">
        <f>SUMIFS(OPBQList,OPBIList,Table_ExternalData_17[[#This Row],[item_key]])+SUMIFS(GQList,GIList,Table_ExternalData_17[[#This Row],[item_key]],GDList,0)-ABS(SUMIFS(IsQList,IsIList,Table_ExternalData_17[[#This Row],[item_key]],IsDList,0))</f>
        <v>70</v>
      </c>
      <c r="E204" s="10">
        <f>SUMIFS(GQList,GIList,Table_ExternalData_17[[#This Row],[item_key]],GTList,Table_ExternalData_17[[#Headers],[GRN]],GDList,"&lt;&gt;"&amp;0)</f>
        <v>0</v>
      </c>
      <c r="F204" s="10">
        <f>SUMIFS(GQList,GIList,Table_ExternalData_17[[#This Row],[item_key]],GTList,Table_ExternalData_17[[#Headers],[VSTR]],GDList,"&lt;&gt;"&amp;0)</f>
        <v>0</v>
      </c>
      <c r="G204" s="10">
        <f>SUMIFS(GQList,GIList,Table_ExternalData_17[[#This Row],[item_key]],GTList,Table_ExternalData_17[[#Headers],[SR]],GDList,"&lt;&gt;"&amp;0)</f>
        <v>0</v>
      </c>
      <c r="H204" s="10">
        <f>SUMIFS(GQList,GIList,Table_ExternalData_17[[#This Row],[item_key]],GTList,Table_ExternalData_17[[#Headers],[TR]],GDList,"&lt;&gt;"&amp;0)</f>
        <v>0</v>
      </c>
      <c r="I204" s="10">
        <f>SUMIFS(GQList,GIList,Table_ExternalData_17[[#This Row],[item_key]],GTList,Table_ExternalData_17[[#Headers],[RCA]],GDList,"&lt;&gt;"&amp;0)</f>
        <v>0</v>
      </c>
      <c r="J204" s="10">
        <f>SUM(Table_ExternalData_17[[#This Row],[GRN]]+Table_ExternalData_17[[#This Row],[VSTR]]+Table_ExternalData_17[[#This Row],[SR]]+Table_ExternalData_17[[#This Row],[TR]]+Table_ExternalData_17[[#This Row],[RCA]])</f>
        <v>0</v>
      </c>
      <c r="K204" s="10">
        <f>SUMIFS(IsQList,IsIList,Table_ExternalData_17[[#This Row],[item_key]],IsITypeList,Table_ExternalData_17[[#Headers],[R/P]],IsDList,"&lt;&gt;"&amp;0)</f>
        <v>0</v>
      </c>
      <c r="L204" s="10">
        <f>SUMIFS(IsQList,IsIList,Table_ExternalData_17[[#This Row],[item_key]],IsITypeList,Table_ExternalData_17[[#Headers],[CST]],IsDList,"&lt;&gt;"&amp;0)</f>
        <v>0</v>
      </c>
      <c r="M204" s="10">
        <f>SUMIFS(IsQList,IsIList,Table_ExternalData_15[[#This Row],[item_key]],IsITypeList,Table_ExternalData_17[[#Headers],[S/I]],IsDList,"&lt;&gt;"&amp;0)</f>
        <v>25</v>
      </c>
      <c r="N204" s="10">
        <f>SUMIFS(IsQList,IsIList,Table_ExternalData_15[[#This Row],[item_key]],IsITypeList,Table_ExternalData_17[[#Headers],[VST]],IsDList,"&lt;&gt;"&amp;0)</f>
        <v>0</v>
      </c>
      <c r="O204" s="10">
        <f>ABS(SUMIFS(IsQList,IsIList,Table_ExternalData_17[[#This Row],[item_key]],IsITypeList,Table_ExternalData_17[[#Headers],[RTN]],IsDList,"&lt;&gt;"&amp;0))</f>
        <v>0</v>
      </c>
      <c r="P204" s="10">
        <f>SUM(Table_ExternalData_17[[#This Row],[R/P]:[RTN]])</f>
        <v>25</v>
      </c>
      <c r="Q204" s="10">
        <f>SUM((Table_ExternalData_17[[#This Row],[Opening]]+Table_ExternalData_17[[#This Row],[Total Receipt]])-ABS(Table_ExternalData_17[[#This Row],[Total Issue]]))</f>
        <v>45</v>
      </c>
    </row>
    <row r="205" spans="1:17">
      <c r="A205" s="1" t="s">
        <v>644</v>
      </c>
      <c r="B205" s="1" t="s">
        <v>2611</v>
      </c>
      <c r="C205" s="1" t="s">
        <v>2610</v>
      </c>
      <c r="D205" s="10">
        <f>SUMIFS(OPBQList,OPBIList,Table_ExternalData_17[[#This Row],[item_key]])+SUMIFS(GQList,GIList,Table_ExternalData_17[[#This Row],[item_key]],GDList,0)-ABS(SUMIFS(IsQList,IsIList,Table_ExternalData_17[[#This Row],[item_key]],IsDList,0))</f>
        <v>550</v>
      </c>
      <c r="E205" s="10">
        <f>SUMIFS(GQList,GIList,Table_ExternalData_17[[#This Row],[item_key]],GTList,Table_ExternalData_17[[#Headers],[GRN]],GDList,"&lt;&gt;"&amp;0)</f>
        <v>0</v>
      </c>
      <c r="F205" s="10">
        <f>SUMIFS(GQList,GIList,Table_ExternalData_17[[#This Row],[item_key]],GTList,Table_ExternalData_17[[#Headers],[VSTR]],GDList,"&lt;&gt;"&amp;0)</f>
        <v>0</v>
      </c>
      <c r="G205" s="10">
        <f>SUMIFS(GQList,GIList,Table_ExternalData_17[[#This Row],[item_key]],GTList,Table_ExternalData_17[[#Headers],[SR]],GDList,"&lt;&gt;"&amp;0)</f>
        <v>0</v>
      </c>
      <c r="H205" s="10">
        <f>SUMIFS(GQList,GIList,Table_ExternalData_17[[#This Row],[item_key]],GTList,Table_ExternalData_17[[#Headers],[TR]],GDList,"&lt;&gt;"&amp;0)</f>
        <v>0</v>
      </c>
      <c r="I205" s="10">
        <f>SUMIFS(GQList,GIList,Table_ExternalData_17[[#This Row],[item_key]],GTList,Table_ExternalData_17[[#Headers],[RCA]],GDList,"&lt;&gt;"&amp;0)</f>
        <v>0</v>
      </c>
      <c r="J205" s="10">
        <f>SUM(Table_ExternalData_17[[#This Row],[GRN]]+Table_ExternalData_17[[#This Row],[VSTR]]+Table_ExternalData_17[[#This Row],[SR]]+Table_ExternalData_17[[#This Row],[TR]]+Table_ExternalData_17[[#This Row],[RCA]])</f>
        <v>0</v>
      </c>
      <c r="K205" s="10">
        <f>SUMIFS(IsQList,IsIList,Table_ExternalData_17[[#This Row],[item_key]],IsITypeList,Table_ExternalData_17[[#Headers],[R/P]],IsDList,"&lt;&gt;"&amp;0)</f>
        <v>0</v>
      </c>
      <c r="L205" s="10">
        <f>SUMIFS(IsQList,IsIList,Table_ExternalData_17[[#This Row],[item_key]],IsITypeList,Table_ExternalData_17[[#Headers],[CST]],IsDList,"&lt;&gt;"&amp;0)</f>
        <v>0</v>
      </c>
      <c r="M205" s="10">
        <f>SUMIFS(IsQList,IsIList,Table_ExternalData_15[[#This Row],[item_key]],IsITypeList,Table_ExternalData_17[[#Headers],[S/I]],IsDList,"&lt;&gt;"&amp;0)</f>
        <v>90</v>
      </c>
      <c r="N205" s="10">
        <f>SUMIFS(IsQList,IsIList,Table_ExternalData_15[[#This Row],[item_key]],IsITypeList,Table_ExternalData_17[[#Headers],[VST]],IsDList,"&lt;&gt;"&amp;0)</f>
        <v>0</v>
      </c>
      <c r="O205" s="10">
        <f>ABS(SUMIFS(IsQList,IsIList,Table_ExternalData_17[[#This Row],[item_key]],IsITypeList,Table_ExternalData_17[[#Headers],[RTN]],IsDList,"&lt;&gt;"&amp;0))</f>
        <v>0</v>
      </c>
      <c r="P205" s="10">
        <f>SUM(Table_ExternalData_17[[#This Row],[R/P]:[RTN]])</f>
        <v>90</v>
      </c>
      <c r="Q205" s="10">
        <f>SUM((Table_ExternalData_17[[#This Row],[Opening]]+Table_ExternalData_17[[#This Row],[Total Receipt]])-ABS(Table_ExternalData_17[[#This Row],[Total Issue]]))</f>
        <v>460</v>
      </c>
    </row>
    <row r="206" spans="1:17">
      <c r="A206" s="1" t="s">
        <v>647</v>
      </c>
      <c r="B206" s="1" t="s">
        <v>1345</v>
      </c>
      <c r="C206" s="1" t="s">
        <v>1346</v>
      </c>
      <c r="D206" s="10">
        <f>SUMIFS(OPBQList,OPBIList,Table_ExternalData_17[[#This Row],[item_key]])+SUMIFS(GQList,GIList,Table_ExternalData_17[[#This Row],[item_key]],GDList,0)-ABS(SUMIFS(IsQList,IsIList,Table_ExternalData_17[[#This Row],[item_key]],IsDList,0))</f>
        <v>2168</v>
      </c>
      <c r="E206" s="10">
        <f>SUMIFS(GQList,GIList,Table_ExternalData_17[[#This Row],[item_key]],GTList,Table_ExternalData_17[[#Headers],[GRN]],GDList,"&lt;&gt;"&amp;0)</f>
        <v>0</v>
      </c>
      <c r="F206" s="10">
        <f>SUMIFS(GQList,GIList,Table_ExternalData_17[[#This Row],[item_key]],GTList,Table_ExternalData_17[[#Headers],[VSTR]],GDList,"&lt;&gt;"&amp;0)</f>
        <v>0</v>
      </c>
      <c r="G206" s="10">
        <f>SUMIFS(GQList,GIList,Table_ExternalData_17[[#This Row],[item_key]],GTList,Table_ExternalData_17[[#Headers],[SR]],GDList,"&lt;&gt;"&amp;0)</f>
        <v>0</v>
      </c>
      <c r="H206" s="10">
        <f>SUMIFS(GQList,GIList,Table_ExternalData_17[[#This Row],[item_key]],GTList,Table_ExternalData_17[[#Headers],[TR]],GDList,"&lt;&gt;"&amp;0)</f>
        <v>0</v>
      </c>
      <c r="I206" s="10">
        <f>SUMIFS(GQList,GIList,Table_ExternalData_17[[#This Row],[item_key]],GTList,Table_ExternalData_17[[#Headers],[RCA]],GDList,"&lt;&gt;"&amp;0)</f>
        <v>0</v>
      </c>
      <c r="J206" s="10">
        <f>SUM(Table_ExternalData_17[[#This Row],[GRN]]+Table_ExternalData_17[[#This Row],[VSTR]]+Table_ExternalData_17[[#This Row],[SR]]+Table_ExternalData_17[[#This Row],[TR]]+Table_ExternalData_17[[#This Row],[RCA]])</f>
        <v>0</v>
      </c>
      <c r="K206" s="10">
        <f>SUMIFS(IsQList,IsIList,Table_ExternalData_17[[#This Row],[item_key]],IsITypeList,Table_ExternalData_17[[#Headers],[R/P]],IsDList,"&lt;&gt;"&amp;0)</f>
        <v>0</v>
      </c>
      <c r="L206" s="10">
        <f>SUMIFS(IsQList,IsIList,Table_ExternalData_17[[#This Row],[item_key]],IsITypeList,Table_ExternalData_17[[#Headers],[CST]],IsDList,"&lt;&gt;"&amp;0)</f>
        <v>0</v>
      </c>
      <c r="M206" s="10">
        <f>SUMIFS(IsQList,IsIList,Table_ExternalData_15[[#This Row],[item_key]],IsITypeList,Table_ExternalData_17[[#Headers],[S/I]],IsDList,"&lt;&gt;"&amp;0)</f>
        <v>205</v>
      </c>
      <c r="N206" s="10">
        <f>SUMIFS(IsQList,IsIList,Table_ExternalData_15[[#This Row],[item_key]],IsITypeList,Table_ExternalData_17[[#Headers],[VST]],IsDList,"&lt;&gt;"&amp;0)</f>
        <v>0</v>
      </c>
      <c r="O206" s="10">
        <f>ABS(SUMIFS(IsQList,IsIList,Table_ExternalData_17[[#This Row],[item_key]],IsITypeList,Table_ExternalData_17[[#Headers],[RTN]],IsDList,"&lt;&gt;"&amp;0))</f>
        <v>0</v>
      </c>
      <c r="P206" s="10">
        <f>SUM(Table_ExternalData_17[[#This Row],[R/P]:[RTN]])</f>
        <v>205</v>
      </c>
      <c r="Q206" s="10">
        <f>SUM((Table_ExternalData_17[[#This Row],[Opening]]+Table_ExternalData_17[[#This Row],[Total Receipt]])-ABS(Table_ExternalData_17[[#This Row],[Total Issue]]))</f>
        <v>1963</v>
      </c>
    </row>
    <row r="207" spans="1:17">
      <c r="A207" s="1" t="s">
        <v>648</v>
      </c>
      <c r="B207" s="1" t="s">
        <v>2612</v>
      </c>
      <c r="C207" s="1" t="s">
        <v>2613</v>
      </c>
      <c r="D207" s="10">
        <f>SUMIFS(OPBQList,OPBIList,Table_ExternalData_17[[#This Row],[item_key]])+SUMIFS(GQList,GIList,Table_ExternalData_17[[#This Row],[item_key]],GDList,0)-ABS(SUMIFS(IsQList,IsIList,Table_ExternalData_17[[#This Row],[item_key]],IsDList,0))</f>
        <v>1197</v>
      </c>
      <c r="E207" s="10">
        <f>SUMIFS(GQList,GIList,Table_ExternalData_17[[#This Row],[item_key]],GTList,Table_ExternalData_17[[#Headers],[GRN]],GDList,"&lt;&gt;"&amp;0)</f>
        <v>0</v>
      </c>
      <c r="F207" s="10">
        <f>SUMIFS(GQList,GIList,Table_ExternalData_17[[#This Row],[item_key]],GTList,Table_ExternalData_17[[#Headers],[VSTR]],GDList,"&lt;&gt;"&amp;0)</f>
        <v>0</v>
      </c>
      <c r="G207" s="10">
        <f>SUMIFS(GQList,GIList,Table_ExternalData_17[[#This Row],[item_key]],GTList,Table_ExternalData_17[[#Headers],[SR]],GDList,"&lt;&gt;"&amp;0)</f>
        <v>0</v>
      </c>
      <c r="H207" s="10">
        <f>SUMIFS(GQList,GIList,Table_ExternalData_17[[#This Row],[item_key]],GTList,Table_ExternalData_17[[#Headers],[TR]],GDList,"&lt;&gt;"&amp;0)</f>
        <v>0</v>
      </c>
      <c r="I207" s="10">
        <f>SUMIFS(GQList,GIList,Table_ExternalData_17[[#This Row],[item_key]],GTList,Table_ExternalData_17[[#Headers],[RCA]],GDList,"&lt;&gt;"&amp;0)</f>
        <v>0</v>
      </c>
      <c r="J207" s="10">
        <f>SUM(Table_ExternalData_17[[#This Row],[GRN]]+Table_ExternalData_17[[#This Row],[VSTR]]+Table_ExternalData_17[[#This Row],[SR]]+Table_ExternalData_17[[#This Row],[TR]]+Table_ExternalData_17[[#This Row],[RCA]])</f>
        <v>0</v>
      </c>
      <c r="K207" s="10">
        <f>SUMIFS(IsQList,IsIList,Table_ExternalData_17[[#This Row],[item_key]],IsITypeList,Table_ExternalData_17[[#Headers],[R/P]],IsDList,"&lt;&gt;"&amp;0)</f>
        <v>0</v>
      </c>
      <c r="L207" s="10">
        <f>SUMIFS(IsQList,IsIList,Table_ExternalData_17[[#This Row],[item_key]],IsITypeList,Table_ExternalData_17[[#Headers],[CST]],IsDList,"&lt;&gt;"&amp;0)</f>
        <v>0</v>
      </c>
      <c r="M207" s="10">
        <f>SUMIFS(IsQList,IsIList,Table_ExternalData_15[[#This Row],[item_key]],IsITypeList,Table_ExternalData_17[[#Headers],[S/I]],IsDList,"&lt;&gt;"&amp;0)</f>
        <v>35</v>
      </c>
      <c r="N207" s="10">
        <f>SUMIFS(IsQList,IsIList,Table_ExternalData_15[[#This Row],[item_key]],IsITypeList,Table_ExternalData_17[[#Headers],[VST]],IsDList,"&lt;&gt;"&amp;0)</f>
        <v>0</v>
      </c>
      <c r="O207" s="10">
        <f>ABS(SUMIFS(IsQList,IsIList,Table_ExternalData_17[[#This Row],[item_key]],IsITypeList,Table_ExternalData_17[[#Headers],[RTN]],IsDList,"&lt;&gt;"&amp;0))</f>
        <v>0</v>
      </c>
      <c r="P207" s="10">
        <f>SUM(Table_ExternalData_17[[#This Row],[R/P]:[RTN]])</f>
        <v>35</v>
      </c>
      <c r="Q207" s="10">
        <f>SUM((Table_ExternalData_17[[#This Row],[Opening]]+Table_ExternalData_17[[#This Row],[Total Receipt]])-ABS(Table_ExternalData_17[[#This Row],[Total Issue]]))</f>
        <v>1162</v>
      </c>
    </row>
    <row r="208" spans="1:17">
      <c r="A208" s="1" t="s">
        <v>649</v>
      </c>
      <c r="B208" s="1" t="s">
        <v>2614</v>
      </c>
      <c r="C208" s="1" t="s">
        <v>2615</v>
      </c>
      <c r="D208" s="10">
        <f>SUMIFS(OPBQList,OPBIList,Table_ExternalData_17[[#This Row],[item_key]])+SUMIFS(GQList,GIList,Table_ExternalData_17[[#This Row],[item_key]],GDList,0)-ABS(SUMIFS(IsQList,IsIList,Table_ExternalData_17[[#This Row],[item_key]],IsDList,0))</f>
        <v>1603</v>
      </c>
      <c r="E208" s="10">
        <f>SUMIFS(GQList,GIList,Table_ExternalData_17[[#This Row],[item_key]],GTList,Table_ExternalData_17[[#Headers],[GRN]],GDList,"&lt;&gt;"&amp;0)</f>
        <v>0</v>
      </c>
      <c r="F208" s="10">
        <f>SUMIFS(GQList,GIList,Table_ExternalData_17[[#This Row],[item_key]],GTList,Table_ExternalData_17[[#Headers],[VSTR]],GDList,"&lt;&gt;"&amp;0)</f>
        <v>0</v>
      </c>
      <c r="G208" s="10">
        <f>SUMIFS(GQList,GIList,Table_ExternalData_17[[#This Row],[item_key]],GTList,Table_ExternalData_17[[#Headers],[SR]],GDList,"&lt;&gt;"&amp;0)</f>
        <v>0</v>
      </c>
      <c r="H208" s="10">
        <f>SUMIFS(GQList,GIList,Table_ExternalData_17[[#This Row],[item_key]],GTList,Table_ExternalData_17[[#Headers],[TR]],GDList,"&lt;&gt;"&amp;0)</f>
        <v>0</v>
      </c>
      <c r="I208" s="10">
        <f>SUMIFS(GQList,GIList,Table_ExternalData_17[[#This Row],[item_key]],GTList,Table_ExternalData_17[[#Headers],[RCA]],GDList,"&lt;&gt;"&amp;0)</f>
        <v>0</v>
      </c>
      <c r="J208" s="10">
        <f>SUM(Table_ExternalData_17[[#This Row],[GRN]]+Table_ExternalData_17[[#This Row],[VSTR]]+Table_ExternalData_17[[#This Row],[SR]]+Table_ExternalData_17[[#This Row],[TR]]+Table_ExternalData_17[[#This Row],[RCA]])</f>
        <v>0</v>
      </c>
      <c r="K208" s="10">
        <f>SUMIFS(IsQList,IsIList,Table_ExternalData_17[[#This Row],[item_key]],IsITypeList,Table_ExternalData_17[[#Headers],[R/P]],IsDList,"&lt;&gt;"&amp;0)</f>
        <v>0</v>
      </c>
      <c r="L208" s="10">
        <f>SUMIFS(IsQList,IsIList,Table_ExternalData_17[[#This Row],[item_key]],IsITypeList,Table_ExternalData_17[[#Headers],[CST]],IsDList,"&lt;&gt;"&amp;0)</f>
        <v>0</v>
      </c>
      <c r="M208" s="10">
        <f>SUMIFS(IsQList,IsIList,Table_ExternalData_15[[#This Row],[item_key]],IsITypeList,Table_ExternalData_17[[#Headers],[S/I]],IsDList,"&lt;&gt;"&amp;0)</f>
        <v>0</v>
      </c>
      <c r="N208" s="10">
        <f>SUMIFS(IsQList,IsIList,Table_ExternalData_15[[#This Row],[item_key]],IsITypeList,Table_ExternalData_17[[#Headers],[VST]],IsDList,"&lt;&gt;"&amp;0)</f>
        <v>0</v>
      </c>
      <c r="O208" s="10">
        <f>ABS(SUMIFS(IsQList,IsIList,Table_ExternalData_17[[#This Row],[item_key]],IsITypeList,Table_ExternalData_17[[#Headers],[RTN]],IsDList,"&lt;&gt;"&amp;0))</f>
        <v>0</v>
      </c>
      <c r="P208" s="10">
        <f>SUM(Table_ExternalData_17[[#This Row],[R/P]:[RTN]])</f>
        <v>0</v>
      </c>
      <c r="Q208" s="10">
        <f>SUM((Table_ExternalData_17[[#This Row],[Opening]]+Table_ExternalData_17[[#This Row],[Total Receipt]])-ABS(Table_ExternalData_17[[#This Row],[Total Issue]]))</f>
        <v>1603</v>
      </c>
    </row>
    <row r="209" spans="1:17">
      <c r="A209" s="1" t="s">
        <v>650</v>
      </c>
      <c r="B209" s="1" t="s">
        <v>1347</v>
      </c>
      <c r="C209" s="1" t="s">
        <v>1348</v>
      </c>
      <c r="D209" s="10">
        <f>SUMIFS(OPBQList,OPBIList,Table_ExternalData_17[[#This Row],[item_key]])+SUMIFS(GQList,GIList,Table_ExternalData_17[[#This Row],[item_key]],GDList,0)-ABS(SUMIFS(IsQList,IsIList,Table_ExternalData_17[[#This Row],[item_key]],IsDList,0))</f>
        <v>3309</v>
      </c>
      <c r="E209" s="10">
        <f>SUMIFS(GQList,GIList,Table_ExternalData_17[[#This Row],[item_key]],GTList,Table_ExternalData_17[[#Headers],[GRN]],GDList,"&lt;&gt;"&amp;0)</f>
        <v>0</v>
      </c>
      <c r="F209" s="10">
        <f>SUMIFS(GQList,GIList,Table_ExternalData_17[[#This Row],[item_key]],GTList,Table_ExternalData_17[[#Headers],[VSTR]],GDList,"&lt;&gt;"&amp;0)</f>
        <v>0</v>
      </c>
      <c r="G209" s="10">
        <f>SUMIFS(GQList,GIList,Table_ExternalData_17[[#This Row],[item_key]],GTList,Table_ExternalData_17[[#Headers],[SR]],GDList,"&lt;&gt;"&amp;0)</f>
        <v>0</v>
      </c>
      <c r="H209" s="10">
        <f>SUMIFS(GQList,GIList,Table_ExternalData_17[[#This Row],[item_key]],GTList,Table_ExternalData_17[[#Headers],[TR]],GDList,"&lt;&gt;"&amp;0)</f>
        <v>0</v>
      </c>
      <c r="I209" s="10">
        <f>SUMIFS(GQList,GIList,Table_ExternalData_17[[#This Row],[item_key]],GTList,Table_ExternalData_17[[#Headers],[RCA]],GDList,"&lt;&gt;"&amp;0)</f>
        <v>0</v>
      </c>
      <c r="J209" s="10">
        <f>SUM(Table_ExternalData_17[[#This Row],[GRN]]+Table_ExternalData_17[[#This Row],[VSTR]]+Table_ExternalData_17[[#This Row],[SR]]+Table_ExternalData_17[[#This Row],[TR]]+Table_ExternalData_17[[#This Row],[RCA]])</f>
        <v>0</v>
      </c>
      <c r="K209" s="10">
        <f>SUMIFS(IsQList,IsIList,Table_ExternalData_17[[#This Row],[item_key]],IsITypeList,Table_ExternalData_17[[#Headers],[R/P]],IsDList,"&lt;&gt;"&amp;0)</f>
        <v>0</v>
      </c>
      <c r="L209" s="10">
        <f>SUMIFS(IsQList,IsIList,Table_ExternalData_17[[#This Row],[item_key]],IsITypeList,Table_ExternalData_17[[#Headers],[CST]],IsDList,"&lt;&gt;"&amp;0)</f>
        <v>0</v>
      </c>
      <c r="M209" s="10">
        <f>SUMIFS(IsQList,IsIList,Table_ExternalData_15[[#This Row],[item_key]],IsITypeList,Table_ExternalData_17[[#Headers],[S/I]],IsDList,"&lt;&gt;"&amp;0)</f>
        <v>0</v>
      </c>
      <c r="N209" s="10">
        <f>SUMIFS(IsQList,IsIList,Table_ExternalData_15[[#This Row],[item_key]],IsITypeList,Table_ExternalData_17[[#Headers],[VST]],IsDList,"&lt;&gt;"&amp;0)</f>
        <v>0</v>
      </c>
      <c r="O209" s="10">
        <f>ABS(SUMIFS(IsQList,IsIList,Table_ExternalData_17[[#This Row],[item_key]],IsITypeList,Table_ExternalData_17[[#Headers],[RTN]],IsDList,"&lt;&gt;"&amp;0))</f>
        <v>0</v>
      </c>
      <c r="P209" s="10">
        <f>SUM(Table_ExternalData_17[[#This Row],[R/P]:[RTN]])</f>
        <v>0</v>
      </c>
      <c r="Q209" s="10">
        <f>SUM((Table_ExternalData_17[[#This Row],[Opening]]+Table_ExternalData_17[[#This Row],[Total Receipt]])-ABS(Table_ExternalData_17[[#This Row],[Total Issue]]))</f>
        <v>3309</v>
      </c>
    </row>
    <row r="210" spans="1:17">
      <c r="A210" s="1" t="s">
        <v>651</v>
      </c>
      <c r="B210" s="1" t="s">
        <v>2616</v>
      </c>
      <c r="C210" s="1" t="s">
        <v>2617</v>
      </c>
      <c r="D210" s="10">
        <f>SUMIFS(OPBQList,OPBIList,Table_ExternalData_17[[#This Row],[item_key]])+SUMIFS(GQList,GIList,Table_ExternalData_17[[#This Row],[item_key]],GDList,0)-ABS(SUMIFS(IsQList,IsIList,Table_ExternalData_17[[#This Row],[item_key]],IsDList,0))</f>
        <v>107</v>
      </c>
      <c r="E210" s="10">
        <f>SUMIFS(GQList,GIList,Table_ExternalData_17[[#This Row],[item_key]],GTList,Table_ExternalData_17[[#Headers],[GRN]],GDList,"&lt;&gt;"&amp;0)</f>
        <v>0</v>
      </c>
      <c r="F210" s="10">
        <f>SUMIFS(GQList,GIList,Table_ExternalData_17[[#This Row],[item_key]],GTList,Table_ExternalData_17[[#Headers],[VSTR]],GDList,"&lt;&gt;"&amp;0)</f>
        <v>0</v>
      </c>
      <c r="G210" s="10">
        <f>SUMIFS(GQList,GIList,Table_ExternalData_17[[#This Row],[item_key]],GTList,Table_ExternalData_17[[#Headers],[SR]],GDList,"&lt;&gt;"&amp;0)</f>
        <v>0</v>
      </c>
      <c r="H210" s="10">
        <f>SUMIFS(GQList,GIList,Table_ExternalData_17[[#This Row],[item_key]],GTList,Table_ExternalData_17[[#Headers],[TR]],GDList,"&lt;&gt;"&amp;0)</f>
        <v>0</v>
      </c>
      <c r="I210" s="10">
        <f>SUMIFS(GQList,GIList,Table_ExternalData_17[[#This Row],[item_key]],GTList,Table_ExternalData_17[[#Headers],[RCA]],GDList,"&lt;&gt;"&amp;0)</f>
        <v>0</v>
      </c>
      <c r="J210" s="10">
        <f>SUM(Table_ExternalData_17[[#This Row],[GRN]]+Table_ExternalData_17[[#This Row],[VSTR]]+Table_ExternalData_17[[#This Row],[SR]]+Table_ExternalData_17[[#This Row],[TR]]+Table_ExternalData_17[[#This Row],[RCA]])</f>
        <v>0</v>
      </c>
      <c r="K210" s="10">
        <f>SUMIFS(IsQList,IsIList,Table_ExternalData_17[[#This Row],[item_key]],IsITypeList,Table_ExternalData_17[[#Headers],[R/P]],IsDList,"&lt;&gt;"&amp;0)</f>
        <v>0</v>
      </c>
      <c r="L210" s="10">
        <f>SUMIFS(IsQList,IsIList,Table_ExternalData_17[[#This Row],[item_key]],IsITypeList,Table_ExternalData_17[[#Headers],[CST]],IsDList,"&lt;&gt;"&amp;0)</f>
        <v>0</v>
      </c>
      <c r="M210" s="10">
        <f>SUMIFS(IsQList,IsIList,Table_ExternalData_15[[#This Row],[item_key]],IsITypeList,Table_ExternalData_17[[#Headers],[S/I]],IsDList,"&lt;&gt;"&amp;0)</f>
        <v>25</v>
      </c>
      <c r="N210" s="10">
        <f>SUMIFS(IsQList,IsIList,Table_ExternalData_15[[#This Row],[item_key]],IsITypeList,Table_ExternalData_17[[#Headers],[VST]],IsDList,"&lt;&gt;"&amp;0)</f>
        <v>0</v>
      </c>
      <c r="O210" s="10">
        <f>ABS(SUMIFS(IsQList,IsIList,Table_ExternalData_17[[#This Row],[item_key]],IsITypeList,Table_ExternalData_17[[#Headers],[RTN]],IsDList,"&lt;&gt;"&amp;0))</f>
        <v>0</v>
      </c>
      <c r="P210" s="10">
        <f>SUM(Table_ExternalData_17[[#This Row],[R/P]:[RTN]])</f>
        <v>25</v>
      </c>
      <c r="Q210" s="10">
        <f>SUM((Table_ExternalData_17[[#This Row],[Opening]]+Table_ExternalData_17[[#This Row],[Total Receipt]])-ABS(Table_ExternalData_17[[#This Row],[Total Issue]]))</f>
        <v>82</v>
      </c>
    </row>
    <row r="211" spans="1:17">
      <c r="A211" s="1" t="s">
        <v>652</v>
      </c>
      <c r="B211" s="1" t="s">
        <v>1349</v>
      </c>
      <c r="C211" s="1" t="s">
        <v>1350</v>
      </c>
      <c r="D211" s="10">
        <f>SUMIFS(OPBQList,OPBIList,Table_ExternalData_17[[#This Row],[item_key]])+SUMIFS(GQList,GIList,Table_ExternalData_17[[#This Row],[item_key]],GDList,0)-ABS(SUMIFS(IsQList,IsIList,Table_ExternalData_17[[#This Row],[item_key]],IsDList,0))</f>
        <v>25</v>
      </c>
      <c r="E211" s="10">
        <f>SUMIFS(GQList,GIList,Table_ExternalData_17[[#This Row],[item_key]],GTList,Table_ExternalData_17[[#Headers],[GRN]],GDList,"&lt;&gt;"&amp;0)</f>
        <v>0</v>
      </c>
      <c r="F211" s="10">
        <f>SUMIFS(GQList,GIList,Table_ExternalData_17[[#This Row],[item_key]],GTList,Table_ExternalData_17[[#Headers],[VSTR]],GDList,"&lt;&gt;"&amp;0)</f>
        <v>0</v>
      </c>
      <c r="G211" s="10">
        <f>SUMIFS(GQList,GIList,Table_ExternalData_17[[#This Row],[item_key]],GTList,Table_ExternalData_17[[#Headers],[SR]],GDList,"&lt;&gt;"&amp;0)</f>
        <v>0</v>
      </c>
      <c r="H211" s="10">
        <f>SUMIFS(GQList,GIList,Table_ExternalData_17[[#This Row],[item_key]],GTList,Table_ExternalData_17[[#Headers],[TR]],GDList,"&lt;&gt;"&amp;0)</f>
        <v>0</v>
      </c>
      <c r="I211" s="10">
        <f>SUMIFS(GQList,GIList,Table_ExternalData_17[[#This Row],[item_key]],GTList,Table_ExternalData_17[[#Headers],[RCA]],GDList,"&lt;&gt;"&amp;0)</f>
        <v>0</v>
      </c>
      <c r="J211" s="10">
        <f>SUM(Table_ExternalData_17[[#This Row],[GRN]]+Table_ExternalData_17[[#This Row],[VSTR]]+Table_ExternalData_17[[#This Row],[SR]]+Table_ExternalData_17[[#This Row],[TR]]+Table_ExternalData_17[[#This Row],[RCA]])</f>
        <v>0</v>
      </c>
      <c r="K211" s="10">
        <f>SUMIFS(IsQList,IsIList,Table_ExternalData_17[[#This Row],[item_key]],IsITypeList,Table_ExternalData_17[[#Headers],[R/P]],IsDList,"&lt;&gt;"&amp;0)</f>
        <v>0</v>
      </c>
      <c r="L211" s="10">
        <f>SUMIFS(IsQList,IsIList,Table_ExternalData_17[[#This Row],[item_key]],IsITypeList,Table_ExternalData_17[[#Headers],[CST]],IsDList,"&lt;&gt;"&amp;0)</f>
        <v>0</v>
      </c>
      <c r="M211" s="10">
        <f>SUMIFS(IsQList,IsIList,Table_ExternalData_15[[#This Row],[item_key]],IsITypeList,Table_ExternalData_17[[#Headers],[S/I]],IsDList,"&lt;&gt;"&amp;0)</f>
        <v>7</v>
      </c>
      <c r="N211" s="10">
        <f>SUMIFS(IsQList,IsIList,Table_ExternalData_15[[#This Row],[item_key]],IsITypeList,Table_ExternalData_17[[#Headers],[VST]],IsDList,"&lt;&gt;"&amp;0)</f>
        <v>0</v>
      </c>
      <c r="O211" s="10">
        <f>ABS(SUMIFS(IsQList,IsIList,Table_ExternalData_17[[#This Row],[item_key]],IsITypeList,Table_ExternalData_17[[#Headers],[RTN]],IsDList,"&lt;&gt;"&amp;0))</f>
        <v>0</v>
      </c>
      <c r="P211" s="10">
        <f>SUM(Table_ExternalData_17[[#This Row],[R/P]:[RTN]])</f>
        <v>7</v>
      </c>
      <c r="Q211" s="10">
        <f>SUM((Table_ExternalData_17[[#This Row],[Opening]]+Table_ExternalData_17[[#This Row],[Total Receipt]])-ABS(Table_ExternalData_17[[#This Row],[Total Issue]]))</f>
        <v>18</v>
      </c>
    </row>
    <row r="212" spans="1:17">
      <c r="A212" s="1" t="s">
        <v>653</v>
      </c>
      <c r="B212" s="1" t="s">
        <v>2618</v>
      </c>
      <c r="C212" s="1" t="s">
        <v>2619</v>
      </c>
      <c r="D212" s="10">
        <f>SUMIFS(OPBQList,OPBIList,Table_ExternalData_17[[#This Row],[item_key]])+SUMIFS(GQList,GIList,Table_ExternalData_17[[#This Row],[item_key]],GDList,0)-ABS(SUMIFS(IsQList,IsIList,Table_ExternalData_17[[#This Row],[item_key]],IsDList,0))</f>
        <v>48</v>
      </c>
      <c r="E212" s="10">
        <f>SUMIFS(GQList,GIList,Table_ExternalData_17[[#This Row],[item_key]],GTList,Table_ExternalData_17[[#Headers],[GRN]],GDList,"&lt;&gt;"&amp;0)</f>
        <v>50</v>
      </c>
      <c r="F212" s="10">
        <f>SUMIFS(GQList,GIList,Table_ExternalData_17[[#This Row],[item_key]],GTList,Table_ExternalData_17[[#Headers],[VSTR]],GDList,"&lt;&gt;"&amp;0)</f>
        <v>0</v>
      </c>
      <c r="G212" s="10">
        <f>SUMIFS(GQList,GIList,Table_ExternalData_17[[#This Row],[item_key]],GTList,Table_ExternalData_17[[#Headers],[SR]],GDList,"&lt;&gt;"&amp;0)</f>
        <v>0</v>
      </c>
      <c r="H212" s="10">
        <f>SUMIFS(GQList,GIList,Table_ExternalData_17[[#This Row],[item_key]],GTList,Table_ExternalData_17[[#Headers],[TR]],GDList,"&lt;&gt;"&amp;0)</f>
        <v>0</v>
      </c>
      <c r="I212" s="10">
        <f>SUMIFS(GQList,GIList,Table_ExternalData_17[[#This Row],[item_key]],GTList,Table_ExternalData_17[[#Headers],[RCA]],GDList,"&lt;&gt;"&amp;0)</f>
        <v>0</v>
      </c>
      <c r="J212" s="10">
        <f>SUM(Table_ExternalData_17[[#This Row],[GRN]]+Table_ExternalData_17[[#This Row],[VSTR]]+Table_ExternalData_17[[#This Row],[SR]]+Table_ExternalData_17[[#This Row],[TR]]+Table_ExternalData_17[[#This Row],[RCA]])</f>
        <v>50</v>
      </c>
      <c r="K212" s="10">
        <f>SUMIFS(IsQList,IsIList,Table_ExternalData_17[[#This Row],[item_key]],IsITypeList,Table_ExternalData_17[[#Headers],[R/P]],IsDList,"&lt;&gt;"&amp;0)</f>
        <v>0</v>
      </c>
      <c r="L212" s="10">
        <f>SUMIFS(IsQList,IsIList,Table_ExternalData_17[[#This Row],[item_key]],IsITypeList,Table_ExternalData_17[[#Headers],[CST]],IsDList,"&lt;&gt;"&amp;0)</f>
        <v>0</v>
      </c>
      <c r="M212" s="10">
        <f>SUMIFS(IsQList,IsIList,Table_ExternalData_15[[#This Row],[item_key]],IsITypeList,Table_ExternalData_17[[#Headers],[S/I]],IsDList,"&lt;&gt;"&amp;0)</f>
        <v>0</v>
      </c>
      <c r="N212" s="10">
        <f>SUMIFS(IsQList,IsIList,Table_ExternalData_15[[#This Row],[item_key]],IsITypeList,Table_ExternalData_17[[#Headers],[VST]],IsDList,"&lt;&gt;"&amp;0)</f>
        <v>0</v>
      </c>
      <c r="O212" s="10">
        <f>ABS(SUMIFS(IsQList,IsIList,Table_ExternalData_17[[#This Row],[item_key]],IsITypeList,Table_ExternalData_17[[#Headers],[RTN]],IsDList,"&lt;&gt;"&amp;0))</f>
        <v>0</v>
      </c>
      <c r="P212" s="10">
        <f>SUM(Table_ExternalData_17[[#This Row],[R/P]:[RTN]])</f>
        <v>0</v>
      </c>
      <c r="Q212" s="10">
        <f>SUM((Table_ExternalData_17[[#This Row],[Opening]]+Table_ExternalData_17[[#This Row],[Total Receipt]])-ABS(Table_ExternalData_17[[#This Row],[Total Issue]]))</f>
        <v>98</v>
      </c>
    </row>
    <row r="213" spans="1:17">
      <c r="A213" s="1" t="s">
        <v>654</v>
      </c>
      <c r="B213" s="1" t="s">
        <v>1351</v>
      </c>
      <c r="C213" s="1" t="s">
        <v>1352</v>
      </c>
      <c r="D213" s="10">
        <f>SUMIFS(OPBQList,OPBIList,Table_ExternalData_17[[#This Row],[item_key]])+SUMIFS(GQList,GIList,Table_ExternalData_17[[#This Row],[item_key]],GDList,0)-ABS(SUMIFS(IsQList,IsIList,Table_ExternalData_17[[#This Row],[item_key]],IsDList,0))</f>
        <v>64</v>
      </c>
      <c r="E213" s="10">
        <f>SUMIFS(GQList,GIList,Table_ExternalData_17[[#This Row],[item_key]],GTList,Table_ExternalData_17[[#Headers],[GRN]],GDList,"&lt;&gt;"&amp;0)</f>
        <v>0</v>
      </c>
      <c r="F213" s="10">
        <f>SUMIFS(GQList,GIList,Table_ExternalData_17[[#This Row],[item_key]],GTList,Table_ExternalData_17[[#Headers],[VSTR]],GDList,"&lt;&gt;"&amp;0)</f>
        <v>0</v>
      </c>
      <c r="G213" s="10">
        <f>SUMIFS(GQList,GIList,Table_ExternalData_17[[#This Row],[item_key]],GTList,Table_ExternalData_17[[#Headers],[SR]],GDList,"&lt;&gt;"&amp;0)</f>
        <v>0</v>
      </c>
      <c r="H213" s="10">
        <f>SUMIFS(GQList,GIList,Table_ExternalData_17[[#This Row],[item_key]],GTList,Table_ExternalData_17[[#Headers],[TR]],GDList,"&lt;&gt;"&amp;0)</f>
        <v>0</v>
      </c>
      <c r="I213" s="10">
        <f>SUMIFS(GQList,GIList,Table_ExternalData_17[[#This Row],[item_key]],GTList,Table_ExternalData_17[[#Headers],[RCA]],GDList,"&lt;&gt;"&amp;0)</f>
        <v>0</v>
      </c>
      <c r="J213" s="10">
        <f>SUM(Table_ExternalData_17[[#This Row],[GRN]]+Table_ExternalData_17[[#This Row],[VSTR]]+Table_ExternalData_17[[#This Row],[SR]]+Table_ExternalData_17[[#This Row],[TR]]+Table_ExternalData_17[[#This Row],[RCA]])</f>
        <v>0</v>
      </c>
      <c r="K213" s="10">
        <f>SUMIFS(IsQList,IsIList,Table_ExternalData_17[[#This Row],[item_key]],IsITypeList,Table_ExternalData_17[[#Headers],[R/P]],IsDList,"&lt;&gt;"&amp;0)</f>
        <v>0</v>
      </c>
      <c r="L213" s="10">
        <f>SUMIFS(IsQList,IsIList,Table_ExternalData_17[[#This Row],[item_key]],IsITypeList,Table_ExternalData_17[[#Headers],[CST]],IsDList,"&lt;&gt;"&amp;0)</f>
        <v>0</v>
      </c>
      <c r="M213" s="10">
        <f>SUMIFS(IsQList,IsIList,Table_ExternalData_15[[#This Row],[item_key]],IsITypeList,Table_ExternalData_17[[#Headers],[S/I]],IsDList,"&lt;&gt;"&amp;0)</f>
        <v>0</v>
      </c>
      <c r="N213" s="10">
        <f>SUMIFS(IsQList,IsIList,Table_ExternalData_15[[#This Row],[item_key]],IsITypeList,Table_ExternalData_17[[#Headers],[VST]],IsDList,"&lt;&gt;"&amp;0)</f>
        <v>0</v>
      </c>
      <c r="O213" s="10">
        <f>ABS(SUMIFS(IsQList,IsIList,Table_ExternalData_17[[#This Row],[item_key]],IsITypeList,Table_ExternalData_17[[#Headers],[RTN]],IsDList,"&lt;&gt;"&amp;0))</f>
        <v>0</v>
      </c>
      <c r="P213" s="10">
        <f>SUM(Table_ExternalData_17[[#This Row],[R/P]:[RTN]])</f>
        <v>0</v>
      </c>
      <c r="Q213" s="10">
        <f>SUM((Table_ExternalData_17[[#This Row],[Opening]]+Table_ExternalData_17[[#This Row],[Total Receipt]])-ABS(Table_ExternalData_17[[#This Row],[Total Issue]]))</f>
        <v>64</v>
      </c>
    </row>
    <row r="214" spans="1:17">
      <c r="A214" s="1" t="s">
        <v>656</v>
      </c>
      <c r="B214" s="1" t="s">
        <v>2620</v>
      </c>
      <c r="C214" s="1" t="s">
        <v>2621</v>
      </c>
      <c r="D214" s="10">
        <f>SUMIFS(OPBQList,OPBIList,Table_ExternalData_17[[#This Row],[item_key]])+SUMIFS(GQList,GIList,Table_ExternalData_17[[#This Row],[item_key]],GDList,0)-ABS(SUMIFS(IsQList,IsIList,Table_ExternalData_17[[#This Row],[item_key]],IsDList,0))</f>
        <v>640</v>
      </c>
      <c r="E214" s="10">
        <f>SUMIFS(GQList,GIList,Table_ExternalData_17[[#This Row],[item_key]],GTList,Table_ExternalData_17[[#Headers],[GRN]],GDList,"&lt;&gt;"&amp;0)</f>
        <v>0</v>
      </c>
      <c r="F214" s="10">
        <f>SUMIFS(GQList,GIList,Table_ExternalData_17[[#This Row],[item_key]],GTList,Table_ExternalData_17[[#Headers],[VSTR]],GDList,"&lt;&gt;"&amp;0)</f>
        <v>0</v>
      </c>
      <c r="G214" s="10">
        <f>SUMIFS(GQList,GIList,Table_ExternalData_17[[#This Row],[item_key]],GTList,Table_ExternalData_17[[#Headers],[SR]],GDList,"&lt;&gt;"&amp;0)</f>
        <v>0</v>
      </c>
      <c r="H214" s="10">
        <f>SUMIFS(GQList,GIList,Table_ExternalData_17[[#This Row],[item_key]],GTList,Table_ExternalData_17[[#Headers],[TR]],GDList,"&lt;&gt;"&amp;0)</f>
        <v>0</v>
      </c>
      <c r="I214" s="10">
        <f>SUMIFS(GQList,GIList,Table_ExternalData_17[[#This Row],[item_key]],GTList,Table_ExternalData_17[[#Headers],[RCA]],GDList,"&lt;&gt;"&amp;0)</f>
        <v>0</v>
      </c>
      <c r="J214" s="10">
        <f>SUM(Table_ExternalData_17[[#This Row],[GRN]]+Table_ExternalData_17[[#This Row],[VSTR]]+Table_ExternalData_17[[#This Row],[SR]]+Table_ExternalData_17[[#This Row],[TR]]+Table_ExternalData_17[[#This Row],[RCA]])</f>
        <v>0</v>
      </c>
      <c r="K214" s="10">
        <f>SUMIFS(IsQList,IsIList,Table_ExternalData_17[[#This Row],[item_key]],IsITypeList,Table_ExternalData_17[[#Headers],[R/P]],IsDList,"&lt;&gt;"&amp;0)</f>
        <v>0</v>
      </c>
      <c r="L214" s="10">
        <f>SUMIFS(IsQList,IsIList,Table_ExternalData_17[[#This Row],[item_key]],IsITypeList,Table_ExternalData_17[[#Headers],[CST]],IsDList,"&lt;&gt;"&amp;0)</f>
        <v>0</v>
      </c>
      <c r="M214" s="10">
        <f>SUMIFS(IsQList,IsIList,Table_ExternalData_15[[#This Row],[item_key]],IsITypeList,Table_ExternalData_17[[#Headers],[S/I]],IsDList,"&lt;&gt;"&amp;0)</f>
        <v>2</v>
      </c>
      <c r="N214" s="10">
        <f>SUMIFS(IsQList,IsIList,Table_ExternalData_15[[#This Row],[item_key]],IsITypeList,Table_ExternalData_17[[#Headers],[VST]],IsDList,"&lt;&gt;"&amp;0)</f>
        <v>0</v>
      </c>
      <c r="O214" s="10">
        <f>ABS(SUMIFS(IsQList,IsIList,Table_ExternalData_17[[#This Row],[item_key]],IsITypeList,Table_ExternalData_17[[#Headers],[RTN]],IsDList,"&lt;&gt;"&amp;0))</f>
        <v>0</v>
      </c>
      <c r="P214" s="10">
        <f>SUM(Table_ExternalData_17[[#This Row],[R/P]:[RTN]])</f>
        <v>2</v>
      </c>
      <c r="Q214" s="10">
        <f>SUM((Table_ExternalData_17[[#This Row],[Opening]]+Table_ExternalData_17[[#This Row],[Total Receipt]])-ABS(Table_ExternalData_17[[#This Row],[Total Issue]]))</f>
        <v>638</v>
      </c>
    </row>
    <row r="215" spans="1:17">
      <c r="A215" s="1" t="s">
        <v>657</v>
      </c>
      <c r="B215" s="1" t="s">
        <v>1353</v>
      </c>
      <c r="C215" s="1" t="s">
        <v>1354</v>
      </c>
      <c r="D215" s="10">
        <f>SUMIFS(OPBQList,OPBIList,Table_ExternalData_17[[#This Row],[item_key]])+SUMIFS(GQList,GIList,Table_ExternalData_17[[#This Row],[item_key]],GDList,0)-ABS(SUMIFS(IsQList,IsIList,Table_ExternalData_17[[#This Row],[item_key]],IsDList,0))</f>
        <v>41</v>
      </c>
      <c r="E215" s="10">
        <f>SUMIFS(GQList,GIList,Table_ExternalData_17[[#This Row],[item_key]],GTList,Table_ExternalData_17[[#Headers],[GRN]],GDList,"&lt;&gt;"&amp;0)</f>
        <v>200</v>
      </c>
      <c r="F215" s="10">
        <f>SUMIFS(GQList,GIList,Table_ExternalData_17[[#This Row],[item_key]],GTList,Table_ExternalData_17[[#Headers],[VSTR]],GDList,"&lt;&gt;"&amp;0)</f>
        <v>0</v>
      </c>
      <c r="G215" s="10">
        <f>SUMIFS(GQList,GIList,Table_ExternalData_17[[#This Row],[item_key]],GTList,Table_ExternalData_17[[#Headers],[SR]],GDList,"&lt;&gt;"&amp;0)</f>
        <v>0</v>
      </c>
      <c r="H215" s="10">
        <f>SUMIFS(GQList,GIList,Table_ExternalData_17[[#This Row],[item_key]],GTList,Table_ExternalData_17[[#Headers],[TR]],GDList,"&lt;&gt;"&amp;0)</f>
        <v>0</v>
      </c>
      <c r="I215" s="10">
        <f>SUMIFS(GQList,GIList,Table_ExternalData_17[[#This Row],[item_key]],GTList,Table_ExternalData_17[[#Headers],[RCA]],GDList,"&lt;&gt;"&amp;0)</f>
        <v>0</v>
      </c>
      <c r="J215" s="10">
        <f>SUM(Table_ExternalData_17[[#This Row],[GRN]]+Table_ExternalData_17[[#This Row],[VSTR]]+Table_ExternalData_17[[#This Row],[SR]]+Table_ExternalData_17[[#This Row],[TR]]+Table_ExternalData_17[[#This Row],[RCA]])</f>
        <v>200</v>
      </c>
      <c r="K215" s="10">
        <f>SUMIFS(IsQList,IsIList,Table_ExternalData_17[[#This Row],[item_key]],IsITypeList,Table_ExternalData_17[[#Headers],[R/P]],IsDList,"&lt;&gt;"&amp;0)</f>
        <v>0</v>
      </c>
      <c r="L215" s="10">
        <f>SUMIFS(IsQList,IsIList,Table_ExternalData_17[[#This Row],[item_key]],IsITypeList,Table_ExternalData_17[[#Headers],[CST]],IsDList,"&lt;&gt;"&amp;0)</f>
        <v>0</v>
      </c>
      <c r="M215" s="10">
        <f>SUMIFS(IsQList,IsIList,Table_ExternalData_15[[#This Row],[item_key]],IsITypeList,Table_ExternalData_17[[#Headers],[S/I]],IsDList,"&lt;&gt;"&amp;0)</f>
        <v>6</v>
      </c>
      <c r="N215" s="10">
        <f>SUMIFS(IsQList,IsIList,Table_ExternalData_15[[#This Row],[item_key]],IsITypeList,Table_ExternalData_17[[#Headers],[VST]],IsDList,"&lt;&gt;"&amp;0)</f>
        <v>0</v>
      </c>
      <c r="O215" s="10">
        <f>ABS(SUMIFS(IsQList,IsIList,Table_ExternalData_17[[#This Row],[item_key]],IsITypeList,Table_ExternalData_17[[#Headers],[RTN]],IsDList,"&lt;&gt;"&amp;0))</f>
        <v>0</v>
      </c>
      <c r="P215" s="10">
        <f>SUM(Table_ExternalData_17[[#This Row],[R/P]:[RTN]])</f>
        <v>6</v>
      </c>
      <c r="Q215" s="10">
        <f>SUM((Table_ExternalData_17[[#This Row],[Opening]]+Table_ExternalData_17[[#This Row],[Total Receipt]])-ABS(Table_ExternalData_17[[#This Row],[Total Issue]]))</f>
        <v>235</v>
      </c>
    </row>
    <row r="216" spans="1:17">
      <c r="A216" s="1" t="s">
        <v>662</v>
      </c>
      <c r="B216" s="1" t="s">
        <v>2622</v>
      </c>
      <c r="C216" s="1" t="s">
        <v>2623</v>
      </c>
      <c r="D216" s="10">
        <f>SUMIFS(OPBQList,OPBIList,Table_ExternalData_17[[#This Row],[item_key]])+SUMIFS(GQList,GIList,Table_ExternalData_17[[#This Row],[item_key]],GDList,0)-ABS(SUMIFS(IsQList,IsIList,Table_ExternalData_17[[#This Row],[item_key]],IsDList,0))</f>
        <v>359</v>
      </c>
      <c r="E216" s="10">
        <f>SUMIFS(GQList,GIList,Table_ExternalData_17[[#This Row],[item_key]],GTList,Table_ExternalData_17[[#Headers],[GRN]],GDList,"&lt;&gt;"&amp;0)</f>
        <v>0</v>
      </c>
      <c r="F216" s="10">
        <f>SUMIFS(GQList,GIList,Table_ExternalData_17[[#This Row],[item_key]],GTList,Table_ExternalData_17[[#Headers],[VSTR]],GDList,"&lt;&gt;"&amp;0)</f>
        <v>0</v>
      </c>
      <c r="G216" s="10">
        <f>SUMIFS(GQList,GIList,Table_ExternalData_17[[#This Row],[item_key]],GTList,Table_ExternalData_17[[#Headers],[SR]],GDList,"&lt;&gt;"&amp;0)</f>
        <v>0</v>
      </c>
      <c r="H216" s="10">
        <f>SUMIFS(GQList,GIList,Table_ExternalData_17[[#This Row],[item_key]],GTList,Table_ExternalData_17[[#Headers],[TR]],GDList,"&lt;&gt;"&amp;0)</f>
        <v>0</v>
      </c>
      <c r="I216" s="10">
        <f>SUMIFS(GQList,GIList,Table_ExternalData_17[[#This Row],[item_key]],GTList,Table_ExternalData_17[[#Headers],[RCA]],GDList,"&lt;&gt;"&amp;0)</f>
        <v>0</v>
      </c>
      <c r="J216" s="10">
        <f>SUM(Table_ExternalData_17[[#This Row],[GRN]]+Table_ExternalData_17[[#This Row],[VSTR]]+Table_ExternalData_17[[#This Row],[SR]]+Table_ExternalData_17[[#This Row],[TR]]+Table_ExternalData_17[[#This Row],[RCA]])</f>
        <v>0</v>
      </c>
      <c r="K216" s="10">
        <f>SUMIFS(IsQList,IsIList,Table_ExternalData_17[[#This Row],[item_key]],IsITypeList,Table_ExternalData_17[[#Headers],[R/P]],IsDList,"&lt;&gt;"&amp;0)</f>
        <v>0</v>
      </c>
      <c r="L216" s="10">
        <f>SUMIFS(IsQList,IsIList,Table_ExternalData_17[[#This Row],[item_key]],IsITypeList,Table_ExternalData_17[[#Headers],[CST]],IsDList,"&lt;&gt;"&amp;0)</f>
        <v>0</v>
      </c>
      <c r="M216" s="10">
        <f>SUMIFS(IsQList,IsIList,Table_ExternalData_15[[#This Row],[item_key]],IsITypeList,Table_ExternalData_17[[#Headers],[S/I]],IsDList,"&lt;&gt;"&amp;0)</f>
        <v>5</v>
      </c>
      <c r="N216" s="10">
        <f>SUMIFS(IsQList,IsIList,Table_ExternalData_15[[#This Row],[item_key]],IsITypeList,Table_ExternalData_17[[#Headers],[VST]],IsDList,"&lt;&gt;"&amp;0)</f>
        <v>0</v>
      </c>
      <c r="O216" s="10">
        <f>ABS(SUMIFS(IsQList,IsIList,Table_ExternalData_17[[#This Row],[item_key]],IsITypeList,Table_ExternalData_17[[#Headers],[RTN]],IsDList,"&lt;&gt;"&amp;0))</f>
        <v>0</v>
      </c>
      <c r="P216" s="10">
        <f>SUM(Table_ExternalData_17[[#This Row],[R/P]:[RTN]])</f>
        <v>5</v>
      </c>
      <c r="Q216" s="10">
        <f>SUM((Table_ExternalData_17[[#This Row],[Opening]]+Table_ExternalData_17[[#This Row],[Total Receipt]])-ABS(Table_ExternalData_17[[#This Row],[Total Issue]]))</f>
        <v>354</v>
      </c>
    </row>
    <row r="217" spans="1:17">
      <c r="A217" s="1" t="s">
        <v>1773</v>
      </c>
      <c r="B217" s="1" t="s">
        <v>2624</v>
      </c>
      <c r="C217" s="1" t="s">
        <v>2625</v>
      </c>
      <c r="D21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17" s="10">
        <f>SUMIFS(GQList,GIList,Table_ExternalData_17[[#This Row],[item_key]],GTList,Table_ExternalData_17[[#Headers],[GRN]],GDList,"&lt;&gt;"&amp;0)</f>
        <v>300</v>
      </c>
      <c r="F217" s="10">
        <f>SUMIFS(GQList,GIList,Table_ExternalData_17[[#This Row],[item_key]],GTList,Table_ExternalData_17[[#Headers],[VSTR]],GDList,"&lt;&gt;"&amp;0)</f>
        <v>0</v>
      </c>
      <c r="G217" s="10">
        <f>SUMIFS(GQList,GIList,Table_ExternalData_17[[#This Row],[item_key]],GTList,Table_ExternalData_17[[#Headers],[SR]],GDList,"&lt;&gt;"&amp;0)</f>
        <v>0</v>
      </c>
      <c r="H217" s="10">
        <f>SUMIFS(GQList,GIList,Table_ExternalData_17[[#This Row],[item_key]],GTList,Table_ExternalData_17[[#Headers],[TR]],GDList,"&lt;&gt;"&amp;0)</f>
        <v>0</v>
      </c>
      <c r="I217" s="10">
        <f>SUMIFS(GQList,GIList,Table_ExternalData_17[[#This Row],[item_key]],GTList,Table_ExternalData_17[[#Headers],[RCA]],GDList,"&lt;&gt;"&amp;0)</f>
        <v>0</v>
      </c>
      <c r="J217" s="10">
        <f>SUM(Table_ExternalData_17[[#This Row],[GRN]]+Table_ExternalData_17[[#This Row],[VSTR]]+Table_ExternalData_17[[#This Row],[SR]]+Table_ExternalData_17[[#This Row],[TR]]+Table_ExternalData_17[[#This Row],[RCA]])</f>
        <v>300</v>
      </c>
      <c r="K217" s="10">
        <f>SUMIFS(IsQList,IsIList,Table_ExternalData_17[[#This Row],[item_key]],IsITypeList,Table_ExternalData_17[[#Headers],[R/P]],IsDList,"&lt;&gt;"&amp;0)</f>
        <v>0</v>
      </c>
      <c r="L217" s="10">
        <f>SUMIFS(IsQList,IsIList,Table_ExternalData_17[[#This Row],[item_key]],IsITypeList,Table_ExternalData_17[[#Headers],[CST]],IsDList,"&lt;&gt;"&amp;0)</f>
        <v>0</v>
      </c>
      <c r="M217" s="10">
        <f>SUMIFS(IsQList,IsIList,Table_ExternalData_15[[#This Row],[item_key]],IsITypeList,Table_ExternalData_17[[#Headers],[S/I]],IsDList,"&lt;&gt;"&amp;0)</f>
        <v>4</v>
      </c>
      <c r="N217" s="10">
        <f>SUMIFS(IsQList,IsIList,Table_ExternalData_15[[#This Row],[item_key]],IsITypeList,Table_ExternalData_17[[#Headers],[VST]],IsDList,"&lt;&gt;"&amp;0)</f>
        <v>0</v>
      </c>
      <c r="O217" s="10">
        <f>ABS(SUMIFS(IsQList,IsIList,Table_ExternalData_17[[#This Row],[item_key]],IsITypeList,Table_ExternalData_17[[#Headers],[RTN]],IsDList,"&lt;&gt;"&amp;0))</f>
        <v>0</v>
      </c>
      <c r="P217" s="10">
        <f>SUM(Table_ExternalData_17[[#This Row],[R/P]:[RTN]])</f>
        <v>4</v>
      </c>
      <c r="Q217" s="10">
        <f>SUM((Table_ExternalData_17[[#This Row],[Opening]]+Table_ExternalData_17[[#This Row],[Total Receipt]])-ABS(Table_ExternalData_17[[#This Row],[Total Issue]]))</f>
        <v>296</v>
      </c>
    </row>
    <row r="218" spans="1:17">
      <c r="A218" s="1" t="s">
        <v>664</v>
      </c>
      <c r="B218" s="1" t="s">
        <v>1355</v>
      </c>
      <c r="C218" s="1" t="s">
        <v>1356</v>
      </c>
      <c r="D218" s="10">
        <f>SUMIFS(OPBQList,OPBIList,Table_ExternalData_17[[#This Row],[item_key]])+SUMIFS(GQList,GIList,Table_ExternalData_17[[#This Row],[item_key]],GDList,0)-ABS(SUMIFS(IsQList,IsIList,Table_ExternalData_17[[#This Row],[item_key]],IsDList,0))</f>
        <v>481</v>
      </c>
      <c r="E218" s="10">
        <f>SUMIFS(GQList,GIList,Table_ExternalData_17[[#This Row],[item_key]],GTList,Table_ExternalData_17[[#Headers],[GRN]],GDList,"&lt;&gt;"&amp;0)</f>
        <v>0</v>
      </c>
      <c r="F218" s="10">
        <f>SUMIFS(GQList,GIList,Table_ExternalData_17[[#This Row],[item_key]],GTList,Table_ExternalData_17[[#Headers],[VSTR]],GDList,"&lt;&gt;"&amp;0)</f>
        <v>0</v>
      </c>
      <c r="G218" s="10">
        <f>SUMIFS(GQList,GIList,Table_ExternalData_17[[#This Row],[item_key]],GTList,Table_ExternalData_17[[#Headers],[SR]],GDList,"&lt;&gt;"&amp;0)</f>
        <v>0</v>
      </c>
      <c r="H218" s="10">
        <f>SUMIFS(GQList,GIList,Table_ExternalData_17[[#This Row],[item_key]],GTList,Table_ExternalData_17[[#Headers],[TR]],GDList,"&lt;&gt;"&amp;0)</f>
        <v>0</v>
      </c>
      <c r="I218" s="10">
        <f>SUMIFS(GQList,GIList,Table_ExternalData_17[[#This Row],[item_key]],GTList,Table_ExternalData_17[[#Headers],[RCA]],GDList,"&lt;&gt;"&amp;0)</f>
        <v>0</v>
      </c>
      <c r="J218" s="10">
        <f>SUM(Table_ExternalData_17[[#This Row],[GRN]]+Table_ExternalData_17[[#This Row],[VSTR]]+Table_ExternalData_17[[#This Row],[SR]]+Table_ExternalData_17[[#This Row],[TR]]+Table_ExternalData_17[[#This Row],[RCA]])</f>
        <v>0</v>
      </c>
      <c r="K218" s="10">
        <f>SUMIFS(IsQList,IsIList,Table_ExternalData_17[[#This Row],[item_key]],IsITypeList,Table_ExternalData_17[[#Headers],[R/P]],IsDList,"&lt;&gt;"&amp;0)</f>
        <v>0</v>
      </c>
      <c r="L218" s="10">
        <f>SUMIFS(IsQList,IsIList,Table_ExternalData_17[[#This Row],[item_key]],IsITypeList,Table_ExternalData_17[[#Headers],[CST]],IsDList,"&lt;&gt;"&amp;0)</f>
        <v>0</v>
      </c>
      <c r="M218" s="10">
        <f>SUMIFS(IsQList,IsIList,Table_ExternalData_15[[#This Row],[item_key]],IsITypeList,Table_ExternalData_17[[#Headers],[S/I]],IsDList,"&lt;&gt;"&amp;0)</f>
        <v>167</v>
      </c>
      <c r="N218" s="10">
        <f>SUMIFS(IsQList,IsIList,Table_ExternalData_15[[#This Row],[item_key]],IsITypeList,Table_ExternalData_17[[#Headers],[VST]],IsDList,"&lt;&gt;"&amp;0)</f>
        <v>0</v>
      </c>
      <c r="O218" s="10">
        <f>ABS(SUMIFS(IsQList,IsIList,Table_ExternalData_17[[#This Row],[item_key]],IsITypeList,Table_ExternalData_17[[#Headers],[RTN]],IsDList,"&lt;&gt;"&amp;0))</f>
        <v>0</v>
      </c>
      <c r="P218" s="10">
        <f>SUM(Table_ExternalData_17[[#This Row],[R/P]:[RTN]])</f>
        <v>167</v>
      </c>
      <c r="Q218" s="10">
        <f>SUM((Table_ExternalData_17[[#This Row],[Opening]]+Table_ExternalData_17[[#This Row],[Total Receipt]])-ABS(Table_ExternalData_17[[#This Row],[Total Issue]]))</f>
        <v>314</v>
      </c>
    </row>
    <row r="219" spans="1:17">
      <c r="A219" s="1" t="s">
        <v>665</v>
      </c>
      <c r="B219" s="1" t="s">
        <v>2626</v>
      </c>
      <c r="C219" s="1" t="s">
        <v>2627</v>
      </c>
      <c r="D219" s="10">
        <f>SUMIFS(OPBQList,OPBIList,Table_ExternalData_17[[#This Row],[item_key]])+SUMIFS(GQList,GIList,Table_ExternalData_17[[#This Row],[item_key]],GDList,0)-ABS(SUMIFS(IsQList,IsIList,Table_ExternalData_17[[#This Row],[item_key]],IsDList,0))</f>
        <v>397</v>
      </c>
      <c r="E219" s="10">
        <f>SUMIFS(GQList,GIList,Table_ExternalData_17[[#This Row],[item_key]],GTList,Table_ExternalData_17[[#Headers],[GRN]],GDList,"&lt;&gt;"&amp;0)</f>
        <v>0</v>
      </c>
      <c r="F219" s="10">
        <f>SUMIFS(GQList,GIList,Table_ExternalData_17[[#This Row],[item_key]],GTList,Table_ExternalData_17[[#Headers],[VSTR]],GDList,"&lt;&gt;"&amp;0)</f>
        <v>0</v>
      </c>
      <c r="G219" s="10">
        <f>SUMIFS(GQList,GIList,Table_ExternalData_17[[#This Row],[item_key]],GTList,Table_ExternalData_17[[#Headers],[SR]],GDList,"&lt;&gt;"&amp;0)</f>
        <v>0</v>
      </c>
      <c r="H219" s="10">
        <f>SUMIFS(GQList,GIList,Table_ExternalData_17[[#This Row],[item_key]],GTList,Table_ExternalData_17[[#Headers],[TR]],GDList,"&lt;&gt;"&amp;0)</f>
        <v>0</v>
      </c>
      <c r="I219" s="10">
        <f>SUMIFS(GQList,GIList,Table_ExternalData_17[[#This Row],[item_key]],GTList,Table_ExternalData_17[[#Headers],[RCA]],GDList,"&lt;&gt;"&amp;0)</f>
        <v>0</v>
      </c>
      <c r="J219" s="10">
        <f>SUM(Table_ExternalData_17[[#This Row],[GRN]]+Table_ExternalData_17[[#This Row],[VSTR]]+Table_ExternalData_17[[#This Row],[SR]]+Table_ExternalData_17[[#This Row],[TR]]+Table_ExternalData_17[[#This Row],[RCA]])</f>
        <v>0</v>
      </c>
      <c r="K219" s="10">
        <f>SUMIFS(IsQList,IsIList,Table_ExternalData_17[[#This Row],[item_key]],IsITypeList,Table_ExternalData_17[[#Headers],[R/P]],IsDList,"&lt;&gt;"&amp;0)</f>
        <v>0</v>
      </c>
      <c r="L219" s="10">
        <f>SUMIFS(IsQList,IsIList,Table_ExternalData_17[[#This Row],[item_key]],IsITypeList,Table_ExternalData_17[[#Headers],[CST]],IsDList,"&lt;&gt;"&amp;0)</f>
        <v>0</v>
      </c>
      <c r="M219" s="10">
        <f>SUMIFS(IsQList,IsIList,Table_ExternalData_15[[#This Row],[item_key]],IsITypeList,Table_ExternalData_17[[#Headers],[S/I]],IsDList,"&lt;&gt;"&amp;0)</f>
        <v>0</v>
      </c>
      <c r="N219" s="10">
        <f>SUMIFS(IsQList,IsIList,Table_ExternalData_15[[#This Row],[item_key]],IsITypeList,Table_ExternalData_17[[#Headers],[VST]],IsDList,"&lt;&gt;"&amp;0)</f>
        <v>0</v>
      </c>
      <c r="O219" s="10">
        <f>ABS(SUMIFS(IsQList,IsIList,Table_ExternalData_17[[#This Row],[item_key]],IsITypeList,Table_ExternalData_17[[#Headers],[RTN]],IsDList,"&lt;&gt;"&amp;0))</f>
        <v>0</v>
      </c>
      <c r="P219" s="10">
        <f>SUM(Table_ExternalData_17[[#This Row],[R/P]:[RTN]])</f>
        <v>0</v>
      </c>
      <c r="Q219" s="10">
        <f>SUM((Table_ExternalData_17[[#This Row],[Opening]]+Table_ExternalData_17[[#This Row],[Total Receipt]])-ABS(Table_ExternalData_17[[#This Row],[Total Issue]]))</f>
        <v>397</v>
      </c>
    </row>
    <row r="220" spans="1:17">
      <c r="A220" s="1" t="s">
        <v>667</v>
      </c>
      <c r="B220" s="1" t="s">
        <v>1357</v>
      </c>
      <c r="C220" s="1" t="s">
        <v>1358</v>
      </c>
      <c r="D220" s="10">
        <f>SUMIFS(OPBQList,OPBIList,Table_ExternalData_17[[#This Row],[item_key]])+SUMIFS(GQList,GIList,Table_ExternalData_17[[#This Row],[item_key]],GDList,0)-ABS(SUMIFS(IsQList,IsIList,Table_ExternalData_17[[#This Row],[item_key]],IsDList,0))</f>
        <v>45</v>
      </c>
      <c r="E220" s="10">
        <f>SUMIFS(GQList,GIList,Table_ExternalData_17[[#This Row],[item_key]],GTList,Table_ExternalData_17[[#Headers],[GRN]],GDList,"&lt;&gt;"&amp;0)</f>
        <v>0</v>
      </c>
      <c r="F220" s="10">
        <f>SUMIFS(GQList,GIList,Table_ExternalData_17[[#This Row],[item_key]],GTList,Table_ExternalData_17[[#Headers],[VSTR]],GDList,"&lt;&gt;"&amp;0)</f>
        <v>0</v>
      </c>
      <c r="G220" s="10">
        <f>SUMIFS(GQList,GIList,Table_ExternalData_17[[#This Row],[item_key]],GTList,Table_ExternalData_17[[#Headers],[SR]],GDList,"&lt;&gt;"&amp;0)</f>
        <v>0</v>
      </c>
      <c r="H220" s="10">
        <f>SUMIFS(GQList,GIList,Table_ExternalData_17[[#This Row],[item_key]],GTList,Table_ExternalData_17[[#Headers],[TR]],GDList,"&lt;&gt;"&amp;0)</f>
        <v>0</v>
      </c>
      <c r="I220" s="10">
        <f>SUMIFS(GQList,GIList,Table_ExternalData_17[[#This Row],[item_key]],GTList,Table_ExternalData_17[[#Headers],[RCA]],GDList,"&lt;&gt;"&amp;0)</f>
        <v>0</v>
      </c>
      <c r="J220" s="10">
        <f>SUM(Table_ExternalData_17[[#This Row],[GRN]]+Table_ExternalData_17[[#This Row],[VSTR]]+Table_ExternalData_17[[#This Row],[SR]]+Table_ExternalData_17[[#This Row],[TR]]+Table_ExternalData_17[[#This Row],[RCA]])</f>
        <v>0</v>
      </c>
      <c r="K220" s="10">
        <f>SUMIFS(IsQList,IsIList,Table_ExternalData_17[[#This Row],[item_key]],IsITypeList,Table_ExternalData_17[[#Headers],[R/P]],IsDList,"&lt;&gt;"&amp;0)</f>
        <v>0</v>
      </c>
      <c r="L220" s="10">
        <f>SUMIFS(IsQList,IsIList,Table_ExternalData_17[[#This Row],[item_key]],IsITypeList,Table_ExternalData_17[[#Headers],[CST]],IsDList,"&lt;&gt;"&amp;0)</f>
        <v>0</v>
      </c>
      <c r="M220" s="10">
        <f>SUMIFS(IsQList,IsIList,Table_ExternalData_15[[#This Row],[item_key]],IsITypeList,Table_ExternalData_17[[#Headers],[S/I]],IsDList,"&lt;&gt;"&amp;0)</f>
        <v>200</v>
      </c>
      <c r="N220" s="10">
        <f>SUMIFS(IsQList,IsIList,Table_ExternalData_15[[#This Row],[item_key]],IsITypeList,Table_ExternalData_17[[#Headers],[VST]],IsDList,"&lt;&gt;"&amp;0)</f>
        <v>0</v>
      </c>
      <c r="O220" s="10">
        <f>ABS(SUMIFS(IsQList,IsIList,Table_ExternalData_17[[#This Row],[item_key]],IsITypeList,Table_ExternalData_17[[#Headers],[RTN]],IsDList,"&lt;&gt;"&amp;0))</f>
        <v>0</v>
      </c>
      <c r="P220" s="10">
        <f>SUM(Table_ExternalData_17[[#This Row],[R/P]:[RTN]])</f>
        <v>200</v>
      </c>
      <c r="Q220" s="10">
        <f>SUM((Table_ExternalData_17[[#This Row],[Opening]]+Table_ExternalData_17[[#This Row],[Total Receipt]])-ABS(Table_ExternalData_17[[#This Row],[Total Issue]]))</f>
        <v>-155</v>
      </c>
    </row>
    <row r="221" spans="1:17">
      <c r="A221" s="1" t="s">
        <v>669</v>
      </c>
      <c r="B221" s="1" t="s">
        <v>2416</v>
      </c>
      <c r="C221" s="1" t="s">
        <v>2417</v>
      </c>
      <c r="D22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21" s="10">
        <f>SUMIFS(GQList,GIList,Table_ExternalData_17[[#This Row],[item_key]],GTList,Table_ExternalData_17[[#Headers],[GRN]],GDList,"&lt;&gt;"&amp;0)</f>
        <v>0</v>
      </c>
      <c r="F221" s="10">
        <f>SUMIFS(GQList,GIList,Table_ExternalData_17[[#This Row],[item_key]],GTList,Table_ExternalData_17[[#Headers],[VSTR]],GDList,"&lt;&gt;"&amp;0)</f>
        <v>0</v>
      </c>
      <c r="G221" s="10">
        <f>SUMIFS(GQList,GIList,Table_ExternalData_17[[#This Row],[item_key]],GTList,Table_ExternalData_17[[#Headers],[SR]],GDList,"&lt;&gt;"&amp;0)</f>
        <v>0</v>
      </c>
      <c r="H221" s="10">
        <f>SUMIFS(GQList,GIList,Table_ExternalData_17[[#This Row],[item_key]],GTList,Table_ExternalData_17[[#Headers],[TR]],GDList,"&lt;&gt;"&amp;0)</f>
        <v>0</v>
      </c>
      <c r="I221" s="10">
        <f>SUMIFS(GQList,GIList,Table_ExternalData_17[[#This Row],[item_key]],GTList,Table_ExternalData_17[[#Headers],[RCA]],GDList,"&lt;&gt;"&amp;0)</f>
        <v>0</v>
      </c>
      <c r="J221" s="10">
        <f>SUM(Table_ExternalData_17[[#This Row],[GRN]]+Table_ExternalData_17[[#This Row],[VSTR]]+Table_ExternalData_17[[#This Row],[SR]]+Table_ExternalData_17[[#This Row],[TR]]+Table_ExternalData_17[[#This Row],[RCA]])</f>
        <v>0</v>
      </c>
      <c r="K221" s="10">
        <f>SUMIFS(IsQList,IsIList,Table_ExternalData_17[[#This Row],[item_key]],IsITypeList,Table_ExternalData_17[[#Headers],[R/P]],IsDList,"&lt;&gt;"&amp;0)</f>
        <v>0</v>
      </c>
      <c r="L221" s="10">
        <f>SUMIFS(IsQList,IsIList,Table_ExternalData_17[[#This Row],[item_key]],IsITypeList,Table_ExternalData_17[[#Headers],[CST]],IsDList,"&lt;&gt;"&amp;0)</f>
        <v>0</v>
      </c>
      <c r="M221" s="10">
        <f>SUMIFS(IsQList,IsIList,Table_ExternalData_15[[#This Row],[item_key]],IsITypeList,Table_ExternalData_17[[#Headers],[S/I]],IsDList,"&lt;&gt;"&amp;0)</f>
        <v>0</v>
      </c>
      <c r="N221" s="10">
        <f>SUMIFS(IsQList,IsIList,Table_ExternalData_15[[#This Row],[item_key]],IsITypeList,Table_ExternalData_17[[#Headers],[VST]],IsDList,"&lt;&gt;"&amp;0)</f>
        <v>0</v>
      </c>
      <c r="O221" s="10">
        <f>ABS(SUMIFS(IsQList,IsIList,Table_ExternalData_17[[#This Row],[item_key]],IsITypeList,Table_ExternalData_17[[#Headers],[RTN]],IsDList,"&lt;&gt;"&amp;0))</f>
        <v>0</v>
      </c>
      <c r="P221" s="10">
        <f>SUM(Table_ExternalData_17[[#This Row],[R/P]:[RTN]])</f>
        <v>0</v>
      </c>
      <c r="Q221" s="10">
        <f>SUM((Table_ExternalData_17[[#This Row],[Opening]]+Table_ExternalData_17[[#This Row],[Total Receipt]])-ABS(Table_ExternalData_17[[#This Row],[Total Issue]]))</f>
        <v>0</v>
      </c>
    </row>
    <row r="222" spans="1:17">
      <c r="A222" s="1" t="s">
        <v>670</v>
      </c>
      <c r="B222" s="1" t="s">
        <v>2628</v>
      </c>
      <c r="C222" s="1" t="s">
        <v>1360</v>
      </c>
      <c r="D222" s="10">
        <f>SUMIFS(OPBQList,OPBIList,Table_ExternalData_17[[#This Row],[item_key]])+SUMIFS(GQList,GIList,Table_ExternalData_17[[#This Row],[item_key]],GDList,0)-ABS(SUMIFS(IsQList,IsIList,Table_ExternalData_17[[#This Row],[item_key]],IsDList,0))</f>
        <v>2419</v>
      </c>
      <c r="E222" s="10">
        <f>SUMIFS(GQList,GIList,Table_ExternalData_17[[#This Row],[item_key]],GTList,Table_ExternalData_17[[#Headers],[GRN]],GDList,"&lt;&gt;"&amp;0)</f>
        <v>0</v>
      </c>
      <c r="F222" s="10">
        <f>SUMIFS(GQList,GIList,Table_ExternalData_17[[#This Row],[item_key]],GTList,Table_ExternalData_17[[#Headers],[VSTR]],GDList,"&lt;&gt;"&amp;0)</f>
        <v>0</v>
      </c>
      <c r="G222" s="10">
        <f>SUMIFS(GQList,GIList,Table_ExternalData_17[[#This Row],[item_key]],GTList,Table_ExternalData_17[[#Headers],[SR]],GDList,"&lt;&gt;"&amp;0)</f>
        <v>0</v>
      </c>
      <c r="H222" s="10">
        <f>SUMIFS(GQList,GIList,Table_ExternalData_17[[#This Row],[item_key]],GTList,Table_ExternalData_17[[#Headers],[TR]],GDList,"&lt;&gt;"&amp;0)</f>
        <v>0</v>
      </c>
      <c r="I222" s="10">
        <f>SUMIFS(GQList,GIList,Table_ExternalData_17[[#This Row],[item_key]],GTList,Table_ExternalData_17[[#Headers],[RCA]],GDList,"&lt;&gt;"&amp;0)</f>
        <v>0</v>
      </c>
      <c r="J222" s="10">
        <f>SUM(Table_ExternalData_17[[#This Row],[GRN]]+Table_ExternalData_17[[#This Row],[VSTR]]+Table_ExternalData_17[[#This Row],[SR]]+Table_ExternalData_17[[#This Row],[TR]]+Table_ExternalData_17[[#This Row],[RCA]])</f>
        <v>0</v>
      </c>
      <c r="K222" s="10">
        <f>SUMIFS(IsQList,IsIList,Table_ExternalData_17[[#This Row],[item_key]],IsITypeList,Table_ExternalData_17[[#Headers],[R/P]],IsDList,"&lt;&gt;"&amp;0)</f>
        <v>0</v>
      </c>
      <c r="L222" s="10">
        <f>SUMIFS(IsQList,IsIList,Table_ExternalData_17[[#This Row],[item_key]],IsITypeList,Table_ExternalData_17[[#Headers],[CST]],IsDList,"&lt;&gt;"&amp;0)</f>
        <v>0</v>
      </c>
      <c r="M222" s="10">
        <f>SUMIFS(IsQList,IsIList,Table_ExternalData_15[[#This Row],[item_key]],IsITypeList,Table_ExternalData_17[[#Headers],[S/I]],IsDList,"&lt;&gt;"&amp;0)</f>
        <v>367</v>
      </c>
      <c r="N222" s="10">
        <f>SUMIFS(IsQList,IsIList,Table_ExternalData_15[[#This Row],[item_key]],IsITypeList,Table_ExternalData_17[[#Headers],[VST]],IsDList,"&lt;&gt;"&amp;0)</f>
        <v>0</v>
      </c>
      <c r="O222" s="10">
        <f>ABS(SUMIFS(IsQList,IsIList,Table_ExternalData_17[[#This Row],[item_key]],IsITypeList,Table_ExternalData_17[[#Headers],[RTN]],IsDList,"&lt;&gt;"&amp;0))</f>
        <v>0</v>
      </c>
      <c r="P222" s="10">
        <f>SUM(Table_ExternalData_17[[#This Row],[R/P]:[RTN]])</f>
        <v>367</v>
      </c>
      <c r="Q222" s="10">
        <f>SUM((Table_ExternalData_17[[#This Row],[Opening]]+Table_ExternalData_17[[#This Row],[Total Receipt]])-ABS(Table_ExternalData_17[[#This Row],[Total Issue]]))</f>
        <v>2052</v>
      </c>
    </row>
    <row r="223" spans="1:17">
      <c r="A223" s="1" t="s">
        <v>671</v>
      </c>
      <c r="B223" s="1" t="s">
        <v>1359</v>
      </c>
      <c r="C223" s="1" t="s">
        <v>1360</v>
      </c>
      <c r="D223" s="10">
        <f>SUMIFS(OPBQList,OPBIList,Table_ExternalData_17[[#This Row],[item_key]])+SUMIFS(GQList,GIList,Table_ExternalData_17[[#This Row],[item_key]],GDList,0)-ABS(SUMIFS(IsQList,IsIList,Table_ExternalData_17[[#This Row],[item_key]],IsDList,0))</f>
        <v>108</v>
      </c>
      <c r="E223" s="10">
        <f>SUMIFS(GQList,GIList,Table_ExternalData_17[[#This Row],[item_key]],GTList,Table_ExternalData_17[[#Headers],[GRN]],GDList,"&lt;&gt;"&amp;0)</f>
        <v>0</v>
      </c>
      <c r="F223" s="10">
        <f>SUMIFS(GQList,GIList,Table_ExternalData_17[[#This Row],[item_key]],GTList,Table_ExternalData_17[[#Headers],[VSTR]],GDList,"&lt;&gt;"&amp;0)</f>
        <v>0</v>
      </c>
      <c r="G223" s="10">
        <f>SUMIFS(GQList,GIList,Table_ExternalData_17[[#This Row],[item_key]],GTList,Table_ExternalData_17[[#Headers],[SR]],GDList,"&lt;&gt;"&amp;0)</f>
        <v>0</v>
      </c>
      <c r="H223" s="10">
        <f>SUMIFS(GQList,GIList,Table_ExternalData_17[[#This Row],[item_key]],GTList,Table_ExternalData_17[[#Headers],[TR]],GDList,"&lt;&gt;"&amp;0)</f>
        <v>0</v>
      </c>
      <c r="I223" s="10">
        <f>SUMIFS(GQList,GIList,Table_ExternalData_17[[#This Row],[item_key]],GTList,Table_ExternalData_17[[#Headers],[RCA]],GDList,"&lt;&gt;"&amp;0)</f>
        <v>0</v>
      </c>
      <c r="J223" s="10">
        <f>SUM(Table_ExternalData_17[[#This Row],[GRN]]+Table_ExternalData_17[[#This Row],[VSTR]]+Table_ExternalData_17[[#This Row],[SR]]+Table_ExternalData_17[[#This Row],[TR]]+Table_ExternalData_17[[#This Row],[RCA]])</f>
        <v>0</v>
      </c>
      <c r="K223" s="10">
        <f>SUMIFS(IsQList,IsIList,Table_ExternalData_17[[#This Row],[item_key]],IsITypeList,Table_ExternalData_17[[#Headers],[R/P]],IsDList,"&lt;&gt;"&amp;0)</f>
        <v>0</v>
      </c>
      <c r="L223" s="10">
        <f>SUMIFS(IsQList,IsIList,Table_ExternalData_17[[#This Row],[item_key]],IsITypeList,Table_ExternalData_17[[#Headers],[CST]],IsDList,"&lt;&gt;"&amp;0)</f>
        <v>0</v>
      </c>
      <c r="M223" s="10">
        <f>SUMIFS(IsQList,IsIList,Table_ExternalData_15[[#This Row],[item_key]],IsITypeList,Table_ExternalData_17[[#Headers],[S/I]],IsDList,"&lt;&gt;"&amp;0)</f>
        <v>40</v>
      </c>
      <c r="N223" s="10">
        <f>SUMIFS(IsQList,IsIList,Table_ExternalData_15[[#This Row],[item_key]],IsITypeList,Table_ExternalData_17[[#Headers],[VST]],IsDList,"&lt;&gt;"&amp;0)</f>
        <v>0</v>
      </c>
      <c r="O223" s="10">
        <f>ABS(SUMIFS(IsQList,IsIList,Table_ExternalData_17[[#This Row],[item_key]],IsITypeList,Table_ExternalData_17[[#Headers],[RTN]],IsDList,"&lt;&gt;"&amp;0))</f>
        <v>0</v>
      </c>
      <c r="P223" s="10">
        <f>SUM(Table_ExternalData_17[[#This Row],[R/P]:[RTN]])</f>
        <v>40</v>
      </c>
      <c r="Q223" s="10">
        <f>SUM((Table_ExternalData_17[[#This Row],[Opening]]+Table_ExternalData_17[[#This Row],[Total Receipt]])-ABS(Table_ExternalData_17[[#This Row],[Total Issue]]))</f>
        <v>68</v>
      </c>
    </row>
    <row r="224" spans="1:17">
      <c r="A224" s="1" t="s">
        <v>674</v>
      </c>
      <c r="B224" s="1" t="s">
        <v>2629</v>
      </c>
      <c r="C224" s="1" t="s">
        <v>2630</v>
      </c>
      <c r="D22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24" s="10">
        <f>SUMIFS(GQList,GIList,Table_ExternalData_17[[#This Row],[item_key]],GTList,Table_ExternalData_17[[#Headers],[GRN]],GDList,"&lt;&gt;"&amp;0)</f>
        <v>0</v>
      </c>
      <c r="F224" s="10">
        <f>SUMIFS(GQList,GIList,Table_ExternalData_17[[#This Row],[item_key]],GTList,Table_ExternalData_17[[#Headers],[VSTR]],GDList,"&lt;&gt;"&amp;0)</f>
        <v>0</v>
      </c>
      <c r="G224" s="10">
        <f>SUMIFS(GQList,GIList,Table_ExternalData_17[[#This Row],[item_key]],GTList,Table_ExternalData_17[[#Headers],[SR]],GDList,"&lt;&gt;"&amp;0)</f>
        <v>0</v>
      </c>
      <c r="H224" s="10">
        <f>SUMIFS(GQList,GIList,Table_ExternalData_17[[#This Row],[item_key]],GTList,Table_ExternalData_17[[#Headers],[TR]],GDList,"&lt;&gt;"&amp;0)</f>
        <v>0</v>
      </c>
      <c r="I224" s="10">
        <f>SUMIFS(GQList,GIList,Table_ExternalData_17[[#This Row],[item_key]],GTList,Table_ExternalData_17[[#Headers],[RCA]],GDList,"&lt;&gt;"&amp;0)</f>
        <v>0</v>
      </c>
      <c r="J224" s="10">
        <f>SUM(Table_ExternalData_17[[#This Row],[GRN]]+Table_ExternalData_17[[#This Row],[VSTR]]+Table_ExternalData_17[[#This Row],[SR]]+Table_ExternalData_17[[#This Row],[TR]]+Table_ExternalData_17[[#This Row],[RCA]])</f>
        <v>0</v>
      </c>
      <c r="K224" s="10">
        <f>SUMIFS(IsQList,IsIList,Table_ExternalData_17[[#This Row],[item_key]],IsITypeList,Table_ExternalData_17[[#Headers],[R/P]],IsDList,"&lt;&gt;"&amp;0)</f>
        <v>0</v>
      </c>
      <c r="L224" s="10">
        <f>SUMIFS(IsQList,IsIList,Table_ExternalData_17[[#This Row],[item_key]],IsITypeList,Table_ExternalData_17[[#Headers],[CST]],IsDList,"&lt;&gt;"&amp;0)</f>
        <v>0</v>
      </c>
      <c r="M224" s="10">
        <f>SUMIFS(IsQList,IsIList,Table_ExternalData_15[[#This Row],[item_key]],IsITypeList,Table_ExternalData_17[[#Headers],[S/I]],IsDList,"&lt;&gt;"&amp;0)</f>
        <v>60</v>
      </c>
      <c r="N224" s="10">
        <f>SUMIFS(IsQList,IsIList,Table_ExternalData_15[[#This Row],[item_key]],IsITypeList,Table_ExternalData_17[[#Headers],[VST]],IsDList,"&lt;&gt;"&amp;0)</f>
        <v>0</v>
      </c>
      <c r="O224" s="10">
        <f>ABS(SUMIFS(IsQList,IsIList,Table_ExternalData_17[[#This Row],[item_key]],IsITypeList,Table_ExternalData_17[[#Headers],[RTN]],IsDList,"&lt;&gt;"&amp;0))</f>
        <v>0</v>
      </c>
      <c r="P224" s="10">
        <f>SUM(Table_ExternalData_17[[#This Row],[R/P]:[RTN]])</f>
        <v>60</v>
      </c>
      <c r="Q224" s="10">
        <f>SUM((Table_ExternalData_17[[#This Row],[Opening]]+Table_ExternalData_17[[#This Row],[Total Receipt]])-ABS(Table_ExternalData_17[[#This Row],[Total Issue]]))</f>
        <v>-60</v>
      </c>
    </row>
    <row r="225" spans="1:17">
      <c r="A225" s="1" t="s">
        <v>676</v>
      </c>
      <c r="B225" s="1" t="s">
        <v>1361</v>
      </c>
      <c r="C225" s="1" t="s">
        <v>1362</v>
      </c>
      <c r="D225" s="10">
        <f>SUMIFS(OPBQList,OPBIList,Table_ExternalData_17[[#This Row],[item_key]])+SUMIFS(GQList,GIList,Table_ExternalData_17[[#This Row],[item_key]],GDList,0)-ABS(SUMIFS(IsQList,IsIList,Table_ExternalData_17[[#This Row],[item_key]],IsDList,0))</f>
        <v>253</v>
      </c>
      <c r="E225" s="10">
        <f>SUMIFS(GQList,GIList,Table_ExternalData_17[[#This Row],[item_key]],GTList,Table_ExternalData_17[[#Headers],[GRN]],GDList,"&lt;&gt;"&amp;0)</f>
        <v>0</v>
      </c>
      <c r="F225" s="10">
        <f>SUMIFS(GQList,GIList,Table_ExternalData_17[[#This Row],[item_key]],GTList,Table_ExternalData_17[[#Headers],[VSTR]],GDList,"&lt;&gt;"&amp;0)</f>
        <v>0</v>
      </c>
      <c r="G225" s="10">
        <f>SUMIFS(GQList,GIList,Table_ExternalData_17[[#This Row],[item_key]],GTList,Table_ExternalData_17[[#Headers],[SR]],GDList,"&lt;&gt;"&amp;0)</f>
        <v>0</v>
      </c>
      <c r="H225" s="10">
        <f>SUMIFS(GQList,GIList,Table_ExternalData_17[[#This Row],[item_key]],GTList,Table_ExternalData_17[[#Headers],[TR]],GDList,"&lt;&gt;"&amp;0)</f>
        <v>0</v>
      </c>
      <c r="I225" s="10">
        <f>SUMIFS(GQList,GIList,Table_ExternalData_17[[#This Row],[item_key]],GTList,Table_ExternalData_17[[#Headers],[RCA]],GDList,"&lt;&gt;"&amp;0)</f>
        <v>0</v>
      </c>
      <c r="J225" s="10">
        <f>SUM(Table_ExternalData_17[[#This Row],[GRN]]+Table_ExternalData_17[[#This Row],[VSTR]]+Table_ExternalData_17[[#This Row],[SR]]+Table_ExternalData_17[[#This Row],[TR]]+Table_ExternalData_17[[#This Row],[RCA]])</f>
        <v>0</v>
      </c>
      <c r="K225" s="10">
        <f>SUMIFS(IsQList,IsIList,Table_ExternalData_17[[#This Row],[item_key]],IsITypeList,Table_ExternalData_17[[#Headers],[R/P]],IsDList,"&lt;&gt;"&amp;0)</f>
        <v>0</v>
      </c>
      <c r="L225" s="10">
        <f>SUMIFS(IsQList,IsIList,Table_ExternalData_17[[#This Row],[item_key]],IsITypeList,Table_ExternalData_17[[#Headers],[CST]],IsDList,"&lt;&gt;"&amp;0)</f>
        <v>0</v>
      </c>
      <c r="M225" s="10">
        <f>SUMIFS(IsQList,IsIList,Table_ExternalData_15[[#This Row],[item_key]],IsITypeList,Table_ExternalData_17[[#Headers],[S/I]],IsDList,"&lt;&gt;"&amp;0)</f>
        <v>3</v>
      </c>
      <c r="N225" s="10">
        <f>SUMIFS(IsQList,IsIList,Table_ExternalData_15[[#This Row],[item_key]],IsITypeList,Table_ExternalData_17[[#Headers],[VST]],IsDList,"&lt;&gt;"&amp;0)</f>
        <v>0</v>
      </c>
      <c r="O225" s="10">
        <f>ABS(SUMIFS(IsQList,IsIList,Table_ExternalData_17[[#This Row],[item_key]],IsITypeList,Table_ExternalData_17[[#Headers],[RTN]],IsDList,"&lt;&gt;"&amp;0))</f>
        <v>0</v>
      </c>
      <c r="P225" s="10">
        <f>SUM(Table_ExternalData_17[[#This Row],[R/P]:[RTN]])</f>
        <v>3</v>
      </c>
      <c r="Q225" s="10">
        <f>SUM((Table_ExternalData_17[[#This Row],[Opening]]+Table_ExternalData_17[[#This Row],[Total Receipt]])-ABS(Table_ExternalData_17[[#This Row],[Total Issue]]))</f>
        <v>250</v>
      </c>
    </row>
    <row r="226" spans="1:17">
      <c r="A226" s="1" t="s">
        <v>677</v>
      </c>
      <c r="B226" s="1" t="s">
        <v>1363</v>
      </c>
      <c r="C226" s="1" t="s">
        <v>1364</v>
      </c>
      <c r="D226" s="10">
        <f>SUMIFS(OPBQList,OPBIList,Table_ExternalData_17[[#This Row],[item_key]])+SUMIFS(GQList,GIList,Table_ExternalData_17[[#This Row],[item_key]],GDList,0)-ABS(SUMIFS(IsQList,IsIList,Table_ExternalData_17[[#This Row],[item_key]],IsDList,0))</f>
        <v>356</v>
      </c>
      <c r="E226" s="10">
        <f>SUMIFS(GQList,GIList,Table_ExternalData_17[[#This Row],[item_key]],GTList,Table_ExternalData_17[[#Headers],[GRN]],GDList,"&lt;&gt;"&amp;0)</f>
        <v>0</v>
      </c>
      <c r="F226" s="10">
        <f>SUMIFS(GQList,GIList,Table_ExternalData_17[[#This Row],[item_key]],GTList,Table_ExternalData_17[[#Headers],[VSTR]],GDList,"&lt;&gt;"&amp;0)</f>
        <v>0</v>
      </c>
      <c r="G226" s="10">
        <f>SUMIFS(GQList,GIList,Table_ExternalData_17[[#This Row],[item_key]],GTList,Table_ExternalData_17[[#Headers],[SR]],GDList,"&lt;&gt;"&amp;0)</f>
        <v>0</v>
      </c>
      <c r="H226" s="10">
        <f>SUMIFS(GQList,GIList,Table_ExternalData_17[[#This Row],[item_key]],GTList,Table_ExternalData_17[[#Headers],[TR]],GDList,"&lt;&gt;"&amp;0)</f>
        <v>0</v>
      </c>
      <c r="I226" s="10">
        <f>SUMIFS(GQList,GIList,Table_ExternalData_17[[#This Row],[item_key]],GTList,Table_ExternalData_17[[#Headers],[RCA]],GDList,"&lt;&gt;"&amp;0)</f>
        <v>0</v>
      </c>
      <c r="J226" s="10">
        <f>SUM(Table_ExternalData_17[[#This Row],[GRN]]+Table_ExternalData_17[[#This Row],[VSTR]]+Table_ExternalData_17[[#This Row],[SR]]+Table_ExternalData_17[[#This Row],[TR]]+Table_ExternalData_17[[#This Row],[RCA]])</f>
        <v>0</v>
      </c>
      <c r="K226" s="10">
        <f>SUMIFS(IsQList,IsIList,Table_ExternalData_17[[#This Row],[item_key]],IsITypeList,Table_ExternalData_17[[#Headers],[R/P]],IsDList,"&lt;&gt;"&amp;0)</f>
        <v>0</v>
      </c>
      <c r="L226" s="10">
        <f>SUMIFS(IsQList,IsIList,Table_ExternalData_17[[#This Row],[item_key]],IsITypeList,Table_ExternalData_17[[#Headers],[CST]],IsDList,"&lt;&gt;"&amp;0)</f>
        <v>0</v>
      </c>
      <c r="M226" s="10">
        <f>SUMIFS(IsQList,IsIList,Table_ExternalData_15[[#This Row],[item_key]],IsITypeList,Table_ExternalData_17[[#Headers],[S/I]],IsDList,"&lt;&gt;"&amp;0)</f>
        <v>10</v>
      </c>
      <c r="N226" s="10">
        <f>SUMIFS(IsQList,IsIList,Table_ExternalData_15[[#This Row],[item_key]],IsITypeList,Table_ExternalData_17[[#Headers],[VST]],IsDList,"&lt;&gt;"&amp;0)</f>
        <v>0</v>
      </c>
      <c r="O226" s="10">
        <f>ABS(SUMIFS(IsQList,IsIList,Table_ExternalData_17[[#This Row],[item_key]],IsITypeList,Table_ExternalData_17[[#Headers],[RTN]],IsDList,"&lt;&gt;"&amp;0))</f>
        <v>0</v>
      </c>
      <c r="P226" s="10">
        <f>SUM(Table_ExternalData_17[[#This Row],[R/P]:[RTN]])</f>
        <v>10</v>
      </c>
      <c r="Q226" s="10">
        <f>SUM((Table_ExternalData_17[[#This Row],[Opening]]+Table_ExternalData_17[[#This Row],[Total Receipt]])-ABS(Table_ExternalData_17[[#This Row],[Total Issue]]))</f>
        <v>346</v>
      </c>
    </row>
    <row r="227" spans="1:17">
      <c r="A227" s="1" t="s">
        <v>1782</v>
      </c>
      <c r="B227" s="1" t="s">
        <v>2631</v>
      </c>
      <c r="C227" s="1" t="s">
        <v>1422</v>
      </c>
      <c r="D227" s="10">
        <f>SUMIFS(OPBQList,OPBIList,Table_ExternalData_17[[#This Row],[item_key]])+SUMIFS(GQList,GIList,Table_ExternalData_17[[#This Row],[item_key]],GDList,0)-ABS(SUMIFS(IsQList,IsIList,Table_ExternalData_17[[#This Row],[item_key]],IsDList,0))</f>
        <v>39</v>
      </c>
      <c r="E227" s="10">
        <f>SUMIFS(GQList,GIList,Table_ExternalData_17[[#This Row],[item_key]],GTList,Table_ExternalData_17[[#Headers],[GRN]],GDList,"&lt;&gt;"&amp;0)</f>
        <v>0</v>
      </c>
      <c r="F227" s="10">
        <f>SUMIFS(GQList,GIList,Table_ExternalData_17[[#This Row],[item_key]],GTList,Table_ExternalData_17[[#Headers],[VSTR]],GDList,"&lt;&gt;"&amp;0)</f>
        <v>0</v>
      </c>
      <c r="G227" s="10">
        <f>SUMIFS(GQList,GIList,Table_ExternalData_17[[#This Row],[item_key]],GTList,Table_ExternalData_17[[#Headers],[SR]],GDList,"&lt;&gt;"&amp;0)</f>
        <v>0</v>
      </c>
      <c r="H227" s="10">
        <f>SUMIFS(GQList,GIList,Table_ExternalData_17[[#This Row],[item_key]],GTList,Table_ExternalData_17[[#Headers],[TR]],GDList,"&lt;&gt;"&amp;0)</f>
        <v>0</v>
      </c>
      <c r="I227" s="10">
        <f>SUMIFS(GQList,GIList,Table_ExternalData_17[[#This Row],[item_key]],GTList,Table_ExternalData_17[[#Headers],[RCA]],GDList,"&lt;&gt;"&amp;0)</f>
        <v>0</v>
      </c>
      <c r="J227" s="10">
        <f>SUM(Table_ExternalData_17[[#This Row],[GRN]]+Table_ExternalData_17[[#This Row],[VSTR]]+Table_ExternalData_17[[#This Row],[SR]]+Table_ExternalData_17[[#This Row],[TR]]+Table_ExternalData_17[[#This Row],[RCA]])</f>
        <v>0</v>
      </c>
      <c r="K227" s="10">
        <f>SUMIFS(IsQList,IsIList,Table_ExternalData_17[[#This Row],[item_key]],IsITypeList,Table_ExternalData_17[[#Headers],[R/P]],IsDList,"&lt;&gt;"&amp;0)</f>
        <v>0</v>
      </c>
      <c r="L227" s="10">
        <f>SUMIFS(IsQList,IsIList,Table_ExternalData_17[[#This Row],[item_key]],IsITypeList,Table_ExternalData_17[[#Headers],[CST]],IsDList,"&lt;&gt;"&amp;0)</f>
        <v>0</v>
      </c>
      <c r="M227" s="10">
        <f>SUMIFS(IsQList,IsIList,Table_ExternalData_15[[#This Row],[item_key]],IsITypeList,Table_ExternalData_17[[#Headers],[S/I]],IsDList,"&lt;&gt;"&amp;0)</f>
        <v>8</v>
      </c>
      <c r="N227" s="10">
        <f>SUMIFS(IsQList,IsIList,Table_ExternalData_15[[#This Row],[item_key]],IsITypeList,Table_ExternalData_17[[#Headers],[VST]],IsDList,"&lt;&gt;"&amp;0)</f>
        <v>0</v>
      </c>
      <c r="O227" s="10">
        <f>ABS(SUMIFS(IsQList,IsIList,Table_ExternalData_17[[#This Row],[item_key]],IsITypeList,Table_ExternalData_17[[#Headers],[RTN]],IsDList,"&lt;&gt;"&amp;0))</f>
        <v>0</v>
      </c>
      <c r="P227" s="10">
        <f>SUM(Table_ExternalData_17[[#This Row],[R/P]:[RTN]])</f>
        <v>8</v>
      </c>
      <c r="Q227" s="10">
        <f>SUM((Table_ExternalData_17[[#This Row],[Opening]]+Table_ExternalData_17[[#This Row],[Total Receipt]])-ABS(Table_ExternalData_17[[#This Row],[Total Issue]]))</f>
        <v>31</v>
      </c>
    </row>
    <row r="228" spans="1:17">
      <c r="A228" s="1" t="s">
        <v>701</v>
      </c>
      <c r="B228" s="1" t="s">
        <v>2390</v>
      </c>
      <c r="C228" s="1" t="s">
        <v>1422</v>
      </c>
      <c r="D22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28" s="10">
        <f>SUMIFS(GQList,GIList,Table_ExternalData_17[[#This Row],[item_key]],GTList,Table_ExternalData_17[[#Headers],[GRN]],GDList,"&lt;&gt;"&amp;0)</f>
        <v>0</v>
      </c>
      <c r="F228" s="10">
        <f>SUMIFS(GQList,GIList,Table_ExternalData_17[[#This Row],[item_key]],GTList,Table_ExternalData_17[[#Headers],[VSTR]],GDList,"&lt;&gt;"&amp;0)</f>
        <v>0</v>
      </c>
      <c r="G228" s="10">
        <f>SUMIFS(GQList,GIList,Table_ExternalData_17[[#This Row],[item_key]],GTList,Table_ExternalData_17[[#Headers],[SR]],GDList,"&lt;&gt;"&amp;0)</f>
        <v>0</v>
      </c>
      <c r="H228" s="10">
        <f>SUMIFS(GQList,GIList,Table_ExternalData_17[[#This Row],[item_key]],GTList,Table_ExternalData_17[[#Headers],[TR]],GDList,"&lt;&gt;"&amp;0)</f>
        <v>0</v>
      </c>
      <c r="I228" s="10">
        <f>SUMIFS(GQList,GIList,Table_ExternalData_17[[#This Row],[item_key]],GTList,Table_ExternalData_17[[#Headers],[RCA]],GDList,"&lt;&gt;"&amp;0)</f>
        <v>0</v>
      </c>
      <c r="J228" s="10">
        <f>SUM(Table_ExternalData_17[[#This Row],[GRN]]+Table_ExternalData_17[[#This Row],[VSTR]]+Table_ExternalData_17[[#This Row],[SR]]+Table_ExternalData_17[[#This Row],[TR]]+Table_ExternalData_17[[#This Row],[RCA]])</f>
        <v>0</v>
      </c>
      <c r="K228" s="10">
        <f>SUMIFS(IsQList,IsIList,Table_ExternalData_17[[#This Row],[item_key]],IsITypeList,Table_ExternalData_17[[#Headers],[R/P]],IsDList,"&lt;&gt;"&amp;0)</f>
        <v>0</v>
      </c>
      <c r="L228" s="10">
        <f>SUMIFS(IsQList,IsIList,Table_ExternalData_17[[#This Row],[item_key]],IsITypeList,Table_ExternalData_17[[#Headers],[CST]],IsDList,"&lt;&gt;"&amp;0)</f>
        <v>0</v>
      </c>
      <c r="M228" s="10">
        <f>SUMIFS(IsQList,IsIList,Table_ExternalData_15[[#This Row],[item_key]],IsITypeList,Table_ExternalData_17[[#Headers],[S/I]],IsDList,"&lt;&gt;"&amp;0)</f>
        <v>150</v>
      </c>
      <c r="N228" s="10">
        <f>SUMIFS(IsQList,IsIList,Table_ExternalData_15[[#This Row],[item_key]],IsITypeList,Table_ExternalData_17[[#Headers],[VST]],IsDList,"&lt;&gt;"&amp;0)</f>
        <v>0</v>
      </c>
      <c r="O228" s="10">
        <f>ABS(SUMIFS(IsQList,IsIList,Table_ExternalData_17[[#This Row],[item_key]],IsITypeList,Table_ExternalData_17[[#Headers],[RTN]],IsDList,"&lt;&gt;"&amp;0))</f>
        <v>0</v>
      </c>
      <c r="P228" s="10">
        <f>SUM(Table_ExternalData_17[[#This Row],[R/P]:[RTN]])</f>
        <v>150</v>
      </c>
      <c r="Q228" s="10">
        <f>SUM((Table_ExternalData_17[[#This Row],[Opening]]+Table_ExternalData_17[[#This Row],[Total Receipt]])-ABS(Table_ExternalData_17[[#This Row],[Total Issue]]))</f>
        <v>-150</v>
      </c>
    </row>
    <row r="229" spans="1:17">
      <c r="A229" s="1" t="s">
        <v>702</v>
      </c>
      <c r="B229" s="1" t="s">
        <v>1365</v>
      </c>
      <c r="C229" s="1" t="s">
        <v>1366</v>
      </c>
      <c r="D229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229" s="10">
        <f>SUMIFS(GQList,GIList,Table_ExternalData_17[[#This Row],[item_key]],GTList,Table_ExternalData_17[[#Headers],[GRN]],GDList,"&lt;&gt;"&amp;0)</f>
        <v>200</v>
      </c>
      <c r="F229" s="10">
        <f>SUMIFS(GQList,GIList,Table_ExternalData_17[[#This Row],[item_key]],GTList,Table_ExternalData_17[[#Headers],[VSTR]],GDList,"&lt;&gt;"&amp;0)</f>
        <v>0</v>
      </c>
      <c r="G229" s="10">
        <f>SUMIFS(GQList,GIList,Table_ExternalData_17[[#This Row],[item_key]],GTList,Table_ExternalData_17[[#Headers],[SR]],GDList,"&lt;&gt;"&amp;0)</f>
        <v>0</v>
      </c>
      <c r="H229" s="10">
        <f>SUMIFS(GQList,GIList,Table_ExternalData_17[[#This Row],[item_key]],GTList,Table_ExternalData_17[[#Headers],[TR]],GDList,"&lt;&gt;"&amp;0)</f>
        <v>0</v>
      </c>
      <c r="I229" s="10">
        <f>SUMIFS(GQList,GIList,Table_ExternalData_17[[#This Row],[item_key]],GTList,Table_ExternalData_17[[#Headers],[RCA]],GDList,"&lt;&gt;"&amp;0)</f>
        <v>0</v>
      </c>
      <c r="J229" s="10">
        <f>SUM(Table_ExternalData_17[[#This Row],[GRN]]+Table_ExternalData_17[[#This Row],[VSTR]]+Table_ExternalData_17[[#This Row],[SR]]+Table_ExternalData_17[[#This Row],[TR]]+Table_ExternalData_17[[#This Row],[RCA]])</f>
        <v>200</v>
      </c>
      <c r="K229" s="10">
        <f>SUMIFS(IsQList,IsIList,Table_ExternalData_17[[#This Row],[item_key]],IsITypeList,Table_ExternalData_17[[#Headers],[R/P]],IsDList,"&lt;&gt;"&amp;0)</f>
        <v>0</v>
      </c>
      <c r="L229" s="10">
        <f>SUMIFS(IsQList,IsIList,Table_ExternalData_17[[#This Row],[item_key]],IsITypeList,Table_ExternalData_17[[#Headers],[CST]],IsDList,"&lt;&gt;"&amp;0)</f>
        <v>0</v>
      </c>
      <c r="M229" s="10">
        <f>SUMIFS(IsQList,IsIList,Table_ExternalData_15[[#This Row],[item_key]],IsITypeList,Table_ExternalData_17[[#Headers],[S/I]],IsDList,"&lt;&gt;"&amp;0)</f>
        <v>0</v>
      </c>
      <c r="N229" s="10">
        <f>SUMIFS(IsQList,IsIList,Table_ExternalData_15[[#This Row],[item_key]],IsITypeList,Table_ExternalData_17[[#Headers],[VST]],IsDList,"&lt;&gt;"&amp;0)</f>
        <v>0</v>
      </c>
      <c r="O229" s="10">
        <f>ABS(SUMIFS(IsQList,IsIList,Table_ExternalData_17[[#This Row],[item_key]],IsITypeList,Table_ExternalData_17[[#Headers],[RTN]],IsDList,"&lt;&gt;"&amp;0))</f>
        <v>0</v>
      </c>
      <c r="P229" s="10">
        <f>SUM(Table_ExternalData_17[[#This Row],[R/P]:[RTN]])</f>
        <v>0</v>
      </c>
      <c r="Q229" s="10">
        <f>SUM((Table_ExternalData_17[[#This Row],[Opening]]+Table_ExternalData_17[[#This Row],[Total Receipt]])-ABS(Table_ExternalData_17[[#This Row],[Total Issue]]))</f>
        <v>219</v>
      </c>
    </row>
    <row r="230" spans="1:17">
      <c r="A230" s="1" t="s">
        <v>703</v>
      </c>
      <c r="B230" s="1" t="s">
        <v>2632</v>
      </c>
      <c r="C230" s="1" t="s">
        <v>2633</v>
      </c>
      <c r="D230" s="10">
        <f>SUMIFS(OPBQList,OPBIList,Table_ExternalData_17[[#This Row],[item_key]])+SUMIFS(GQList,GIList,Table_ExternalData_17[[#This Row],[item_key]],GDList,0)-ABS(SUMIFS(IsQList,IsIList,Table_ExternalData_17[[#This Row],[item_key]],IsDList,0))</f>
        <v>326</v>
      </c>
      <c r="E230" s="10">
        <f>SUMIFS(GQList,GIList,Table_ExternalData_17[[#This Row],[item_key]],GTList,Table_ExternalData_17[[#Headers],[GRN]],GDList,"&lt;&gt;"&amp;0)</f>
        <v>0</v>
      </c>
      <c r="F230" s="10">
        <f>SUMIFS(GQList,GIList,Table_ExternalData_17[[#This Row],[item_key]],GTList,Table_ExternalData_17[[#Headers],[VSTR]],GDList,"&lt;&gt;"&amp;0)</f>
        <v>0</v>
      </c>
      <c r="G230" s="10">
        <f>SUMIFS(GQList,GIList,Table_ExternalData_17[[#This Row],[item_key]],GTList,Table_ExternalData_17[[#Headers],[SR]],GDList,"&lt;&gt;"&amp;0)</f>
        <v>0</v>
      </c>
      <c r="H230" s="10">
        <f>SUMIFS(GQList,GIList,Table_ExternalData_17[[#This Row],[item_key]],GTList,Table_ExternalData_17[[#Headers],[TR]],GDList,"&lt;&gt;"&amp;0)</f>
        <v>0</v>
      </c>
      <c r="I230" s="10">
        <f>SUMIFS(GQList,GIList,Table_ExternalData_17[[#This Row],[item_key]],GTList,Table_ExternalData_17[[#Headers],[RCA]],GDList,"&lt;&gt;"&amp;0)</f>
        <v>0</v>
      </c>
      <c r="J230" s="10">
        <f>SUM(Table_ExternalData_17[[#This Row],[GRN]]+Table_ExternalData_17[[#This Row],[VSTR]]+Table_ExternalData_17[[#This Row],[SR]]+Table_ExternalData_17[[#This Row],[TR]]+Table_ExternalData_17[[#This Row],[RCA]])</f>
        <v>0</v>
      </c>
      <c r="K230" s="10">
        <f>SUMIFS(IsQList,IsIList,Table_ExternalData_17[[#This Row],[item_key]],IsITypeList,Table_ExternalData_17[[#Headers],[R/P]],IsDList,"&lt;&gt;"&amp;0)</f>
        <v>0</v>
      </c>
      <c r="L230" s="10">
        <f>SUMIFS(IsQList,IsIList,Table_ExternalData_17[[#This Row],[item_key]],IsITypeList,Table_ExternalData_17[[#Headers],[CST]],IsDList,"&lt;&gt;"&amp;0)</f>
        <v>0</v>
      </c>
      <c r="M230" s="10">
        <f>SUMIFS(IsQList,IsIList,Table_ExternalData_15[[#This Row],[item_key]],IsITypeList,Table_ExternalData_17[[#Headers],[S/I]],IsDList,"&lt;&gt;"&amp;0)</f>
        <v>82</v>
      </c>
      <c r="N230" s="10">
        <f>SUMIFS(IsQList,IsIList,Table_ExternalData_15[[#This Row],[item_key]],IsITypeList,Table_ExternalData_17[[#Headers],[VST]],IsDList,"&lt;&gt;"&amp;0)</f>
        <v>0</v>
      </c>
      <c r="O230" s="10">
        <f>ABS(SUMIFS(IsQList,IsIList,Table_ExternalData_17[[#This Row],[item_key]],IsITypeList,Table_ExternalData_17[[#Headers],[RTN]],IsDList,"&lt;&gt;"&amp;0))</f>
        <v>0</v>
      </c>
      <c r="P230" s="10">
        <f>SUM(Table_ExternalData_17[[#This Row],[R/P]:[RTN]])</f>
        <v>82</v>
      </c>
      <c r="Q230" s="10">
        <f>SUM((Table_ExternalData_17[[#This Row],[Opening]]+Table_ExternalData_17[[#This Row],[Total Receipt]])-ABS(Table_ExternalData_17[[#This Row],[Total Issue]]))</f>
        <v>244</v>
      </c>
    </row>
    <row r="231" spans="1:17">
      <c r="A231" s="1" t="s">
        <v>704</v>
      </c>
      <c r="B231" s="1" t="s">
        <v>2634</v>
      </c>
      <c r="C231" s="1" t="s">
        <v>2633</v>
      </c>
      <c r="D231" s="10">
        <f>SUMIFS(OPBQList,OPBIList,Table_ExternalData_17[[#This Row],[item_key]])+SUMIFS(GQList,GIList,Table_ExternalData_17[[#This Row],[item_key]],GDList,0)-ABS(SUMIFS(IsQList,IsIList,Table_ExternalData_17[[#This Row],[item_key]],IsDList,0))</f>
        <v>71</v>
      </c>
      <c r="E231" s="10">
        <f>SUMIFS(GQList,GIList,Table_ExternalData_17[[#This Row],[item_key]],GTList,Table_ExternalData_17[[#Headers],[GRN]],GDList,"&lt;&gt;"&amp;0)</f>
        <v>0</v>
      </c>
      <c r="F231" s="10">
        <f>SUMIFS(GQList,GIList,Table_ExternalData_17[[#This Row],[item_key]],GTList,Table_ExternalData_17[[#Headers],[VSTR]],GDList,"&lt;&gt;"&amp;0)</f>
        <v>0</v>
      </c>
      <c r="G231" s="10">
        <f>SUMIFS(GQList,GIList,Table_ExternalData_17[[#This Row],[item_key]],GTList,Table_ExternalData_17[[#Headers],[SR]],GDList,"&lt;&gt;"&amp;0)</f>
        <v>0</v>
      </c>
      <c r="H231" s="10">
        <f>SUMIFS(GQList,GIList,Table_ExternalData_17[[#This Row],[item_key]],GTList,Table_ExternalData_17[[#Headers],[TR]],GDList,"&lt;&gt;"&amp;0)</f>
        <v>0</v>
      </c>
      <c r="I231" s="10">
        <f>SUMIFS(GQList,GIList,Table_ExternalData_17[[#This Row],[item_key]],GTList,Table_ExternalData_17[[#Headers],[RCA]],GDList,"&lt;&gt;"&amp;0)</f>
        <v>0</v>
      </c>
      <c r="J231" s="10">
        <f>SUM(Table_ExternalData_17[[#This Row],[GRN]]+Table_ExternalData_17[[#This Row],[VSTR]]+Table_ExternalData_17[[#This Row],[SR]]+Table_ExternalData_17[[#This Row],[TR]]+Table_ExternalData_17[[#This Row],[RCA]])</f>
        <v>0</v>
      </c>
      <c r="K231" s="10">
        <f>SUMIFS(IsQList,IsIList,Table_ExternalData_17[[#This Row],[item_key]],IsITypeList,Table_ExternalData_17[[#Headers],[R/P]],IsDList,"&lt;&gt;"&amp;0)</f>
        <v>0</v>
      </c>
      <c r="L231" s="10">
        <f>SUMIFS(IsQList,IsIList,Table_ExternalData_17[[#This Row],[item_key]],IsITypeList,Table_ExternalData_17[[#Headers],[CST]],IsDList,"&lt;&gt;"&amp;0)</f>
        <v>0</v>
      </c>
      <c r="M231" s="10">
        <f>SUMIFS(IsQList,IsIList,Table_ExternalData_15[[#This Row],[item_key]],IsITypeList,Table_ExternalData_17[[#Headers],[S/I]],IsDList,"&lt;&gt;"&amp;0)</f>
        <v>83</v>
      </c>
      <c r="N231" s="10">
        <f>SUMIFS(IsQList,IsIList,Table_ExternalData_15[[#This Row],[item_key]],IsITypeList,Table_ExternalData_17[[#Headers],[VST]],IsDList,"&lt;&gt;"&amp;0)</f>
        <v>0</v>
      </c>
      <c r="O231" s="10">
        <f>ABS(SUMIFS(IsQList,IsIList,Table_ExternalData_17[[#This Row],[item_key]],IsITypeList,Table_ExternalData_17[[#Headers],[RTN]],IsDList,"&lt;&gt;"&amp;0))</f>
        <v>0</v>
      </c>
      <c r="P231" s="10">
        <f>SUM(Table_ExternalData_17[[#This Row],[R/P]:[RTN]])</f>
        <v>83</v>
      </c>
      <c r="Q231" s="10">
        <f>SUM((Table_ExternalData_17[[#This Row],[Opening]]+Table_ExternalData_17[[#This Row],[Total Receipt]])-ABS(Table_ExternalData_17[[#This Row],[Total Issue]]))</f>
        <v>-12</v>
      </c>
    </row>
    <row r="232" spans="1:17">
      <c r="A232" s="1" t="s">
        <v>707</v>
      </c>
      <c r="B232" s="1" t="s">
        <v>2635</v>
      </c>
      <c r="C232" s="1" t="s">
        <v>2636</v>
      </c>
      <c r="D232" s="10">
        <f>SUMIFS(OPBQList,OPBIList,Table_ExternalData_17[[#This Row],[item_key]])+SUMIFS(GQList,GIList,Table_ExternalData_17[[#This Row],[item_key]],GDList,0)-ABS(SUMIFS(IsQList,IsIList,Table_ExternalData_17[[#This Row],[item_key]],IsDList,0))</f>
        <v>360</v>
      </c>
      <c r="E232" s="10">
        <f>SUMIFS(GQList,GIList,Table_ExternalData_17[[#This Row],[item_key]],GTList,Table_ExternalData_17[[#Headers],[GRN]],GDList,"&lt;&gt;"&amp;0)</f>
        <v>0</v>
      </c>
      <c r="F232" s="10">
        <f>SUMIFS(GQList,GIList,Table_ExternalData_17[[#This Row],[item_key]],GTList,Table_ExternalData_17[[#Headers],[VSTR]],GDList,"&lt;&gt;"&amp;0)</f>
        <v>0</v>
      </c>
      <c r="G232" s="10">
        <f>SUMIFS(GQList,GIList,Table_ExternalData_17[[#This Row],[item_key]],GTList,Table_ExternalData_17[[#Headers],[SR]],GDList,"&lt;&gt;"&amp;0)</f>
        <v>0</v>
      </c>
      <c r="H232" s="10">
        <f>SUMIFS(GQList,GIList,Table_ExternalData_17[[#This Row],[item_key]],GTList,Table_ExternalData_17[[#Headers],[TR]],GDList,"&lt;&gt;"&amp;0)</f>
        <v>0</v>
      </c>
      <c r="I232" s="10">
        <f>SUMIFS(GQList,GIList,Table_ExternalData_17[[#This Row],[item_key]],GTList,Table_ExternalData_17[[#Headers],[RCA]],GDList,"&lt;&gt;"&amp;0)</f>
        <v>0</v>
      </c>
      <c r="J232" s="10">
        <f>SUM(Table_ExternalData_17[[#This Row],[GRN]]+Table_ExternalData_17[[#This Row],[VSTR]]+Table_ExternalData_17[[#This Row],[SR]]+Table_ExternalData_17[[#This Row],[TR]]+Table_ExternalData_17[[#This Row],[RCA]])</f>
        <v>0</v>
      </c>
      <c r="K232" s="10">
        <f>SUMIFS(IsQList,IsIList,Table_ExternalData_17[[#This Row],[item_key]],IsITypeList,Table_ExternalData_17[[#Headers],[R/P]],IsDList,"&lt;&gt;"&amp;0)</f>
        <v>0</v>
      </c>
      <c r="L232" s="10">
        <f>SUMIFS(IsQList,IsIList,Table_ExternalData_17[[#This Row],[item_key]],IsITypeList,Table_ExternalData_17[[#Headers],[CST]],IsDList,"&lt;&gt;"&amp;0)</f>
        <v>0</v>
      </c>
      <c r="M232" s="10">
        <f>SUMIFS(IsQList,IsIList,Table_ExternalData_15[[#This Row],[item_key]],IsITypeList,Table_ExternalData_17[[#Headers],[S/I]],IsDList,"&lt;&gt;"&amp;0)</f>
        <v>0</v>
      </c>
      <c r="N232" s="10">
        <f>SUMIFS(IsQList,IsIList,Table_ExternalData_15[[#This Row],[item_key]],IsITypeList,Table_ExternalData_17[[#Headers],[VST]],IsDList,"&lt;&gt;"&amp;0)</f>
        <v>0</v>
      </c>
      <c r="O232" s="10">
        <f>ABS(SUMIFS(IsQList,IsIList,Table_ExternalData_17[[#This Row],[item_key]],IsITypeList,Table_ExternalData_17[[#Headers],[RTN]],IsDList,"&lt;&gt;"&amp;0))</f>
        <v>0</v>
      </c>
      <c r="P232" s="10">
        <f>SUM(Table_ExternalData_17[[#This Row],[R/P]:[RTN]])</f>
        <v>0</v>
      </c>
      <c r="Q232" s="10">
        <f>SUM((Table_ExternalData_17[[#This Row],[Opening]]+Table_ExternalData_17[[#This Row],[Total Receipt]])-ABS(Table_ExternalData_17[[#This Row],[Total Issue]]))</f>
        <v>360</v>
      </c>
    </row>
    <row r="233" spans="1:17">
      <c r="A233" s="1" t="s">
        <v>709</v>
      </c>
      <c r="B233" s="1" t="s">
        <v>1367</v>
      </c>
      <c r="C233" s="1" t="s">
        <v>1368</v>
      </c>
      <c r="D233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233" s="10">
        <f>SUMIFS(GQList,GIList,Table_ExternalData_17[[#This Row],[item_key]],GTList,Table_ExternalData_17[[#Headers],[GRN]],GDList,"&lt;&gt;"&amp;0)</f>
        <v>200</v>
      </c>
      <c r="F233" s="10">
        <f>SUMIFS(GQList,GIList,Table_ExternalData_17[[#This Row],[item_key]],GTList,Table_ExternalData_17[[#Headers],[VSTR]],GDList,"&lt;&gt;"&amp;0)</f>
        <v>0</v>
      </c>
      <c r="G233" s="10">
        <f>SUMIFS(GQList,GIList,Table_ExternalData_17[[#This Row],[item_key]],GTList,Table_ExternalData_17[[#Headers],[SR]],GDList,"&lt;&gt;"&amp;0)</f>
        <v>0</v>
      </c>
      <c r="H233" s="10">
        <f>SUMIFS(GQList,GIList,Table_ExternalData_17[[#This Row],[item_key]],GTList,Table_ExternalData_17[[#Headers],[TR]],GDList,"&lt;&gt;"&amp;0)</f>
        <v>0</v>
      </c>
      <c r="I233" s="10">
        <f>SUMIFS(GQList,GIList,Table_ExternalData_17[[#This Row],[item_key]],GTList,Table_ExternalData_17[[#Headers],[RCA]],GDList,"&lt;&gt;"&amp;0)</f>
        <v>0</v>
      </c>
      <c r="J233" s="10">
        <f>SUM(Table_ExternalData_17[[#This Row],[GRN]]+Table_ExternalData_17[[#This Row],[VSTR]]+Table_ExternalData_17[[#This Row],[SR]]+Table_ExternalData_17[[#This Row],[TR]]+Table_ExternalData_17[[#This Row],[RCA]])</f>
        <v>200</v>
      </c>
      <c r="K233" s="10">
        <f>SUMIFS(IsQList,IsIList,Table_ExternalData_17[[#This Row],[item_key]],IsITypeList,Table_ExternalData_17[[#Headers],[R/P]],IsDList,"&lt;&gt;"&amp;0)</f>
        <v>0</v>
      </c>
      <c r="L233" s="10">
        <f>SUMIFS(IsQList,IsIList,Table_ExternalData_17[[#This Row],[item_key]],IsITypeList,Table_ExternalData_17[[#Headers],[CST]],IsDList,"&lt;&gt;"&amp;0)</f>
        <v>0</v>
      </c>
      <c r="M233" s="10">
        <f>SUMIFS(IsQList,IsIList,Table_ExternalData_15[[#This Row],[item_key]],IsITypeList,Table_ExternalData_17[[#Headers],[S/I]],IsDList,"&lt;&gt;"&amp;0)</f>
        <v>28</v>
      </c>
      <c r="N233" s="10">
        <f>SUMIFS(IsQList,IsIList,Table_ExternalData_15[[#This Row],[item_key]],IsITypeList,Table_ExternalData_17[[#Headers],[VST]],IsDList,"&lt;&gt;"&amp;0)</f>
        <v>0</v>
      </c>
      <c r="O233" s="10">
        <f>ABS(SUMIFS(IsQList,IsIList,Table_ExternalData_17[[#This Row],[item_key]],IsITypeList,Table_ExternalData_17[[#Headers],[RTN]],IsDList,"&lt;&gt;"&amp;0))</f>
        <v>0</v>
      </c>
      <c r="P233" s="10">
        <f>SUM(Table_ExternalData_17[[#This Row],[R/P]:[RTN]])</f>
        <v>28</v>
      </c>
      <c r="Q233" s="10">
        <f>SUM((Table_ExternalData_17[[#This Row],[Opening]]+Table_ExternalData_17[[#This Row],[Total Receipt]])-ABS(Table_ExternalData_17[[#This Row],[Total Issue]]))</f>
        <v>191</v>
      </c>
    </row>
    <row r="234" spans="1:17">
      <c r="A234" s="1" t="s">
        <v>710</v>
      </c>
      <c r="B234" s="1" t="s">
        <v>2637</v>
      </c>
      <c r="C234" s="1" t="s">
        <v>1368</v>
      </c>
      <c r="D234" s="10">
        <f>SUMIFS(OPBQList,OPBIList,Table_ExternalData_17[[#This Row],[item_key]])+SUMIFS(GQList,GIList,Table_ExternalData_17[[#This Row],[item_key]],GDList,0)-ABS(SUMIFS(IsQList,IsIList,Table_ExternalData_17[[#This Row],[item_key]],IsDList,0))</f>
        <v>284</v>
      </c>
      <c r="E234" s="10">
        <f>SUMIFS(GQList,GIList,Table_ExternalData_17[[#This Row],[item_key]],GTList,Table_ExternalData_17[[#Headers],[GRN]],GDList,"&lt;&gt;"&amp;0)</f>
        <v>0</v>
      </c>
      <c r="F234" s="10">
        <f>SUMIFS(GQList,GIList,Table_ExternalData_17[[#This Row],[item_key]],GTList,Table_ExternalData_17[[#Headers],[VSTR]],GDList,"&lt;&gt;"&amp;0)</f>
        <v>0</v>
      </c>
      <c r="G234" s="10">
        <f>SUMIFS(GQList,GIList,Table_ExternalData_17[[#This Row],[item_key]],GTList,Table_ExternalData_17[[#Headers],[SR]],GDList,"&lt;&gt;"&amp;0)</f>
        <v>0</v>
      </c>
      <c r="H234" s="10">
        <f>SUMIFS(GQList,GIList,Table_ExternalData_17[[#This Row],[item_key]],GTList,Table_ExternalData_17[[#Headers],[TR]],GDList,"&lt;&gt;"&amp;0)</f>
        <v>0</v>
      </c>
      <c r="I234" s="10">
        <f>SUMIFS(GQList,GIList,Table_ExternalData_17[[#This Row],[item_key]],GTList,Table_ExternalData_17[[#Headers],[RCA]],GDList,"&lt;&gt;"&amp;0)</f>
        <v>0</v>
      </c>
      <c r="J234" s="10">
        <f>SUM(Table_ExternalData_17[[#This Row],[GRN]]+Table_ExternalData_17[[#This Row],[VSTR]]+Table_ExternalData_17[[#This Row],[SR]]+Table_ExternalData_17[[#This Row],[TR]]+Table_ExternalData_17[[#This Row],[RCA]])</f>
        <v>0</v>
      </c>
      <c r="K234" s="10">
        <f>SUMIFS(IsQList,IsIList,Table_ExternalData_17[[#This Row],[item_key]],IsITypeList,Table_ExternalData_17[[#Headers],[R/P]],IsDList,"&lt;&gt;"&amp;0)</f>
        <v>0</v>
      </c>
      <c r="L234" s="10">
        <f>SUMIFS(IsQList,IsIList,Table_ExternalData_17[[#This Row],[item_key]],IsITypeList,Table_ExternalData_17[[#Headers],[CST]],IsDList,"&lt;&gt;"&amp;0)</f>
        <v>0</v>
      </c>
      <c r="M234" s="10">
        <f>SUMIFS(IsQList,IsIList,Table_ExternalData_15[[#This Row],[item_key]],IsITypeList,Table_ExternalData_17[[#Headers],[S/I]],IsDList,"&lt;&gt;"&amp;0)</f>
        <v>9</v>
      </c>
      <c r="N234" s="10">
        <f>SUMIFS(IsQList,IsIList,Table_ExternalData_15[[#This Row],[item_key]],IsITypeList,Table_ExternalData_17[[#Headers],[VST]],IsDList,"&lt;&gt;"&amp;0)</f>
        <v>0</v>
      </c>
      <c r="O234" s="10">
        <f>ABS(SUMIFS(IsQList,IsIList,Table_ExternalData_17[[#This Row],[item_key]],IsITypeList,Table_ExternalData_17[[#Headers],[RTN]],IsDList,"&lt;&gt;"&amp;0))</f>
        <v>0</v>
      </c>
      <c r="P234" s="10">
        <f>SUM(Table_ExternalData_17[[#This Row],[R/P]:[RTN]])</f>
        <v>9</v>
      </c>
      <c r="Q234" s="10">
        <f>SUM((Table_ExternalData_17[[#This Row],[Opening]]+Table_ExternalData_17[[#This Row],[Total Receipt]])-ABS(Table_ExternalData_17[[#This Row],[Total Issue]]))</f>
        <v>275</v>
      </c>
    </row>
    <row r="235" spans="1:17">
      <c r="A235" s="1" t="s">
        <v>1785</v>
      </c>
      <c r="B235" s="1" t="s">
        <v>2638</v>
      </c>
      <c r="C235" s="1" t="s">
        <v>2639</v>
      </c>
      <c r="D235" s="10">
        <f>SUMIFS(OPBQList,OPBIList,Table_ExternalData_17[[#This Row],[item_key]])+SUMIFS(GQList,GIList,Table_ExternalData_17[[#This Row],[item_key]],GDList,0)-ABS(SUMIFS(IsQList,IsIList,Table_ExternalData_17[[#This Row],[item_key]],IsDList,0))</f>
        <v>130</v>
      </c>
      <c r="E235" s="10">
        <f>SUMIFS(GQList,GIList,Table_ExternalData_17[[#This Row],[item_key]],GTList,Table_ExternalData_17[[#Headers],[GRN]],GDList,"&lt;&gt;"&amp;0)</f>
        <v>0</v>
      </c>
      <c r="F235" s="10">
        <f>SUMIFS(GQList,GIList,Table_ExternalData_17[[#This Row],[item_key]],GTList,Table_ExternalData_17[[#Headers],[VSTR]],GDList,"&lt;&gt;"&amp;0)</f>
        <v>0</v>
      </c>
      <c r="G235" s="10">
        <f>SUMIFS(GQList,GIList,Table_ExternalData_17[[#This Row],[item_key]],GTList,Table_ExternalData_17[[#Headers],[SR]],GDList,"&lt;&gt;"&amp;0)</f>
        <v>0</v>
      </c>
      <c r="H235" s="10">
        <f>SUMIFS(GQList,GIList,Table_ExternalData_17[[#This Row],[item_key]],GTList,Table_ExternalData_17[[#Headers],[TR]],GDList,"&lt;&gt;"&amp;0)</f>
        <v>0</v>
      </c>
      <c r="I235" s="10">
        <f>SUMIFS(GQList,GIList,Table_ExternalData_17[[#This Row],[item_key]],GTList,Table_ExternalData_17[[#Headers],[RCA]],GDList,"&lt;&gt;"&amp;0)</f>
        <v>0</v>
      </c>
      <c r="J235" s="10">
        <f>SUM(Table_ExternalData_17[[#This Row],[GRN]]+Table_ExternalData_17[[#This Row],[VSTR]]+Table_ExternalData_17[[#This Row],[SR]]+Table_ExternalData_17[[#This Row],[TR]]+Table_ExternalData_17[[#This Row],[RCA]])</f>
        <v>0</v>
      </c>
      <c r="K235" s="10">
        <f>SUMIFS(IsQList,IsIList,Table_ExternalData_17[[#This Row],[item_key]],IsITypeList,Table_ExternalData_17[[#Headers],[R/P]],IsDList,"&lt;&gt;"&amp;0)</f>
        <v>0</v>
      </c>
      <c r="L235" s="10">
        <f>SUMIFS(IsQList,IsIList,Table_ExternalData_17[[#This Row],[item_key]],IsITypeList,Table_ExternalData_17[[#Headers],[CST]],IsDList,"&lt;&gt;"&amp;0)</f>
        <v>0</v>
      </c>
      <c r="M235" s="10">
        <f>SUMIFS(IsQList,IsIList,Table_ExternalData_15[[#This Row],[item_key]],IsITypeList,Table_ExternalData_17[[#Headers],[S/I]],IsDList,"&lt;&gt;"&amp;0)</f>
        <v>100</v>
      </c>
      <c r="N235" s="10">
        <f>SUMIFS(IsQList,IsIList,Table_ExternalData_15[[#This Row],[item_key]],IsITypeList,Table_ExternalData_17[[#Headers],[VST]],IsDList,"&lt;&gt;"&amp;0)</f>
        <v>0</v>
      </c>
      <c r="O235" s="10">
        <f>ABS(SUMIFS(IsQList,IsIList,Table_ExternalData_17[[#This Row],[item_key]],IsITypeList,Table_ExternalData_17[[#Headers],[RTN]],IsDList,"&lt;&gt;"&amp;0))</f>
        <v>0</v>
      </c>
      <c r="P235" s="10">
        <f>SUM(Table_ExternalData_17[[#This Row],[R/P]:[RTN]])</f>
        <v>100</v>
      </c>
      <c r="Q235" s="10">
        <f>SUM((Table_ExternalData_17[[#This Row],[Opening]]+Table_ExternalData_17[[#This Row],[Total Receipt]])-ABS(Table_ExternalData_17[[#This Row],[Total Issue]]))</f>
        <v>30</v>
      </c>
    </row>
    <row r="236" spans="1:17">
      <c r="A236" s="1" t="s">
        <v>1788</v>
      </c>
      <c r="B236" s="1" t="s">
        <v>2640</v>
      </c>
      <c r="C236" s="1" t="s">
        <v>2641</v>
      </c>
      <c r="D23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36" s="10">
        <f>SUMIFS(GQList,GIList,Table_ExternalData_17[[#This Row],[item_key]],GTList,Table_ExternalData_17[[#Headers],[GRN]],GDList,"&lt;&gt;"&amp;0)</f>
        <v>0</v>
      </c>
      <c r="F236" s="10">
        <f>SUMIFS(GQList,GIList,Table_ExternalData_17[[#This Row],[item_key]],GTList,Table_ExternalData_17[[#Headers],[VSTR]],GDList,"&lt;&gt;"&amp;0)</f>
        <v>0</v>
      </c>
      <c r="G236" s="10">
        <f>SUMIFS(GQList,GIList,Table_ExternalData_17[[#This Row],[item_key]],GTList,Table_ExternalData_17[[#Headers],[SR]],GDList,"&lt;&gt;"&amp;0)</f>
        <v>0</v>
      </c>
      <c r="H236" s="10">
        <f>SUMIFS(GQList,GIList,Table_ExternalData_17[[#This Row],[item_key]],GTList,Table_ExternalData_17[[#Headers],[TR]],GDList,"&lt;&gt;"&amp;0)</f>
        <v>0</v>
      </c>
      <c r="I236" s="10">
        <f>SUMIFS(GQList,GIList,Table_ExternalData_17[[#This Row],[item_key]],GTList,Table_ExternalData_17[[#Headers],[RCA]],GDList,"&lt;&gt;"&amp;0)</f>
        <v>0</v>
      </c>
      <c r="J236" s="10">
        <f>SUM(Table_ExternalData_17[[#This Row],[GRN]]+Table_ExternalData_17[[#This Row],[VSTR]]+Table_ExternalData_17[[#This Row],[SR]]+Table_ExternalData_17[[#This Row],[TR]]+Table_ExternalData_17[[#This Row],[RCA]])</f>
        <v>0</v>
      </c>
      <c r="K236" s="10">
        <f>SUMIFS(IsQList,IsIList,Table_ExternalData_17[[#This Row],[item_key]],IsITypeList,Table_ExternalData_17[[#Headers],[R/P]],IsDList,"&lt;&gt;"&amp;0)</f>
        <v>0</v>
      </c>
      <c r="L236" s="10">
        <f>SUMIFS(IsQList,IsIList,Table_ExternalData_17[[#This Row],[item_key]],IsITypeList,Table_ExternalData_17[[#Headers],[CST]],IsDList,"&lt;&gt;"&amp;0)</f>
        <v>0</v>
      </c>
      <c r="M236" s="10">
        <f>SUMIFS(IsQList,IsIList,Table_ExternalData_15[[#This Row],[item_key]],IsITypeList,Table_ExternalData_17[[#Headers],[S/I]],IsDList,"&lt;&gt;"&amp;0)</f>
        <v>0</v>
      </c>
      <c r="N236" s="10">
        <f>SUMIFS(IsQList,IsIList,Table_ExternalData_15[[#This Row],[item_key]],IsITypeList,Table_ExternalData_17[[#Headers],[VST]],IsDList,"&lt;&gt;"&amp;0)</f>
        <v>0</v>
      </c>
      <c r="O236" s="10">
        <f>ABS(SUMIFS(IsQList,IsIList,Table_ExternalData_17[[#This Row],[item_key]],IsITypeList,Table_ExternalData_17[[#Headers],[RTN]],IsDList,"&lt;&gt;"&amp;0))</f>
        <v>0</v>
      </c>
      <c r="P236" s="10">
        <f>SUM(Table_ExternalData_17[[#This Row],[R/P]:[RTN]])</f>
        <v>0</v>
      </c>
      <c r="Q236" s="10">
        <f>SUM((Table_ExternalData_17[[#This Row],[Opening]]+Table_ExternalData_17[[#This Row],[Total Receipt]])-ABS(Table_ExternalData_17[[#This Row],[Total Issue]]))</f>
        <v>0</v>
      </c>
    </row>
    <row r="237" spans="1:17">
      <c r="A237" s="1" t="s">
        <v>712</v>
      </c>
      <c r="B237" s="1" t="s">
        <v>2642</v>
      </c>
      <c r="C237" s="1" t="s">
        <v>2643</v>
      </c>
      <c r="D237" s="10">
        <f>SUMIFS(OPBQList,OPBIList,Table_ExternalData_17[[#This Row],[item_key]])+SUMIFS(GQList,GIList,Table_ExternalData_17[[#This Row],[item_key]],GDList,0)-ABS(SUMIFS(IsQList,IsIList,Table_ExternalData_17[[#This Row],[item_key]],IsDList,0))</f>
        <v>316</v>
      </c>
      <c r="E237" s="10">
        <f>SUMIFS(GQList,GIList,Table_ExternalData_17[[#This Row],[item_key]],GTList,Table_ExternalData_17[[#Headers],[GRN]],GDList,"&lt;&gt;"&amp;0)</f>
        <v>0</v>
      </c>
      <c r="F237" s="10">
        <f>SUMIFS(GQList,GIList,Table_ExternalData_17[[#This Row],[item_key]],GTList,Table_ExternalData_17[[#Headers],[VSTR]],GDList,"&lt;&gt;"&amp;0)</f>
        <v>0</v>
      </c>
      <c r="G237" s="10">
        <f>SUMIFS(GQList,GIList,Table_ExternalData_17[[#This Row],[item_key]],GTList,Table_ExternalData_17[[#Headers],[SR]],GDList,"&lt;&gt;"&amp;0)</f>
        <v>0</v>
      </c>
      <c r="H237" s="10">
        <f>SUMIFS(GQList,GIList,Table_ExternalData_17[[#This Row],[item_key]],GTList,Table_ExternalData_17[[#Headers],[TR]],GDList,"&lt;&gt;"&amp;0)</f>
        <v>0</v>
      </c>
      <c r="I237" s="10">
        <f>SUMIFS(GQList,GIList,Table_ExternalData_17[[#This Row],[item_key]],GTList,Table_ExternalData_17[[#Headers],[RCA]],GDList,"&lt;&gt;"&amp;0)</f>
        <v>0</v>
      </c>
      <c r="J237" s="10">
        <f>SUM(Table_ExternalData_17[[#This Row],[GRN]]+Table_ExternalData_17[[#This Row],[VSTR]]+Table_ExternalData_17[[#This Row],[SR]]+Table_ExternalData_17[[#This Row],[TR]]+Table_ExternalData_17[[#This Row],[RCA]])</f>
        <v>0</v>
      </c>
      <c r="K237" s="10">
        <f>SUMIFS(IsQList,IsIList,Table_ExternalData_17[[#This Row],[item_key]],IsITypeList,Table_ExternalData_17[[#Headers],[R/P]],IsDList,"&lt;&gt;"&amp;0)</f>
        <v>0</v>
      </c>
      <c r="L237" s="10">
        <f>SUMIFS(IsQList,IsIList,Table_ExternalData_17[[#This Row],[item_key]],IsITypeList,Table_ExternalData_17[[#Headers],[CST]],IsDList,"&lt;&gt;"&amp;0)</f>
        <v>0</v>
      </c>
      <c r="M237" s="10">
        <f>SUMIFS(IsQList,IsIList,Table_ExternalData_15[[#This Row],[item_key]],IsITypeList,Table_ExternalData_17[[#Headers],[S/I]],IsDList,"&lt;&gt;"&amp;0)</f>
        <v>0</v>
      </c>
      <c r="N237" s="10">
        <f>SUMIFS(IsQList,IsIList,Table_ExternalData_15[[#This Row],[item_key]],IsITypeList,Table_ExternalData_17[[#Headers],[VST]],IsDList,"&lt;&gt;"&amp;0)</f>
        <v>0</v>
      </c>
      <c r="O237" s="10">
        <f>ABS(SUMIFS(IsQList,IsIList,Table_ExternalData_17[[#This Row],[item_key]],IsITypeList,Table_ExternalData_17[[#Headers],[RTN]],IsDList,"&lt;&gt;"&amp;0))</f>
        <v>0</v>
      </c>
      <c r="P237" s="10">
        <f>SUM(Table_ExternalData_17[[#This Row],[R/P]:[RTN]])</f>
        <v>0</v>
      </c>
      <c r="Q237" s="10">
        <f>SUM((Table_ExternalData_17[[#This Row],[Opening]]+Table_ExternalData_17[[#This Row],[Total Receipt]])-ABS(Table_ExternalData_17[[#This Row],[Total Issue]]))</f>
        <v>316</v>
      </c>
    </row>
    <row r="238" spans="1:17">
      <c r="A238" s="1" t="s">
        <v>1790</v>
      </c>
      <c r="B238" s="1" t="s">
        <v>2644</v>
      </c>
      <c r="C238" s="1" t="s">
        <v>2645</v>
      </c>
      <c r="D238" s="10">
        <f>SUMIFS(OPBQList,OPBIList,Table_ExternalData_17[[#This Row],[item_key]])+SUMIFS(GQList,GIList,Table_ExternalData_17[[#This Row],[item_key]],GDList,0)-ABS(SUMIFS(IsQList,IsIList,Table_ExternalData_17[[#This Row],[item_key]],IsDList,0))</f>
        <v>131</v>
      </c>
      <c r="E238" s="10">
        <f>SUMIFS(GQList,GIList,Table_ExternalData_17[[#This Row],[item_key]],GTList,Table_ExternalData_17[[#Headers],[GRN]],GDList,"&lt;&gt;"&amp;0)</f>
        <v>0</v>
      </c>
      <c r="F238" s="10">
        <f>SUMIFS(GQList,GIList,Table_ExternalData_17[[#This Row],[item_key]],GTList,Table_ExternalData_17[[#Headers],[VSTR]],GDList,"&lt;&gt;"&amp;0)</f>
        <v>0</v>
      </c>
      <c r="G238" s="10">
        <f>SUMIFS(GQList,GIList,Table_ExternalData_17[[#This Row],[item_key]],GTList,Table_ExternalData_17[[#Headers],[SR]],GDList,"&lt;&gt;"&amp;0)</f>
        <v>0</v>
      </c>
      <c r="H238" s="10">
        <f>SUMIFS(GQList,GIList,Table_ExternalData_17[[#This Row],[item_key]],GTList,Table_ExternalData_17[[#Headers],[TR]],GDList,"&lt;&gt;"&amp;0)</f>
        <v>0</v>
      </c>
      <c r="I238" s="10">
        <f>SUMIFS(GQList,GIList,Table_ExternalData_17[[#This Row],[item_key]],GTList,Table_ExternalData_17[[#Headers],[RCA]],GDList,"&lt;&gt;"&amp;0)</f>
        <v>0</v>
      </c>
      <c r="J238" s="10">
        <f>SUM(Table_ExternalData_17[[#This Row],[GRN]]+Table_ExternalData_17[[#This Row],[VSTR]]+Table_ExternalData_17[[#This Row],[SR]]+Table_ExternalData_17[[#This Row],[TR]]+Table_ExternalData_17[[#This Row],[RCA]])</f>
        <v>0</v>
      </c>
      <c r="K238" s="10">
        <f>SUMIFS(IsQList,IsIList,Table_ExternalData_17[[#This Row],[item_key]],IsITypeList,Table_ExternalData_17[[#Headers],[R/P]],IsDList,"&lt;&gt;"&amp;0)</f>
        <v>0</v>
      </c>
      <c r="L238" s="10">
        <f>SUMIFS(IsQList,IsIList,Table_ExternalData_17[[#This Row],[item_key]],IsITypeList,Table_ExternalData_17[[#Headers],[CST]],IsDList,"&lt;&gt;"&amp;0)</f>
        <v>0</v>
      </c>
      <c r="M238" s="10">
        <f>SUMIFS(IsQList,IsIList,Table_ExternalData_15[[#This Row],[item_key]],IsITypeList,Table_ExternalData_17[[#Headers],[S/I]],IsDList,"&lt;&gt;"&amp;0)</f>
        <v>15</v>
      </c>
      <c r="N238" s="10">
        <f>SUMIFS(IsQList,IsIList,Table_ExternalData_15[[#This Row],[item_key]],IsITypeList,Table_ExternalData_17[[#Headers],[VST]],IsDList,"&lt;&gt;"&amp;0)</f>
        <v>0</v>
      </c>
      <c r="O238" s="10">
        <f>ABS(SUMIFS(IsQList,IsIList,Table_ExternalData_17[[#This Row],[item_key]],IsITypeList,Table_ExternalData_17[[#Headers],[RTN]],IsDList,"&lt;&gt;"&amp;0))</f>
        <v>0</v>
      </c>
      <c r="P238" s="10">
        <f>SUM(Table_ExternalData_17[[#This Row],[R/P]:[RTN]])</f>
        <v>15</v>
      </c>
      <c r="Q238" s="10">
        <f>SUM((Table_ExternalData_17[[#This Row],[Opening]]+Table_ExternalData_17[[#This Row],[Total Receipt]])-ABS(Table_ExternalData_17[[#This Row],[Total Issue]]))</f>
        <v>116</v>
      </c>
    </row>
    <row r="239" spans="1:17">
      <c r="A239" s="1" t="s">
        <v>1791</v>
      </c>
      <c r="B239" s="1" t="s">
        <v>2646</v>
      </c>
      <c r="C239" s="1" t="s">
        <v>2647</v>
      </c>
      <c r="D239" s="10">
        <f>SUMIFS(OPBQList,OPBIList,Table_ExternalData_17[[#This Row],[item_key]])+SUMIFS(GQList,GIList,Table_ExternalData_17[[#This Row],[item_key]],GDList,0)-ABS(SUMIFS(IsQList,IsIList,Table_ExternalData_17[[#This Row],[item_key]],IsDList,0))</f>
        <v>109</v>
      </c>
      <c r="E239" s="10">
        <f>SUMIFS(GQList,GIList,Table_ExternalData_17[[#This Row],[item_key]],GTList,Table_ExternalData_17[[#Headers],[GRN]],GDList,"&lt;&gt;"&amp;0)</f>
        <v>0</v>
      </c>
      <c r="F239" s="10">
        <f>SUMIFS(GQList,GIList,Table_ExternalData_17[[#This Row],[item_key]],GTList,Table_ExternalData_17[[#Headers],[VSTR]],GDList,"&lt;&gt;"&amp;0)</f>
        <v>0</v>
      </c>
      <c r="G239" s="10">
        <f>SUMIFS(GQList,GIList,Table_ExternalData_17[[#This Row],[item_key]],GTList,Table_ExternalData_17[[#Headers],[SR]],GDList,"&lt;&gt;"&amp;0)</f>
        <v>0</v>
      </c>
      <c r="H239" s="10">
        <f>SUMIFS(GQList,GIList,Table_ExternalData_17[[#This Row],[item_key]],GTList,Table_ExternalData_17[[#Headers],[TR]],GDList,"&lt;&gt;"&amp;0)</f>
        <v>0</v>
      </c>
      <c r="I239" s="10">
        <f>SUMIFS(GQList,GIList,Table_ExternalData_17[[#This Row],[item_key]],GTList,Table_ExternalData_17[[#Headers],[RCA]],GDList,"&lt;&gt;"&amp;0)</f>
        <v>0</v>
      </c>
      <c r="J239" s="10">
        <f>SUM(Table_ExternalData_17[[#This Row],[GRN]]+Table_ExternalData_17[[#This Row],[VSTR]]+Table_ExternalData_17[[#This Row],[SR]]+Table_ExternalData_17[[#This Row],[TR]]+Table_ExternalData_17[[#This Row],[RCA]])</f>
        <v>0</v>
      </c>
      <c r="K239" s="10">
        <f>SUMIFS(IsQList,IsIList,Table_ExternalData_17[[#This Row],[item_key]],IsITypeList,Table_ExternalData_17[[#Headers],[R/P]],IsDList,"&lt;&gt;"&amp;0)</f>
        <v>0</v>
      </c>
      <c r="L239" s="10">
        <f>SUMIFS(IsQList,IsIList,Table_ExternalData_17[[#This Row],[item_key]],IsITypeList,Table_ExternalData_17[[#Headers],[CST]],IsDList,"&lt;&gt;"&amp;0)</f>
        <v>0</v>
      </c>
      <c r="M239" s="10">
        <f>SUMIFS(IsQList,IsIList,Table_ExternalData_15[[#This Row],[item_key]],IsITypeList,Table_ExternalData_17[[#Headers],[S/I]],IsDList,"&lt;&gt;"&amp;0)</f>
        <v>14</v>
      </c>
      <c r="N239" s="10">
        <f>SUMIFS(IsQList,IsIList,Table_ExternalData_15[[#This Row],[item_key]],IsITypeList,Table_ExternalData_17[[#Headers],[VST]],IsDList,"&lt;&gt;"&amp;0)</f>
        <v>0</v>
      </c>
      <c r="O239" s="10">
        <f>ABS(SUMIFS(IsQList,IsIList,Table_ExternalData_17[[#This Row],[item_key]],IsITypeList,Table_ExternalData_17[[#Headers],[RTN]],IsDList,"&lt;&gt;"&amp;0))</f>
        <v>0</v>
      </c>
      <c r="P239" s="10">
        <f>SUM(Table_ExternalData_17[[#This Row],[R/P]:[RTN]])</f>
        <v>14</v>
      </c>
      <c r="Q239" s="10">
        <f>SUM((Table_ExternalData_17[[#This Row],[Opening]]+Table_ExternalData_17[[#This Row],[Total Receipt]])-ABS(Table_ExternalData_17[[#This Row],[Total Issue]]))</f>
        <v>95</v>
      </c>
    </row>
    <row r="240" spans="1:17">
      <c r="A240" s="1" t="s">
        <v>1798</v>
      </c>
      <c r="B240" s="1" t="s">
        <v>2648</v>
      </c>
      <c r="C240" s="1" t="s">
        <v>2649</v>
      </c>
      <c r="D240" s="10">
        <f>SUMIFS(OPBQList,OPBIList,Table_ExternalData_17[[#This Row],[item_key]])+SUMIFS(GQList,GIList,Table_ExternalData_17[[#This Row],[item_key]],GDList,0)-ABS(SUMIFS(IsQList,IsIList,Table_ExternalData_17[[#This Row],[item_key]],IsDList,0))</f>
        <v>29</v>
      </c>
      <c r="E240" s="10">
        <f>SUMIFS(GQList,GIList,Table_ExternalData_17[[#This Row],[item_key]],GTList,Table_ExternalData_17[[#Headers],[GRN]],GDList,"&lt;&gt;"&amp;0)</f>
        <v>0</v>
      </c>
      <c r="F240" s="10">
        <f>SUMIFS(GQList,GIList,Table_ExternalData_17[[#This Row],[item_key]],GTList,Table_ExternalData_17[[#Headers],[VSTR]],GDList,"&lt;&gt;"&amp;0)</f>
        <v>0</v>
      </c>
      <c r="G240" s="10">
        <f>SUMIFS(GQList,GIList,Table_ExternalData_17[[#This Row],[item_key]],GTList,Table_ExternalData_17[[#Headers],[SR]],GDList,"&lt;&gt;"&amp;0)</f>
        <v>0</v>
      </c>
      <c r="H240" s="10">
        <f>SUMIFS(GQList,GIList,Table_ExternalData_17[[#This Row],[item_key]],GTList,Table_ExternalData_17[[#Headers],[TR]],GDList,"&lt;&gt;"&amp;0)</f>
        <v>0</v>
      </c>
      <c r="I240" s="10">
        <f>SUMIFS(GQList,GIList,Table_ExternalData_17[[#This Row],[item_key]],GTList,Table_ExternalData_17[[#Headers],[RCA]],GDList,"&lt;&gt;"&amp;0)</f>
        <v>0</v>
      </c>
      <c r="J240" s="10">
        <f>SUM(Table_ExternalData_17[[#This Row],[GRN]]+Table_ExternalData_17[[#This Row],[VSTR]]+Table_ExternalData_17[[#This Row],[SR]]+Table_ExternalData_17[[#This Row],[TR]]+Table_ExternalData_17[[#This Row],[RCA]])</f>
        <v>0</v>
      </c>
      <c r="K240" s="10">
        <f>SUMIFS(IsQList,IsIList,Table_ExternalData_17[[#This Row],[item_key]],IsITypeList,Table_ExternalData_17[[#Headers],[R/P]],IsDList,"&lt;&gt;"&amp;0)</f>
        <v>0</v>
      </c>
      <c r="L240" s="10">
        <f>SUMIFS(IsQList,IsIList,Table_ExternalData_17[[#This Row],[item_key]],IsITypeList,Table_ExternalData_17[[#Headers],[CST]],IsDList,"&lt;&gt;"&amp;0)</f>
        <v>0</v>
      </c>
      <c r="M240" s="10">
        <f>SUMIFS(IsQList,IsIList,Table_ExternalData_15[[#This Row],[item_key]],IsITypeList,Table_ExternalData_17[[#Headers],[S/I]],IsDList,"&lt;&gt;"&amp;0)</f>
        <v>0</v>
      </c>
      <c r="N240" s="10">
        <f>SUMIFS(IsQList,IsIList,Table_ExternalData_15[[#This Row],[item_key]],IsITypeList,Table_ExternalData_17[[#Headers],[VST]],IsDList,"&lt;&gt;"&amp;0)</f>
        <v>0</v>
      </c>
      <c r="O240" s="10">
        <f>ABS(SUMIFS(IsQList,IsIList,Table_ExternalData_17[[#This Row],[item_key]],IsITypeList,Table_ExternalData_17[[#Headers],[RTN]],IsDList,"&lt;&gt;"&amp;0))</f>
        <v>0</v>
      </c>
      <c r="P240" s="10">
        <f>SUM(Table_ExternalData_17[[#This Row],[R/P]:[RTN]])</f>
        <v>0</v>
      </c>
      <c r="Q240" s="10">
        <f>SUM((Table_ExternalData_17[[#This Row],[Opening]]+Table_ExternalData_17[[#This Row],[Total Receipt]])-ABS(Table_ExternalData_17[[#This Row],[Total Issue]]))</f>
        <v>29</v>
      </c>
    </row>
    <row r="241" spans="1:17">
      <c r="A241" s="1" t="s">
        <v>1799</v>
      </c>
      <c r="B241" s="1" t="s">
        <v>2400</v>
      </c>
      <c r="C241" s="1" t="s">
        <v>2401</v>
      </c>
      <c r="D241" s="10">
        <f>SUMIFS(OPBQList,OPBIList,Table_ExternalData_17[[#This Row],[item_key]])+SUMIFS(GQList,GIList,Table_ExternalData_17[[#This Row],[item_key]],GDList,0)-ABS(SUMIFS(IsQList,IsIList,Table_ExternalData_17[[#This Row],[item_key]],IsDList,0))</f>
        <v>51</v>
      </c>
      <c r="E241" s="10">
        <f>SUMIFS(GQList,GIList,Table_ExternalData_17[[#This Row],[item_key]],GTList,Table_ExternalData_17[[#Headers],[GRN]],GDList,"&lt;&gt;"&amp;0)</f>
        <v>0</v>
      </c>
      <c r="F241" s="10">
        <f>SUMIFS(GQList,GIList,Table_ExternalData_17[[#This Row],[item_key]],GTList,Table_ExternalData_17[[#Headers],[VSTR]],GDList,"&lt;&gt;"&amp;0)</f>
        <v>0</v>
      </c>
      <c r="G241" s="10">
        <f>SUMIFS(GQList,GIList,Table_ExternalData_17[[#This Row],[item_key]],GTList,Table_ExternalData_17[[#Headers],[SR]],GDList,"&lt;&gt;"&amp;0)</f>
        <v>0</v>
      </c>
      <c r="H241" s="10">
        <f>SUMIFS(GQList,GIList,Table_ExternalData_17[[#This Row],[item_key]],GTList,Table_ExternalData_17[[#Headers],[TR]],GDList,"&lt;&gt;"&amp;0)</f>
        <v>0</v>
      </c>
      <c r="I241" s="10">
        <f>SUMIFS(GQList,GIList,Table_ExternalData_17[[#This Row],[item_key]],GTList,Table_ExternalData_17[[#Headers],[RCA]],GDList,"&lt;&gt;"&amp;0)</f>
        <v>0</v>
      </c>
      <c r="J241" s="10">
        <f>SUM(Table_ExternalData_17[[#This Row],[GRN]]+Table_ExternalData_17[[#This Row],[VSTR]]+Table_ExternalData_17[[#This Row],[SR]]+Table_ExternalData_17[[#This Row],[TR]]+Table_ExternalData_17[[#This Row],[RCA]])</f>
        <v>0</v>
      </c>
      <c r="K241" s="10">
        <f>SUMIFS(IsQList,IsIList,Table_ExternalData_17[[#This Row],[item_key]],IsITypeList,Table_ExternalData_17[[#Headers],[R/P]],IsDList,"&lt;&gt;"&amp;0)</f>
        <v>0</v>
      </c>
      <c r="L241" s="10">
        <f>SUMIFS(IsQList,IsIList,Table_ExternalData_17[[#This Row],[item_key]],IsITypeList,Table_ExternalData_17[[#Headers],[CST]],IsDList,"&lt;&gt;"&amp;0)</f>
        <v>0</v>
      </c>
      <c r="M241" s="10">
        <f>SUMIFS(IsQList,IsIList,Table_ExternalData_15[[#This Row],[item_key]],IsITypeList,Table_ExternalData_17[[#Headers],[S/I]],IsDList,"&lt;&gt;"&amp;0)</f>
        <v>0</v>
      </c>
      <c r="N241" s="10">
        <f>SUMIFS(IsQList,IsIList,Table_ExternalData_15[[#This Row],[item_key]],IsITypeList,Table_ExternalData_17[[#Headers],[VST]],IsDList,"&lt;&gt;"&amp;0)</f>
        <v>0</v>
      </c>
      <c r="O241" s="10">
        <f>ABS(SUMIFS(IsQList,IsIList,Table_ExternalData_17[[#This Row],[item_key]],IsITypeList,Table_ExternalData_17[[#Headers],[RTN]],IsDList,"&lt;&gt;"&amp;0))</f>
        <v>0</v>
      </c>
      <c r="P241" s="10">
        <f>SUM(Table_ExternalData_17[[#This Row],[R/P]:[RTN]])</f>
        <v>0</v>
      </c>
      <c r="Q241" s="10">
        <f>SUM((Table_ExternalData_17[[#This Row],[Opening]]+Table_ExternalData_17[[#This Row],[Total Receipt]])-ABS(Table_ExternalData_17[[#This Row],[Total Issue]]))</f>
        <v>51</v>
      </c>
    </row>
    <row r="242" spans="1:17">
      <c r="A242" s="1" t="s">
        <v>1800</v>
      </c>
      <c r="B242" s="1" t="s">
        <v>2650</v>
      </c>
      <c r="C242" s="1" t="s">
        <v>2651</v>
      </c>
      <c r="D242" s="10">
        <f>SUMIFS(OPBQList,OPBIList,Table_ExternalData_17[[#This Row],[item_key]])+SUMIFS(GQList,GIList,Table_ExternalData_17[[#This Row],[item_key]],GDList,0)-ABS(SUMIFS(IsQList,IsIList,Table_ExternalData_17[[#This Row],[item_key]],IsDList,0))</f>
        <v>401</v>
      </c>
      <c r="E242" s="10">
        <f>SUMIFS(GQList,GIList,Table_ExternalData_17[[#This Row],[item_key]],GTList,Table_ExternalData_17[[#Headers],[GRN]],GDList,"&lt;&gt;"&amp;0)</f>
        <v>0</v>
      </c>
      <c r="F242" s="10">
        <f>SUMIFS(GQList,GIList,Table_ExternalData_17[[#This Row],[item_key]],GTList,Table_ExternalData_17[[#Headers],[VSTR]],GDList,"&lt;&gt;"&amp;0)</f>
        <v>0</v>
      </c>
      <c r="G242" s="10">
        <f>SUMIFS(GQList,GIList,Table_ExternalData_17[[#This Row],[item_key]],GTList,Table_ExternalData_17[[#Headers],[SR]],GDList,"&lt;&gt;"&amp;0)</f>
        <v>0</v>
      </c>
      <c r="H242" s="10">
        <f>SUMIFS(GQList,GIList,Table_ExternalData_17[[#This Row],[item_key]],GTList,Table_ExternalData_17[[#Headers],[TR]],GDList,"&lt;&gt;"&amp;0)</f>
        <v>0</v>
      </c>
      <c r="I242" s="10">
        <f>SUMIFS(GQList,GIList,Table_ExternalData_17[[#This Row],[item_key]],GTList,Table_ExternalData_17[[#Headers],[RCA]],GDList,"&lt;&gt;"&amp;0)</f>
        <v>0</v>
      </c>
      <c r="J242" s="10">
        <f>SUM(Table_ExternalData_17[[#This Row],[GRN]]+Table_ExternalData_17[[#This Row],[VSTR]]+Table_ExternalData_17[[#This Row],[SR]]+Table_ExternalData_17[[#This Row],[TR]]+Table_ExternalData_17[[#This Row],[RCA]])</f>
        <v>0</v>
      </c>
      <c r="K242" s="10">
        <f>SUMIFS(IsQList,IsIList,Table_ExternalData_17[[#This Row],[item_key]],IsITypeList,Table_ExternalData_17[[#Headers],[R/P]],IsDList,"&lt;&gt;"&amp;0)</f>
        <v>0</v>
      </c>
      <c r="L242" s="10">
        <f>SUMIFS(IsQList,IsIList,Table_ExternalData_17[[#This Row],[item_key]],IsITypeList,Table_ExternalData_17[[#Headers],[CST]],IsDList,"&lt;&gt;"&amp;0)</f>
        <v>0</v>
      </c>
      <c r="M242" s="10">
        <f>SUMIFS(IsQList,IsIList,Table_ExternalData_15[[#This Row],[item_key]],IsITypeList,Table_ExternalData_17[[#Headers],[S/I]],IsDList,"&lt;&gt;"&amp;0)</f>
        <v>6</v>
      </c>
      <c r="N242" s="10">
        <f>SUMIFS(IsQList,IsIList,Table_ExternalData_15[[#This Row],[item_key]],IsITypeList,Table_ExternalData_17[[#Headers],[VST]],IsDList,"&lt;&gt;"&amp;0)</f>
        <v>0</v>
      </c>
      <c r="O242" s="10">
        <f>ABS(SUMIFS(IsQList,IsIList,Table_ExternalData_17[[#This Row],[item_key]],IsITypeList,Table_ExternalData_17[[#Headers],[RTN]],IsDList,"&lt;&gt;"&amp;0))</f>
        <v>0</v>
      </c>
      <c r="P242" s="10">
        <f>SUM(Table_ExternalData_17[[#This Row],[R/P]:[RTN]])</f>
        <v>6</v>
      </c>
      <c r="Q242" s="10">
        <f>SUM((Table_ExternalData_17[[#This Row],[Opening]]+Table_ExternalData_17[[#This Row],[Total Receipt]])-ABS(Table_ExternalData_17[[#This Row],[Total Issue]]))</f>
        <v>395</v>
      </c>
    </row>
    <row r="243" spans="1:17">
      <c r="A243" s="1" t="s">
        <v>715</v>
      </c>
      <c r="B243" s="1" t="s">
        <v>2652</v>
      </c>
      <c r="C243" s="1" t="s">
        <v>2653</v>
      </c>
      <c r="D243" s="10">
        <f>SUMIFS(OPBQList,OPBIList,Table_ExternalData_17[[#This Row],[item_key]])+SUMIFS(GQList,GIList,Table_ExternalData_17[[#This Row],[item_key]],GDList,0)-ABS(SUMIFS(IsQList,IsIList,Table_ExternalData_17[[#This Row],[item_key]],IsDList,0))</f>
        <v>479</v>
      </c>
      <c r="E243" s="10">
        <f>SUMIFS(GQList,GIList,Table_ExternalData_17[[#This Row],[item_key]],GTList,Table_ExternalData_17[[#Headers],[GRN]],GDList,"&lt;&gt;"&amp;0)</f>
        <v>0</v>
      </c>
      <c r="F243" s="10">
        <f>SUMIFS(GQList,GIList,Table_ExternalData_17[[#This Row],[item_key]],GTList,Table_ExternalData_17[[#Headers],[VSTR]],GDList,"&lt;&gt;"&amp;0)</f>
        <v>0</v>
      </c>
      <c r="G243" s="10">
        <f>SUMIFS(GQList,GIList,Table_ExternalData_17[[#This Row],[item_key]],GTList,Table_ExternalData_17[[#Headers],[SR]],GDList,"&lt;&gt;"&amp;0)</f>
        <v>0</v>
      </c>
      <c r="H243" s="10">
        <f>SUMIFS(GQList,GIList,Table_ExternalData_17[[#This Row],[item_key]],GTList,Table_ExternalData_17[[#Headers],[TR]],GDList,"&lt;&gt;"&amp;0)</f>
        <v>0</v>
      </c>
      <c r="I243" s="10">
        <f>SUMIFS(GQList,GIList,Table_ExternalData_17[[#This Row],[item_key]],GTList,Table_ExternalData_17[[#Headers],[RCA]],GDList,"&lt;&gt;"&amp;0)</f>
        <v>0</v>
      </c>
      <c r="J243" s="10">
        <f>SUM(Table_ExternalData_17[[#This Row],[GRN]]+Table_ExternalData_17[[#This Row],[VSTR]]+Table_ExternalData_17[[#This Row],[SR]]+Table_ExternalData_17[[#This Row],[TR]]+Table_ExternalData_17[[#This Row],[RCA]])</f>
        <v>0</v>
      </c>
      <c r="K243" s="10">
        <f>SUMIFS(IsQList,IsIList,Table_ExternalData_17[[#This Row],[item_key]],IsITypeList,Table_ExternalData_17[[#Headers],[R/P]],IsDList,"&lt;&gt;"&amp;0)</f>
        <v>0</v>
      </c>
      <c r="L243" s="10">
        <f>SUMIFS(IsQList,IsIList,Table_ExternalData_17[[#This Row],[item_key]],IsITypeList,Table_ExternalData_17[[#Headers],[CST]],IsDList,"&lt;&gt;"&amp;0)</f>
        <v>0</v>
      </c>
      <c r="M243" s="10">
        <f>SUMIFS(IsQList,IsIList,Table_ExternalData_15[[#This Row],[item_key]],IsITypeList,Table_ExternalData_17[[#Headers],[S/I]],IsDList,"&lt;&gt;"&amp;0)</f>
        <v>200</v>
      </c>
      <c r="N243" s="10">
        <f>SUMIFS(IsQList,IsIList,Table_ExternalData_15[[#This Row],[item_key]],IsITypeList,Table_ExternalData_17[[#Headers],[VST]],IsDList,"&lt;&gt;"&amp;0)</f>
        <v>0</v>
      </c>
      <c r="O243" s="10">
        <f>ABS(SUMIFS(IsQList,IsIList,Table_ExternalData_17[[#This Row],[item_key]],IsITypeList,Table_ExternalData_17[[#Headers],[RTN]],IsDList,"&lt;&gt;"&amp;0))</f>
        <v>0</v>
      </c>
      <c r="P243" s="10">
        <f>SUM(Table_ExternalData_17[[#This Row],[R/P]:[RTN]])</f>
        <v>200</v>
      </c>
      <c r="Q243" s="10">
        <f>SUM((Table_ExternalData_17[[#This Row],[Opening]]+Table_ExternalData_17[[#This Row],[Total Receipt]])-ABS(Table_ExternalData_17[[#This Row],[Total Issue]]))</f>
        <v>279</v>
      </c>
    </row>
    <row r="244" spans="1:17">
      <c r="A244" s="1" t="s">
        <v>716</v>
      </c>
      <c r="B244" s="1" t="s">
        <v>2654</v>
      </c>
      <c r="C244" s="1" t="s">
        <v>2655</v>
      </c>
      <c r="D244" s="10">
        <f>SUMIFS(OPBQList,OPBIList,Table_ExternalData_17[[#This Row],[item_key]])+SUMIFS(GQList,GIList,Table_ExternalData_17[[#This Row],[item_key]],GDList,0)-ABS(SUMIFS(IsQList,IsIList,Table_ExternalData_17[[#This Row],[item_key]],IsDList,0))</f>
        <v>70</v>
      </c>
      <c r="E244" s="10">
        <f>SUMIFS(GQList,GIList,Table_ExternalData_17[[#This Row],[item_key]],GTList,Table_ExternalData_17[[#Headers],[GRN]],GDList,"&lt;&gt;"&amp;0)</f>
        <v>0</v>
      </c>
      <c r="F244" s="10">
        <f>SUMIFS(GQList,GIList,Table_ExternalData_17[[#This Row],[item_key]],GTList,Table_ExternalData_17[[#Headers],[VSTR]],GDList,"&lt;&gt;"&amp;0)</f>
        <v>0</v>
      </c>
      <c r="G244" s="10">
        <f>SUMIFS(GQList,GIList,Table_ExternalData_17[[#This Row],[item_key]],GTList,Table_ExternalData_17[[#Headers],[SR]],GDList,"&lt;&gt;"&amp;0)</f>
        <v>0</v>
      </c>
      <c r="H244" s="10">
        <f>SUMIFS(GQList,GIList,Table_ExternalData_17[[#This Row],[item_key]],GTList,Table_ExternalData_17[[#Headers],[TR]],GDList,"&lt;&gt;"&amp;0)</f>
        <v>0</v>
      </c>
      <c r="I244" s="10">
        <f>SUMIFS(GQList,GIList,Table_ExternalData_17[[#This Row],[item_key]],GTList,Table_ExternalData_17[[#Headers],[RCA]],GDList,"&lt;&gt;"&amp;0)</f>
        <v>0</v>
      </c>
      <c r="J244" s="10">
        <f>SUM(Table_ExternalData_17[[#This Row],[GRN]]+Table_ExternalData_17[[#This Row],[VSTR]]+Table_ExternalData_17[[#This Row],[SR]]+Table_ExternalData_17[[#This Row],[TR]]+Table_ExternalData_17[[#This Row],[RCA]])</f>
        <v>0</v>
      </c>
      <c r="K244" s="10">
        <f>SUMIFS(IsQList,IsIList,Table_ExternalData_17[[#This Row],[item_key]],IsITypeList,Table_ExternalData_17[[#Headers],[R/P]],IsDList,"&lt;&gt;"&amp;0)</f>
        <v>0</v>
      </c>
      <c r="L244" s="10">
        <f>SUMIFS(IsQList,IsIList,Table_ExternalData_17[[#This Row],[item_key]],IsITypeList,Table_ExternalData_17[[#Headers],[CST]],IsDList,"&lt;&gt;"&amp;0)</f>
        <v>0</v>
      </c>
      <c r="M244" s="10">
        <f>SUMIFS(IsQList,IsIList,Table_ExternalData_15[[#This Row],[item_key]],IsITypeList,Table_ExternalData_17[[#Headers],[S/I]],IsDList,"&lt;&gt;"&amp;0)</f>
        <v>30024</v>
      </c>
      <c r="N244" s="10">
        <f>SUMIFS(IsQList,IsIList,Table_ExternalData_15[[#This Row],[item_key]],IsITypeList,Table_ExternalData_17[[#Headers],[VST]],IsDList,"&lt;&gt;"&amp;0)</f>
        <v>0</v>
      </c>
      <c r="O244" s="10">
        <f>ABS(SUMIFS(IsQList,IsIList,Table_ExternalData_17[[#This Row],[item_key]],IsITypeList,Table_ExternalData_17[[#Headers],[RTN]],IsDList,"&lt;&gt;"&amp;0))</f>
        <v>0</v>
      </c>
      <c r="P244" s="10">
        <f>SUM(Table_ExternalData_17[[#This Row],[R/P]:[RTN]])</f>
        <v>30024</v>
      </c>
      <c r="Q244" s="10">
        <f>SUM((Table_ExternalData_17[[#This Row],[Opening]]+Table_ExternalData_17[[#This Row],[Total Receipt]])-ABS(Table_ExternalData_17[[#This Row],[Total Issue]]))</f>
        <v>-29954</v>
      </c>
    </row>
    <row r="245" spans="1:17">
      <c r="A245" s="1" t="s">
        <v>1804</v>
      </c>
      <c r="B245" s="1" t="s">
        <v>2656</v>
      </c>
      <c r="C245" s="1" t="s">
        <v>2657</v>
      </c>
      <c r="D245" s="10">
        <f>SUMIFS(OPBQList,OPBIList,Table_ExternalData_17[[#This Row],[item_key]])+SUMIFS(GQList,GIList,Table_ExternalData_17[[#This Row],[item_key]],GDList,0)-ABS(SUMIFS(IsQList,IsIList,Table_ExternalData_17[[#This Row],[item_key]],IsDList,0))</f>
        <v>528</v>
      </c>
      <c r="E245" s="10">
        <f>SUMIFS(GQList,GIList,Table_ExternalData_17[[#This Row],[item_key]],GTList,Table_ExternalData_17[[#Headers],[GRN]],GDList,"&lt;&gt;"&amp;0)</f>
        <v>0</v>
      </c>
      <c r="F245" s="10">
        <f>SUMIFS(GQList,GIList,Table_ExternalData_17[[#This Row],[item_key]],GTList,Table_ExternalData_17[[#Headers],[VSTR]],GDList,"&lt;&gt;"&amp;0)</f>
        <v>0</v>
      </c>
      <c r="G245" s="10">
        <f>SUMIFS(GQList,GIList,Table_ExternalData_17[[#This Row],[item_key]],GTList,Table_ExternalData_17[[#Headers],[SR]],GDList,"&lt;&gt;"&amp;0)</f>
        <v>0</v>
      </c>
      <c r="H245" s="10">
        <f>SUMIFS(GQList,GIList,Table_ExternalData_17[[#This Row],[item_key]],GTList,Table_ExternalData_17[[#Headers],[TR]],GDList,"&lt;&gt;"&amp;0)</f>
        <v>0</v>
      </c>
      <c r="I245" s="10">
        <f>SUMIFS(GQList,GIList,Table_ExternalData_17[[#This Row],[item_key]],GTList,Table_ExternalData_17[[#Headers],[RCA]],GDList,"&lt;&gt;"&amp;0)</f>
        <v>0</v>
      </c>
      <c r="J245" s="10">
        <f>SUM(Table_ExternalData_17[[#This Row],[GRN]]+Table_ExternalData_17[[#This Row],[VSTR]]+Table_ExternalData_17[[#This Row],[SR]]+Table_ExternalData_17[[#This Row],[TR]]+Table_ExternalData_17[[#This Row],[RCA]])</f>
        <v>0</v>
      </c>
      <c r="K245" s="10">
        <f>SUMIFS(IsQList,IsIList,Table_ExternalData_17[[#This Row],[item_key]],IsITypeList,Table_ExternalData_17[[#Headers],[R/P]],IsDList,"&lt;&gt;"&amp;0)</f>
        <v>0</v>
      </c>
      <c r="L245" s="10">
        <f>SUMIFS(IsQList,IsIList,Table_ExternalData_17[[#This Row],[item_key]],IsITypeList,Table_ExternalData_17[[#Headers],[CST]],IsDList,"&lt;&gt;"&amp;0)</f>
        <v>0</v>
      </c>
      <c r="M245" s="10">
        <f>SUMIFS(IsQList,IsIList,Table_ExternalData_15[[#This Row],[item_key]],IsITypeList,Table_ExternalData_17[[#Headers],[S/I]],IsDList,"&lt;&gt;"&amp;0)</f>
        <v>490</v>
      </c>
      <c r="N245" s="10">
        <f>SUMIFS(IsQList,IsIList,Table_ExternalData_15[[#This Row],[item_key]],IsITypeList,Table_ExternalData_17[[#Headers],[VST]],IsDList,"&lt;&gt;"&amp;0)</f>
        <v>0</v>
      </c>
      <c r="O245" s="10">
        <f>ABS(SUMIFS(IsQList,IsIList,Table_ExternalData_17[[#This Row],[item_key]],IsITypeList,Table_ExternalData_17[[#Headers],[RTN]],IsDList,"&lt;&gt;"&amp;0))</f>
        <v>0</v>
      </c>
      <c r="P245" s="10">
        <f>SUM(Table_ExternalData_17[[#This Row],[R/P]:[RTN]])</f>
        <v>490</v>
      </c>
      <c r="Q245" s="10">
        <f>SUM((Table_ExternalData_17[[#This Row],[Opening]]+Table_ExternalData_17[[#This Row],[Total Receipt]])-ABS(Table_ExternalData_17[[#This Row],[Total Issue]]))</f>
        <v>38</v>
      </c>
    </row>
    <row r="246" spans="1:17">
      <c r="A246" s="1" t="s">
        <v>717</v>
      </c>
      <c r="B246" s="1" t="s">
        <v>2375</v>
      </c>
      <c r="C246" s="1" t="s">
        <v>2376</v>
      </c>
      <c r="D246" s="10">
        <f>SUMIFS(OPBQList,OPBIList,Table_ExternalData_17[[#This Row],[item_key]])+SUMIFS(GQList,GIList,Table_ExternalData_17[[#This Row],[item_key]],GDList,0)-ABS(SUMIFS(IsQList,IsIList,Table_ExternalData_17[[#This Row],[item_key]],IsDList,0))</f>
        <v>947</v>
      </c>
      <c r="E246" s="10">
        <f>SUMIFS(GQList,GIList,Table_ExternalData_17[[#This Row],[item_key]],GTList,Table_ExternalData_17[[#Headers],[GRN]],GDList,"&lt;&gt;"&amp;0)</f>
        <v>0</v>
      </c>
      <c r="F246" s="10">
        <f>SUMIFS(GQList,GIList,Table_ExternalData_17[[#This Row],[item_key]],GTList,Table_ExternalData_17[[#Headers],[VSTR]],GDList,"&lt;&gt;"&amp;0)</f>
        <v>0</v>
      </c>
      <c r="G246" s="10">
        <f>SUMIFS(GQList,GIList,Table_ExternalData_17[[#This Row],[item_key]],GTList,Table_ExternalData_17[[#Headers],[SR]],GDList,"&lt;&gt;"&amp;0)</f>
        <v>0</v>
      </c>
      <c r="H246" s="10">
        <f>SUMIFS(GQList,GIList,Table_ExternalData_17[[#This Row],[item_key]],GTList,Table_ExternalData_17[[#Headers],[TR]],GDList,"&lt;&gt;"&amp;0)</f>
        <v>0</v>
      </c>
      <c r="I246" s="10">
        <f>SUMIFS(GQList,GIList,Table_ExternalData_17[[#This Row],[item_key]],GTList,Table_ExternalData_17[[#Headers],[RCA]],GDList,"&lt;&gt;"&amp;0)</f>
        <v>0</v>
      </c>
      <c r="J246" s="10">
        <f>SUM(Table_ExternalData_17[[#This Row],[GRN]]+Table_ExternalData_17[[#This Row],[VSTR]]+Table_ExternalData_17[[#This Row],[SR]]+Table_ExternalData_17[[#This Row],[TR]]+Table_ExternalData_17[[#This Row],[RCA]])</f>
        <v>0</v>
      </c>
      <c r="K246" s="10">
        <f>SUMIFS(IsQList,IsIList,Table_ExternalData_17[[#This Row],[item_key]],IsITypeList,Table_ExternalData_17[[#Headers],[R/P]],IsDList,"&lt;&gt;"&amp;0)</f>
        <v>0</v>
      </c>
      <c r="L246" s="10">
        <f>SUMIFS(IsQList,IsIList,Table_ExternalData_17[[#This Row],[item_key]],IsITypeList,Table_ExternalData_17[[#Headers],[CST]],IsDList,"&lt;&gt;"&amp;0)</f>
        <v>0</v>
      </c>
      <c r="M246" s="10">
        <f>SUMIFS(IsQList,IsIList,Table_ExternalData_15[[#This Row],[item_key]],IsITypeList,Table_ExternalData_17[[#Headers],[S/I]],IsDList,"&lt;&gt;"&amp;0)</f>
        <v>0</v>
      </c>
      <c r="N246" s="10">
        <f>SUMIFS(IsQList,IsIList,Table_ExternalData_15[[#This Row],[item_key]],IsITypeList,Table_ExternalData_17[[#Headers],[VST]],IsDList,"&lt;&gt;"&amp;0)</f>
        <v>0</v>
      </c>
      <c r="O246" s="10">
        <f>ABS(SUMIFS(IsQList,IsIList,Table_ExternalData_17[[#This Row],[item_key]],IsITypeList,Table_ExternalData_17[[#Headers],[RTN]],IsDList,"&lt;&gt;"&amp;0))</f>
        <v>0</v>
      </c>
      <c r="P246" s="10">
        <f>SUM(Table_ExternalData_17[[#This Row],[R/P]:[RTN]])</f>
        <v>0</v>
      </c>
      <c r="Q246" s="10">
        <f>SUM((Table_ExternalData_17[[#This Row],[Opening]]+Table_ExternalData_17[[#This Row],[Total Receipt]])-ABS(Table_ExternalData_17[[#This Row],[Total Issue]]))</f>
        <v>947</v>
      </c>
    </row>
    <row r="247" spans="1:17">
      <c r="A247" s="1" t="s">
        <v>718</v>
      </c>
      <c r="B247" s="1" t="s">
        <v>1369</v>
      </c>
      <c r="C247" s="1" t="s">
        <v>1370</v>
      </c>
      <c r="D24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47" s="10">
        <f>SUMIFS(GQList,GIList,Table_ExternalData_17[[#This Row],[item_key]],GTList,Table_ExternalData_17[[#Headers],[GRN]],GDList,"&lt;&gt;"&amp;0)</f>
        <v>250</v>
      </c>
      <c r="F247" s="10">
        <f>SUMIFS(GQList,GIList,Table_ExternalData_17[[#This Row],[item_key]],GTList,Table_ExternalData_17[[#Headers],[VSTR]],GDList,"&lt;&gt;"&amp;0)</f>
        <v>0</v>
      </c>
      <c r="G247" s="10">
        <f>SUMIFS(GQList,GIList,Table_ExternalData_17[[#This Row],[item_key]],GTList,Table_ExternalData_17[[#Headers],[SR]],GDList,"&lt;&gt;"&amp;0)</f>
        <v>0</v>
      </c>
      <c r="H247" s="10">
        <f>SUMIFS(GQList,GIList,Table_ExternalData_17[[#This Row],[item_key]],GTList,Table_ExternalData_17[[#Headers],[TR]],GDList,"&lt;&gt;"&amp;0)</f>
        <v>0</v>
      </c>
      <c r="I247" s="10">
        <f>SUMIFS(GQList,GIList,Table_ExternalData_17[[#This Row],[item_key]],GTList,Table_ExternalData_17[[#Headers],[RCA]],GDList,"&lt;&gt;"&amp;0)</f>
        <v>0</v>
      </c>
      <c r="J247" s="10">
        <f>SUM(Table_ExternalData_17[[#This Row],[GRN]]+Table_ExternalData_17[[#This Row],[VSTR]]+Table_ExternalData_17[[#This Row],[SR]]+Table_ExternalData_17[[#This Row],[TR]]+Table_ExternalData_17[[#This Row],[RCA]])</f>
        <v>250</v>
      </c>
      <c r="K247" s="10">
        <f>SUMIFS(IsQList,IsIList,Table_ExternalData_17[[#This Row],[item_key]],IsITypeList,Table_ExternalData_17[[#Headers],[R/P]],IsDList,"&lt;&gt;"&amp;0)</f>
        <v>0</v>
      </c>
      <c r="L247" s="10">
        <f>SUMIFS(IsQList,IsIList,Table_ExternalData_17[[#This Row],[item_key]],IsITypeList,Table_ExternalData_17[[#Headers],[CST]],IsDList,"&lt;&gt;"&amp;0)</f>
        <v>0</v>
      </c>
      <c r="M247" s="10">
        <f>SUMIFS(IsQList,IsIList,Table_ExternalData_15[[#This Row],[item_key]],IsITypeList,Table_ExternalData_17[[#Headers],[S/I]],IsDList,"&lt;&gt;"&amp;0)</f>
        <v>20</v>
      </c>
      <c r="N247" s="10">
        <f>SUMIFS(IsQList,IsIList,Table_ExternalData_15[[#This Row],[item_key]],IsITypeList,Table_ExternalData_17[[#Headers],[VST]],IsDList,"&lt;&gt;"&amp;0)</f>
        <v>0</v>
      </c>
      <c r="O247" s="10">
        <f>ABS(SUMIFS(IsQList,IsIList,Table_ExternalData_17[[#This Row],[item_key]],IsITypeList,Table_ExternalData_17[[#Headers],[RTN]],IsDList,"&lt;&gt;"&amp;0))</f>
        <v>0</v>
      </c>
      <c r="P247" s="10">
        <f>SUM(Table_ExternalData_17[[#This Row],[R/P]:[RTN]])</f>
        <v>20</v>
      </c>
      <c r="Q247" s="10">
        <f>SUM((Table_ExternalData_17[[#This Row],[Opening]]+Table_ExternalData_17[[#This Row],[Total Receipt]])-ABS(Table_ExternalData_17[[#This Row],[Total Issue]]))</f>
        <v>230</v>
      </c>
    </row>
    <row r="248" spans="1:17">
      <c r="A248" s="1" t="s">
        <v>1810</v>
      </c>
      <c r="B248" s="1" t="s">
        <v>2658</v>
      </c>
      <c r="C248" s="1" t="s">
        <v>1515</v>
      </c>
      <c r="D24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48" s="10">
        <f>SUMIFS(GQList,GIList,Table_ExternalData_17[[#This Row],[item_key]],GTList,Table_ExternalData_17[[#Headers],[GRN]],GDList,"&lt;&gt;"&amp;0)</f>
        <v>0</v>
      </c>
      <c r="F248" s="10">
        <f>SUMIFS(GQList,GIList,Table_ExternalData_17[[#This Row],[item_key]],GTList,Table_ExternalData_17[[#Headers],[VSTR]],GDList,"&lt;&gt;"&amp;0)</f>
        <v>0</v>
      </c>
      <c r="G248" s="10">
        <f>SUMIFS(GQList,GIList,Table_ExternalData_17[[#This Row],[item_key]],GTList,Table_ExternalData_17[[#Headers],[SR]],GDList,"&lt;&gt;"&amp;0)</f>
        <v>0</v>
      </c>
      <c r="H248" s="10">
        <f>SUMIFS(GQList,GIList,Table_ExternalData_17[[#This Row],[item_key]],GTList,Table_ExternalData_17[[#Headers],[TR]],GDList,"&lt;&gt;"&amp;0)</f>
        <v>0</v>
      </c>
      <c r="I248" s="10">
        <f>SUMIFS(GQList,GIList,Table_ExternalData_17[[#This Row],[item_key]],GTList,Table_ExternalData_17[[#Headers],[RCA]],GDList,"&lt;&gt;"&amp;0)</f>
        <v>0</v>
      </c>
      <c r="J248" s="10">
        <f>SUM(Table_ExternalData_17[[#This Row],[GRN]]+Table_ExternalData_17[[#This Row],[VSTR]]+Table_ExternalData_17[[#This Row],[SR]]+Table_ExternalData_17[[#This Row],[TR]]+Table_ExternalData_17[[#This Row],[RCA]])</f>
        <v>0</v>
      </c>
      <c r="K248" s="10">
        <f>SUMIFS(IsQList,IsIList,Table_ExternalData_17[[#This Row],[item_key]],IsITypeList,Table_ExternalData_17[[#Headers],[R/P]],IsDList,"&lt;&gt;"&amp;0)</f>
        <v>0</v>
      </c>
      <c r="L248" s="10">
        <f>SUMIFS(IsQList,IsIList,Table_ExternalData_17[[#This Row],[item_key]],IsITypeList,Table_ExternalData_17[[#Headers],[CST]],IsDList,"&lt;&gt;"&amp;0)</f>
        <v>0</v>
      </c>
      <c r="M248" s="10">
        <f>SUMIFS(IsQList,IsIList,Table_ExternalData_15[[#This Row],[item_key]],IsITypeList,Table_ExternalData_17[[#Headers],[S/I]],IsDList,"&lt;&gt;"&amp;0)</f>
        <v>5</v>
      </c>
      <c r="N248" s="10">
        <f>SUMIFS(IsQList,IsIList,Table_ExternalData_15[[#This Row],[item_key]],IsITypeList,Table_ExternalData_17[[#Headers],[VST]],IsDList,"&lt;&gt;"&amp;0)</f>
        <v>0</v>
      </c>
      <c r="O248" s="10">
        <f>ABS(SUMIFS(IsQList,IsIList,Table_ExternalData_17[[#This Row],[item_key]],IsITypeList,Table_ExternalData_17[[#Headers],[RTN]],IsDList,"&lt;&gt;"&amp;0))</f>
        <v>0</v>
      </c>
      <c r="P248" s="10">
        <f>SUM(Table_ExternalData_17[[#This Row],[R/P]:[RTN]])</f>
        <v>5</v>
      </c>
      <c r="Q248" s="10">
        <f>SUM((Table_ExternalData_17[[#This Row],[Opening]]+Table_ExternalData_17[[#This Row],[Total Receipt]])-ABS(Table_ExternalData_17[[#This Row],[Total Issue]]))</f>
        <v>-5</v>
      </c>
    </row>
    <row r="249" spans="1:17">
      <c r="A249" s="1" t="s">
        <v>1813</v>
      </c>
      <c r="B249" s="1" t="s">
        <v>2659</v>
      </c>
      <c r="C249" s="1" t="s">
        <v>2660</v>
      </c>
      <c r="D249" s="10">
        <f>SUMIFS(OPBQList,OPBIList,Table_ExternalData_17[[#This Row],[item_key]])+SUMIFS(GQList,GIList,Table_ExternalData_17[[#This Row],[item_key]],GDList,0)-ABS(SUMIFS(IsQList,IsIList,Table_ExternalData_17[[#This Row],[item_key]],IsDList,0))</f>
        <v>505</v>
      </c>
      <c r="E249" s="10">
        <f>SUMIFS(GQList,GIList,Table_ExternalData_17[[#This Row],[item_key]],GTList,Table_ExternalData_17[[#Headers],[GRN]],GDList,"&lt;&gt;"&amp;0)</f>
        <v>0</v>
      </c>
      <c r="F249" s="10">
        <f>SUMIFS(GQList,GIList,Table_ExternalData_17[[#This Row],[item_key]],GTList,Table_ExternalData_17[[#Headers],[VSTR]],GDList,"&lt;&gt;"&amp;0)</f>
        <v>0</v>
      </c>
      <c r="G249" s="10">
        <f>SUMIFS(GQList,GIList,Table_ExternalData_17[[#This Row],[item_key]],GTList,Table_ExternalData_17[[#Headers],[SR]],GDList,"&lt;&gt;"&amp;0)</f>
        <v>0</v>
      </c>
      <c r="H249" s="10">
        <f>SUMIFS(GQList,GIList,Table_ExternalData_17[[#This Row],[item_key]],GTList,Table_ExternalData_17[[#Headers],[TR]],GDList,"&lt;&gt;"&amp;0)</f>
        <v>0</v>
      </c>
      <c r="I249" s="10">
        <f>SUMIFS(GQList,GIList,Table_ExternalData_17[[#This Row],[item_key]],GTList,Table_ExternalData_17[[#Headers],[RCA]],GDList,"&lt;&gt;"&amp;0)</f>
        <v>0</v>
      </c>
      <c r="J249" s="10">
        <f>SUM(Table_ExternalData_17[[#This Row],[GRN]]+Table_ExternalData_17[[#This Row],[VSTR]]+Table_ExternalData_17[[#This Row],[SR]]+Table_ExternalData_17[[#This Row],[TR]]+Table_ExternalData_17[[#This Row],[RCA]])</f>
        <v>0</v>
      </c>
      <c r="K249" s="10">
        <f>SUMIFS(IsQList,IsIList,Table_ExternalData_17[[#This Row],[item_key]],IsITypeList,Table_ExternalData_17[[#Headers],[R/P]],IsDList,"&lt;&gt;"&amp;0)</f>
        <v>0</v>
      </c>
      <c r="L249" s="10">
        <f>SUMIFS(IsQList,IsIList,Table_ExternalData_17[[#This Row],[item_key]],IsITypeList,Table_ExternalData_17[[#Headers],[CST]],IsDList,"&lt;&gt;"&amp;0)</f>
        <v>0</v>
      </c>
      <c r="M249" s="10">
        <f>SUMIFS(IsQList,IsIList,Table_ExternalData_15[[#This Row],[item_key]],IsITypeList,Table_ExternalData_17[[#Headers],[S/I]],IsDList,"&lt;&gt;"&amp;0)</f>
        <v>20</v>
      </c>
      <c r="N249" s="10">
        <f>SUMIFS(IsQList,IsIList,Table_ExternalData_15[[#This Row],[item_key]],IsITypeList,Table_ExternalData_17[[#Headers],[VST]],IsDList,"&lt;&gt;"&amp;0)</f>
        <v>0</v>
      </c>
      <c r="O249" s="10">
        <f>ABS(SUMIFS(IsQList,IsIList,Table_ExternalData_17[[#This Row],[item_key]],IsITypeList,Table_ExternalData_17[[#Headers],[RTN]],IsDList,"&lt;&gt;"&amp;0))</f>
        <v>0</v>
      </c>
      <c r="P249" s="10">
        <f>SUM(Table_ExternalData_17[[#This Row],[R/P]:[RTN]])</f>
        <v>20</v>
      </c>
      <c r="Q249" s="10">
        <f>SUM((Table_ExternalData_17[[#This Row],[Opening]]+Table_ExternalData_17[[#This Row],[Total Receipt]])-ABS(Table_ExternalData_17[[#This Row],[Total Issue]]))</f>
        <v>485</v>
      </c>
    </row>
    <row r="250" spans="1:17">
      <c r="A250" s="1" t="s">
        <v>722</v>
      </c>
      <c r="B250" s="1" t="s">
        <v>1372</v>
      </c>
      <c r="C250" s="1" t="s">
        <v>1373</v>
      </c>
      <c r="D250" s="10">
        <f>SUMIFS(OPBQList,OPBIList,Table_ExternalData_17[[#This Row],[item_key]])+SUMIFS(GQList,GIList,Table_ExternalData_17[[#This Row],[item_key]],GDList,0)-ABS(SUMIFS(IsQList,IsIList,Table_ExternalData_17[[#This Row],[item_key]],IsDList,0))</f>
        <v>6</v>
      </c>
      <c r="E250" s="10">
        <f>SUMIFS(GQList,GIList,Table_ExternalData_17[[#This Row],[item_key]],GTList,Table_ExternalData_17[[#Headers],[GRN]],GDList,"&lt;&gt;"&amp;0)</f>
        <v>32</v>
      </c>
      <c r="F250" s="10">
        <f>SUMIFS(GQList,GIList,Table_ExternalData_17[[#This Row],[item_key]],GTList,Table_ExternalData_17[[#Headers],[VSTR]],GDList,"&lt;&gt;"&amp;0)</f>
        <v>0</v>
      </c>
      <c r="G250" s="10">
        <f>SUMIFS(GQList,GIList,Table_ExternalData_17[[#This Row],[item_key]],GTList,Table_ExternalData_17[[#Headers],[SR]],GDList,"&lt;&gt;"&amp;0)</f>
        <v>0</v>
      </c>
      <c r="H250" s="10">
        <f>SUMIFS(GQList,GIList,Table_ExternalData_17[[#This Row],[item_key]],GTList,Table_ExternalData_17[[#Headers],[TR]],GDList,"&lt;&gt;"&amp;0)</f>
        <v>0</v>
      </c>
      <c r="I250" s="10">
        <f>SUMIFS(GQList,GIList,Table_ExternalData_17[[#This Row],[item_key]],GTList,Table_ExternalData_17[[#Headers],[RCA]],GDList,"&lt;&gt;"&amp;0)</f>
        <v>0</v>
      </c>
      <c r="J250" s="10">
        <f>SUM(Table_ExternalData_17[[#This Row],[GRN]]+Table_ExternalData_17[[#This Row],[VSTR]]+Table_ExternalData_17[[#This Row],[SR]]+Table_ExternalData_17[[#This Row],[TR]]+Table_ExternalData_17[[#This Row],[RCA]])</f>
        <v>32</v>
      </c>
      <c r="K250" s="10">
        <f>SUMIFS(IsQList,IsIList,Table_ExternalData_17[[#This Row],[item_key]],IsITypeList,Table_ExternalData_17[[#Headers],[R/P]],IsDList,"&lt;&gt;"&amp;0)</f>
        <v>0</v>
      </c>
      <c r="L250" s="10">
        <f>SUMIFS(IsQList,IsIList,Table_ExternalData_17[[#This Row],[item_key]],IsITypeList,Table_ExternalData_17[[#Headers],[CST]],IsDList,"&lt;&gt;"&amp;0)</f>
        <v>0</v>
      </c>
      <c r="M250" s="10">
        <f>SUMIFS(IsQList,IsIList,Table_ExternalData_15[[#This Row],[item_key]],IsITypeList,Table_ExternalData_17[[#Headers],[S/I]],IsDList,"&lt;&gt;"&amp;0)</f>
        <v>0</v>
      </c>
      <c r="N250" s="10">
        <f>SUMIFS(IsQList,IsIList,Table_ExternalData_15[[#This Row],[item_key]],IsITypeList,Table_ExternalData_17[[#Headers],[VST]],IsDList,"&lt;&gt;"&amp;0)</f>
        <v>0</v>
      </c>
      <c r="O250" s="10">
        <f>ABS(SUMIFS(IsQList,IsIList,Table_ExternalData_17[[#This Row],[item_key]],IsITypeList,Table_ExternalData_17[[#Headers],[RTN]],IsDList,"&lt;&gt;"&amp;0))</f>
        <v>0</v>
      </c>
      <c r="P250" s="10">
        <f>SUM(Table_ExternalData_17[[#This Row],[R/P]:[RTN]])</f>
        <v>0</v>
      </c>
      <c r="Q250" s="10">
        <f>SUM((Table_ExternalData_17[[#This Row],[Opening]]+Table_ExternalData_17[[#This Row],[Total Receipt]])-ABS(Table_ExternalData_17[[#This Row],[Total Issue]]))</f>
        <v>38</v>
      </c>
    </row>
    <row r="251" spans="1:17">
      <c r="A251" s="1" t="s">
        <v>729</v>
      </c>
      <c r="B251" s="1" t="s">
        <v>2661</v>
      </c>
      <c r="C251" s="1" t="s">
        <v>1596</v>
      </c>
      <c r="D25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1" s="10">
        <f>SUMIFS(GQList,GIList,Table_ExternalData_17[[#This Row],[item_key]],GTList,Table_ExternalData_17[[#Headers],[GRN]],GDList,"&lt;&gt;"&amp;0)</f>
        <v>367</v>
      </c>
      <c r="F251" s="10">
        <f>SUMIFS(GQList,GIList,Table_ExternalData_17[[#This Row],[item_key]],GTList,Table_ExternalData_17[[#Headers],[VSTR]],GDList,"&lt;&gt;"&amp;0)</f>
        <v>0</v>
      </c>
      <c r="G251" s="10">
        <f>SUMIFS(GQList,GIList,Table_ExternalData_17[[#This Row],[item_key]],GTList,Table_ExternalData_17[[#Headers],[SR]],GDList,"&lt;&gt;"&amp;0)</f>
        <v>0</v>
      </c>
      <c r="H251" s="10">
        <f>SUMIFS(GQList,GIList,Table_ExternalData_17[[#This Row],[item_key]],GTList,Table_ExternalData_17[[#Headers],[TR]],GDList,"&lt;&gt;"&amp;0)</f>
        <v>0</v>
      </c>
      <c r="I251" s="10">
        <f>SUMIFS(GQList,GIList,Table_ExternalData_17[[#This Row],[item_key]],GTList,Table_ExternalData_17[[#Headers],[RCA]],GDList,"&lt;&gt;"&amp;0)</f>
        <v>0</v>
      </c>
      <c r="J251" s="10">
        <f>SUM(Table_ExternalData_17[[#This Row],[GRN]]+Table_ExternalData_17[[#This Row],[VSTR]]+Table_ExternalData_17[[#This Row],[SR]]+Table_ExternalData_17[[#This Row],[TR]]+Table_ExternalData_17[[#This Row],[RCA]])</f>
        <v>367</v>
      </c>
      <c r="K251" s="10">
        <f>SUMIFS(IsQList,IsIList,Table_ExternalData_17[[#This Row],[item_key]],IsITypeList,Table_ExternalData_17[[#Headers],[R/P]],IsDList,"&lt;&gt;"&amp;0)</f>
        <v>0</v>
      </c>
      <c r="L251" s="10">
        <f>SUMIFS(IsQList,IsIList,Table_ExternalData_17[[#This Row],[item_key]],IsITypeList,Table_ExternalData_17[[#Headers],[CST]],IsDList,"&lt;&gt;"&amp;0)</f>
        <v>0</v>
      </c>
      <c r="M251" s="10">
        <f>SUMIFS(IsQList,IsIList,Table_ExternalData_15[[#This Row],[item_key]],IsITypeList,Table_ExternalData_17[[#Headers],[S/I]],IsDList,"&lt;&gt;"&amp;0)</f>
        <v>3000</v>
      </c>
      <c r="N251" s="10">
        <f>SUMIFS(IsQList,IsIList,Table_ExternalData_15[[#This Row],[item_key]],IsITypeList,Table_ExternalData_17[[#Headers],[VST]],IsDList,"&lt;&gt;"&amp;0)</f>
        <v>0</v>
      </c>
      <c r="O251" s="10">
        <f>ABS(SUMIFS(IsQList,IsIList,Table_ExternalData_17[[#This Row],[item_key]],IsITypeList,Table_ExternalData_17[[#Headers],[RTN]],IsDList,"&lt;&gt;"&amp;0))</f>
        <v>0</v>
      </c>
      <c r="P251" s="10">
        <f>SUM(Table_ExternalData_17[[#This Row],[R/P]:[RTN]])</f>
        <v>3000</v>
      </c>
      <c r="Q251" s="10">
        <f>SUM((Table_ExternalData_17[[#This Row],[Opening]]+Table_ExternalData_17[[#This Row],[Total Receipt]])-ABS(Table_ExternalData_17[[#This Row],[Total Issue]]))</f>
        <v>-2633</v>
      </c>
    </row>
    <row r="252" spans="1:17">
      <c r="A252" s="1" t="s">
        <v>730</v>
      </c>
      <c r="B252" s="1" t="s">
        <v>1375</v>
      </c>
      <c r="C252" s="1" t="s">
        <v>1376</v>
      </c>
      <c r="D252" s="10">
        <f>SUMIFS(OPBQList,OPBIList,Table_ExternalData_17[[#This Row],[item_key]])+SUMIFS(GQList,GIList,Table_ExternalData_17[[#This Row],[item_key]],GDList,0)-ABS(SUMIFS(IsQList,IsIList,Table_ExternalData_17[[#This Row],[item_key]],IsDList,0))</f>
        <v>110</v>
      </c>
      <c r="E252" s="10">
        <f>SUMIFS(GQList,GIList,Table_ExternalData_17[[#This Row],[item_key]],GTList,Table_ExternalData_17[[#Headers],[GRN]],GDList,"&lt;&gt;"&amp;0)</f>
        <v>0</v>
      </c>
      <c r="F252" s="10">
        <f>SUMIFS(GQList,GIList,Table_ExternalData_17[[#This Row],[item_key]],GTList,Table_ExternalData_17[[#Headers],[VSTR]],GDList,"&lt;&gt;"&amp;0)</f>
        <v>0</v>
      </c>
      <c r="G252" s="10">
        <f>SUMIFS(GQList,GIList,Table_ExternalData_17[[#This Row],[item_key]],GTList,Table_ExternalData_17[[#Headers],[SR]],GDList,"&lt;&gt;"&amp;0)</f>
        <v>0</v>
      </c>
      <c r="H252" s="10">
        <f>SUMIFS(GQList,GIList,Table_ExternalData_17[[#This Row],[item_key]],GTList,Table_ExternalData_17[[#Headers],[TR]],GDList,"&lt;&gt;"&amp;0)</f>
        <v>0</v>
      </c>
      <c r="I252" s="10">
        <f>SUMIFS(GQList,GIList,Table_ExternalData_17[[#This Row],[item_key]],GTList,Table_ExternalData_17[[#Headers],[RCA]],GDList,"&lt;&gt;"&amp;0)</f>
        <v>0</v>
      </c>
      <c r="J252" s="10">
        <f>SUM(Table_ExternalData_17[[#This Row],[GRN]]+Table_ExternalData_17[[#This Row],[VSTR]]+Table_ExternalData_17[[#This Row],[SR]]+Table_ExternalData_17[[#This Row],[TR]]+Table_ExternalData_17[[#This Row],[RCA]])</f>
        <v>0</v>
      </c>
      <c r="K252" s="10">
        <f>SUMIFS(IsQList,IsIList,Table_ExternalData_17[[#This Row],[item_key]],IsITypeList,Table_ExternalData_17[[#Headers],[R/P]],IsDList,"&lt;&gt;"&amp;0)</f>
        <v>0</v>
      </c>
      <c r="L252" s="10">
        <f>SUMIFS(IsQList,IsIList,Table_ExternalData_17[[#This Row],[item_key]],IsITypeList,Table_ExternalData_17[[#Headers],[CST]],IsDList,"&lt;&gt;"&amp;0)</f>
        <v>0</v>
      </c>
      <c r="M252" s="10">
        <f>SUMIFS(IsQList,IsIList,Table_ExternalData_15[[#This Row],[item_key]],IsITypeList,Table_ExternalData_17[[#Headers],[S/I]],IsDList,"&lt;&gt;"&amp;0)</f>
        <v>0</v>
      </c>
      <c r="N252" s="10">
        <f>SUMIFS(IsQList,IsIList,Table_ExternalData_15[[#This Row],[item_key]],IsITypeList,Table_ExternalData_17[[#Headers],[VST]],IsDList,"&lt;&gt;"&amp;0)</f>
        <v>0</v>
      </c>
      <c r="O252" s="10">
        <f>ABS(SUMIFS(IsQList,IsIList,Table_ExternalData_17[[#This Row],[item_key]],IsITypeList,Table_ExternalData_17[[#Headers],[RTN]],IsDList,"&lt;&gt;"&amp;0))</f>
        <v>0</v>
      </c>
      <c r="P252" s="10">
        <f>SUM(Table_ExternalData_17[[#This Row],[R/P]:[RTN]])</f>
        <v>0</v>
      </c>
      <c r="Q252" s="10">
        <f>SUM((Table_ExternalData_17[[#This Row],[Opening]]+Table_ExternalData_17[[#This Row],[Total Receipt]])-ABS(Table_ExternalData_17[[#This Row],[Total Issue]]))</f>
        <v>110</v>
      </c>
    </row>
    <row r="253" spans="1:17">
      <c r="A253" s="1" t="s">
        <v>731</v>
      </c>
      <c r="B253" s="1" t="s">
        <v>1377</v>
      </c>
      <c r="C253" s="1" t="s">
        <v>1378</v>
      </c>
      <c r="D253" s="10">
        <f>SUMIFS(OPBQList,OPBIList,Table_ExternalData_17[[#This Row],[item_key]])+SUMIFS(GQList,GIList,Table_ExternalData_17[[#This Row],[item_key]],GDList,0)-ABS(SUMIFS(IsQList,IsIList,Table_ExternalData_17[[#This Row],[item_key]],IsDList,0))</f>
        <v>60</v>
      </c>
      <c r="E253" s="10">
        <f>SUMIFS(GQList,GIList,Table_ExternalData_17[[#This Row],[item_key]],GTList,Table_ExternalData_17[[#Headers],[GRN]],GDList,"&lt;&gt;"&amp;0)</f>
        <v>0</v>
      </c>
      <c r="F253" s="10">
        <f>SUMIFS(GQList,GIList,Table_ExternalData_17[[#This Row],[item_key]],GTList,Table_ExternalData_17[[#Headers],[VSTR]],GDList,"&lt;&gt;"&amp;0)</f>
        <v>0</v>
      </c>
      <c r="G253" s="10">
        <f>SUMIFS(GQList,GIList,Table_ExternalData_17[[#This Row],[item_key]],GTList,Table_ExternalData_17[[#Headers],[SR]],GDList,"&lt;&gt;"&amp;0)</f>
        <v>0</v>
      </c>
      <c r="H253" s="10">
        <f>SUMIFS(GQList,GIList,Table_ExternalData_17[[#This Row],[item_key]],GTList,Table_ExternalData_17[[#Headers],[TR]],GDList,"&lt;&gt;"&amp;0)</f>
        <v>0</v>
      </c>
      <c r="I253" s="10">
        <f>SUMIFS(GQList,GIList,Table_ExternalData_17[[#This Row],[item_key]],GTList,Table_ExternalData_17[[#Headers],[RCA]],GDList,"&lt;&gt;"&amp;0)</f>
        <v>0</v>
      </c>
      <c r="J253" s="10">
        <f>SUM(Table_ExternalData_17[[#This Row],[GRN]]+Table_ExternalData_17[[#This Row],[VSTR]]+Table_ExternalData_17[[#This Row],[SR]]+Table_ExternalData_17[[#This Row],[TR]]+Table_ExternalData_17[[#This Row],[RCA]])</f>
        <v>0</v>
      </c>
      <c r="K253" s="10">
        <f>SUMIFS(IsQList,IsIList,Table_ExternalData_17[[#This Row],[item_key]],IsITypeList,Table_ExternalData_17[[#Headers],[R/P]],IsDList,"&lt;&gt;"&amp;0)</f>
        <v>0</v>
      </c>
      <c r="L253" s="10">
        <f>SUMIFS(IsQList,IsIList,Table_ExternalData_17[[#This Row],[item_key]],IsITypeList,Table_ExternalData_17[[#Headers],[CST]],IsDList,"&lt;&gt;"&amp;0)</f>
        <v>0</v>
      </c>
      <c r="M253" s="10">
        <f>SUMIFS(IsQList,IsIList,Table_ExternalData_15[[#This Row],[item_key]],IsITypeList,Table_ExternalData_17[[#Headers],[S/I]],IsDList,"&lt;&gt;"&amp;0)</f>
        <v>4</v>
      </c>
      <c r="N253" s="10">
        <f>SUMIFS(IsQList,IsIList,Table_ExternalData_15[[#This Row],[item_key]],IsITypeList,Table_ExternalData_17[[#Headers],[VST]],IsDList,"&lt;&gt;"&amp;0)</f>
        <v>0</v>
      </c>
      <c r="O253" s="10">
        <f>ABS(SUMIFS(IsQList,IsIList,Table_ExternalData_17[[#This Row],[item_key]],IsITypeList,Table_ExternalData_17[[#Headers],[RTN]],IsDList,"&lt;&gt;"&amp;0))</f>
        <v>0</v>
      </c>
      <c r="P253" s="10">
        <f>SUM(Table_ExternalData_17[[#This Row],[R/P]:[RTN]])</f>
        <v>4</v>
      </c>
      <c r="Q253" s="10">
        <f>SUM((Table_ExternalData_17[[#This Row],[Opening]]+Table_ExternalData_17[[#This Row],[Total Receipt]])-ABS(Table_ExternalData_17[[#This Row],[Total Issue]]))</f>
        <v>56</v>
      </c>
    </row>
    <row r="254" spans="1:17">
      <c r="A254" s="1" t="s">
        <v>732</v>
      </c>
      <c r="B254" s="1" t="s">
        <v>1380</v>
      </c>
      <c r="C254" s="1" t="s">
        <v>1381</v>
      </c>
      <c r="D254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254" s="10">
        <f>SUMIFS(GQList,GIList,Table_ExternalData_17[[#This Row],[item_key]],GTList,Table_ExternalData_17[[#Headers],[GRN]],GDList,"&lt;&gt;"&amp;0)</f>
        <v>0</v>
      </c>
      <c r="F254" s="10">
        <f>SUMIFS(GQList,GIList,Table_ExternalData_17[[#This Row],[item_key]],GTList,Table_ExternalData_17[[#Headers],[VSTR]],GDList,"&lt;&gt;"&amp;0)</f>
        <v>0</v>
      </c>
      <c r="G254" s="10">
        <f>SUMIFS(GQList,GIList,Table_ExternalData_17[[#This Row],[item_key]],GTList,Table_ExternalData_17[[#Headers],[SR]],GDList,"&lt;&gt;"&amp;0)</f>
        <v>0</v>
      </c>
      <c r="H254" s="10">
        <f>SUMIFS(GQList,GIList,Table_ExternalData_17[[#This Row],[item_key]],GTList,Table_ExternalData_17[[#Headers],[TR]],GDList,"&lt;&gt;"&amp;0)</f>
        <v>0</v>
      </c>
      <c r="I254" s="10">
        <f>SUMIFS(GQList,GIList,Table_ExternalData_17[[#This Row],[item_key]],GTList,Table_ExternalData_17[[#Headers],[RCA]],GDList,"&lt;&gt;"&amp;0)</f>
        <v>0</v>
      </c>
      <c r="J254" s="10">
        <f>SUM(Table_ExternalData_17[[#This Row],[GRN]]+Table_ExternalData_17[[#This Row],[VSTR]]+Table_ExternalData_17[[#This Row],[SR]]+Table_ExternalData_17[[#This Row],[TR]]+Table_ExternalData_17[[#This Row],[RCA]])</f>
        <v>0</v>
      </c>
      <c r="K254" s="10">
        <f>SUMIFS(IsQList,IsIList,Table_ExternalData_17[[#This Row],[item_key]],IsITypeList,Table_ExternalData_17[[#Headers],[R/P]],IsDList,"&lt;&gt;"&amp;0)</f>
        <v>0</v>
      </c>
      <c r="L254" s="10">
        <f>SUMIFS(IsQList,IsIList,Table_ExternalData_17[[#This Row],[item_key]],IsITypeList,Table_ExternalData_17[[#Headers],[CST]],IsDList,"&lt;&gt;"&amp;0)</f>
        <v>0</v>
      </c>
      <c r="M254" s="10">
        <f>SUMIFS(IsQList,IsIList,Table_ExternalData_15[[#This Row],[item_key]],IsITypeList,Table_ExternalData_17[[#Headers],[S/I]],IsDList,"&lt;&gt;"&amp;0)</f>
        <v>0</v>
      </c>
      <c r="N254" s="10">
        <f>SUMIFS(IsQList,IsIList,Table_ExternalData_15[[#This Row],[item_key]],IsITypeList,Table_ExternalData_17[[#Headers],[VST]],IsDList,"&lt;&gt;"&amp;0)</f>
        <v>0</v>
      </c>
      <c r="O254" s="10">
        <f>ABS(SUMIFS(IsQList,IsIList,Table_ExternalData_17[[#This Row],[item_key]],IsITypeList,Table_ExternalData_17[[#Headers],[RTN]],IsDList,"&lt;&gt;"&amp;0))</f>
        <v>0</v>
      </c>
      <c r="P254" s="10">
        <f>SUM(Table_ExternalData_17[[#This Row],[R/P]:[RTN]])</f>
        <v>0</v>
      </c>
      <c r="Q254" s="10">
        <f>SUM((Table_ExternalData_17[[#This Row],[Opening]]+Table_ExternalData_17[[#This Row],[Total Receipt]])-ABS(Table_ExternalData_17[[#This Row],[Total Issue]]))</f>
        <v>19</v>
      </c>
    </row>
    <row r="255" spans="1:17">
      <c r="A255" s="1" t="s">
        <v>740</v>
      </c>
      <c r="B255" s="1" t="s">
        <v>2662</v>
      </c>
      <c r="C255" s="1" t="s">
        <v>2483</v>
      </c>
      <c r="D255" s="10">
        <f>SUMIFS(OPBQList,OPBIList,Table_ExternalData_17[[#This Row],[item_key]])+SUMIFS(GQList,GIList,Table_ExternalData_17[[#This Row],[item_key]],GDList,0)-ABS(SUMIFS(IsQList,IsIList,Table_ExternalData_17[[#This Row],[item_key]],IsDList,0))</f>
        <v>895</v>
      </c>
      <c r="E255" s="10">
        <f>SUMIFS(GQList,GIList,Table_ExternalData_17[[#This Row],[item_key]],GTList,Table_ExternalData_17[[#Headers],[GRN]],GDList,"&lt;&gt;"&amp;0)</f>
        <v>0</v>
      </c>
      <c r="F255" s="10">
        <f>SUMIFS(GQList,GIList,Table_ExternalData_17[[#This Row],[item_key]],GTList,Table_ExternalData_17[[#Headers],[VSTR]],GDList,"&lt;&gt;"&amp;0)</f>
        <v>0</v>
      </c>
      <c r="G255" s="10">
        <f>SUMIFS(GQList,GIList,Table_ExternalData_17[[#This Row],[item_key]],GTList,Table_ExternalData_17[[#Headers],[SR]],GDList,"&lt;&gt;"&amp;0)</f>
        <v>0</v>
      </c>
      <c r="H255" s="10">
        <f>SUMIFS(GQList,GIList,Table_ExternalData_17[[#This Row],[item_key]],GTList,Table_ExternalData_17[[#Headers],[TR]],GDList,"&lt;&gt;"&amp;0)</f>
        <v>0</v>
      </c>
      <c r="I255" s="10">
        <f>SUMIFS(GQList,GIList,Table_ExternalData_17[[#This Row],[item_key]],GTList,Table_ExternalData_17[[#Headers],[RCA]],GDList,"&lt;&gt;"&amp;0)</f>
        <v>0</v>
      </c>
      <c r="J255" s="10">
        <f>SUM(Table_ExternalData_17[[#This Row],[GRN]]+Table_ExternalData_17[[#This Row],[VSTR]]+Table_ExternalData_17[[#This Row],[SR]]+Table_ExternalData_17[[#This Row],[TR]]+Table_ExternalData_17[[#This Row],[RCA]])</f>
        <v>0</v>
      </c>
      <c r="K255" s="10">
        <f>SUMIFS(IsQList,IsIList,Table_ExternalData_17[[#This Row],[item_key]],IsITypeList,Table_ExternalData_17[[#Headers],[R/P]],IsDList,"&lt;&gt;"&amp;0)</f>
        <v>0</v>
      </c>
      <c r="L255" s="10">
        <f>SUMIFS(IsQList,IsIList,Table_ExternalData_17[[#This Row],[item_key]],IsITypeList,Table_ExternalData_17[[#Headers],[CST]],IsDList,"&lt;&gt;"&amp;0)</f>
        <v>0</v>
      </c>
      <c r="M255" s="10">
        <f>SUMIFS(IsQList,IsIList,Table_ExternalData_15[[#This Row],[item_key]],IsITypeList,Table_ExternalData_17[[#Headers],[S/I]],IsDList,"&lt;&gt;"&amp;0)</f>
        <v>25</v>
      </c>
      <c r="N255" s="10">
        <f>SUMIFS(IsQList,IsIList,Table_ExternalData_15[[#This Row],[item_key]],IsITypeList,Table_ExternalData_17[[#Headers],[VST]],IsDList,"&lt;&gt;"&amp;0)</f>
        <v>0</v>
      </c>
      <c r="O255" s="10">
        <f>ABS(SUMIFS(IsQList,IsIList,Table_ExternalData_17[[#This Row],[item_key]],IsITypeList,Table_ExternalData_17[[#Headers],[RTN]],IsDList,"&lt;&gt;"&amp;0))</f>
        <v>0</v>
      </c>
      <c r="P255" s="10">
        <f>SUM(Table_ExternalData_17[[#This Row],[R/P]:[RTN]])</f>
        <v>25</v>
      </c>
      <c r="Q255" s="10">
        <f>SUM((Table_ExternalData_17[[#This Row],[Opening]]+Table_ExternalData_17[[#This Row],[Total Receipt]])-ABS(Table_ExternalData_17[[#This Row],[Total Issue]]))</f>
        <v>870</v>
      </c>
    </row>
    <row r="256" spans="1:17">
      <c r="A256" s="1" t="s">
        <v>1821</v>
      </c>
      <c r="B256" s="1" t="s">
        <v>2663</v>
      </c>
      <c r="C256" s="1" t="s">
        <v>2664</v>
      </c>
      <c r="D25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6" s="10">
        <f>SUMIFS(GQList,GIList,Table_ExternalData_17[[#This Row],[item_key]],GTList,Table_ExternalData_17[[#Headers],[GRN]],GDList,"&lt;&gt;"&amp;0)</f>
        <v>20</v>
      </c>
      <c r="F256" s="10">
        <f>SUMIFS(GQList,GIList,Table_ExternalData_17[[#This Row],[item_key]],GTList,Table_ExternalData_17[[#Headers],[VSTR]],GDList,"&lt;&gt;"&amp;0)</f>
        <v>0</v>
      </c>
      <c r="G256" s="10">
        <f>SUMIFS(GQList,GIList,Table_ExternalData_17[[#This Row],[item_key]],GTList,Table_ExternalData_17[[#Headers],[SR]],GDList,"&lt;&gt;"&amp;0)</f>
        <v>0</v>
      </c>
      <c r="H256" s="10">
        <f>SUMIFS(GQList,GIList,Table_ExternalData_17[[#This Row],[item_key]],GTList,Table_ExternalData_17[[#Headers],[TR]],GDList,"&lt;&gt;"&amp;0)</f>
        <v>0</v>
      </c>
      <c r="I256" s="10">
        <f>SUMIFS(GQList,GIList,Table_ExternalData_17[[#This Row],[item_key]],GTList,Table_ExternalData_17[[#Headers],[RCA]],GDList,"&lt;&gt;"&amp;0)</f>
        <v>0</v>
      </c>
      <c r="J256" s="10">
        <f>SUM(Table_ExternalData_17[[#This Row],[GRN]]+Table_ExternalData_17[[#This Row],[VSTR]]+Table_ExternalData_17[[#This Row],[SR]]+Table_ExternalData_17[[#This Row],[TR]]+Table_ExternalData_17[[#This Row],[RCA]])</f>
        <v>20</v>
      </c>
      <c r="K256" s="10">
        <f>SUMIFS(IsQList,IsIList,Table_ExternalData_17[[#This Row],[item_key]],IsITypeList,Table_ExternalData_17[[#Headers],[R/P]],IsDList,"&lt;&gt;"&amp;0)</f>
        <v>0</v>
      </c>
      <c r="L256" s="10">
        <f>SUMIFS(IsQList,IsIList,Table_ExternalData_17[[#This Row],[item_key]],IsITypeList,Table_ExternalData_17[[#Headers],[CST]],IsDList,"&lt;&gt;"&amp;0)</f>
        <v>0</v>
      </c>
      <c r="M256" s="10">
        <f>SUMIFS(IsQList,IsIList,Table_ExternalData_15[[#This Row],[item_key]],IsITypeList,Table_ExternalData_17[[#Headers],[S/I]],IsDList,"&lt;&gt;"&amp;0)</f>
        <v>0</v>
      </c>
      <c r="N256" s="10">
        <f>SUMIFS(IsQList,IsIList,Table_ExternalData_15[[#This Row],[item_key]],IsITypeList,Table_ExternalData_17[[#Headers],[VST]],IsDList,"&lt;&gt;"&amp;0)</f>
        <v>0</v>
      </c>
      <c r="O256" s="10">
        <f>ABS(SUMIFS(IsQList,IsIList,Table_ExternalData_17[[#This Row],[item_key]],IsITypeList,Table_ExternalData_17[[#Headers],[RTN]],IsDList,"&lt;&gt;"&amp;0))</f>
        <v>0</v>
      </c>
      <c r="P256" s="10">
        <f>SUM(Table_ExternalData_17[[#This Row],[R/P]:[RTN]])</f>
        <v>0</v>
      </c>
      <c r="Q256" s="10">
        <f>SUM((Table_ExternalData_17[[#This Row],[Opening]]+Table_ExternalData_17[[#This Row],[Total Receipt]])-ABS(Table_ExternalData_17[[#This Row],[Total Issue]]))</f>
        <v>20</v>
      </c>
    </row>
    <row r="257" spans="1:17">
      <c r="A257" s="1" t="s">
        <v>745</v>
      </c>
      <c r="B257" s="1" t="s">
        <v>1382</v>
      </c>
      <c r="C257" s="1" t="s">
        <v>1383</v>
      </c>
      <c r="D25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7" s="10">
        <f>SUMIFS(GQList,GIList,Table_ExternalData_17[[#This Row],[item_key]],GTList,Table_ExternalData_17[[#Headers],[GRN]],GDList,"&lt;&gt;"&amp;0)</f>
        <v>160</v>
      </c>
      <c r="F257" s="10">
        <f>SUMIFS(GQList,GIList,Table_ExternalData_17[[#This Row],[item_key]],GTList,Table_ExternalData_17[[#Headers],[VSTR]],GDList,"&lt;&gt;"&amp;0)</f>
        <v>0</v>
      </c>
      <c r="G257" s="10">
        <f>SUMIFS(GQList,GIList,Table_ExternalData_17[[#This Row],[item_key]],GTList,Table_ExternalData_17[[#Headers],[SR]],GDList,"&lt;&gt;"&amp;0)</f>
        <v>0</v>
      </c>
      <c r="H257" s="10">
        <f>SUMIFS(GQList,GIList,Table_ExternalData_17[[#This Row],[item_key]],GTList,Table_ExternalData_17[[#Headers],[TR]],GDList,"&lt;&gt;"&amp;0)</f>
        <v>0</v>
      </c>
      <c r="I257" s="10">
        <f>SUMIFS(GQList,GIList,Table_ExternalData_17[[#This Row],[item_key]],GTList,Table_ExternalData_17[[#Headers],[RCA]],GDList,"&lt;&gt;"&amp;0)</f>
        <v>0</v>
      </c>
      <c r="J257" s="10">
        <f>SUM(Table_ExternalData_17[[#This Row],[GRN]]+Table_ExternalData_17[[#This Row],[VSTR]]+Table_ExternalData_17[[#This Row],[SR]]+Table_ExternalData_17[[#This Row],[TR]]+Table_ExternalData_17[[#This Row],[RCA]])</f>
        <v>160</v>
      </c>
      <c r="K257" s="10">
        <f>SUMIFS(IsQList,IsIList,Table_ExternalData_17[[#This Row],[item_key]],IsITypeList,Table_ExternalData_17[[#Headers],[R/P]],IsDList,"&lt;&gt;"&amp;0)</f>
        <v>0</v>
      </c>
      <c r="L257" s="10">
        <f>SUMIFS(IsQList,IsIList,Table_ExternalData_17[[#This Row],[item_key]],IsITypeList,Table_ExternalData_17[[#Headers],[CST]],IsDList,"&lt;&gt;"&amp;0)</f>
        <v>0</v>
      </c>
      <c r="M257" s="10">
        <f>SUMIFS(IsQList,IsIList,Table_ExternalData_15[[#This Row],[item_key]],IsITypeList,Table_ExternalData_17[[#Headers],[S/I]],IsDList,"&lt;&gt;"&amp;0)</f>
        <v>0</v>
      </c>
      <c r="N257" s="10">
        <f>SUMIFS(IsQList,IsIList,Table_ExternalData_15[[#This Row],[item_key]],IsITypeList,Table_ExternalData_17[[#Headers],[VST]],IsDList,"&lt;&gt;"&amp;0)</f>
        <v>0</v>
      </c>
      <c r="O257" s="10">
        <f>ABS(SUMIFS(IsQList,IsIList,Table_ExternalData_17[[#This Row],[item_key]],IsITypeList,Table_ExternalData_17[[#Headers],[RTN]],IsDList,"&lt;&gt;"&amp;0))</f>
        <v>0</v>
      </c>
      <c r="P257" s="10">
        <f>SUM(Table_ExternalData_17[[#This Row],[R/P]:[RTN]])</f>
        <v>0</v>
      </c>
      <c r="Q257" s="10">
        <f>SUM((Table_ExternalData_17[[#This Row],[Opening]]+Table_ExternalData_17[[#This Row],[Total Receipt]])-ABS(Table_ExternalData_17[[#This Row],[Total Issue]]))</f>
        <v>160</v>
      </c>
    </row>
    <row r="258" spans="1:17">
      <c r="A258" s="1" t="s">
        <v>746</v>
      </c>
      <c r="B258" s="1" t="s">
        <v>1384</v>
      </c>
      <c r="C258" s="1" t="s">
        <v>1385</v>
      </c>
      <c r="D25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8" s="10">
        <f>SUMIFS(GQList,GIList,Table_ExternalData_17[[#This Row],[item_key]],GTList,Table_ExternalData_17[[#Headers],[GRN]],GDList,"&lt;&gt;"&amp;0)</f>
        <v>0</v>
      </c>
      <c r="F258" s="10">
        <f>SUMIFS(GQList,GIList,Table_ExternalData_17[[#This Row],[item_key]],GTList,Table_ExternalData_17[[#Headers],[VSTR]],GDList,"&lt;&gt;"&amp;0)</f>
        <v>0</v>
      </c>
      <c r="G258" s="10">
        <f>SUMIFS(GQList,GIList,Table_ExternalData_17[[#This Row],[item_key]],GTList,Table_ExternalData_17[[#Headers],[SR]],GDList,"&lt;&gt;"&amp;0)</f>
        <v>0</v>
      </c>
      <c r="H258" s="10">
        <f>SUMIFS(GQList,GIList,Table_ExternalData_17[[#This Row],[item_key]],GTList,Table_ExternalData_17[[#Headers],[TR]],GDList,"&lt;&gt;"&amp;0)</f>
        <v>0</v>
      </c>
      <c r="I258" s="10">
        <f>SUMIFS(GQList,GIList,Table_ExternalData_17[[#This Row],[item_key]],GTList,Table_ExternalData_17[[#Headers],[RCA]],GDList,"&lt;&gt;"&amp;0)</f>
        <v>0</v>
      </c>
      <c r="J258" s="10">
        <f>SUM(Table_ExternalData_17[[#This Row],[GRN]]+Table_ExternalData_17[[#This Row],[VSTR]]+Table_ExternalData_17[[#This Row],[SR]]+Table_ExternalData_17[[#This Row],[TR]]+Table_ExternalData_17[[#This Row],[RCA]])</f>
        <v>0</v>
      </c>
      <c r="K258" s="10">
        <f>SUMIFS(IsQList,IsIList,Table_ExternalData_17[[#This Row],[item_key]],IsITypeList,Table_ExternalData_17[[#Headers],[R/P]],IsDList,"&lt;&gt;"&amp;0)</f>
        <v>0</v>
      </c>
      <c r="L258" s="10">
        <f>SUMIFS(IsQList,IsIList,Table_ExternalData_17[[#This Row],[item_key]],IsITypeList,Table_ExternalData_17[[#Headers],[CST]],IsDList,"&lt;&gt;"&amp;0)</f>
        <v>0</v>
      </c>
      <c r="M258" s="10">
        <f>SUMIFS(IsQList,IsIList,Table_ExternalData_15[[#This Row],[item_key]],IsITypeList,Table_ExternalData_17[[#Headers],[S/I]],IsDList,"&lt;&gt;"&amp;0)</f>
        <v>10</v>
      </c>
      <c r="N258" s="10">
        <f>SUMIFS(IsQList,IsIList,Table_ExternalData_15[[#This Row],[item_key]],IsITypeList,Table_ExternalData_17[[#Headers],[VST]],IsDList,"&lt;&gt;"&amp;0)</f>
        <v>0</v>
      </c>
      <c r="O258" s="10">
        <f>ABS(SUMIFS(IsQList,IsIList,Table_ExternalData_17[[#This Row],[item_key]],IsITypeList,Table_ExternalData_17[[#Headers],[RTN]],IsDList,"&lt;&gt;"&amp;0))</f>
        <v>0</v>
      </c>
      <c r="P258" s="10">
        <f>SUM(Table_ExternalData_17[[#This Row],[R/P]:[RTN]])</f>
        <v>10</v>
      </c>
      <c r="Q258" s="10">
        <f>SUM((Table_ExternalData_17[[#This Row],[Opening]]+Table_ExternalData_17[[#This Row],[Total Receipt]])-ABS(Table_ExternalData_17[[#This Row],[Total Issue]]))</f>
        <v>-10</v>
      </c>
    </row>
    <row r="259" spans="1:17">
      <c r="A259" s="1" t="s">
        <v>750</v>
      </c>
      <c r="B259" s="1" t="s">
        <v>2665</v>
      </c>
      <c r="C259" s="1" t="s">
        <v>2511</v>
      </c>
      <c r="D25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59" s="10">
        <f>SUMIFS(GQList,GIList,Table_ExternalData_17[[#This Row],[item_key]],GTList,Table_ExternalData_17[[#Headers],[GRN]],GDList,"&lt;&gt;"&amp;0)</f>
        <v>300</v>
      </c>
      <c r="F259" s="10">
        <f>SUMIFS(GQList,GIList,Table_ExternalData_17[[#This Row],[item_key]],GTList,Table_ExternalData_17[[#Headers],[VSTR]],GDList,"&lt;&gt;"&amp;0)</f>
        <v>0</v>
      </c>
      <c r="G259" s="10">
        <f>SUMIFS(GQList,GIList,Table_ExternalData_17[[#This Row],[item_key]],GTList,Table_ExternalData_17[[#Headers],[SR]],GDList,"&lt;&gt;"&amp;0)</f>
        <v>0</v>
      </c>
      <c r="H259" s="10">
        <f>SUMIFS(GQList,GIList,Table_ExternalData_17[[#This Row],[item_key]],GTList,Table_ExternalData_17[[#Headers],[TR]],GDList,"&lt;&gt;"&amp;0)</f>
        <v>0</v>
      </c>
      <c r="I259" s="10">
        <f>SUMIFS(GQList,GIList,Table_ExternalData_17[[#This Row],[item_key]],GTList,Table_ExternalData_17[[#Headers],[RCA]],GDList,"&lt;&gt;"&amp;0)</f>
        <v>0</v>
      </c>
      <c r="J259" s="10">
        <f>SUM(Table_ExternalData_17[[#This Row],[GRN]]+Table_ExternalData_17[[#This Row],[VSTR]]+Table_ExternalData_17[[#This Row],[SR]]+Table_ExternalData_17[[#This Row],[TR]]+Table_ExternalData_17[[#This Row],[RCA]])</f>
        <v>300</v>
      </c>
      <c r="K259" s="10">
        <f>SUMIFS(IsQList,IsIList,Table_ExternalData_17[[#This Row],[item_key]],IsITypeList,Table_ExternalData_17[[#Headers],[R/P]],IsDList,"&lt;&gt;"&amp;0)</f>
        <v>0</v>
      </c>
      <c r="L259" s="10">
        <f>SUMIFS(IsQList,IsIList,Table_ExternalData_17[[#This Row],[item_key]],IsITypeList,Table_ExternalData_17[[#Headers],[CST]],IsDList,"&lt;&gt;"&amp;0)</f>
        <v>0</v>
      </c>
      <c r="M259" s="10">
        <f>SUMIFS(IsQList,IsIList,Table_ExternalData_15[[#This Row],[item_key]],IsITypeList,Table_ExternalData_17[[#Headers],[S/I]],IsDList,"&lt;&gt;"&amp;0)</f>
        <v>20</v>
      </c>
      <c r="N259" s="10">
        <f>SUMIFS(IsQList,IsIList,Table_ExternalData_15[[#This Row],[item_key]],IsITypeList,Table_ExternalData_17[[#Headers],[VST]],IsDList,"&lt;&gt;"&amp;0)</f>
        <v>0</v>
      </c>
      <c r="O259" s="10">
        <f>ABS(SUMIFS(IsQList,IsIList,Table_ExternalData_17[[#This Row],[item_key]],IsITypeList,Table_ExternalData_17[[#Headers],[RTN]],IsDList,"&lt;&gt;"&amp;0))</f>
        <v>0</v>
      </c>
      <c r="P259" s="10">
        <f>SUM(Table_ExternalData_17[[#This Row],[R/P]:[RTN]])</f>
        <v>20</v>
      </c>
      <c r="Q259" s="10">
        <f>SUM((Table_ExternalData_17[[#This Row],[Opening]]+Table_ExternalData_17[[#This Row],[Total Receipt]])-ABS(Table_ExternalData_17[[#This Row],[Total Issue]]))</f>
        <v>280</v>
      </c>
    </row>
    <row r="260" spans="1:17">
      <c r="A260" s="1" t="s">
        <v>752</v>
      </c>
      <c r="B260" s="1" t="s">
        <v>1386</v>
      </c>
      <c r="C260" s="1" t="s">
        <v>1387</v>
      </c>
      <c r="D260" s="10">
        <f>SUMIFS(OPBQList,OPBIList,Table_ExternalData_17[[#This Row],[item_key]])+SUMIFS(GQList,GIList,Table_ExternalData_17[[#This Row],[item_key]],GDList,0)-ABS(SUMIFS(IsQList,IsIList,Table_ExternalData_17[[#This Row],[item_key]],IsDList,0))</f>
        <v>83</v>
      </c>
      <c r="E260" s="10">
        <f>SUMIFS(GQList,GIList,Table_ExternalData_17[[#This Row],[item_key]],GTList,Table_ExternalData_17[[#Headers],[GRN]],GDList,"&lt;&gt;"&amp;0)</f>
        <v>0</v>
      </c>
      <c r="F260" s="10">
        <f>SUMIFS(GQList,GIList,Table_ExternalData_17[[#This Row],[item_key]],GTList,Table_ExternalData_17[[#Headers],[VSTR]],GDList,"&lt;&gt;"&amp;0)</f>
        <v>0</v>
      </c>
      <c r="G260" s="10">
        <f>SUMIFS(GQList,GIList,Table_ExternalData_17[[#This Row],[item_key]],GTList,Table_ExternalData_17[[#Headers],[SR]],GDList,"&lt;&gt;"&amp;0)</f>
        <v>0</v>
      </c>
      <c r="H260" s="10">
        <f>SUMIFS(GQList,GIList,Table_ExternalData_17[[#This Row],[item_key]],GTList,Table_ExternalData_17[[#Headers],[TR]],GDList,"&lt;&gt;"&amp;0)</f>
        <v>0</v>
      </c>
      <c r="I260" s="10">
        <f>SUMIFS(GQList,GIList,Table_ExternalData_17[[#This Row],[item_key]],GTList,Table_ExternalData_17[[#Headers],[RCA]],GDList,"&lt;&gt;"&amp;0)</f>
        <v>0</v>
      </c>
      <c r="J260" s="10">
        <f>SUM(Table_ExternalData_17[[#This Row],[GRN]]+Table_ExternalData_17[[#This Row],[VSTR]]+Table_ExternalData_17[[#This Row],[SR]]+Table_ExternalData_17[[#This Row],[TR]]+Table_ExternalData_17[[#This Row],[RCA]])</f>
        <v>0</v>
      </c>
      <c r="K260" s="10">
        <f>SUMIFS(IsQList,IsIList,Table_ExternalData_17[[#This Row],[item_key]],IsITypeList,Table_ExternalData_17[[#Headers],[R/P]],IsDList,"&lt;&gt;"&amp;0)</f>
        <v>0</v>
      </c>
      <c r="L260" s="10">
        <f>SUMIFS(IsQList,IsIList,Table_ExternalData_17[[#This Row],[item_key]],IsITypeList,Table_ExternalData_17[[#Headers],[CST]],IsDList,"&lt;&gt;"&amp;0)</f>
        <v>0</v>
      </c>
      <c r="M260" s="10">
        <f>SUMIFS(IsQList,IsIList,Table_ExternalData_15[[#This Row],[item_key]],IsITypeList,Table_ExternalData_17[[#Headers],[S/I]],IsDList,"&lt;&gt;"&amp;0)</f>
        <v>5</v>
      </c>
      <c r="N260" s="10">
        <f>SUMIFS(IsQList,IsIList,Table_ExternalData_15[[#This Row],[item_key]],IsITypeList,Table_ExternalData_17[[#Headers],[VST]],IsDList,"&lt;&gt;"&amp;0)</f>
        <v>0</v>
      </c>
      <c r="O260" s="10">
        <f>ABS(SUMIFS(IsQList,IsIList,Table_ExternalData_17[[#This Row],[item_key]],IsITypeList,Table_ExternalData_17[[#Headers],[RTN]],IsDList,"&lt;&gt;"&amp;0))</f>
        <v>0</v>
      </c>
      <c r="P260" s="10">
        <f>SUM(Table_ExternalData_17[[#This Row],[R/P]:[RTN]])</f>
        <v>5</v>
      </c>
      <c r="Q260" s="10">
        <f>SUM((Table_ExternalData_17[[#This Row],[Opening]]+Table_ExternalData_17[[#This Row],[Total Receipt]])-ABS(Table_ExternalData_17[[#This Row],[Total Issue]]))</f>
        <v>78</v>
      </c>
    </row>
    <row r="261" spans="1:17">
      <c r="A261" s="1" t="s">
        <v>755</v>
      </c>
      <c r="B261" s="1" t="s">
        <v>1388</v>
      </c>
      <c r="C261" s="1" t="s">
        <v>1389</v>
      </c>
      <c r="D26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61" s="10">
        <f>SUMIFS(GQList,GIList,Table_ExternalData_17[[#This Row],[item_key]],GTList,Table_ExternalData_17[[#Headers],[GRN]],GDList,"&lt;&gt;"&amp;0)</f>
        <v>0</v>
      </c>
      <c r="F261" s="10">
        <f>SUMIFS(GQList,GIList,Table_ExternalData_17[[#This Row],[item_key]],GTList,Table_ExternalData_17[[#Headers],[VSTR]],GDList,"&lt;&gt;"&amp;0)</f>
        <v>0</v>
      </c>
      <c r="G261" s="10">
        <f>SUMIFS(GQList,GIList,Table_ExternalData_17[[#This Row],[item_key]],GTList,Table_ExternalData_17[[#Headers],[SR]],GDList,"&lt;&gt;"&amp;0)</f>
        <v>0</v>
      </c>
      <c r="H261" s="10">
        <f>SUMIFS(GQList,GIList,Table_ExternalData_17[[#This Row],[item_key]],GTList,Table_ExternalData_17[[#Headers],[TR]],GDList,"&lt;&gt;"&amp;0)</f>
        <v>0</v>
      </c>
      <c r="I261" s="10">
        <f>SUMIFS(GQList,GIList,Table_ExternalData_17[[#This Row],[item_key]],GTList,Table_ExternalData_17[[#Headers],[RCA]],GDList,"&lt;&gt;"&amp;0)</f>
        <v>0</v>
      </c>
      <c r="J261" s="10">
        <f>SUM(Table_ExternalData_17[[#This Row],[GRN]]+Table_ExternalData_17[[#This Row],[VSTR]]+Table_ExternalData_17[[#This Row],[SR]]+Table_ExternalData_17[[#This Row],[TR]]+Table_ExternalData_17[[#This Row],[RCA]])</f>
        <v>0</v>
      </c>
      <c r="K261" s="10">
        <f>SUMIFS(IsQList,IsIList,Table_ExternalData_17[[#This Row],[item_key]],IsITypeList,Table_ExternalData_17[[#Headers],[R/P]],IsDList,"&lt;&gt;"&amp;0)</f>
        <v>0</v>
      </c>
      <c r="L261" s="10">
        <f>SUMIFS(IsQList,IsIList,Table_ExternalData_17[[#This Row],[item_key]],IsITypeList,Table_ExternalData_17[[#Headers],[CST]],IsDList,"&lt;&gt;"&amp;0)</f>
        <v>0</v>
      </c>
      <c r="M261" s="10">
        <f>SUMIFS(IsQList,IsIList,Table_ExternalData_15[[#This Row],[item_key]],IsITypeList,Table_ExternalData_17[[#Headers],[S/I]],IsDList,"&lt;&gt;"&amp;0)</f>
        <v>10</v>
      </c>
      <c r="N261" s="10">
        <f>SUMIFS(IsQList,IsIList,Table_ExternalData_15[[#This Row],[item_key]],IsITypeList,Table_ExternalData_17[[#Headers],[VST]],IsDList,"&lt;&gt;"&amp;0)</f>
        <v>0</v>
      </c>
      <c r="O261" s="10">
        <f>ABS(SUMIFS(IsQList,IsIList,Table_ExternalData_17[[#This Row],[item_key]],IsITypeList,Table_ExternalData_17[[#Headers],[RTN]],IsDList,"&lt;&gt;"&amp;0))</f>
        <v>0</v>
      </c>
      <c r="P261" s="10">
        <f>SUM(Table_ExternalData_17[[#This Row],[R/P]:[RTN]])</f>
        <v>10</v>
      </c>
      <c r="Q261" s="10">
        <f>SUM((Table_ExternalData_17[[#This Row],[Opening]]+Table_ExternalData_17[[#This Row],[Total Receipt]])-ABS(Table_ExternalData_17[[#This Row],[Total Issue]]))</f>
        <v>-10</v>
      </c>
    </row>
    <row r="262" spans="1:17">
      <c r="A262" s="1" t="s">
        <v>758</v>
      </c>
      <c r="B262" s="1" t="s">
        <v>2666</v>
      </c>
      <c r="C262" s="1" t="s">
        <v>1422</v>
      </c>
      <c r="D26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62" s="10">
        <f>SUMIFS(GQList,GIList,Table_ExternalData_17[[#This Row],[item_key]],GTList,Table_ExternalData_17[[#Headers],[GRN]],GDList,"&lt;&gt;"&amp;0)</f>
        <v>100</v>
      </c>
      <c r="F262" s="10">
        <f>SUMIFS(GQList,GIList,Table_ExternalData_17[[#This Row],[item_key]],GTList,Table_ExternalData_17[[#Headers],[VSTR]],GDList,"&lt;&gt;"&amp;0)</f>
        <v>0</v>
      </c>
      <c r="G262" s="10">
        <f>SUMIFS(GQList,GIList,Table_ExternalData_17[[#This Row],[item_key]],GTList,Table_ExternalData_17[[#Headers],[SR]],GDList,"&lt;&gt;"&amp;0)</f>
        <v>0</v>
      </c>
      <c r="H262" s="10">
        <f>SUMIFS(GQList,GIList,Table_ExternalData_17[[#This Row],[item_key]],GTList,Table_ExternalData_17[[#Headers],[TR]],GDList,"&lt;&gt;"&amp;0)</f>
        <v>0</v>
      </c>
      <c r="I262" s="10">
        <f>SUMIFS(GQList,GIList,Table_ExternalData_17[[#This Row],[item_key]],GTList,Table_ExternalData_17[[#Headers],[RCA]],GDList,"&lt;&gt;"&amp;0)</f>
        <v>0</v>
      </c>
      <c r="J262" s="10">
        <f>SUM(Table_ExternalData_17[[#This Row],[GRN]]+Table_ExternalData_17[[#This Row],[VSTR]]+Table_ExternalData_17[[#This Row],[SR]]+Table_ExternalData_17[[#This Row],[TR]]+Table_ExternalData_17[[#This Row],[RCA]])</f>
        <v>100</v>
      </c>
      <c r="K262" s="10">
        <f>SUMIFS(IsQList,IsIList,Table_ExternalData_17[[#This Row],[item_key]],IsITypeList,Table_ExternalData_17[[#Headers],[R/P]],IsDList,"&lt;&gt;"&amp;0)</f>
        <v>0</v>
      </c>
      <c r="L262" s="10">
        <f>SUMIFS(IsQList,IsIList,Table_ExternalData_17[[#This Row],[item_key]],IsITypeList,Table_ExternalData_17[[#Headers],[CST]],IsDList,"&lt;&gt;"&amp;0)</f>
        <v>0</v>
      </c>
      <c r="M262" s="10">
        <f>SUMIFS(IsQList,IsIList,Table_ExternalData_15[[#This Row],[item_key]],IsITypeList,Table_ExternalData_17[[#Headers],[S/I]],IsDList,"&lt;&gt;"&amp;0)</f>
        <v>0</v>
      </c>
      <c r="N262" s="10">
        <f>SUMIFS(IsQList,IsIList,Table_ExternalData_15[[#This Row],[item_key]],IsITypeList,Table_ExternalData_17[[#Headers],[VST]],IsDList,"&lt;&gt;"&amp;0)</f>
        <v>0</v>
      </c>
      <c r="O262" s="10">
        <f>ABS(SUMIFS(IsQList,IsIList,Table_ExternalData_17[[#This Row],[item_key]],IsITypeList,Table_ExternalData_17[[#Headers],[RTN]],IsDList,"&lt;&gt;"&amp;0))</f>
        <v>0</v>
      </c>
      <c r="P262" s="10">
        <f>SUM(Table_ExternalData_17[[#This Row],[R/P]:[RTN]])</f>
        <v>0</v>
      </c>
      <c r="Q262" s="10">
        <f>SUM((Table_ExternalData_17[[#This Row],[Opening]]+Table_ExternalData_17[[#This Row],[Total Receipt]])-ABS(Table_ExternalData_17[[#This Row],[Total Issue]]))</f>
        <v>100</v>
      </c>
    </row>
    <row r="263" spans="1:17">
      <c r="A263" s="1" t="s">
        <v>759</v>
      </c>
      <c r="B263" s="1" t="s">
        <v>1390</v>
      </c>
      <c r="C263" s="1" t="s">
        <v>1279</v>
      </c>
      <c r="D263" s="10">
        <f>SUMIFS(OPBQList,OPBIList,Table_ExternalData_17[[#This Row],[item_key]])+SUMIFS(GQList,GIList,Table_ExternalData_17[[#This Row],[item_key]],GDList,0)-ABS(SUMIFS(IsQList,IsIList,Table_ExternalData_17[[#This Row],[item_key]],IsDList,0))</f>
        <v>53</v>
      </c>
      <c r="E263" s="10">
        <f>SUMIFS(GQList,GIList,Table_ExternalData_17[[#This Row],[item_key]],GTList,Table_ExternalData_17[[#Headers],[GRN]],GDList,"&lt;&gt;"&amp;0)</f>
        <v>96</v>
      </c>
      <c r="F263" s="10">
        <f>SUMIFS(GQList,GIList,Table_ExternalData_17[[#This Row],[item_key]],GTList,Table_ExternalData_17[[#Headers],[VSTR]],GDList,"&lt;&gt;"&amp;0)</f>
        <v>0</v>
      </c>
      <c r="G263" s="10">
        <f>SUMIFS(GQList,GIList,Table_ExternalData_17[[#This Row],[item_key]],GTList,Table_ExternalData_17[[#Headers],[SR]],GDList,"&lt;&gt;"&amp;0)</f>
        <v>0</v>
      </c>
      <c r="H263" s="10">
        <f>SUMIFS(GQList,GIList,Table_ExternalData_17[[#This Row],[item_key]],GTList,Table_ExternalData_17[[#Headers],[TR]],GDList,"&lt;&gt;"&amp;0)</f>
        <v>0</v>
      </c>
      <c r="I263" s="10">
        <f>SUMIFS(GQList,GIList,Table_ExternalData_17[[#This Row],[item_key]],GTList,Table_ExternalData_17[[#Headers],[RCA]],GDList,"&lt;&gt;"&amp;0)</f>
        <v>0</v>
      </c>
      <c r="J263" s="10">
        <f>SUM(Table_ExternalData_17[[#This Row],[GRN]]+Table_ExternalData_17[[#This Row],[VSTR]]+Table_ExternalData_17[[#This Row],[SR]]+Table_ExternalData_17[[#This Row],[TR]]+Table_ExternalData_17[[#This Row],[RCA]])</f>
        <v>96</v>
      </c>
      <c r="K263" s="10">
        <f>SUMIFS(IsQList,IsIList,Table_ExternalData_17[[#This Row],[item_key]],IsITypeList,Table_ExternalData_17[[#Headers],[R/P]],IsDList,"&lt;&gt;"&amp;0)</f>
        <v>0</v>
      </c>
      <c r="L263" s="10">
        <f>SUMIFS(IsQList,IsIList,Table_ExternalData_17[[#This Row],[item_key]],IsITypeList,Table_ExternalData_17[[#Headers],[CST]],IsDList,"&lt;&gt;"&amp;0)</f>
        <v>0</v>
      </c>
      <c r="M263" s="10">
        <f>SUMIFS(IsQList,IsIList,Table_ExternalData_15[[#This Row],[item_key]],IsITypeList,Table_ExternalData_17[[#Headers],[S/I]],IsDList,"&lt;&gt;"&amp;0)</f>
        <v>0</v>
      </c>
      <c r="N263" s="10">
        <f>SUMIFS(IsQList,IsIList,Table_ExternalData_15[[#This Row],[item_key]],IsITypeList,Table_ExternalData_17[[#Headers],[VST]],IsDList,"&lt;&gt;"&amp;0)</f>
        <v>0</v>
      </c>
      <c r="O263" s="10">
        <f>ABS(SUMIFS(IsQList,IsIList,Table_ExternalData_17[[#This Row],[item_key]],IsITypeList,Table_ExternalData_17[[#Headers],[RTN]],IsDList,"&lt;&gt;"&amp;0))</f>
        <v>0</v>
      </c>
      <c r="P263" s="10">
        <f>SUM(Table_ExternalData_17[[#This Row],[R/P]:[RTN]])</f>
        <v>0</v>
      </c>
      <c r="Q263" s="10">
        <f>SUM((Table_ExternalData_17[[#This Row],[Opening]]+Table_ExternalData_17[[#This Row],[Total Receipt]])-ABS(Table_ExternalData_17[[#This Row],[Total Issue]]))</f>
        <v>149</v>
      </c>
    </row>
    <row r="264" spans="1:17">
      <c r="A264" s="1" t="s">
        <v>760</v>
      </c>
      <c r="B264" s="1" t="s">
        <v>1391</v>
      </c>
      <c r="C264" s="1" t="s">
        <v>1392</v>
      </c>
      <c r="D26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64" s="10">
        <f>SUMIFS(GQList,GIList,Table_ExternalData_17[[#This Row],[item_key]],GTList,Table_ExternalData_17[[#Headers],[GRN]],GDList,"&lt;&gt;"&amp;0)</f>
        <v>100</v>
      </c>
      <c r="F264" s="10">
        <f>SUMIFS(GQList,GIList,Table_ExternalData_17[[#This Row],[item_key]],GTList,Table_ExternalData_17[[#Headers],[VSTR]],GDList,"&lt;&gt;"&amp;0)</f>
        <v>0</v>
      </c>
      <c r="G264" s="10">
        <f>SUMIFS(GQList,GIList,Table_ExternalData_17[[#This Row],[item_key]],GTList,Table_ExternalData_17[[#Headers],[SR]],GDList,"&lt;&gt;"&amp;0)</f>
        <v>0</v>
      </c>
      <c r="H264" s="10">
        <f>SUMIFS(GQList,GIList,Table_ExternalData_17[[#This Row],[item_key]],GTList,Table_ExternalData_17[[#Headers],[TR]],GDList,"&lt;&gt;"&amp;0)</f>
        <v>0</v>
      </c>
      <c r="I264" s="10">
        <f>SUMIFS(GQList,GIList,Table_ExternalData_17[[#This Row],[item_key]],GTList,Table_ExternalData_17[[#Headers],[RCA]],GDList,"&lt;&gt;"&amp;0)</f>
        <v>0</v>
      </c>
      <c r="J264" s="10">
        <f>SUM(Table_ExternalData_17[[#This Row],[GRN]]+Table_ExternalData_17[[#This Row],[VSTR]]+Table_ExternalData_17[[#This Row],[SR]]+Table_ExternalData_17[[#This Row],[TR]]+Table_ExternalData_17[[#This Row],[RCA]])</f>
        <v>100</v>
      </c>
      <c r="K264" s="10">
        <f>SUMIFS(IsQList,IsIList,Table_ExternalData_17[[#This Row],[item_key]],IsITypeList,Table_ExternalData_17[[#Headers],[R/P]],IsDList,"&lt;&gt;"&amp;0)</f>
        <v>0</v>
      </c>
      <c r="L264" s="10">
        <f>SUMIFS(IsQList,IsIList,Table_ExternalData_17[[#This Row],[item_key]],IsITypeList,Table_ExternalData_17[[#Headers],[CST]],IsDList,"&lt;&gt;"&amp;0)</f>
        <v>0</v>
      </c>
      <c r="M264" s="10">
        <f>SUMIFS(IsQList,IsIList,Table_ExternalData_15[[#This Row],[item_key]],IsITypeList,Table_ExternalData_17[[#Headers],[S/I]],IsDList,"&lt;&gt;"&amp;0)</f>
        <v>0</v>
      </c>
      <c r="N264" s="10">
        <f>SUMIFS(IsQList,IsIList,Table_ExternalData_15[[#This Row],[item_key]],IsITypeList,Table_ExternalData_17[[#Headers],[VST]],IsDList,"&lt;&gt;"&amp;0)</f>
        <v>0</v>
      </c>
      <c r="O264" s="10">
        <f>ABS(SUMIFS(IsQList,IsIList,Table_ExternalData_17[[#This Row],[item_key]],IsITypeList,Table_ExternalData_17[[#Headers],[RTN]],IsDList,"&lt;&gt;"&amp;0))</f>
        <v>0</v>
      </c>
      <c r="P264" s="10">
        <f>SUM(Table_ExternalData_17[[#This Row],[R/P]:[RTN]])</f>
        <v>0</v>
      </c>
      <c r="Q264" s="10">
        <f>SUM((Table_ExternalData_17[[#This Row],[Opening]]+Table_ExternalData_17[[#This Row],[Total Receipt]])-ABS(Table_ExternalData_17[[#This Row],[Total Issue]]))</f>
        <v>100</v>
      </c>
    </row>
    <row r="265" spans="1:17">
      <c r="A265" s="1" t="s">
        <v>1824</v>
      </c>
      <c r="B265" s="1" t="s">
        <v>2667</v>
      </c>
      <c r="C265" s="1" t="s">
        <v>2668</v>
      </c>
      <c r="D26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65" s="10">
        <f>SUMIFS(GQList,GIList,Table_ExternalData_17[[#This Row],[item_key]],GTList,Table_ExternalData_17[[#Headers],[GRN]],GDList,"&lt;&gt;"&amp;0)</f>
        <v>0</v>
      </c>
      <c r="F265" s="10">
        <f>SUMIFS(GQList,GIList,Table_ExternalData_17[[#This Row],[item_key]],GTList,Table_ExternalData_17[[#Headers],[VSTR]],GDList,"&lt;&gt;"&amp;0)</f>
        <v>0</v>
      </c>
      <c r="G265" s="10">
        <f>SUMIFS(GQList,GIList,Table_ExternalData_17[[#This Row],[item_key]],GTList,Table_ExternalData_17[[#Headers],[SR]],GDList,"&lt;&gt;"&amp;0)</f>
        <v>0</v>
      </c>
      <c r="H265" s="10">
        <f>SUMIFS(GQList,GIList,Table_ExternalData_17[[#This Row],[item_key]],GTList,Table_ExternalData_17[[#Headers],[TR]],GDList,"&lt;&gt;"&amp;0)</f>
        <v>0</v>
      </c>
      <c r="I265" s="10">
        <f>SUMIFS(GQList,GIList,Table_ExternalData_17[[#This Row],[item_key]],GTList,Table_ExternalData_17[[#Headers],[RCA]],GDList,"&lt;&gt;"&amp;0)</f>
        <v>0</v>
      </c>
      <c r="J265" s="10">
        <f>SUM(Table_ExternalData_17[[#This Row],[GRN]]+Table_ExternalData_17[[#This Row],[VSTR]]+Table_ExternalData_17[[#This Row],[SR]]+Table_ExternalData_17[[#This Row],[TR]]+Table_ExternalData_17[[#This Row],[RCA]])</f>
        <v>0</v>
      </c>
      <c r="K265" s="10">
        <f>SUMIFS(IsQList,IsIList,Table_ExternalData_17[[#This Row],[item_key]],IsITypeList,Table_ExternalData_17[[#Headers],[R/P]],IsDList,"&lt;&gt;"&amp;0)</f>
        <v>0</v>
      </c>
      <c r="L265" s="10">
        <f>SUMIFS(IsQList,IsIList,Table_ExternalData_17[[#This Row],[item_key]],IsITypeList,Table_ExternalData_17[[#Headers],[CST]],IsDList,"&lt;&gt;"&amp;0)</f>
        <v>0</v>
      </c>
      <c r="M265" s="10">
        <f>SUMIFS(IsQList,IsIList,Table_ExternalData_15[[#This Row],[item_key]],IsITypeList,Table_ExternalData_17[[#Headers],[S/I]],IsDList,"&lt;&gt;"&amp;0)</f>
        <v>38</v>
      </c>
      <c r="N265" s="10">
        <f>SUMIFS(IsQList,IsIList,Table_ExternalData_15[[#This Row],[item_key]],IsITypeList,Table_ExternalData_17[[#Headers],[VST]],IsDList,"&lt;&gt;"&amp;0)</f>
        <v>0</v>
      </c>
      <c r="O265" s="10">
        <f>ABS(SUMIFS(IsQList,IsIList,Table_ExternalData_17[[#This Row],[item_key]],IsITypeList,Table_ExternalData_17[[#Headers],[RTN]],IsDList,"&lt;&gt;"&amp;0))</f>
        <v>0</v>
      </c>
      <c r="P265" s="10">
        <f>SUM(Table_ExternalData_17[[#This Row],[R/P]:[RTN]])</f>
        <v>38</v>
      </c>
      <c r="Q265" s="10">
        <f>SUM((Table_ExternalData_17[[#This Row],[Opening]]+Table_ExternalData_17[[#This Row],[Total Receipt]])-ABS(Table_ExternalData_17[[#This Row],[Total Issue]]))</f>
        <v>-38</v>
      </c>
    </row>
    <row r="266" spans="1:17">
      <c r="A266" s="1" t="s">
        <v>1827</v>
      </c>
      <c r="B266" s="1" t="s">
        <v>2669</v>
      </c>
      <c r="C266" s="1" t="s">
        <v>2670</v>
      </c>
      <c r="D26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66" s="10">
        <f>SUMIFS(GQList,GIList,Table_ExternalData_17[[#This Row],[item_key]],GTList,Table_ExternalData_17[[#Headers],[GRN]],GDList,"&lt;&gt;"&amp;0)</f>
        <v>0</v>
      </c>
      <c r="F266" s="10">
        <f>SUMIFS(GQList,GIList,Table_ExternalData_17[[#This Row],[item_key]],GTList,Table_ExternalData_17[[#Headers],[VSTR]],GDList,"&lt;&gt;"&amp;0)</f>
        <v>0</v>
      </c>
      <c r="G266" s="10">
        <f>SUMIFS(GQList,GIList,Table_ExternalData_17[[#This Row],[item_key]],GTList,Table_ExternalData_17[[#Headers],[SR]],GDList,"&lt;&gt;"&amp;0)</f>
        <v>0</v>
      </c>
      <c r="H266" s="10">
        <f>SUMIFS(GQList,GIList,Table_ExternalData_17[[#This Row],[item_key]],GTList,Table_ExternalData_17[[#Headers],[TR]],GDList,"&lt;&gt;"&amp;0)</f>
        <v>0</v>
      </c>
      <c r="I266" s="10">
        <f>SUMIFS(GQList,GIList,Table_ExternalData_17[[#This Row],[item_key]],GTList,Table_ExternalData_17[[#Headers],[RCA]],GDList,"&lt;&gt;"&amp;0)</f>
        <v>0</v>
      </c>
      <c r="J266" s="10">
        <f>SUM(Table_ExternalData_17[[#This Row],[GRN]]+Table_ExternalData_17[[#This Row],[VSTR]]+Table_ExternalData_17[[#This Row],[SR]]+Table_ExternalData_17[[#This Row],[TR]]+Table_ExternalData_17[[#This Row],[RCA]])</f>
        <v>0</v>
      </c>
      <c r="K266" s="10">
        <f>SUMIFS(IsQList,IsIList,Table_ExternalData_17[[#This Row],[item_key]],IsITypeList,Table_ExternalData_17[[#Headers],[R/P]],IsDList,"&lt;&gt;"&amp;0)</f>
        <v>0</v>
      </c>
      <c r="L266" s="10">
        <f>SUMIFS(IsQList,IsIList,Table_ExternalData_17[[#This Row],[item_key]],IsITypeList,Table_ExternalData_17[[#Headers],[CST]],IsDList,"&lt;&gt;"&amp;0)</f>
        <v>0</v>
      </c>
      <c r="M266" s="10">
        <f>SUMIFS(IsQList,IsIList,Table_ExternalData_15[[#This Row],[item_key]],IsITypeList,Table_ExternalData_17[[#Headers],[S/I]],IsDList,"&lt;&gt;"&amp;0)</f>
        <v>0</v>
      </c>
      <c r="N266" s="10">
        <f>SUMIFS(IsQList,IsIList,Table_ExternalData_15[[#This Row],[item_key]],IsITypeList,Table_ExternalData_17[[#Headers],[VST]],IsDList,"&lt;&gt;"&amp;0)</f>
        <v>0</v>
      </c>
      <c r="O266" s="10">
        <f>ABS(SUMIFS(IsQList,IsIList,Table_ExternalData_17[[#This Row],[item_key]],IsITypeList,Table_ExternalData_17[[#Headers],[RTN]],IsDList,"&lt;&gt;"&amp;0))</f>
        <v>0</v>
      </c>
      <c r="P266" s="10">
        <f>SUM(Table_ExternalData_17[[#This Row],[R/P]:[RTN]])</f>
        <v>0</v>
      </c>
      <c r="Q266" s="10">
        <f>SUM((Table_ExternalData_17[[#This Row],[Opening]]+Table_ExternalData_17[[#This Row],[Total Receipt]])-ABS(Table_ExternalData_17[[#This Row],[Total Issue]]))</f>
        <v>0</v>
      </c>
    </row>
    <row r="267" spans="1:17">
      <c r="A267" s="1" t="s">
        <v>763</v>
      </c>
      <c r="B267" s="1" t="s">
        <v>1394</v>
      </c>
      <c r="C267" s="1" t="s">
        <v>1395</v>
      </c>
      <c r="D267" s="10">
        <f>SUMIFS(OPBQList,OPBIList,Table_ExternalData_17[[#This Row],[item_key]])+SUMIFS(GQList,GIList,Table_ExternalData_17[[#This Row],[item_key]],GDList,0)-ABS(SUMIFS(IsQList,IsIList,Table_ExternalData_17[[#This Row],[item_key]],IsDList,0))</f>
        <v>251</v>
      </c>
      <c r="E267" s="10">
        <f>SUMIFS(GQList,GIList,Table_ExternalData_17[[#This Row],[item_key]],GTList,Table_ExternalData_17[[#Headers],[GRN]],GDList,"&lt;&gt;"&amp;0)</f>
        <v>0</v>
      </c>
      <c r="F267" s="10">
        <f>SUMIFS(GQList,GIList,Table_ExternalData_17[[#This Row],[item_key]],GTList,Table_ExternalData_17[[#Headers],[VSTR]],GDList,"&lt;&gt;"&amp;0)</f>
        <v>0</v>
      </c>
      <c r="G267" s="10">
        <f>SUMIFS(GQList,GIList,Table_ExternalData_17[[#This Row],[item_key]],GTList,Table_ExternalData_17[[#Headers],[SR]],GDList,"&lt;&gt;"&amp;0)</f>
        <v>0</v>
      </c>
      <c r="H267" s="10">
        <f>SUMIFS(GQList,GIList,Table_ExternalData_17[[#This Row],[item_key]],GTList,Table_ExternalData_17[[#Headers],[TR]],GDList,"&lt;&gt;"&amp;0)</f>
        <v>0</v>
      </c>
      <c r="I267" s="10">
        <f>SUMIFS(GQList,GIList,Table_ExternalData_17[[#This Row],[item_key]],GTList,Table_ExternalData_17[[#Headers],[RCA]],GDList,"&lt;&gt;"&amp;0)</f>
        <v>0</v>
      </c>
      <c r="J267" s="10">
        <f>SUM(Table_ExternalData_17[[#This Row],[GRN]]+Table_ExternalData_17[[#This Row],[VSTR]]+Table_ExternalData_17[[#This Row],[SR]]+Table_ExternalData_17[[#This Row],[TR]]+Table_ExternalData_17[[#This Row],[RCA]])</f>
        <v>0</v>
      </c>
      <c r="K267" s="10">
        <f>SUMIFS(IsQList,IsIList,Table_ExternalData_17[[#This Row],[item_key]],IsITypeList,Table_ExternalData_17[[#Headers],[R/P]],IsDList,"&lt;&gt;"&amp;0)</f>
        <v>0</v>
      </c>
      <c r="L267" s="10">
        <f>SUMIFS(IsQList,IsIList,Table_ExternalData_17[[#This Row],[item_key]],IsITypeList,Table_ExternalData_17[[#Headers],[CST]],IsDList,"&lt;&gt;"&amp;0)</f>
        <v>0</v>
      </c>
      <c r="M267" s="10">
        <f>SUMIFS(IsQList,IsIList,Table_ExternalData_15[[#This Row],[item_key]],IsITypeList,Table_ExternalData_17[[#Headers],[S/I]],IsDList,"&lt;&gt;"&amp;0)</f>
        <v>115</v>
      </c>
      <c r="N267" s="10">
        <f>SUMIFS(IsQList,IsIList,Table_ExternalData_15[[#This Row],[item_key]],IsITypeList,Table_ExternalData_17[[#Headers],[VST]],IsDList,"&lt;&gt;"&amp;0)</f>
        <v>0</v>
      </c>
      <c r="O267" s="10">
        <f>ABS(SUMIFS(IsQList,IsIList,Table_ExternalData_17[[#This Row],[item_key]],IsITypeList,Table_ExternalData_17[[#Headers],[RTN]],IsDList,"&lt;&gt;"&amp;0))</f>
        <v>0</v>
      </c>
      <c r="P267" s="10">
        <f>SUM(Table_ExternalData_17[[#This Row],[R/P]:[RTN]])</f>
        <v>115</v>
      </c>
      <c r="Q267" s="10">
        <f>SUM((Table_ExternalData_17[[#This Row],[Opening]]+Table_ExternalData_17[[#This Row],[Total Receipt]])-ABS(Table_ExternalData_17[[#This Row],[Total Issue]]))</f>
        <v>136</v>
      </c>
    </row>
    <row r="268" spans="1:17">
      <c r="A268" s="1" t="s">
        <v>764</v>
      </c>
      <c r="B268" s="1" t="s">
        <v>1396</v>
      </c>
      <c r="C268" s="1" t="s">
        <v>1397</v>
      </c>
      <c r="D268" s="10">
        <f>SUMIFS(OPBQList,OPBIList,Table_ExternalData_17[[#This Row],[item_key]])+SUMIFS(GQList,GIList,Table_ExternalData_17[[#This Row],[item_key]],GDList,0)-ABS(SUMIFS(IsQList,IsIList,Table_ExternalData_17[[#This Row],[item_key]],IsDList,0))</f>
        <v>15</v>
      </c>
      <c r="E268" s="10">
        <f>SUMIFS(GQList,GIList,Table_ExternalData_17[[#This Row],[item_key]],GTList,Table_ExternalData_17[[#Headers],[GRN]],GDList,"&lt;&gt;"&amp;0)</f>
        <v>0</v>
      </c>
      <c r="F268" s="10">
        <f>SUMIFS(GQList,GIList,Table_ExternalData_17[[#This Row],[item_key]],GTList,Table_ExternalData_17[[#Headers],[VSTR]],GDList,"&lt;&gt;"&amp;0)</f>
        <v>0</v>
      </c>
      <c r="G268" s="10">
        <f>SUMIFS(GQList,GIList,Table_ExternalData_17[[#This Row],[item_key]],GTList,Table_ExternalData_17[[#Headers],[SR]],GDList,"&lt;&gt;"&amp;0)</f>
        <v>0</v>
      </c>
      <c r="H268" s="10">
        <f>SUMIFS(GQList,GIList,Table_ExternalData_17[[#This Row],[item_key]],GTList,Table_ExternalData_17[[#Headers],[TR]],GDList,"&lt;&gt;"&amp;0)</f>
        <v>0</v>
      </c>
      <c r="I268" s="10">
        <f>SUMIFS(GQList,GIList,Table_ExternalData_17[[#This Row],[item_key]],GTList,Table_ExternalData_17[[#Headers],[RCA]],GDList,"&lt;&gt;"&amp;0)</f>
        <v>0</v>
      </c>
      <c r="J268" s="10">
        <f>SUM(Table_ExternalData_17[[#This Row],[GRN]]+Table_ExternalData_17[[#This Row],[VSTR]]+Table_ExternalData_17[[#This Row],[SR]]+Table_ExternalData_17[[#This Row],[TR]]+Table_ExternalData_17[[#This Row],[RCA]])</f>
        <v>0</v>
      </c>
      <c r="K268" s="10">
        <f>SUMIFS(IsQList,IsIList,Table_ExternalData_17[[#This Row],[item_key]],IsITypeList,Table_ExternalData_17[[#Headers],[R/P]],IsDList,"&lt;&gt;"&amp;0)</f>
        <v>0</v>
      </c>
      <c r="L268" s="10">
        <f>SUMIFS(IsQList,IsIList,Table_ExternalData_17[[#This Row],[item_key]],IsITypeList,Table_ExternalData_17[[#Headers],[CST]],IsDList,"&lt;&gt;"&amp;0)</f>
        <v>0</v>
      </c>
      <c r="M268" s="10">
        <f>SUMIFS(IsQList,IsIList,Table_ExternalData_15[[#This Row],[item_key]],IsITypeList,Table_ExternalData_17[[#Headers],[S/I]],IsDList,"&lt;&gt;"&amp;0)</f>
        <v>0</v>
      </c>
      <c r="N268" s="10">
        <f>SUMIFS(IsQList,IsIList,Table_ExternalData_15[[#This Row],[item_key]],IsITypeList,Table_ExternalData_17[[#Headers],[VST]],IsDList,"&lt;&gt;"&amp;0)</f>
        <v>0</v>
      </c>
      <c r="O268" s="10">
        <f>ABS(SUMIFS(IsQList,IsIList,Table_ExternalData_17[[#This Row],[item_key]],IsITypeList,Table_ExternalData_17[[#Headers],[RTN]],IsDList,"&lt;&gt;"&amp;0))</f>
        <v>0</v>
      </c>
      <c r="P268" s="10">
        <f>SUM(Table_ExternalData_17[[#This Row],[R/P]:[RTN]])</f>
        <v>0</v>
      </c>
      <c r="Q268" s="10">
        <f>SUM((Table_ExternalData_17[[#This Row],[Opening]]+Table_ExternalData_17[[#This Row],[Total Receipt]])-ABS(Table_ExternalData_17[[#This Row],[Total Issue]]))</f>
        <v>15</v>
      </c>
    </row>
    <row r="269" spans="1:17">
      <c r="A269" s="1" t="s">
        <v>1831</v>
      </c>
      <c r="B269" s="1" t="s">
        <v>2671</v>
      </c>
      <c r="C269" s="1" t="s">
        <v>2672</v>
      </c>
      <c r="D269" s="10">
        <f>SUMIFS(OPBQList,OPBIList,Table_ExternalData_17[[#This Row],[item_key]])+SUMIFS(GQList,GIList,Table_ExternalData_17[[#This Row],[item_key]],GDList,0)-ABS(SUMIFS(IsQList,IsIList,Table_ExternalData_17[[#This Row],[item_key]],IsDList,0))</f>
        <v>1034</v>
      </c>
      <c r="E269" s="10">
        <f>SUMIFS(GQList,GIList,Table_ExternalData_17[[#This Row],[item_key]],GTList,Table_ExternalData_17[[#Headers],[GRN]],GDList,"&lt;&gt;"&amp;0)</f>
        <v>0</v>
      </c>
      <c r="F269" s="10">
        <f>SUMIFS(GQList,GIList,Table_ExternalData_17[[#This Row],[item_key]],GTList,Table_ExternalData_17[[#Headers],[VSTR]],GDList,"&lt;&gt;"&amp;0)</f>
        <v>0</v>
      </c>
      <c r="G269" s="10">
        <f>SUMIFS(GQList,GIList,Table_ExternalData_17[[#This Row],[item_key]],GTList,Table_ExternalData_17[[#Headers],[SR]],GDList,"&lt;&gt;"&amp;0)</f>
        <v>0</v>
      </c>
      <c r="H269" s="10">
        <f>SUMIFS(GQList,GIList,Table_ExternalData_17[[#This Row],[item_key]],GTList,Table_ExternalData_17[[#Headers],[TR]],GDList,"&lt;&gt;"&amp;0)</f>
        <v>0</v>
      </c>
      <c r="I269" s="10">
        <f>SUMIFS(GQList,GIList,Table_ExternalData_17[[#This Row],[item_key]],GTList,Table_ExternalData_17[[#Headers],[RCA]],GDList,"&lt;&gt;"&amp;0)</f>
        <v>0</v>
      </c>
      <c r="J269" s="10">
        <f>SUM(Table_ExternalData_17[[#This Row],[GRN]]+Table_ExternalData_17[[#This Row],[VSTR]]+Table_ExternalData_17[[#This Row],[SR]]+Table_ExternalData_17[[#This Row],[TR]]+Table_ExternalData_17[[#This Row],[RCA]])</f>
        <v>0</v>
      </c>
      <c r="K269" s="10">
        <f>SUMIFS(IsQList,IsIList,Table_ExternalData_17[[#This Row],[item_key]],IsITypeList,Table_ExternalData_17[[#Headers],[R/P]],IsDList,"&lt;&gt;"&amp;0)</f>
        <v>0</v>
      </c>
      <c r="L269" s="10">
        <f>SUMIFS(IsQList,IsIList,Table_ExternalData_17[[#This Row],[item_key]],IsITypeList,Table_ExternalData_17[[#Headers],[CST]],IsDList,"&lt;&gt;"&amp;0)</f>
        <v>0</v>
      </c>
      <c r="M269" s="10">
        <f>SUMIFS(IsQList,IsIList,Table_ExternalData_15[[#This Row],[item_key]],IsITypeList,Table_ExternalData_17[[#Headers],[S/I]],IsDList,"&lt;&gt;"&amp;0)</f>
        <v>1380</v>
      </c>
      <c r="N269" s="10">
        <f>SUMIFS(IsQList,IsIList,Table_ExternalData_15[[#This Row],[item_key]],IsITypeList,Table_ExternalData_17[[#Headers],[VST]],IsDList,"&lt;&gt;"&amp;0)</f>
        <v>0</v>
      </c>
      <c r="O269" s="10">
        <f>ABS(SUMIFS(IsQList,IsIList,Table_ExternalData_17[[#This Row],[item_key]],IsITypeList,Table_ExternalData_17[[#Headers],[RTN]],IsDList,"&lt;&gt;"&amp;0))</f>
        <v>0</v>
      </c>
      <c r="P269" s="10">
        <f>SUM(Table_ExternalData_17[[#This Row],[R/P]:[RTN]])</f>
        <v>1380</v>
      </c>
      <c r="Q269" s="10">
        <f>SUM((Table_ExternalData_17[[#This Row],[Opening]]+Table_ExternalData_17[[#This Row],[Total Receipt]])-ABS(Table_ExternalData_17[[#This Row],[Total Issue]]))</f>
        <v>-346</v>
      </c>
    </row>
    <row r="270" spans="1:17">
      <c r="A270" s="1" t="s">
        <v>771</v>
      </c>
      <c r="B270" s="1" t="s">
        <v>1398</v>
      </c>
      <c r="C270" s="1" t="s">
        <v>1399</v>
      </c>
      <c r="D27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70" s="10">
        <f>SUMIFS(GQList,GIList,Table_ExternalData_17[[#This Row],[item_key]],GTList,Table_ExternalData_17[[#Headers],[GRN]],GDList,"&lt;&gt;"&amp;0)</f>
        <v>0</v>
      </c>
      <c r="F270" s="10">
        <f>SUMIFS(GQList,GIList,Table_ExternalData_17[[#This Row],[item_key]],GTList,Table_ExternalData_17[[#Headers],[VSTR]],GDList,"&lt;&gt;"&amp;0)</f>
        <v>0</v>
      </c>
      <c r="G270" s="10">
        <f>SUMIFS(GQList,GIList,Table_ExternalData_17[[#This Row],[item_key]],GTList,Table_ExternalData_17[[#Headers],[SR]],GDList,"&lt;&gt;"&amp;0)</f>
        <v>0</v>
      </c>
      <c r="H270" s="10">
        <f>SUMIFS(GQList,GIList,Table_ExternalData_17[[#This Row],[item_key]],GTList,Table_ExternalData_17[[#Headers],[TR]],GDList,"&lt;&gt;"&amp;0)</f>
        <v>0</v>
      </c>
      <c r="I270" s="10">
        <f>SUMIFS(GQList,GIList,Table_ExternalData_17[[#This Row],[item_key]],GTList,Table_ExternalData_17[[#Headers],[RCA]],GDList,"&lt;&gt;"&amp;0)</f>
        <v>0</v>
      </c>
      <c r="J270" s="10">
        <f>SUM(Table_ExternalData_17[[#This Row],[GRN]]+Table_ExternalData_17[[#This Row],[VSTR]]+Table_ExternalData_17[[#This Row],[SR]]+Table_ExternalData_17[[#This Row],[TR]]+Table_ExternalData_17[[#This Row],[RCA]])</f>
        <v>0</v>
      </c>
      <c r="K270" s="10">
        <f>SUMIFS(IsQList,IsIList,Table_ExternalData_17[[#This Row],[item_key]],IsITypeList,Table_ExternalData_17[[#Headers],[R/P]],IsDList,"&lt;&gt;"&amp;0)</f>
        <v>0</v>
      </c>
      <c r="L270" s="10">
        <f>SUMIFS(IsQList,IsIList,Table_ExternalData_17[[#This Row],[item_key]],IsITypeList,Table_ExternalData_17[[#Headers],[CST]],IsDList,"&lt;&gt;"&amp;0)</f>
        <v>0</v>
      </c>
      <c r="M270" s="10">
        <f>SUMIFS(IsQList,IsIList,Table_ExternalData_15[[#This Row],[item_key]],IsITypeList,Table_ExternalData_17[[#Headers],[S/I]],IsDList,"&lt;&gt;"&amp;0)</f>
        <v>143</v>
      </c>
      <c r="N270" s="10">
        <f>SUMIFS(IsQList,IsIList,Table_ExternalData_15[[#This Row],[item_key]],IsITypeList,Table_ExternalData_17[[#Headers],[VST]],IsDList,"&lt;&gt;"&amp;0)</f>
        <v>0</v>
      </c>
      <c r="O270" s="10">
        <f>ABS(SUMIFS(IsQList,IsIList,Table_ExternalData_17[[#This Row],[item_key]],IsITypeList,Table_ExternalData_17[[#Headers],[RTN]],IsDList,"&lt;&gt;"&amp;0))</f>
        <v>0</v>
      </c>
      <c r="P270" s="10">
        <f>SUM(Table_ExternalData_17[[#This Row],[R/P]:[RTN]])</f>
        <v>143</v>
      </c>
      <c r="Q270" s="10">
        <f>SUM((Table_ExternalData_17[[#This Row],[Opening]]+Table_ExternalData_17[[#This Row],[Total Receipt]])-ABS(Table_ExternalData_17[[#This Row],[Total Issue]]))</f>
        <v>-143</v>
      </c>
    </row>
    <row r="271" spans="1:17">
      <c r="A271" s="1" t="s">
        <v>777</v>
      </c>
      <c r="B271" s="1" t="s">
        <v>2673</v>
      </c>
      <c r="C271" s="1" t="s">
        <v>2674</v>
      </c>
      <c r="D271" s="10">
        <f>SUMIFS(OPBQList,OPBIList,Table_ExternalData_17[[#This Row],[item_key]])+SUMIFS(GQList,GIList,Table_ExternalData_17[[#This Row],[item_key]],GDList,0)-ABS(SUMIFS(IsQList,IsIList,Table_ExternalData_17[[#This Row],[item_key]],IsDList,0))</f>
        <v>186</v>
      </c>
      <c r="E271" s="10">
        <f>SUMIFS(GQList,GIList,Table_ExternalData_17[[#This Row],[item_key]],GTList,Table_ExternalData_17[[#Headers],[GRN]],GDList,"&lt;&gt;"&amp;0)</f>
        <v>0</v>
      </c>
      <c r="F271" s="10">
        <f>SUMIFS(GQList,GIList,Table_ExternalData_17[[#This Row],[item_key]],GTList,Table_ExternalData_17[[#Headers],[VSTR]],GDList,"&lt;&gt;"&amp;0)</f>
        <v>0</v>
      </c>
      <c r="G271" s="10">
        <f>SUMIFS(GQList,GIList,Table_ExternalData_17[[#This Row],[item_key]],GTList,Table_ExternalData_17[[#Headers],[SR]],GDList,"&lt;&gt;"&amp;0)</f>
        <v>0</v>
      </c>
      <c r="H271" s="10">
        <f>SUMIFS(GQList,GIList,Table_ExternalData_17[[#This Row],[item_key]],GTList,Table_ExternalData_17[[#Headers],[TR]],GDList,"&lt;&gt;"&amp;0)</f>
        <v>0</v>
      </c>
      <c r="I271" s="10">
        <f>SUMIFS(GQList,GIList,Table_ExternalData_17[[#This Row],[item_key]],GTList,Table_ExternalData_17[[#Headers],[RCA]],GDList,"&lt;&gt;"&amp;0)</f>
        <v>0</v>
      </c>
      <c r="J271" s="10">
        <f>SUM(Table_ExternalData_17[[#This Row],[GRN]]+Table_ExternalData_17[[#This Row],[VSTR]]+Table_ExternalData_17[[#This Row],[SR]]+Table_ExternalData_17[[#This Row],[TR]]+Table_ExternalData_17[[#This Row],[RCA]])</f>
        <v>0</v>
      </c>
      <c r="K271" s="10">
        <f>SUMIFS(IsQList,IsIList,Table_ExternalData_17[[#This Row],[item_key]],IsITypeList,Table_ExternalData_17[[#Headers],[R/P]],IsDList,"&lt;&gt;"&amp;0)</f>
        <v>0</v>
      </c>
      <c r="L271" s="10">
        <f>SUMIFS(IsQList,IsIList,Table_ExternalData_17[[#This Row],[item_key]],IsITypeList,Table_ExternalData_17[[#Headers],[CST]],IsDList,"&lt;&gt;"&amp;0)</f>
        <v>0</v>
      </c>
      <c r="M271" s="10">
        <f>SUMIFS(IsQList,IsIList,Table_ExternalData_15[[#This Row],[item_key]],IsITypeList,Table_ExternalData_17[[#Headers],[S/I]],IsDList,"&lt;&gt;"&amp;0)</f>
        <v>190</v>
      </c>
      <c r="N271" s="10">
        <f>SUMIFS(IsQList,IsIList,Table_ExternalData_15[[#This Row],[item_key]],IsITypeList,Table_ExternalData_17[[#Headers],[VST]],IsDList,"&lt;&gt;"&amp;0)</f>
        <v>0</v>
      </c>
      <c r="O271" s="10">
        <f>ABS(SUMIFS(IsQList,IsIList,Table_ExternalData_17[[#This Row],[item_key]],IsITypeList,Table_ExternalData_17[[#Headers],[RTN]],IsDList,"&lt;&gt;"&amp;0))</f>
        <v>0</v>
      </c>
      <c r="P271" s="10">
        <f>SUM(Table_ExternalData_17[[#This Row],[R/P]:[RTN]])</f>
        <v>190</v>
      </c>
      <c r="Q271" s="10">
        <f>SUM((Table_ExternalData_17[[#This Row],[Opening]]+Table_ExternalData_17[[#This Row],[Total Receipt]])-ABS(Table_ExternalData_17[[#This Row],[Total Issue]]))</f>
        <v>-4</v>
      </c>
    </row>
    <row r="272" spans="1:17">
      <c r="A272" s="1" t="s">
        <v>1840</v>
      </c>
      <c r="B272" s="1" t="s">
        <v>2402</v>
      </c>
      <c r="C272" s="1" t="s">
        <v>2403</v>
      </c>
      <c r="D272" s="10">
        <f>SUMIFS(OPBQList,OPBIList,Table_ExternalData_17[[#This Row],[item_key]])+SUMIFS(GQList,GIList,Table_ExternalData_17[[#This Row],[item_key]],GDList,0)-ABS(SUMIFS(IsQList,IsIList,Table_ExternalData_17[[#This Row],[item_key]],IsDList,0))</f>
        <v>182</v>
      </c>
      <c r="E272" s="10">
        <f>SUMIFS(GQList,GIList,Table_ExternalData_17[[#This Row],[item_key]],GTList,Table_ExternalData_17[[#Headers],[GRN]],GDList,"&lt;&gt;"&amp;0)</f>
        <v>0</v>
      </c>
      <c r="F272" s="10">
        <f>SUMIFS(GQList,GIList,Table_ExternalData_17[[#This Row],[item_key]],GTList,Table_ExternalData_17[[#Headers],[VSTR]],GDList,"&lt;&gt;"&amp;0)</f>
        <v>0</v>
      </c>
      <c r="G272" s="10">
        <f>SUMIFS(GQList,GIList,Table_ExternalData_17[[#This Row],[item_key]],GTList,Table_ExternalData_17[[#Headers],[SR]],GDList,"&lt;&gt;"&amp;0)</f>
        <v>0</v>
      </c>
      <c r="H272" s="10">
        <f>SUMIFS(GQList,GIList,Table_ExternalData_17[[#This Row],[item_key]],GTList,Table_ExternalData_17[[#Headers],[TR]],GDList,"&lt;&gt;"&amp;0)</f>
        <v>0</v>
      </c>
      <c r="I272" s="10">
        <f>SUMIFS(GQList,GIList,Table_ExternalData_17[[#This Row],[item_key]],GTList,Table_ExternalData_17[[#Headers],[RCA]],GDList,"&lt;&gt;"&amp;0)</f>
        <v>0</v>
      </c>
      <c r="J272" s="10">
        <f>SUM(Table_ExternalData_17[[#This Row],[GRN]]+Table_ExternalData_17[[#This Row],[VSTR]]+Table_ExternalData_17[[#This Row],[SR]]+Table_ExternalData_17[[#This Row],[TR]]+Table_ExternalData_17[[#This Row],[RCA]])</f>
        <v>0</v>
      </c>
      <c r="K272" s="10">
        <f>SUMIFS(IsQList,IsIList,Table_ExternalData_17[[#This Row],[item_key]],IsITypeList,Table_ExternalData_17[[#Headers],[R/P]],IsDList,"&lt;&gt;"&amp;0)</f>
        <v>0</v>
      </c>
      <c r="L272" s="10">
        <f>SUMIFS(IsQList,IsIList,Table_ExternalData_17[[#This Row],[item_key]],IsITypeList,Table_ExternalData_17[[#Headers],[CST]],IsDList,"&lt;&gt;"&amp;0)</f>
        <v>0</v>
      </c>
      <c r="M272" s="10">
        <f>SUMIFS(IsQList,IsIList,Table_ExternalData_15[[#This Row],[item_key]],IsITypeList,Table_ExternalData_17[[#Headers],[S/I]],IsDList,"&lt;&gt;"&amp;0)</f>
        <v>26</v>
      </c>
      <c r="N272" s="10">
        <f>SUMIFS(IsQList,IsIList,Table_ExternalData_15[[#This Row],[item_key]],IsITypeList,Table_ExternalData_17[[#Headers],[VST]],IsDList,"&lt;&gt;"&amp;0)</f>
        <v>0</v>
      </c>
      <c r="O272" s="10">
        <f>ABS(SUMIFS(IsQList,IsIList,Table_ExternalData_17[[#This Row],[item_key]],IsITypeList,Table_ExternalData_17[[#Headers],[RTN]],IsDList,"&lt;&gt;"&amp;0))</f>
        <v>0</v>
      </c>
      <c r="P272" s="10">
        <f>SUM(Table_ExternalData_17[[#This Row],[R/P]:[RTN]])</f>
        <v>26</v>
      </c>
      <c r="Q272" s="10">
        <f>SUM((Table_ExternalData_17[[#This Row],[Opening]]+Table_ExternalData_17[[#This Row],[Total Receipt]])-ABS(Table_ExternalData_17[[#This Row],[Total Issue]]))</f>
        <v>156</v>
      </c>
    </row>
    <row r="273" spans="1:17">
      <c r="A273" s="1" t="s">
        <v>1198</v>
      </c>
      <c r="B273" s="1" t="s">
        <v>2675</v>
      </c>
      <c r="C273" s="1" t="s">
        <v>2676</v>
      </c>
      <c r="D273" s="10">
        <f>SUMIFS(OPBQList,OPBIList,Table_ExternalData_17[[#This Row],[item_key]])+SUMIFS(GQList,GIList,Table_ExternalData_17[[#This Row],[item_key]],GDList,0)-ABS(SUMIFS(IsQList,IsIList,Table_ExternalData_17[[#This Row],[item_key]],IsDList,0))</f>
        <v>25106</v>
      </c>
      <c r="E273" s="10">
        <f>SUMIFS(GQList,GIList,Table_ExternalData_17[[#This Row],[item_key]],GTList,Table_ExternalData_17[[#Headers],[GRN]],GDList,"&lt;&gt;"&amp;0)</f>
        <v>0</v>
      </c>
      <c r="F273" s="10">
        <f>SUMIFS(GQList,GIList,Table_ExternalData_17[[#This Row],[item_key]],GTList,Table_ExternalData_17[[#Headers],[VSTR]],GDList,"&lt;&gt;"&amp;0)</f>
        <v>0</v>
      </c>
      <c r="G273" s="10">
        <f>SUMIFS(GQList,GIList,Table_ExternalData_17[[#This Row],[item_key]],GTList,Table_ExternalData_17[[#Headers],[SR]],GDList,"&lt;&gt;"&amp;0)</f>
        <v>0</v>
      </c>
      <c r="H273" s="10">
        <f>SUMIFS(GQList,GIList,Table_ExternalData_17[[#This Row],[item_key]],GTList,Table_ExternalData_17[[#Headers],[TR]],GDList,"&lt;&gt;"&amp;0)</f>
        <v>0</v>
      </c>
      <c r="I273" s="10">
        <f>SUMIFS(GQList,GIList,Table_ExternalData_17[[#This Row],[item_key]],GTList,Table_ExternalData_17[[#Headers],[RCA]],GDList,"&lt;&gt;"&amp;0)</f>
        <v>0</v>
      </c>
      <c r="J273" s="10">
        <f>SUM(Table_ExternalData_17[[#This Row],[GRN]]+Table_ExternalData_17[[#This Row],[VSTR]]+Table_ExternalData_17[[#This Row],[SR]]+Table_ExternalData_17[[#This Row],[TR]]+Table_ExternalData_17[[#This Row],[RCA]])</f>
        <v>0</v>
      </c>
      <c r="K273" s="10">
        <f>SUMIFS(IsQList,IsIList,Table_ExternalData_17[[#This Row],[item_key]],IsITypeList,Table_ExternalData_17[[#Headers],[R/P]],IsDList,"&lt;&gt;"&amp;0)</f>
        <v>0</v>
      </c>
      <c r="L273" s="10">
        <f>SUMIFS(IsQList,IsIList,Table_ExternalData_17[[#This Row],[item_key]],IsITypeList,Table_ExternalData_17[[#Headers],[CST]],IsDList,"&lt;&gt;"&amp;0)</f>
        <v>0</v>
      </c>
      <c r="M273" s="10">
        <f>SUMIFS(IsQList,IsIList,Table_ExternalData_15[[#This Row],[item_key]],IsITypeList,Table_ExternalData_17[[#Headers],[S/I]],IsDList,"&lt;&gt;"&amp;0)</f>
        <v>30</v>
      </c>
      <c r="N273" s="10">
        <f>SUMIFS(IsQList,IsIList,Table_ExternalData_15[[#This Row],[item_key]],IsITypeList,Table_ExternalData_17[[#Headers],[VST]],IsDList,"&lt;&gt;"&amp;0)</f>
        <v>0</v>
      </c>
      <c r="O273" s="10">
        <f>ABS(SUMIFS(IsQList,IsIList,Table_ExternalData_17[[#This Row],[item_key]],IsITypeList,Table_ExternalData_17[[#Headers],[RTN]],IsDList,"&lt;&gt;"&amp;0))</f>
        <v>0</v>
      </c>
      <c r="P273" s="10">
        <f>SUM(Table_ExternalData_17[[#This Row],[R/P]:[RTN]])</f>
        <v>30</v>
      </c>
      <c r="Q273" s="10">
        <f>SUM((Table_ExternalData_17[[#This Row],[Opening]]+Table_ExternalData_17[[#This Row],[Total Receipt]])-ABS(Table_ExternalData_17[[#This Row],[Total Issue]]))</f>
        <v>25076</v>
      </c>
    </row>
    <row r="274" spans="1:17">
      <c r="A274" s="1" t="s">
        <v>1841</v>
      </c>
      <c r="B274" s="1" t="s">
        <v>2405</v>
      </c>
      <c r="C274" s="1" t="s">
        <v>2406</v>
      </c>
      <c r="D274" s="10">
        <f>SUMIFS(OPBQList,OPBIList,Table_ExternalData_17[[#This Row],[item_key]])+SUMIFS(GQList,GIList,Table_ExternalData_17[[#This Row],[item_key]],GDList,0)-ABS(SUMIFS(IsQList,IsIList,Table_ExternalData_17[[#This Row],[item_key]],IsDList,0))</f>
        <v>5760</v>
      </c>
      <c r="E274" s="10">
        <f>SUMIFS(GQList,GIList,Table_ExternalData_17[[#This Row],[item_key]],GTList,Table_ExternalData_17[[#Headers],[GRN]],GDList,"&lt;&gt;"&amp;0)</f>
        <v>30024</v>
      </c>
      <c r="F274" s="10">
        <f>SUMIFS(GQList,GIList,Table_ExternalData_17[[#This Row],[item_key]],GTList,Table_ExternalData_17[[#Headers],[VSTR]],GDList,"&lt;&gt;"&amp;0)</f>
        <v>0</v>
      </c>
      <c r="G274" s="10">
        <f>SUMIFS(GQList,GIList,Table_ExternalData_17[[#This Row],[item_key]],GTList,Table_ExternalData_17[[#Headers],[SR]],GDList,"&lt;&gt;"&amp;0)</f>
        <v>0</v>
      </c>
      <c r="H274" s="10">
        <f>SUMIFS(GQList,GIList,Table_ExternalData_17[[#This Row],[item_key]],GTList,Table_ExternalData_17[[#Headers],[TR]],GDList,"&lt;&gt;"&amp;0)</f>
        <v>0</v>
      </c>
      <c r="I274" s="10">
        <f>SUMIFS(GQList,GIList,Table_ExternalData_17[[#This Row],[item_key]],GTList,Table_ExternalData_17[[#Headers],[RCA]],GDList,"&lt;&gt;"&amp;0)</f>
        <v>0</v>
      </c>
      <c r="J274" s="10">
        <f>SUM(Table_ExternalData_17[[#This Row],[GRN]]+Table_ExternalData_17[[#This Row],[VSTR]]+Table_ExternalData_17[[#This Row],[SR]]+Table_ExternalData_17[[#This Row],[TR]]+Table_ExternalData_17[[#This Row],[RCA]])</f>
        <v>30024</v>
      </c>
      <c r="K274" s="10">
        <f>SUMIFS(IsQList,IsIList,Table_ExternalData_17[[#This Row],[item_key]],IsITypeList,Table_ExternalData_17[[#Headers],[R/P]],IsDList,"&lt;&gt;"&amp;0)</f>
        <v>0</v>
      </c>
      <c r="L274" s="10">
        <f>SUMIFS(IsQList,IsIList,Table_ExternalData_17[[#This Row],[item_key]],IsITypeList,Table_ExternalData_17[[#Headers],[CST]],IsDList,"&lt;&gt;"&amp;0)</f>
        <v>0</v>
      </c>
      <c r="M274" s="10">
        <f>SUMIFS(IsQList,IsIList,Table_ExternalData_15[[#This Row],[item_key]],IsITypeList,Table_ExternalData_17[[#Headers],[S/I]],IsDList,"&lt;&gt;"&amp;0)</f>
        <v>120</v>
      </c>
      <c r="N274" s="10">
        <f>SUMIFS(IsQList,IsIList,Table_ExternalData_15[[#This Row],[item_key]],IsITypeList,Table_ExternalData_17[[#Headers],[VST]],IsDList,"&lt;&gt;"&amp;0)</f>
        <v>0</v>
      </c>
      <c r="O274" s="10">
        <f>ABS(SUMIFS(IsQList,IsIList,Table_ExternalData_17[[#This Row],[item_key]],IsITypeList,Table_ExternalData_17[[#Headers],[RTN]],IsDList,"&lt;&gt;"&amp;0))</f>
        <v>0</v>
      </c>
      <c r="P274" s="10">
        <f>SUM(Table_ExternalData_17[[#This Row],[R/P]:[RTN]])</f>
        <v>120</v>
      </c>
      <c r="Q274" s="10">
        <f>SUM((Table_ExternalData_17[[#This Row],[Opening]]+Table_ExternalData_17[[#This Row],[Total Receipt]])-ABS(Table_ExternalData_17[[#This Row],[Total Issue]]))</f>
        <v>35664</v>
      </c>
    </row>
    <row r="275" spans="1:17">
      <c r="A275" s="1" t="s">
        <v>1846</v>
      </c>
      <c r="B275" s="1" t="s">
        <v>2677</v>
      </c>
      <c r="C275" s="1" t="s">
        <v>2678</v>
      </c>
      <c r="D27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75" s="10">
        <f>SUMIFS(GQList,GIList,Table_ExternalData_17[[#This Row],[item_key]],GTList,Table_ExternalData_17[[#Headers],[GRN]],GDList,"&lt;&gt;"&amp;0)</f>
        <v>500</v>
      </c>
      <c r="F275" s="10">
        <f>SUMIFS(GQList,GIList,Table_ExternalData_17[[#This Row],[item_key]],GTList,Table_ExternalData_17[[#Headers],[VSTR]],GDList,"&lt;&gt;"&amp;0)</f>
        <v>0</v>
      </c>
      <c r="G275" s="10">
        <f>SUMIFS(GQList,GIList,Table_ExternalData_17[[#This Row],[item_key]],GTList,Table_ExternalData_17[[#Headers],[SR]],GDList,"&lt;&gt;"&amp;0)</f>
        <v>0</v>
      </c>
      <c r="H275" s="10">
        <f>SUMIFS(GQList,GIList,Table_ExternalData_17[[#This Row],[item_key]],GTList,Table_ExternalData_17[[#Headers],[TR]],GDList,"&lt;&gt;"&amp;0)</f>
        <v>0</v>
      </c>
      <c r="I275" s="10">
        <f>SUMIFS(GQList,GIList,Table_ExternalData_17[[#This Row],[item_key]],GTList,Table_ExternalData_17[[#Headers],[RCA]],GDList,"&lt;&gt;"&amp;0)</f>
        <v>0</v>
      </c>
      <c r="J275" s="10">
        <f>SUM(Table_ExternalData_17[[#This Row],[GRN]]+Table_ExternalData_17[[#This Row],[VSTR]]+Table_ExternalData_17[[#This Row],[SR]]+Table_ExternalData_17[[#This Row],[TR]]+Table_ExternalData_17[[#This Row],[RCA]])</f>
        <v>500</v>
      </c>
      <c r="K275" s="10">
        <f>SUMIFS(IsQList,IsIList,Table_ExternalData_17[[#This Row],[item_key]],IsITypeList,Table_ExternalData_17[[#Headers],[R/P]],IsDList,"&lt;&gt;"&amp;0)</f>
        <v>0</v>
      </c>
      <c r="L275" s="10">
        <f>SUMIFS(IsQList,IsIList,Table_ExternalData_17[[#This Row],[item_key]],IsITypeList,Table_ExternalData_17[[#Headers],[CST]],IsDList,"&lt;&gt;"&amp;0)</f>
        <v>0</v>
      </c>
      <c r="M275" s="10">
        <f>SUMIFS(IsQList,IsIList,Table_ExternalData_15[[#This Row],[item_key]],IsITypeList,Table_ExternalData_17[[#Headers],[S/I]],IsDList,"&lt;&gt;"&amp;0)</f>
        <v>0</v>
      </c>
      <c r="N275" s="10">
        <f>SUMIFS(IsQList,IsIList,Table_ExternalData_15[[#This Row],[item_key]],IsITypeList,Table_ExternalData_17[[#Headers],[VST]],IsDList,"&lt;&gt;"&amp;0)</f>
        <v>0</v>
      </c>
      <c r="O275" s="10">
        <f>ABS(SUMIFS(IsQList,IsIList,Table_ExternalData_17[[#This Row],[item_key]],IsITypeList,Table_ExternalData_17[[#Headers],[RTN]],IsDList,"&lt;&gt;"&amp;0))</f>
        <v>0</v>
      </c>
      <c r="P275" s="10">
        <f>SUM(Table_ExternalData_17[[#This Row],[R/P]:[RTN]])</f>
        <v>0</v>
      </c>
      <c r="Q275" s="10">
        <f>SUM((Table_ExternalData_17[[#This Row],[Opening]]+Table_ExternalData_17[[#This Row],[Total Receipt]])-ABS(Table_ExternalData_17[[#This Row],[Total Issue]]))</f>
        <v>500</v>
      </c>
    </row>
    <row r="276" spans="1:17">
      <c r="A276" s="1" t="s">
        <v>1848</v>
      </c>
      <c r="B276" s="1" t="s">
        <v>2679</v>
      </c>
      <c r="C276" s="1" t="s">
        <v>2680</v>
      </c>
      <c r="D276" s="10">
        <f>SUMIFS(OPBQList,OPBIList,Table_ExternalData_17[[#This Row],[item_key]])+SUMIFS(GQList,GIList,Table_ExternalData_17[[#This Row],[item_key]],GDList,0)-ABS(SUMIFS(IsQList,IsIList,Table_ExternalData_17[[#This Row],[item_key]],IsDList,0))</f>
        <v>1</v>
      </c>
      <c r="E276" s="10">
        <f>SUMIFS(GQList,GIList,Table_ExternalData_17[[#This Row],[item_key]],GTList,Table_ExternalData_17[[#Headers],[GRN]],GDList,"&lt;&gt;"&amp;0)</f>
        <v>0</v>
      </c>
      <c r="F276" s="10">
        <f>SUMIFS(GQList,GIList,Table_ExternalData_17[[#This Row],[item_key]],GTList,Table_ExternalData_17[[#Headers],[VSTR]],GDList,"&lt;&gt;"&amp;0)</f>
        <v>0</v>
      </c>
      <c r="G276" s="10">
        <f>SUMIFS(GQList,GIList,Table_ExternalData_17[[#This Row],[item_key]],GTList,Table_ExternalData_17[[#Headers],[SR]],GDList,"&lt;&gt;"&amp;0)</f>
        <v>0</v>
      </c>
      <c r="H276" s="10">
        <f>SUMIFS(GQList,GIList,Table_ExternalData_17[[#This Row],[item_key]],GTList,Table_ExternalData_17[[#Headers],[TR]],GDList,"&lt;&gt;"&amp;0)</f>
        <v>0</v>
      </c>
      <c r="I276" s="10">
        <f>SUMIFS(GQList,GIList,Table_ExternalData_17[[#This Row],[item_key]],GTList,Table_ExternalData_17[[#Headers],[RCA]],GDList,"&lt;&gt;"&amp;0)</f>
        <v>0</v>
      </c>
      <c r="J276" s="10">
        <f>SUM(Table_ExternalData_17[[#This Row],[GRN]]+Table_ExternalData_17[[#This Row],[VSTR]]+Table_ExternalData_17[[#This Row],[SR]]+Table_ExternalData_17[[#This Row],[TR]]+Table_ExternalData_17[[#This Row],[RCA]])</f>
        <v>0</v>
      </c>
      <c r="K276" s="10">
        <f>SUMIFS(IsQList,IsIList,Table_ExternalData_17[[#This Row],[item_key]],IsITypeList,Table_ExternalData_17[[#Headers],[R/P]],IsDList,"&lt;&gt;"&amp;0)</f>
        <v>0</v>
      </c>
      <c r="L276" s="10">
        <f>SUMIFS(IsQList,IsIList,Table_ExternalData_17[[#This Row],[item_key]],IsITypeList,Table_ExternalData_17[[#Headers],[CST]],IsDList,"&lt;&gt;"&amp;0)</f>
        <v>0</v>
      </c>
      <c r="M276" s="10">
        <f>SUMIFS(IsQList,IsIList,Table_ExternalData_15[[#This Row],[item_key]],IsITypeList,Table_ExternalData_17[[#Headers],[S/I]],IsDList,"&lt;&gt;"&amp;0)</f>
        <v>3</v>
      </c>
      <c r="N276" s="10">
        <f>SUMIFS(IsQList,IsIList,Table_ExternalData_15[[#This Row],[item_key]],IsITypeList,Table_ExternalData_17[[#Headers],[VST]],IsDList,"&lt;&gt;"&amp;0)</f>
        <v>0</v>
      </c>
      <c r="O276" s="10">
        <f>ABS(SUMIFS(IsQList,IsIList,Table_ExternalData_17[[#This Row],[item_key]],IsITypeList,Table_ExternalData_17[[#Headers],[RTN]],IsDList,"&lt;&gt;"&amp;0))</f>
        <v>0</v>
      </c>
      <c r="P276" s="10">
        <f>SUM(Table_ExternalData_17[[#This Row],[R/P]:[RTN]])</f>
        <v>3</v>
      </c>
      <c r="Q276" s="10">
        <f>SUM((Table_ExternalData_17[[#This Row],[Opening]]+Table_ExternalData_17[[#This Row],[Total Receipt]])-ABS(Table_ExternalData_17[[#This Row],[Total Issue]]))</f>
        <v>-2</v>
      </c>
    </row>
    <row r="277" spans="1:17">
      <c r="A277" s="1" t="s">
        <v>1852</v>
      </c>
      <c r="B277" s="1" t="s">
        <v>2681</v>
      </c>
      <c r="C277" s="1" t="s">
        <v>2682</v>
      </c>
      <c r="D277" s="10">
        <f>SUMIFS(OPBQList,OPBIList,Table_ExternalData_17[[#This Row],[item_key]])+SUMIFS(GQList,GIList,Table_ExternalData_17[[#This Row],[item_key]],GDList,0)-ABS(SUMIFS(IsQList,IsIList,Table_ExternalData_17[[#This Row],[item_key]],IsDList,0))</f>
        <v>149</v>
      </c>
      <c r="E277" s="10">
        <f>SUMIFS(GQList,GIList,Table_ExternalData_17[[#This Row],[item_key]],GTList,Table_ExternalData_17[[#Headers],[GRN]],GDList,"&lt;&gt;"&amp;0)</f>
        <v>0</v>
      </c>
      <c r="F277" s="10">
        <f>SUMIFS(GQList,GIList,Table_ExternalData_17[[#This Row],[item_key]],GTList,Table_ExternalData_17[[#Headers],[VSTR]],GDList,"&lt;&gt;"&amp;0)</f>
        <v>0</v>
      </c>
      <c r="G277" s="10">
        <f>SUMIFS(GQList,GIList,Table_ExternalData_17[[#This Row],[item_key]],GTList,Table_ExternalData_17[[#Headers],[SR]],GDList,"&lt;&gt;"&amp;0)</f>
        <v>0</v>
      </c>
      <c r="H277" s="10">
        <f>SUMIFS(GQList,GIList,Table_ExternalData_17[[#This Row],[item_key]],GTList,Table_ExternalData_17[[#Headers],[TR]],GDList,"&lt;&gt;"&amp;0)</f>
        <v>0</v>
      </c>
      <c r="I277" s="10">
        <f>SUMIFS(GQList,GIList,Table_ExternalData_17[[#This Row],[item_key]],GTList,Table_ExternalData_17[[#Headers],[RCA]],GDList,"&lt;&gt;"&amp;0)</f>
        <v>0</v>
      </c>
      <c r="J277" s="10">
        <f>SUM(Table_ExternalData_17[[#This Row],[GRN]]+Table_ExternalData_17[[#This Row],[VSTR]]+Table_ExternalData_17[[#This Row],[SR]]+Table_ExternalData_17[[#This Row],[TR]]+Table_ExternalData_17[[#This Row],[RCA]])</f>
        <v>0</v>
      </c>
      <c r="K277" s="10">
        <f>SUMIFS(IsQList,IsIList,Table_ExternalData_17[[#This Row],[item_key]],IsITypeList,Table_ExternalData_17[[#Headers],[R/P]],IsDList,"&lt;&gt;"&amp;0)</f>
        <v>0</v>
      </c>
      <c r="L277" s="10">
        <f>SUMIFS(IsQList,IsIList,Table_ExternalData_17[[#This Row],[item_key]],IsITypeList,Table_ExternalData_17[[#Headers],[CST]],IsDList,"&lt;&gt;"&amp;0)</f>
        <v>0</v>
      </c>
      <c r="M277" s="10">
        <f>SUMIFS(IsQList,IsIList,Table_ExternalData_15[[#This Row],[item_key]],IsITypeList,Table_ExternalData_17[[#Headers],[S/I]],IsDList,"&lt;&gt;"&amp;0)</f>
        <v>58</v>
      </c>
      <c r="N277" s="10">
        <f>SUMIFS(IsQList,IsIList,Table_ExternalData_15[[#This Row],[item_key]],IsITypeList,Table_ExternalData_17[[#Headers],[VST]],IsDList,"&lt;&gt;"&amp;0)</f>
        <v>0</v>
      </c>
      <c r="O277" s="10">
        <f>ABS(SUMIFS(IsQList,IsIList,Table_ExternalData_17[[#This Row],[item_key]],IsITypeList,Table_ExternalData_17[[#Headers],[RTN]],IsDList,"&lt;&gt;"&amp;0))</f>
        <v>0</v>
      </c>
      <c r="P277" s="10">
        <f>SUM(Table_ExternalData_17[[#This Row],[R/P]:[RTN]])</f>
        <v>58</v>
      </c>
      <c r="Q277" s="10">
        <f>SUM((Table_ExternalData_17[[#This Row],[Opening]]+Table_ExternalData_17[[#This Row],[Total Receipt]])-ABS(Table_ExternalData_17[[#This Row],[Total Issue]]))</f>
        <v>91</v>
      </c>
    </row>
    <row r="278" spans="1:17">
      <c r="A278" s="1" t="s">
        <v>779</v>
      </c>
      <c r="B278" s="1" t="s">
        <v>2683</v>
      </c>
      <c r="C278" s="1" t="s">
        <v>2684</v>
      </c>
      <c r="D278" s="10">
        <f>SUMIFS(OPBQList,OPBIList,Table_ExternalData_17[[#This Row],[item_key]])+SUMIFS(GQList,GIList,Table_ExternalData_17[[#This Row],[item_key]],GDList,0)-ABS(SUMIFS(IsQList,IsIList,Table_ExternalData_17[[#This Row],[item_key]],IsDList,0))</f>
        <v>105</v>
      </c>
      <c r="E278" s="10">
        <f>SUMIFS(GQList,GIList,Table_ExternalData_17[[#This Row],[item_key]],GTList,Table_ExternalData_17[[#Headers],[GRN]],GDList,"&lt;&gt;"&amp;0)</f>
        <v>0</v>
      </c>
      <c r="F278" s="10">
        <f>SUMIFS(GQList,GIList,Table_ExternalData_17[[#This Row],[item_key]],GTList,Table_ExternalData_17[[#Headers],[VSTR]],GDList,"&lt;&gt;"&amp;0)</f>
        <v>0</v>
      </c>
      <c r="G278" s="10">
        <f>SUMIFS(GQList,GIList,Table_ExternalData_17[[#This Row],[item_key]],GTList,Table_ExternalData_17[[#Headers],[SR]],GDList,"&lt;&gt;"&amp;0)</f>
        <v>0</v>
      </c>
      <c r="H278" s="10">
        <f>SUMIFS(GQList,GIList,Table_ExternalData_17[[#This Row],[item_key]],GTList,Table_ExternalData_17[[#Headers],[TR]],GDList,"&lt;&gt;"&amp;0)</f>
        <v>0</v>
      </c>
      <c r="I278" s="10">
        <f>SUMIFS(GQList,GIList,Table_ExternalData_17[[#This Row],[item_key]],GTList,Table_ExternalData_17[[#Headers],[RCA]],GDList,"&lt;&gt;"&amp;0)</f>
        <v>0</v>
      </c>
      <c r="J278" s="10">
        <f>SUM(Table_ExternalData_17[[#This Row],[GRN]]+Table_ExternalData_17[[#This Row],[VSTR]]+Table_ExternalData_17[[#This Row],[SR]]+Table_ExternalData_17[[#This Row],[TR]]+Table_ExternalData_17[[#This Row],[RCA]])</f>
        <v>0</v>
      </c>
      <c r="K278" s="10">
        <f>SUMIFS(IsQList,IsIList,Table_ExternalData_17[[#This Row],[item_key]],IsITypeList,Table_ExternalData_17[[#Headers],[R/P]],IsDList,"&lt;&gt;"&amp;0)</f>
        <v>0</v>
      </c>
      <c r="L278" s="10">
        <f>SUMIFS(IsQList,IsIList,Table_ExternalData_17[[#This Row],[item_key]],IsITypeList,Table_ExternalData_17[[#Headers],[CST]],IsDList,"&lt;&gt;"&amp;0)</f>
        <v>0</v>
      </c>
      <c r="M278" s="10">
        <f>SUMIFS(IsQList,IsIList,Table_ExternalData_15[[#This Row],[item_key]],IsITypeList,Table_ExternalData_17[[#Headers],[S/I]],IsDList,"&lt;&gt;"&amp;0)</f>
        <v>19</v>
      </c>
      <c r="N278" s="10">
        <f>SUMIFS(IsQList,IsIList,Table_ExternalData_15[[#This Row],[item_key]],IsITypeList,Table_ExternalData_17[[#Headers],[VST]],IsDList,"&lt;&gt;"&amp;0)</f>
        <v>0</v>
      </c>
      <c r="O278" s="10">
        <f>ABS(SUMIFS(IsQList,IsIList,Table_ExternalData_17[[#This Row],[item_key]],IsITypeList,Table_ExternalData_17[[#Headers],[RTN]],IsDList,"&lt;&gt;"&amp;0))</f>
        <v>0</v>
      </c>
      <c r="P278" s="10">
        <f>SUM(Table_ExternalData_17[[#This Row],[R/P]:[RTN]])</f>
        <v>19</v>
      </c>
      <c r="Q278" s="10">
        <f>SUM((Table_ExternalData_17[[#This Row],[Opening]]+Table_ExternalData_17[[#This Row],[Total Receipt]])-ABS(Table_ExternalData_17[[#This Row],[Total Issue]]))</f>
        <v>86</v>
      </c>
    </row>
    <row r="279" spans="1:17">
      <c r="A279" s="1" t="s">
        <v>1866</v>
      </c>
      <c r="B279" s="1" t="s">
        <v>2685</v>
      </c>
      <c r="C279" s="1" t="s">
        <v>2686</v>
      </c>
      <c r="D279" s="10">
        <f>SUMIFS(OPBQList,OPBIList,Table_ExternalData_17[[#This Row],[item_key]])+SUMIFS(GQList,GIList,Table_ExternalData_17[[#This Row],[item_key]],GDList,0)-ABS(SUMIFS(IsQList,IsIList,Table_ExternalData_17[[#This Row],[item_key]],IsDList,0))</f>
        <v>475</v>
      </c>
      <c r="E279" s="10">
        <f>SUMIFS(GQList,GIList,Table_ExternalData_17[[#This Row],[item_key]],GTList,Table_ExternalData_17[[#Headers],[GRN]],GDList,"&lt;&gt;"&amp;0)</f>
        <v>0</v>
      </c>
      <c r="F279" s="10">
        <f>SUMIFS(GQList,GIList,Table_ExternalData_17[[#This Row],[item_key]],GTList,Table_ExternalData_17[[#Headers],[VSTR]],GDList,"&lt;&gt;"&amp;0)</f>
        <v>0</v>
      </c>
      <c r="G279" s="10">
        <f>SUMIFS(GQList,GIList,Table_ExternalData_17[[#This Row],[item_key]],GTList,Table_ExternalData_17[[#Headers],[SR]],GDList,"&lt;&gt;"&amp;0)</f>
        <v>0</v>
      </c>
      <c r="H279" s="10">
        <f>SUMIFS(GQList,GIList,Table_ExternalData_17[[#This Row],[item_key]],GTList,Table_ExternalData_17[[#Headers],[TR]],GDList,"&lt;&gt;"&amp;0)</f>
        <v>0</v>
      </c>
      <c r="I279" s="10">
        <f>SUMIFS(GQList,GIList,Table_ExternalData_17[[#This Row],[item_key]],GTList,Table_ExternalData_17[[#Headers],[RCA]],GDList,"&lt;&gt;"&amp;0)</f>
        <v>0</v>
      </c>
      <c r="J279" s="10">
        <f>SUM(Table_ExternalData_17[[#This Row],[GRN]]+Table_ExternalData_17[[#This Row],[VSTR]]+Table_ExternalData_17[[#This Row],[SR]]+Table_ExternalData_17[[#This Row],[TR]]+Table_ExternalData_17[[#This Row],[RCA]])</f>
        <v>0</v>
      </c>
      <c r="K279" s="10">
        <f>SUMIFS(IsQList,IsIList,Table_ExternalData_17[[#This Row],[item_key]],IsITypeList,Table_ExternalData_17[[#Headers],[R/P]],IsDList,"&lt;&gt;"&amp;0)</f>
        <v>0</v>
      </c>
      <c r="L279" s="10">
        <f>SUMIFS(IsQList,IsIList,Table_ExternalData_17[[#This Row],[item_key]],IsITypeList,Table_ExternalData_17[[#Headers],[CST]],IsDList,"&lt;&gt;"&amp;0)</f>
        <v>0</v>
      </c>
      <c r="M279" s="10">
        <f>SUMIFS(IsQList,IsIList,Table_ExternalData_15[[#This Row],[item_key]],IsITypeList,Table_ExternalData_17[[#Headers],[S/I]],IsDList,"&lt;&gt;"&amp;0)</f>
        <v>85</v>
      </c>
      <c r="N279" s="10">
        <f>SUMIFS(IsQList,IsIList,Table_ExternalData_15[[#This Row],[item_key]],IsITypeList,Table_ExternalData_17[[#Headers],[VST]],IsDList,"&lt;&gt;"&amp;0)</f>
        <v>0</v>
      </c>
      <c r="O279" s="10">
        <f>ABS(SUMIFS(IsQList,IsIList,Table_ExternalData_17[[#This Row],[item_key]],IsITypeList,Table_ExternalData_17[[#Headers],[RTN]],IsDList,"&lt;&gt;"&amp;0))</f>
        <v>0</v>
      </c>
      <c r="P279" s="10">
        <f>SUM(Table_ExternalData_17[[#This Row],[R/P]:[RTN]])</f>
        <v>85</v>
      </c>
      <c r="Q279" s="10">
        <f>SUM((Table_ExternalData_17[[#This Row],[Opening]]+Table_ExternalData_17[[#This Row],[Total Receipt]])-ABS(Table_ExternalData_17[[#This Row],[Total Issue]]))</f>
        <v>390</v>
      </c>
    </row>
    <row r="280" spans="1:17">
      <c r="A280" s="1" t="s">
        <v>1875</v>
      </c>
      <c r="B280" s="1" t="s">
        <v>2687</v>
      </c>
      <c r="C280" s="1" t="s">
        <v>2688</v>
      </c>
      <c r="D280" s="10">
        <f>SUMIFS(OPBQList,OPBIList,Table_ExternalData_17[[#This Row],[item_key]])+SUMIFS(GQList,GIList,Table_ExternalData_17[[#This Row],[item_key]],GDList,0)-ABS(SUMIFS(IsQList,IsIList,Table_ExternalData_17[[#This Row],[item_key]],IsDList,0))</f>
        <v>652</v>
      </c>
      <c r="E280" s="10">
        <f>SUMIFS(GQList,GIList,Table_ExternalData_17[[#This Row],[item_key]],GTList,Table_ExternalData_17[[#Headers],[GRN]],GDList,"&lt;&gt;"&amp;0)</f>
        <v>800</v>
      </c>
      <c r="F280" s="10">
        <f>SUMIFS(GQList,GIList,Table_ExternalData_17[[#This Row],[item_key]],GTList,Table_ExternalData_17[[#Headers],[VSTR]],GDList,"&lt;&gt;"&amp;0)</f>
        <v>0</v>
      </c>
      <c r="G280" s="10">
        <f>SUMIFS(GQList,GIList,Table_ExternalData_17[[#This Row],[item_key]],GTList,Table_ExternalData_17[[#Headers],[SR]],GDList,"&lt;&gt;"&amp;0)</f>
        <v>0</v>
      </c>
      <c r="H280" s="10">
        <f>SUMIFS(GQList,GIList,Table_ExternalData_17[[#This Row],[item_key]],GTList,Table_ExternalData_17[[#Headers],[TR]],GDList,"&lt;&gt;"&amp;0)</f>
        <v>0</v>
      </c>
      <c r="I280" s="10">
        <f>SUMIFS(GQList,GIList,Table_ExternalData_17[[#This Row],[item_key]],GTList,Table_ExternalData_17[[#Headers],[RCA]],GDList,"&lt;&gt;"&amp;0)</f>
        <v>0</v>
      </c>
      <c r="J280" s="10">
        <f>SUM(Table_ExternalData_17[[#This Row],[GRN]]+Table_ExternalData_17[[#This Row],[VSTR]]+Table_ExternalData_17[[#This Row],[SR]]+Table_ExternalData_17[[#This Row],[TR]]+Table_ExternalData_17[[#This Row],[RCA]])</f>
        <v>800</v>
      </c>
      <c r="K280" s="10">
        <f>SUMIFS(IsQList,IsIList,Table_ExternalData_17[[#This Row],[item_key]],IsITypeList,Table_ExternalData_17[[#Headers],[R/P]],IsDList,"&lt;&gt;"&amp;0)</f>
        <v>0</v>
      </c>
      <c r="L280" s="10">
        <f>SUMIFS(IsQList,IsIList,Table_ExternalData_17[[#This Row],[item_key]],IsITypeList,Table_ExternalData_17[[#Headers],[CST]],IsDList,"&lt;&gt;"&amp;0)</f>
        <v>0</v>
      </c>
      <c r="M280" s="10">
        <f>SUMIFS(IsQList,IsIList,Table_ExternalData_15[[#This Row],[item_key]],IsITypeList,Table_ExternalData_17[[#Headers],[S/I]],IsDList,"&lt;&gt;"&amp;0)</f>
        <v>30</v>
      </c>
      <c r="N280" s="10">
        <f>SUMIFS(IsQList,IsIList,Table_ExternalData_15[[#This Row],[item_key]],IsITypeList,Table_ExternalData_17[[#Headers],[VST]],IsDList,"&lt;&gt;"&amp;0)</f>
        <v>0</v>
      </c>
      <c r="O280" s="10">
        <f>ABS(SUMIFS(IsQList,IsIList,Table_ExternalData_17[[#This Row],[item_key]],IsITypeList,Table_ExternalData_17[[#Headers],[RTN]],IsDList,"&lt;&gt;"&amp;0))</f>
        <v>0</v>
      </c>
      <c r="P280" s="10">
        <f>SUM(Table_ExternalData_17[[#This Row],[R/P]:[RTN]])</f>
        <v>30</v>
      </c>
      <c r="Q280" s="10">
        <f>SUM((Table_ExternalData_17[[#This Row],[Opening]]+Table_ExternalData_17[[#This Row],[Total Receipt]])-ABS(Table_ExternalData_17[[#This Row],[Total Issue]]))</f>
        <v>1422</v>
      </c>
    </row>
    <row r="281" spans="1:17">
      <c r="A281" s="1" t="s">
        <v>781</v>
      </c>
      <c r="B281" s="1" t="s">
        <v>2689</v>
      </c>
      <c r="C281" s="1" t="s">
        <v>2690</v>
      </c>
      <c r="D281" s="10">
        <f>SUMIFS(OPBQList,OPBIList,Table_ExternalData_17[[#This Row],[item_key]])+SUMIFS(GQList,GIList,Table_ExternalData_17[[#This Row],[item_key]],GDList,0)-ABS(SUMIFS(IsQList,IsIList,Table_ExternalData_17[[#This Row],[item_key]],IsDList,0))</f>
        <v>23380</v>
      </c>
      <c r="E281" s="10">
        <f>SUMIFS(GQList,GIList,Table_ExternalData_17[[#This Row],[item_key]],GTList,Table_ExternalData_17[[#Headers],[GRN]],GDList,"&lt;&gt;"&amp;0)</f>
        <v>3000</v>
      </c>
      <c r="F281" s="10">
        <f>SUMIFS(GQList,GIList,Table_ExternalData_17[[#This Row],[item_key]],GTList,Table_ExternalData_17[[#Headers],[VSTR]],GDList,"&lt;&gt;"&amp;0)</f>
        <v>0</v>
      </c>
      <c r="G281" s="10">
        <f>SUMIFS(GQList,GIList,Table_ExternalData_17[[#This Row],[item_key]],GTList,Table_ExternalData_17[[#Headers],[SR]],GDList,"&lt;&gt;"&amp;0)</f>
        <v>0</v>
      </c>
      <c r="H281" s="10">
        <f>SUMIFS(GQList,GIList,Table_ExternalData_17[[#This Row],[item_key]],GTList,Table_ExternalData_17[[#Headers],[TR]],GDList,"&lt;&gt;"&amp;0)</f>
        <v>0</v>
      </c>
      <c r="I281" s="10">
        <f>SUMIFS(GQList,GIList,Table_ExternalData_17[[#This Row],[item_key]],GTList,Table_ExternalData_17[[#Headers],[RCA]],GDList,"&lt;&gt;"&amp;0)</f>
        <v>0</v>
      </c>
      <c r="J281" s="10">
        <f>SUM(Table_ExternalData_17[[#This Row],[GRN]]+Table_ExternalData_17[[#This Row],[VSTR]]+Table_ExternalData_17[[#This Row],[SR]]+Table_ExternalData_17[[#This Row],[TR]]+Table_ExternalData_17[[#This Row],[RCA]])</f>
        <v>3000</v>
      </c>
      <c r="K281" s="10">
        <f>SUMIFS(IsQList,IsIList,Table_ExternalData_17[[#This Row],[item_key]],IsITypeList,Table_ExternalData_17[[#Headers],[R/P]],IsDList,"&lt;&gt;"&amp;0)</f>
        <v>0</v>
      </c>
      <c r="L281" s="10">
        <f>SUMIFS(IsQList,IsIList,Table_ExternalData_17[[#This Row],[item_key]],IsITypeList,Table_ExternalData_17[[#Headers],[CST]],IsDList,"&lt;&gt;"&amp;0)</f>
        <v>0</v>
      </c>
      <c r="M281" s="10">
        <f>SUMIFS(IsQList,IsIList,Table_ExternalData_15[[#This Row],[item_key]],IsITypeList,Table_ExternalData_17[[#Headers],[S/I]],IsDList,"&lt;&gt;"&amp;0)</f>
        <v>0</v>
      </c>
      <c r="N281" s="10">
        <f>SUMIFS(IsQList,IsIList,Table_ExternalData_15[[#This Row],[item_key]],IsITypeList,Table_ExternalData_17[[#Headers],[VST]],IsDList,"&lt;&gt;"&amp;0)</f>
        <v>0</v>
      </c>
      <c r="O281" s="10">
        <f>ABS(SUMIFS(IsQList,IsIList,Table_ExternalData_17[[#This Row],[item_key]],IsITypeList,Table_ExternalData_17[[#Headers],[RTN]],IsDList,"&lt;&gt;"&amp;0))</f>
        <v>0</v>
      </c>
      <c r="P281" s="10">
        <f>SUM(Table_ExternalData_17[[#This Row],[R/P]:[RTN]])</f>
        <v>0</v>
      </c>
      <c r="Q281" s="10">
        <f>SUM((Table_ExternalData_17[[#This Row],[Opening]]+Table_ExternalData_17[[#This Row],[Total Receipt]])-ABS(Table_ExternalData_17[[#This Row],[Total Issue]]))</f>
        <v>26380</v>
      </c>
    </row>
    <row r="282" spans="1:17">
      <c r="A282" s="1" t="s">
        <v>1878</v>
      </c>
      <c r="B282" s="1" t="s">
        <v>2691</v>
      </c>
      <c r="C282" s="1" t="s">
        <v>2692</v>
      </c>
      <c r="D282" s="10">
        <f>SUMIFS(OPBQList,OPBIList,Table_ExternalData_17[[#This Row],[item_key]])+SUMIFS(GQList,GIList,Table_ExternalData_17[[#This Row],[item_key]],GDList,0)-ABS(SUMIFS(IsQList,IsIList,Table_ExternalData_17[[#This Row],[item_key]],IsDList,0))</f>
        <v>9</v>
      </c>
      <c r="E282" s="10">
        <f>SUMIFS(GQList,GIList,Table_ExternalData_17[[#This Row],[item_key]],GTList,Table_ExternalData_17[[#Headers],[GRN]],GDList,"&lt;&gt;"&amp;0)</f>
        <v>0</v>
      </c>
      <c r="F282" s="10">
        <f>SUMIFS(GQList,GIList,Table_ExternalData_17[[#This Row],[item_key]],GTList,Table_ExternalData_17[[#Headers],[VSTR]],GDList,"&lt;&gt;"&amp;0)</f>
        <v>0</v>
      </c>
      <c r="G282" s="10">
        <f>SUMIFS(GQList,GIList,Table_ExternalData_17[[#This Row],[item_key]],GTList,Table_ExternalData_17[[#Headers],[SR]],GDList,"&lt;&gt;"&amp;0)</f>
        <v>0</v>
      </c>
      <c r="H282" s="10">
        <f>SUMIFS(GQList,GIList,Table_ExternalData_17[[#This Row],[item_key]],GTList,Table_ExternalData_17[[#Headers],[TR]],GDList,"&lt;&gt;"&amp;0)</f>
        <v>0</v>
      </c>
      <c r="I282" s="10">
        <f>SUMIFS(GQList,GIList,Table_ExternalData_17[[#This Row],[item_key]],GTList,Table_ExternalData_17[[#Headers],[RCA]],GDList,"&lt;&gt;"&amp;0)</f>
        <v>0</v>
      </c>
      <c r="J282" s="10">
        <f>SUM(Table_ExternalData_17[[#This Row],[GRN]]+Table_ExternalData_17[[#This Row],[VSTR]]+Table_ExternalData_17[[#This Row],[SR]]+Table_ExternalData_17[[#This Row],[TR]]+Table_ExternalData_17[[#This Row],[RCA]])</f>
        <v>0</v>
      </c>
      <c r="K282" s="10">
        <f>SUMIFS(IsQList,IsIList,Table_ExternalData_17[[#This Row],[item_key]],IsITypeList,Table_ExternalData_17[[#Headers],[R/P]],IsDList,"&lt;&gt;"&amp;0)</f>
        <v>0</v>
      </c>
      <c r="L282" s="10">
        <f>SUMIFS(IsQList,IsIList,Table_ExternalData_17[[#This Row],[item_key]],IsITypeList,Table_ExternalData_17[[#Headers],[CST]],IsDList,"&lt;&gt;"&amp;0)</f>
        <v>0</v>
      </c>
      <c r="M282" s="10">
        <f>SUMIFS(IsQList,IsIList,Table_ExternalData_15[[#This Row],[item_key]],IsITypeList,Table_ExternalData_17[[#Headers],[S/I]],IsDList,"&lt;&gt;"&amp;0)</f>
        <v>0</v>
      </c>
      <c r="N282" s="10">
        <f>SUMIFS(IsQList,IsIList,Table_ExternalData_15[[#This Row],[item_key]],IsITypeList,Table_ExternalData_17[[#Headers],[VST]],IsDList,"&lt;&gt;"&amp;0)</f>
        <v>0</v>
      </c>
      <c r="O282" s="10">
        <f>ABS(SUMIFS(IsQList,IsIList,Table_ExternalData_17[[#This Row],[item_key]],IsITypeList,Table_ExternalData_17[[#Headers],[RTN]],IsDList,"&lt;&gt;"&amp;0))</f>
        <v>0</v>
      </c>
      <c r="P282" s="10">
        <f>SUM(Table_ExternalData_17[[#This Row],[R/P]:[RTN]])</f>
        <v>0</v>
      </c>
      <c r="Q282" s="10">
        <f>SUM((Table_ExternalData_17[[#This Row],[Opening]]+Table_ExternalData_17[[#This Row],[Total Receipt]])-ABS(Table_ExternalData_17[[#This Row],[Total Issue]]))</f>
        <v>9</v>
      </c>
    </row>
    <row r="283" spans="1:17">
      <c r="A283" s="1" t="s">
        <v>1879</v>
      </c>
      <c r="B283" s="1" t="s">
        <v>2693</v>
      </c>
      <c r="C283" s="1" t="s">
        <v>2694</v>
      </c>
      <c r="D283" s="10">
        <f>SUMIFS(OPBQList,OPBIList,Table_ExternalData_17[[#This Row],[item_key]])+SUMIFS(GQList,GIList,Table_ExternalData_17[[#This Row],[item_key]],GDList,0)-ABS(SUMIFS(IsQList,IsIList,Table_ExternalData_17[[#This Row],[item_key]],IsDList,0))</f>
        <v>6</v>
      </c>
      <c r="E283" s="10">
        <f>SUMIFS(GQList,GIList,Table_ExternalData_17[[#This Row],[item_key]],GTList,Table_ExternalData_17[[#Headers],[GRN]],GDList,"&lt;&gt;"&amp;0)</f>
        <v>0</v>
      </c>
      <c r="F283" s="10">
        <f>SUMIFS(GQList,GIList,Table_ExternalData_17[[#This Row],[item_key]],GTList,Table_ExternalData_17[[#Headers],[VSTR]],GDList,"&lt;&gt;"&amp;0)</f>
        <v>0</v>
      </c>
      <c r="G283" s="10">
        <f>SUMIFS(GQList,GIList,Table_ExternalData_17[[#This Row],[item_key]],GTList,Table_ExternalData_17[[#Headers],[SR]],GDList,"&lt;&gt;"&amp;0)</f>
        <v>0</v>
      </c>
      <c r="H283" s="10">
        <f>SUMIFS(GQList,GIList,Table_ExternalData_17[[#This Row],[item_key]],GTList,Table_ExternalData_17[[#Headers],[TR]],GDList,"&lt;&gt;"&amp;0)</f>
        <v>0</v>
      </c>
      <c r="I283" s="10">
        <f>SUMIFS(GQList,GIList,Table_ExternalData_17[[#This Row],[item_key]],GTList,Table_ExternalData_17[[#Headers],[RCA]],GDList,"&lt;&gt;"&amp;0)</f>
        <v>0</v>
      </c>
      <c r="J283" s="10">
        <f>SUM(Table_ExternalData_17[[#This Row],[GRN]]+Table_ExternalData_17[[#This Row],[VSTR]]+Table_ExternalData_17[[#This Row],[SR]]+Table_ExternalData_17[[#This Row],[TR]]+Table_ExternalData_17[[#This Row],[RCA]])</f>
        <v>0</v>
      </c>
      <c r="K283" s="10">
        <f>SUMIFS(IsQList,IsIList,Table_ExternalData_17[[#This Row],[item_key]],IsITypeList,Table_ExternalData_17[[#Headers],[R/P]],IsDList,"&lt;&gt;"&amp;0)</f>
        <v>0</v>
      </c>
      <c r="L283" s="10">
        <f>SUMIFS(IsQList,IsIList,Table_ExternalData_17[[#This Row],[item_key]],IsITypeList,Table_ExternalData_17[[#Headers],[CST]],IsDList,"&lt;&gt;"&amp;0)</f>
        <v>0</v>
      </c>
      <c r="M283" s="10">
        <f>SUMIFS(IsQList,IsIList,Table_ExternalData_15[[#This Row],[item_key]],IsITypeList,Table_ExternalData_17[[#Headers],[S/I]],IsDList,"&lt;&gt;"&amp;0)</f>
        <v>10</v>
      </c>
      <c r="N283" s="10">
        <f>SUMIFS(IsQList,IsIList,Table_ExternalData_15[[#This Row],[item_key]],IsITypeList,Table_ExternalData_17[[#Headers],[VST]],IsDList,"&lt;&gt;"&amp;0)</f>
        <v>0</v>
      </c>
      <c r="O283" s="10">
        <f>ABS(SUMIFS(IsQList,IsIList,Table_ExternalData_17[[#This Row],[item_key]],IsITypeList,Table_ExternalData_17[[#Headers],[RTN]],IsDList,"&lt;&gt;"&amp;0))</f>
        <v>0</v>
      </c>
      <c r="P283" s="10">
        <f>SUM(Table_ExternalData_17[[#This Row],[R/P]:[RTN]])</f>
        <v>10</v>
      </c>
      <c r="Q283" s="10">
        <f>SUM((Table_ExternalData_17[[#This Row],[Opening]]+Table_ExternalData_17[[#This Row],[Total Receipt]])-ABS(Table_ExternalData_17[[#This Row],[Total Issue]]))</f>
        <v>-4</v>
      </c>
    </row>
    <row r="284" spans="1:17">
      <c r="A284" s="1" t="s">
        <v>1881</v>
      </c>
      <c r="B284" s="1" t="s">
        <v>2695</v>
      </c>
      <c r="C284" s="1" t="s">
        <v>2696</v>
      </c>
      <c r="D284" s="10">
        <f>SUMIFS(OPBQList,OPBIList,Table_ExternalData_17[[#This Row],[item_key]])+SUMIFS(GQList,GIList,Table_ExternalData_17[[#This Row],[item_key]],GDList,0)-ABS(SUMIFS(IsQList,IsIList,Table_ExternalData_17[[#This Row],[item_key]],IsDList,0))</f>
        <v>90</v>
      </c>
      <c r="E284" s="10">
        <f>SUMIFS(GQList,GIList,Table_ExternalData_17[[#This Row],[item_key]],GTList,Table_ExternalData_17[[#Headers],[GRN]],GDList,"&lt;&gt;"&amp;0)</f>
        <v>0</v>
      </c>
      <c r="F284" s="10">
        <f>SUMIFS(GQList,GIList,Table_ExternalData_17[[#This Row],[item_key]],GTList,Table_ExternalData_17[[#Headers],[VSTR]],GDList,"&lt;&gt;"&amp;0)</f>
        <v>0</v>
      </c>
      <c r="G284" s="10">
        <f>SUMIFS(GQList,GIList,Table_ExternalData_17[[#This Row],[item_key]],GTList,Table_ExternalData_17[[#Headers],[SR]],GDList,"&lt;&gt;"&amp;0)</f>
        <v>0</v>
      </c>
      <c r="H284" s="10">
        <f>SUMIFS(GQList,GIList,Table_ExternalData_17[[#This Row],[item_key]],GTList,Table_ExternalData_17[[#Headers],[TR]],GDList,"&lt;&gt;"&amp;0)</f>
        <v>0</v>
      </c>
      <c r="I284" s="10">
        <f>SUMIFS(GQList,GIList,Table_ExternalData_17[[#This Row],[item_key]],GTList,Table_ExternalData_17[[#Headers],[RCA]],GDList,"&lt;&gt;"&amp;0)</f>
        <v>0</v>
      </c>
      <c r="J284" s="10">
        <f>SUM(Table_ExternalData_17[[#This Row],[GRN]]+Table_ExternalData_17[[#This Row],[VSTR]]+Table_ExternalData_17[[#This Row],[SR]]+Table_ExternalData_17[[#This Row],[TR]]+Table_ExternalData_17[[#This Row],[RCA]])</f>
        <v>0</v>
      </c>
      <c r="K284" s="10">
        <f>SUMIFS(IsQList,IsIList,Table_ExternalData_17[[#This Row],[item_key]],IsITypeList,Table_ExternalData_17[[#Headers],[R/P]],IsDList,"&lt;&gt;"&amp;0)</f>
        <v>0</v>
      </c>
      <c r="L284" s="10">
        <f>SUMIFS(IsQList,IsIList,Table_ExternalData_17[[#This Row],[item_key]],IsITypeList,Table_ExternalData_17[[#Headers],[CST]],IsDList,"&lt;&gt;"&amp;0)</f>
        <v>0</v>
      </c>
      <c r="M284" s="10">
        <f>SUMIFS(IsQList,IsIList,Table_ExternalData_15[[#This Row],[item_key]],IsITypeList,Table_ExternalData_17[[#Headers],[S/I]],IsDList,"&lt;&gt;"&amp;0)</f>
        <v>0</v>
      </c>
      <c r="N284" s="10">
        <f>SUMIFS(IsQList,IsIList,Table_ExternalData_15[[#This Row],[item_key]],IsITypeList,Table_ExternalData_17[[#Headers],[VST]],IsDList,"&lt;&gt;"&amp;0)</f>
        <v>0</v>
      </c>
      <c r="O284" s="10">
        <f>ABS(SUMIFS(IsQList,IsIList,Table_ExternalData_17[[#This Row],[item_key]],IsITypeList,Table_ExternalData_17[[#Headers],[RTN]],IsDList,"&lt;&gt;"&amp;0))</f>
        <v>0</v>
      </c>
      <c r="P284" s="10">
        <f>SUM(Table_ExternalData_17[[#This Row],[R/P]:[RTN]])</f>
        <v>0</v>
      </c>
      <c r="Q284" s="10">
        <f>SUM((Table_ExternalData_17[[#This Row],[Opening]]+Table_ExternalData_17[[#This Row],[Total Receipt]])-ABS(Table_ExternalData_17[[#This Row],[Total Issue]]))</f>
        <v>90</v>
      </c>
    </row>
    <row r="285" spans="1:17">
      <c r="A285" s="1" t="s">
        <v>783</v>
      </c>
      <c r="B285" s="1" t="s">
        <v>2697</v>
      </c>
      <c r="C285" s="1" t="s">
        <v>2698</v>
      </c>
      <c r="D285" s="10">
        <f>SUMIFS(OPBQList,OPBIList,Table_ExternalData_17[[#This Row],[item_key]])+SUMIFS(GQList,GIList,Table_ExternalData_17[[#This Row],[item_key]],GDList,0)-ABS(SUMIFS(IsQList,IsIList,Table_ExternalData_17[[#This Row],[item_key]],IsDList,0))</f>
        <v>564</v>
      </c>
      <c r="E285" s="10">
        <f>SUMIFS(GQList,GIList,Table_ExternalData_17[[#This Row],[item_key]],GTList,Table_ExternalData_17[[#Headers],[GRN]],GDList,"&lt;&gt;"&amp;0)</f>
        <v>0</v>
      </c>
      <c r="F285" s="10">
        <f>SUMIFS(GQList,GIList,Table_ExternalData_17[[#This Row],[item_key]],GTList,Table_ExternalData_17[[#Headers],[VSTR]],GDList,"&lt;&gt;"&amp;0)</f>
        <v>0</v>
      </c>
      <c r="G285" s="10">
        <f>SUMIFS(GQList,GIList,Table_ExternalData_17[[#This Row],[item_key]],GTList,Table_ExternalData_17[[#Headers],[SR]],GDList,"&lt;&gt;"&amp;0)</f>
        <v>0</v>
      </c>
      <c r="H285" s="10">
        <f>SUMIFS(GQList,GIList,Table_ExternalData_17[[#This Row],[item_key]],GTList,Table_ExternalData_17[[#Headers],[TR]],GDList,"&lt;&gt;"&amp;0)</f>
        <v>0</v>
      </c>
      <c r="I285" s="10">
        <f>SUMIFS(GQList,GIList,Table_ExternalData_17[[#This Row],[item_key]],GTList,Table_ExternalData_17[[#Headers],[RCA]],GDList,"&lt;&gt;"&amp;0)</f>
        <v>0</v>
      </c>
      <c r="J285" s="10">
        <f>SUM(Table_ExternalData_17[[#This Row],[GRN]]+Table_ExternalData_17[[#This Row],[VSTR]]+Table_ExternalData_17[[#This Row],[SR]]+Table_ExternalData_17[[#This Row],[TR]]+Table_ExternalData_17[[#This Row],[RCA]])</f>
        <v>0</v>
      </c>
      <c r="K285" s="10">
        <f>SUMIFS(IsQList,IsIList,Table_ExternalData_17[[#This Row],[item_key]],IsITypeList,Table_ExternalData_17[[#Headers],[R/P]],IsDList,"&lt;&gt;"&amp;0)</f>
        <v>0</v>
      </c>
      <c r="L285" s="10">
        <f>SUMIFS(IsQList,IsIList,Table_ExternalData_17[[#This Row],[item_key]],IsITypeList,Table_ExternalData_17[[#Headers],[CST]],IsDList,"&lt;&gt;"&amp;0)</f>
        <v>0</v>
      </c>
      <c r="M285" s="10">
        <f>SUMIFS(IsQList,IsIList,Table_ExternalData_15[[#This Row],[item_key]],IsITypeList,Table_ExternalData_17[[#Headers],[S/I]],IsDList,"&lt;&gt;"&amp;0)</f>
        <v>50</v>
      </c>
      <c r="N285" s="10">
        <f>SUMIFS(IsQList,IsIList,Table_ExternalData_15[[#This Row],[item_key]],IsITypeList,Table_ExternalData_17[[#Headers],[VST]],IsDList,"&lt;&gt;"&amp;0)</f>
        <v>0</v>
      </c>
      <c r="O285" s="10">
        <f>ABS(SUMIFS(IsQList,IsIList,Table_ExternalData_17[[#This Row],[item_key]],IsITypeList,Table_ExternalData_17[[#Headers],[RTN]],IsDList,"&lt;&gt;"&amp;0))</f>
        <v>0</v>
      </c>
      <c r="P285" s="10">
        <f>SUM(Table_ExternalData_17[[#This Row],[R/P]:[RTN]])</f>
        <v>50</v>
      </c>
      <c r="Q285" s="10">
        <f>SUM((Table_ExternalData_17[[#This Row],[Opening]]+Table_ExternalData_17[[#This Row],[Total Receipt]])-ABS(Table_ExternalData_17[[#This Row],[Total Issue]]))</f>
        <v>514</v>
      </c>
    </row>
    <row r="286" spans="1:17">
      <c r="A286" s="1" t="s">
        <v>1887</v>
      </c>
      <c r="B286" s="1" t="s">
        <v>2699</v>
      </c>
      <c r="C286" s="1" t="s">
        <v>2700</v>
      </c>
      <c r="D286" s="10">
        <f>SUMIFS(OPBQList,OPBIList,Table_ExternalData_17[[#This Row],[item_key]])+SUMIFS(GQList,GIList,Table_ExternalData_17[[#This Row],[item_key]],GDList,0)-ABS(SUMIFS(IsQList,IsIList,Table_ExternalData_17[[#This Row],[item_key]],IsDList,0))</f>
        <v>939</v>
      </c>
      <c r="E286" s="10">
        <f>SUMIFS(GQList,GIList,Table_ExternalData_17[[#This Row],[item_key]],GTList,Table_ExternalData_17[[#Headers],[GRN]],GDList,"&lt;&gt;"&amp;0)</f>
        <v>0</v>
      </c>
      <c r="F286" s="10">
        <f>SUMIFS(GQList,GIList,Table_ExternalData_17[[#This Row],[item_key]],GTList,Table_ExternalData_17[[#Headers],[VSTR]],GDList,"&lt;&gt;"&amp;0)</f>
        <v>0</v>
      </c>
      <c r="G286" s="10">
        <f>SUMIFS(GQList,GIList,Table_ExternalData_17[[#This Row],[item_key]],GTList,Table_ExternalData_17[[#Headers],[SR]],GDList,"&lt;&gt;"&amp;0)</f>
        <v>0</v>
      </c>
      <c r="H286" s="10">
        <f>SUMIFS(GQList,GIList,Table_ExternalData_17[[#This Row],[item_key]],GTList,Table_ExternalData_17[[#Headers],[TR]],GDList,"&lt;&gt;"&amp;0)</f>
        <v>0</v>
      </c>
      <c r="I286" s="10">
        <f>SUMIFS(GQList,GIList,Table_ExternalData_17[[#This Row],[item_key]],GTList,Table_ExternalData_17[[#Headers],[RCA]],GDList,"&lt;&gt;"&amp;0)</f>
        <v>0</v>
      </c>
      <c r="J286" s="10">
        <f>SUM(Table_ExternalData_17[[#This Row],[GRN]]+Table_ExternalData_17[[#This Row],[VSTR]]+Table_ExternalData_17[[#This Row],[SR]]+Table_ExternalData_17[[#This Row],[TR]]+Table_ExternalData_17[[#This Row],[RCA]])</f>
        <v>0</v>
      </c>
      <c r="K286" s="10">
        <f>SUMIFS(IsQList,IsIList,Table_ExternalData_17[[#This Row],[item_key]],IsITypeList,Table_ExternalData_17[[#Headers],[R/P]],IsDList,"&lt;&gt;"&amp;0)</f>
        <v>0</v>
      </c>
      <c r="L286" s="10">
        <f>SUMIFS(IsQList,IsIList,Table_ExternalData_17[[#This Row],[item_key]],IsITypeList,Table_ExternalData_17[[#Headers],[CST]],IsDList,"&lt;&gt;"&amp;0)</f>
        <v>0</v>
      </c>
      <c r="M286" s="10">
        <f>SUMIFS(IsQList,IsIList,Table_ExternalData_15[[#This Row],[item_key]],IsITypeList,Table_ExternalData_17[[#Headers],[S/I]],IsDList,"&lt;&gt;"&amp;0)</f>
        <v>0</v>
      </c>
      <c r="N286" s="10">
        <f>SUMIFS(IsQList,IsIList,Table_ExternalData_15[[#This Row],[item_key]],IsITypeList,Table_ExternalData_17[[#Headers],[VST]],IsDList,"&lt;&gt;"&amp;0)</f>
        <v>0</v>
      </c>
      <c r="O286" s="10">
        <f>ABS(SUMIFS(IsQList,IsIList,Table_ExternalData_17[[#This Row],[item_key]],IsITypeList,Table_ExternalData_17[[#Headers],[RTN]],IsDList,"&lt;&gt;"&amp;0))</f>
        <v>0</v>
      </c>
      <c r="P286" s="10">
        <f>SUM(Table_ExternalData_17[[#This Row],[R/P]:[RTN]])</f>
        <v>0</v>
      </c>
      <c r="Q286" s="10">
        <f>SUM((Table_ExternalData_17[[#This Row],[Opening]]+Table_ExternalData_17[[#This Row],[Total Receipt]])-ABS(Table_ExternalData_17[[#This Row],[Total Issue]]))</f>
        <v>939</v>
      </c>
    </row>
    <row r="287" spans="1:17">
      <c r="A287" s="1" t="s">
        <v>1895</v>
      </c>
      <c r="B287" s="1" t="s">
        <v>2701</v>
      </c>
      <c r="C287" s="1" t="s">
        <v>2702</v>
      </c>
      <c r="D287" s="10">
        <f>SUMIFS(OPBQList,OPBIList,Table_ExternalData_17[[#This Row],[item_key]])+SUMIFS(GQList,GIList,Table_ExternalData_17[[#This Row],[item_key]],GDList,0)-ABS(SUMIFS(IsQList,IsIList,Table_ExternalData_17[[#This Row],[item_key]],IsDList,0))</f>
        <v>600</v>
      </c>
      <c r="E287" s="10">
        <f>SUMIFS(GQList,GIList,Table_ExternalData_17[[#This Row],[item_key]],GTList,Table_ExternalData_17[[#Headers],[GRN]],GDList,"&lt;&gt;"&amp;0)</f>
        <v>0</v>
      </c>
      <c r="F287" s="10">
        <f>SUMIFS(GQList,GIList,Table_ExternalData_17[[#This Row],[item_key]],GTList,Table_ExternalData_17[[#Headers],[VSTR]],GDList,"&lt;&gt;"&amp;0)</f>
        <v>0</v>
      </c>
      <c r="G287" s="10">
        <f>SUMIFS(GQList,GIList,Table_ExternalData_17[[#This Row],[item_key]],GTList,Table_ExternalData_17[[#Headers],[SR]],GDList,"&lt;&gt;"&amp;0)</f>
        <v>0</v>
      </c>
      <c r="H287" s="10">
        <f>SUMIFS(GQList,GIList,Table_ExternalData_17[[#This Row],[item_key]],GTList,Table_ExternalData_17[[#Headers],[TR]],GDList,"&lt;&gt;"&amp;0)</f>
        <v>0</v>
      </c>
      <c r="I287" s="10">
        <f>SUMIFS(GQList,GIList,Table_ExternalData_17[[#This Row],[item_key]],GTList,Table_ExternalData_17[[#Headers],[RCA]],GDList,"&lt;&gt;"&amp;0)</f>
        <v>0</v>
      </c>
      <c r="J287" s="10">
        <f>SUM(Table_ExternalData_17[[#This Row],[GRN]]+Table_ExternalData_17[[#This Row],[VSTR]]+Table_ExternalData_17[[#This Row],[SR]]+Table_ExternalData_17[[#This Row],[TR]]+Table_ExternalData_17[[#This Row],[RCA]])</f>
        <v>0</v>
      </c>
      <c r="K287" s="10">
        <f>SUMIFS(IsQList,IsIList,Table_ExternalData_17[[#This Row],[item_key]],IsITypeList,Table_ExternalData_17[[#Headers],[R/P]],IsDList,"&lt;&gt;"&amp;0)</f>
        <v>0</v>
      </c>
      <c r="L287" s="10">
        <f>SUMIFS(IsQList,IsIList,Table_ExternalData_17[[#This Row],[item_key]],IsITypeList,Table_ExternalData_17[[#Headers],[CST]],IsDList,"&lt;&gt;"&amp;0)</f>
        <v>0</v>
      </c>
      <c r="M287" s="10">
        <f>SUMIFS(IsQList,IsIList,Table_ExternalData_15[[#This Row],[item_key]],IsITypeList,Table_ExternalData_17[[#Headers],[S/I]],IsDList,"&lt;&gt;"&amp;0)</f>
        <v>38</v>
      </c>
      <c r="N287" s="10">
        <f>SUMIFS(IsQList,IsIList,Table_ExternalData_15[[#This Row],[item_key]],IsITypeList,Table_ExternalData_17[[#Headers],[VST]],IsDList,"&lt;&gt;"&amp;0)</f>
        <v>0</v>
      </c>
      <c r="O287" s="10">
        <f>ABS(SUMIFS(IsQList,IsIList,Table_ExternalData_17[[#This Row],[item_key]],IsITypeList,Table_ExternalData_17[[#Headers],[RTN]],IsDList,"&lt;&gt;"&amp;0))</f>
        <v>0</v>
      </c>
      <c r="P287" s="10">
        <f>SUM(Table_ExternalData_17[[#This Row],[R/P]:[RTN]])</f>
        <v>38</v>
      </c>
      <c r="Q287" s="10">
        <f>SUM((Table_ExternalData_17[[#This Row],[Opening]]+Table_ExternalData_17[[#This Row],[Total Receipt]])-ABS(Table_ExternalData_17[[#This Row],[Total Issue]]))</f>
        <v>562</v>
      </c>
    </row>
    <row r="288" spans="1:17">
      <c r="A288" s="1" t="s">
        <v>1897</v>
      </c>
      <c r="B288" s="1" t="s">
        <v>2703</v>
      </c>
      <c r="C288" s="1" t="s">
        <v>2704</v>
      </c>
      <c r="D288" s="10">
        <f>SUMIFS(OPBQList,OPBIList,Table_ExternalData_17[[#This Row],[item_key]])+SUMIFS(GQList,GIList,Table_ExternalData_17[[#This Row],[item_key]],GDList,0)-ABS(SUMIFS(IsQList,IsIList,Table_ExternalData_17[[#This Row],[item_key]],IsDList,0))</f>
        <v>699</v>
      </c>
      <c r="E288" s="10">
        <f>SUMIFS(GQList,GIList,Table_ExternalData_17[[#This Row],[item_key]],GTList,Table_ExternalData_17[[#Headers],[GRN]],GDList,"&lt;&gt;"&amp;0)</f>
        <v>0</v>
      </c>
      <c r="F288" s="10">
        <f>SUMIFS(GQList,GIList,Table_ExternalData_17[[#This Row],[item_key]],GTList,Table_ExternalData_17[[#Headers],[VSTR]],GDList,"&lt;&gt;"&amp;0)</f>
        <v>0</v>
      </c>
      <c r="G288" s="10">
        <f>SUMIFS(GQList,GIList,Table_ExternalData_17[[#This Row],[item_key]],GTList,Table_ExternalData_17[[#Headers],[SR]],GDList,"&lt;&gt;"&amp;0)</f>
        <v>0</v>
      </c>
      <c r="H288" s="10">
        <f>SUMIFS(GQList,GIList,Table_ExternalData_17[[#This Row],[item_key]],GTList,Table_ExternalData_17[[#Headers],[TR]],GDList,"&lt;&gt;"&amp;0)</f>
        <v>0</v>
      </c>
      <c r="I288" s="10">
        <f>SUMIFS(GQList,GIList,Table_ExternalData_17[[#This Row],[item_key]],GTList,Table_ExternalData_17[[#Headers],[RCA]],GDList,"&lt;&gt;"&amp;0)</f>
        <v>0</v>
      </c>
      <c r="J288" s="10">
        <f>SUM(Table_ExternalData_17[[#This Row],[GRN]]+Table_ExternalData_17[[#This Row],[VSTR]]+Table_ExternalData_17[[#This Row],[SR]]+Table_ExternalData_17[[#This Row],[TR]]+Table_ExternalData_17[[#This Row],[RCA]])</f>
        <v>0</v>
      </c>
      <c r="K288" s="10">
        <f>SUMIFS(IsQList,IsIList,Table_ExternalData_17[[#This Row],[item_key]],IsITypeList,Table_ExternalData_17[[#Headers],[R/P]],IsDList,"&lt;&gt;"&amp;0)</f>
        <v>0</v>
      </c>
      <c r="L288" s="10">
        <f>SUMIFS(IsQList,IsIList,Table_ExternalData_17[[#This Row],[item_key]],IsITypeList,Table_ExternalData_17[[#Headers],[CST]],IsDList,"&lt;&gt;"&amp;0)</f>
        <v>0</v>
      </c>
      <c r="M288" s="10">
        <f>SUMIFS(IsQList,IsIList,Table_ExternalData_15[[#This Row],[item_key]],IsITypeList,Table_ExternalData_17[[#Headers],[S/I]],IsDList,"&lt;&gt;"&amp;0)</f>
        <v>0</v>
      </c>
      <c r="N288" s="10">
        <f>SUMIFS(IsQList,IsIList,Table_ExternalData_15[[#This Row],[item_key]],IsITypeList,Table_ExternalData_17[[#Headers],[VST]],IsDList,"&lt;&gt;"&amp;0)</f>
        <v>0</v>
      </c>
      <c r="O288" s="10">
        <f>ABS(SUMIFS(IsQList,IsIList,Table_ExternalData_17[[#This Row],[item_key]],IsITypeList,Table_ExternalData_17[[#Headers],[RTN]],IsDList,"&lt;&gt;"&amp;0))</f>
        <v>0</v>
      </c>
      <c r="P288" s="10">
        <f>SUM(Table_ExternalData_17[[#This Row],[R/P]:[RTN]])</f>
        <v>0</v>
      </c>
      <c r="Q288" s="10">
        <f>SUM((Table_ExternalData_17[[#This Row],[Opening]]+Table_ExternalData_17[[#This Row],[Total Receipt]])-ABS(Table_ExternalData_17[[#This Row],[Total Issue]]))</f>
        <v>699</v>
      </c>
    </row>
    <row r="289" spans="1:17">
      <c r="A289" s="1" t="s">
        <v>1900</v>
      </c>
      <c r="B289" s="1" t="s">
        <v>2705</v>
      </c>
      <c r="C289" s="1" t="s">
        <v>2706</v>
      </c>
      <c r="D289" s="10">
        <f>SUMIFS(OPBQList,OPBIList,Table_ExternalData_17[[#This Row],[item_key]])+SUMIFS(GQList,GIList,Table_ExternalData_17[[#This Row],[item_key]],GDList,0)-ABS(SUMIFS(IsQList,IsIList,Table_ExternalData_17[[#This Row],[item_key]],IsDList,0))</f>
        <v>667</v>
      </c>
      <c r="E289" s="10">
        <f>SUMIFS(GQList,GIList,Table_ExternalData_17[[#This Row],[item_key]],GTList,Table_ExternalData_17[[#Headers],[GRN]],GDList,"&lt;&gt;"&amp;0)</f>
        <v>0</v>
      </c>
      <c r="F289" s="10">
        <f>SUMIFS(GQList,GIList,Table_ExternalData_17[[#This Row],[item_key]],GTList,Table_ExternalData_17[[#Headers],[VSTR]],GDList,"&lt;&gt;"&amp;0)</f>
        <v>0</v>
      </c>
      <c r="G289" s="10">
        <f>SUMIFS(GQList,GIList,Table_ExternalData_17[[#This Row],[item_key]],GTList,Table_ExternalData_17[[#Headers],[SR]],GDList,"&lt;&gt;"&amp;0)</f>
        <v>0</v>
      </c>
      <c r="H289" s="10">
        <f>SUMIFS(GQList,GIList,Table_ExternalData_17[[#This Row],[item_key]],GTList,Table_ExternalData_17[[#Headers],[TR]],GDList,"&lt;&gt;"&amp;0)</f>
        <v>0</v>
      </c>
      <c r="I289" s="10">
        <f>SUMIFS(GQList,GIList,Table_ExternalData_17[[#This Row],[item_key]],GTList,Table_ExternalData_17[[#Headers],[RCA]],GDList,"&lt;&gt;"&amp;0)</f>
        <v>0</v>
      </c>
      <c r="J289" s="10">
        <f>SUM(Table_ExternalData_17[[#This Row],[GRN]]+Table_ExternalData_17[[#This Row],[VSTR]]+Table_ExternalData_17[[#This Row],[SR]]+Table_ExternalData_17[[#This Row],[TR]]+Table_ExternalData_17[[#This Row],[RCA]])</f>
        <v>0</v>
      </c>
      <c r="K289" s="10">
        <f>SUMIFS(IsQList,IsIList,Table_ExternalData_17[[#This Row],[item_key]],IsITypeList,Table_ExternalData_17[[#Headers],[R/P]],IsDList,"&lt;&gt;"&amp;0)</f>
        <v>0</v>
      </c>
      <c r="L289" s="10">
        <f>SUMIFS(IsQList,IsIList,Table_ExternalData_17[[#This Row],[item_key]],IsITypeList,Table_ExternalData_17[[#Headers],[CST]],IsDList,"&lt;&gt;"&amp;0)</f>
        <v>0</v>
      </c>
      <c r="M289" s="10">
        <f>SUMIFS(IsQList,IsIList,Table_ExternalData_15[[#This Row],[item_key]],IsITypeList,Table_ExternalData_17[[#Headers],[S/I]],IsDList,"&lt;&gt;"&amp;0)</f>
        <v>10</v>
      </c>
      <c r="N289" s="10">
        <f>SUMIFS(IsQList,IsIList,Table_ExternalData_15[[#This Row],[item_key]],IsITypeList,Table_ExternalData_17[[#Headers],[VST]],IsDList,"&lt;&gt;"&amp;0)</f>
        <v>0</v>
      </c>
      <c r="O289" s="10">
        <f>ABS(SUMIFS(IsQList,IsIList,Table_ExternalData_17[[#This Row],[item_key]],IsITypeList,Table_ExternalData_17[[#Headers],[RTN]],IsDList,"&lt;&gt;"&amp;0))</f>
        <v>0</v>
      </c>
      <c r="P289" s="10">
        <f>SUM(Table_ExternalData_17[[#This Row],[R/P]:[RTN]])</f>
        <v>10</v>
      </c>
      <c r="Q289" s="10">
        <f>SUM((Table_ExternalData_17[[#This Row],[Opening]]+Table_ExternalData_17[[#This Row],[Total Receipt]])-ABS(Table_ExternalData_17[[#This Row],[Total Issue]]))</f>
        <v>657</v>
      </c>
    </row>
    <row r="290" spans="1:17">
      <c r="A290" s="1" t="s">
        <v>784</v>
      </c>
      <c r="B290" s="1" t="s">
        <v>2707</v>
      </c>
      <c r="C290" s="1" t="s">
        <v>2708</v>
      </c>
      <c r="D290" s="10">
        <f>SUMIFS(OPBQList,OPBIList,Table_ExternalData_17[[#This Row],[item_key]])+SUMIFS(GQList,GIList,Table_ExternalData_17[[#This Row],[item_key]],GDList,0)-ABS(SUMIFS(IsQList,IsIList,Table_ExternalData_17[[#This Row],[item_key]],IsDList,0))</f>
        <v>59</v>
      </c>
      <c r="E290" s="10">
        <f>SUMIFS(GQList,GIList,Table_ExternalData_17[[#This Row],[item_key]],GTList,Table_ExternalData_17[[#Headers],[GRN]],GDList,"&lt;&gt;"&amp;0)</f>
        <v>0</v>
      </c>
      <c r="F290" s="10">
        <f>SUMIFS(GQList,GIList,Table_ExternalData_17[[#This Row],[item_key]],GTList,Table_ExternalData_17[[#Headers],[VSTR]],GDList,"&lt;&gt;"&amp;0)</f>
        <v>0</v>
      </c>
      <c r="G290" s="10">
        <f>SUMIFS(GQList,GIList,Table_ExternalData_17[[#This Row],[item_key]],GTList,Table_ExternalData_17[[#Headers],[SR]],GDList,"&lt;&gt;"&amp;0)</f>
        <v>0</v>
      </c>
      <c r="H290" s="10">
        <f>SUMIFS(GQList,GIList,Table_ExternalData_17[[#This Row],[item_key]],GTList,Table_ExternalData_17[[#Headers],[TR]],GDList,"&lt;&gt;"&amp;0)</f>
        <v>0</v>
      </c>
      <c r="I290" s="10">
        <f>SUMIFS(GQList,GIList,Table_ExternalData_17[[#This Row],[item_key]],GTList,Table_ExternalData_17[[#Headers],[RCA]],GDList,"&lt;&gt;"&amp;0)</f>
        <v>0</v>
      </c>
      <c r="J290" s="10">
        <f>SUM(Table_ExternalData_17[[#This Row],[GRN]]+Table_ExternalData_17[[#This Row],[VSTR]]+Table_ExternalData_17[[#This Row],[SR]]+Table_ExternalData_17[[#This Row],[TR]]+Table_ExternalData_17[[#This Row],[RCA]])</f>
        <v>0</v>
      </c>
      <c r="K290" s="10">
        <f>SUMIFS(IsQList,IsIList,Table_ExternalData_17[[#This Row],[item_key]],IsITypeList,Table_ExternalData_17[[#Headers],[R/P]],IsDList,"&lt;&gt;"&amp;0)</f>
        <v>0</v>
      </c>
      <c r="L290" s="10">
        <f>SUMIFS(IsQList,IsIList,Table_ExternalData_17[[#This Row],[item_key]],IsITypeList,Table_ExternalData_17[[#Headers],[CST]],IsDList,"&lt;&gt;"&amp;0)</f>
        <v>0</v>
      </c>
      <c r="M290" s="10">
        <f>SUMIFS(IsQList,IsIList,Table_ExternalData_15[[#This Row],[item_key]],IsITypeList,Table_ExternalData_17[[#Headers],[S/I]],IsDList,"&lt;&gt;"&amp;0)</f>
        <v>0</v>
      </c>
      <c r="N290" s="10">
        <f>SUMIFS(IsQList,IsIList,Table_ExternalData_15[[#This Row],[item_key]],IsITypeList,Table_ExternalData_17[[#Headers],[VST]],IsDList,"&lt;&gt;"&amp;0)</f>
        <v>0</v>
      </c>
      <c r="O290" s="10">
        <f>ABS(SUMIFS(IsQList,IsIList,Table_ExternalData_17[[#This Row],[item_key]],IsITypeList,Table_ExternalData_17[[#Headers],[RTN]],IsDList,"&lt;&gt;"&amp;0))</f>
        <v>0</v>
      </c>
      <c r="P290" s="10">
        <f>SUM(Table_ExternalData_17[[#This Row],[R/P]:[RTN]])</f>
        <v>0</v>
      </c>
      <c r="Q290" s="10">
        <f>SUM((Table_ExternalData_17[[#This Row],[Opening]]+Table_ExternalData_17[[#This Row],[Total Receipt]])-ABS(Table_ExternalData_17[[#This Row],[Total Issue]]))</f>
        <v>59</v>
      </c>
    </row>
    <row r="291" spans="1:17">
      <c r="A291" s="1" t="s">
        <v>1908</v>
      </c>
      <c r="B291" s="1" t="s">
        <v>2709</v>
      </c>
      <c r="C291" s="1" t="s">
        <v>2710</v>
      </c>
      <c r="D291" s="10">
        <f>SUMIFS(OPBQList,OPBIList,Table_ExternalData_17[[#This Row],[item_key]])+SUMIFS(GQList,GIList,Table_ExternalData_17[[#This Row],[item_key]],GDList,0)-ABS(SUMIFS(IsQList,IsIList,Table_ExternalData_17[[#This Row],[item_key]],IsDList,0))</f>
        <v>237</v>
      </c>
      <c r="E291" s="10">
        <f>SUMIFS(GQList,GIList,Table_ExternalData_17[[#This Row],[item_key]],GTList,Table_ExternalData_17[[#Headers],[GRN]],GDList,"&lt;&gt;"&amp;0)</f>
        <v>0</v>
      </c>
      <c r="F291" s="10">
        <f>SUMIFS(GQList,GIList,Table_ExternalData_17[[#This Row],[item_key]],GTList,Table_ExternalData_17[[#Headers],[VSTR]],GDList,"&lt;&gt;"&amp;0)</f>
        <v>0</v>
      </c>
      <c r="G291" s="10">
        <f>SUMIFS(GQList,GIList,Table_ExternalData_17[[#This Row],[item_key]],GTList,Table_ExternalData_17[[#Headers],[SR]],GDList,"&lt;&gt;"&amp;0)</f>
        <v>0</v>
      </c>
      <c r="H291" s="10">
        <f>SUMIFS(GQList,GIList,Table_ExternalData_17[[#This Row],[item_key]],GTList,Table_ExternalData_17[[#Headers],[TR]],GDList,"&lt;&gt;"&amp;0)</f>
        <v>0</v>
      </c>
      <c r="I291" s="10">
        <f>SUMIFS(GQList,GIList,Table_ExternalData_17[[#This Row],[item_key]],GTList,Table_ExternalData_17[[#Headers],[RCA]],GDList,"&lt;&gt;"&amp;0)</f>
        <v>0</v>
      </c>
      <c r="J291" s="10">
        <f>SUM(Table_ExternalData_17[[#This Row],[GRN]]+Table_ExternalData_17[[#This Row],[VSTR]]+Table_ExternalData_17[[#This Row],[SR]]+Table_ExternalData_17[[#This Row],[TR]]+Table_ExternalData_17[[#This Row],[RCA]])</f>
        <v>0</v>
      </c>
      <c r="K291" s="10">
        <f>SUMIFS(IsQList,IsIList,Table_ExternalData_17[[#This Row],[item_key]],IsITypeList,Table_ExternalData_17[[#Headers],[R/P]],IsDList,"&lt;&gt;"&amp;0)</f>
        <v>0</v>
      </c>
      <c r="L291" s="10">
        <f>SUMIFS(IsQList,IsIList,Table_ExternalData_17[[#This Row],[item_key]],IsITypeList,Table_ExternalData_17[[#Headers],[CST]],IsDList,"&lt;&gt;"&amp;0)</f>
        <v>0</v>
      </c>
      <c r="M291" s="10">
        <f>SUMIFS(IsQList,IsIList,Table_ExternalData_15[[#This Row],[item_key]],IsITypeList,Table_ExternalData_17[[#Headers],[S/I]],IsDList,"&lt;&gt;"&amp;0)</f>
        <v>0</v>
      </c>
      <c r="N291" s="10">
        <f>SUMIFS(IsQList,IsIList,Table_ExternalData_15[[#This Row],[item_key]],IsITypeList,Table_ExternalData_17[[#Headers],[VST]],IsDList,"&lt;&gt;"&amp;0)</f>
        <v>0</v>
      </c>
      <c r="O291" s="10">
        <f>ABS(SUMIFS(IsQList,IsIList,Table_ExternalData_17[[#This Row],[item_key]],IsITypeList,Table_ExternalData_17[[#Headers],[RTN]],IsDList,"&lt;&gt;"&amp;0))</f>
        <v>0</v>
      </c>
      <c r="P291" s="10">
        <f>SUM(Table_ExternalData_17[[#This Row],[R/P]:[RTN]])</f>
        <v>0</v>
      </c>
      <c r="Q291" s="10">
        <f>SUM((Table_ExternalData_17[[#This Row],[Opening]]+Table_ExternalData_17[[#This Row],[Total Receipt]])-ABS(Table_ExternalData_17[[#This Row],[Total Issue]]))</f>
        <v>237</v>
      </c>
    </row>
    <row r="292" spans="1:17">
      <c r="A292" s="1" t="s">
        <v>786</v>
      </c>
      <c r="B292" s="1" t="s">
        <v>2711</v>
      </c>
      <c r="C292" s="1" t="s">
        <v>2712</v>
      </c>
      <c r="D292" s="10">
        <f>SUMIFS(OPBQList,OPBIList,Table_ExternalData_17[[#This Row],[item_key]])+SUMIFS(GQList,GIList,Table_ExternalData_17[[#This Row],[item_key]],GDList,0)-ABS(SUMIFS(IsQList,IsIList,Table_ExternalData_17[[#This Row],[item_key]],IsDList,0))</f>
        <v>453</v>
      </c>
      <c r="E292" s="10">
        <f>SUMIFS(GQList,GIList,Table_ExternalData_17[[#This Row],[item_key]],GTList,Table_ExternalData_17[[#Headers],[GRN]],GDList,"&lt;&gt;"&amp;0)</f>
        <v>0</v>
      </c>
      <c r="F292" s="10">
        <f>SUMIFS(GQList,GIList,Table_ExternalData_17[[#This Row],[item_key]],GTList,Table_ExternalData_17[[#Headers],[VSTR]],GDList,"&lt;&gt;"&amp;0)</f>
        <v>0</v>
      </c>
      <c r="G292" s="10">
        <f>SUMIFS(GQList,GIList,Table_ExternalData_17[[#This Row],[item_key]],GTList,Table_ExternalData_17[[#Headers],[SR]],GDList,"&lt;&gt;"&amp;0)</f>
        <v>0</v>
      </c>
      <c r="H292" s="10">
        <f>SUMIFS(GQList,GIList,Table_ExternalData_17[[#This Row],[item_key]],GTList,Table_ExternalData_17[[#Headers],[TR]],GDList,"&lt;&gt;"&amp;0)</f>
        <v>0</v>
      </c>
      <c r="I292" s="10">
        <f>SUMIFS(GQList,GIList,Table_ExternalData_17[[#This Row],[item_key]],GTList,Table_ExternalData_17[[#Headers],[RCA]],GDList,"&lt;&gt;"&amp;0)</f>
        <v>0</v>
      </c>
      <c r="J292" s="10">
        <f>SUM(Table_ExternalData_17[[#This Row],[GRN]]+Table_ExternalData_17[[#This Row],[VSTR]]+Table_ExternalData_17[[#This Row],[SR]]+Table_ExternalData_17[[#This Row],[TR]]+Table_ExternalData_17[[#This Row],[RCA]])</f>
        <v>0</v>
      </c>
      <c r="K292" s="10">
        <f>SUMIFS(IsQList,IsIList,Table_ExternalData_17[[#This Row],[item_key]],IsITypeList,Table_ExternalData_17[[#Headers],[R/P]],IsDList,"&lt;&gt;"&amp;0)</f>
        <v>0</v>
      </c>
      <c r="L292" s="10">
        <f>SUMIFS(IsQList,IsIList,Table_ExternalData_17[[#This Row],[item_key]],IsITypeList,Table_ExternalData_17[[#Headers],[CST]],IsDList,"&lt;&gt;"&amp;0)</f>
        <v>0</v>
      </c>
      <c r="M292" s="10">
        <f>SUMIFS(IsQList,IsIList,Table_ExternalData_15[[#This Row],[item_key]],IsITypeList,Table_ExternalData_17[[#Headers],[S/I]],IsDList,"&lt;&gt;"&amp;0)</f>
        <v>1</v>
      </c>
      <c r="N292" s="10">
        <f>SUMIFS(IsQList,IsIList,Table_ExternalData_15[[#This Row],[item_key]],IsITypeList,Table_ExternalData_17[[#Headers],[VST]],IsDList,"&lt;&gt;"&amp;0)</f>
        <v>0</v>
      </c>
      <c r="O292" s="10">
        <f>ABS(SUMIFS(IsQList,IsIList,Table_ExternalData_17[[#This Row],[item_key]],IsITypeList,Table_ExternalData_17[[#Headers],[RTN]],IsDList,"&lt;&gt;"&amp;0))</f>
        <v>0</v>
      </c>
      <c r="P292" s="10">
        <f>SUM(Table_ExternalData_17[[#This Row],[R/P]:[RTN]])</f>
        <v>1</v>
      </c>
      <c r="Q292" s="10">
        <f>SUM((Table_ExternalData_17[[#This Row],[Opening]]+Table_ExternalData_17[[#This Row],[Total Receipt]])-ABS(Table_ExternalData_17[[#This Row],[Total Issue]]))</f>
        <v>452</v>
      </c>
    </row>
    <row r="293" spans="1:17">
      <c r="A293" s="1" t="s">
        <v>1921</v>
      </c>
      <c r="B293" s="1" t="s">
        <v>2713</v>
      </c>
      <c r="C293" s="1" t="s">
        <v>2714</v>
      </c>
      <c r="D293" s="10">
        <f>SUMIFS(OPBQList,OPBIList,Table_ExternalData_17[[#This Row],[item_key]])+SUMIFS(GQList,GIList,Table_ExternalData_17[[#This Row],[item_key]],GDList,0)-ABS(SUMIFS(IsQList,IsIList,Table_ExternalData_17[[#This Row],[item_key]],IsDList,0))</f>
        <v>110</v>
      </c>
      <c r="E293" s="10">
        <f>SUMIFS(GQList,GIList,Table_ExternalData_17[[#This Row],[item_key]],GTList,Table_ExternalData_17[[#Headers],[GRN]],GDList,"&lt;&gt;"&amp;0)</f>
        <v>0</v>
      </c>
      <c r="F293" s="10">
        <f>SUMIFS(GQList,GIList,Table_ExternalData_17[[#This Row],[item_key]],GTList,Table_ExternalData_17[[#Headers],[VSTR]],GDList,"&lt;&gt;"&amp;0)</f>
        <v>0</v>
      </c>
      <c r="G293" s="10">
        <f>SUMIFS(GQList,GIList,Table_ExternalData_17[[#This Row],[item_key]],GTList,Table_ExternalData_17[[#Headers],[SR]],GDList,"&lt;&gt;"&amp;0)</f>
        <v>0</v>
      </c>
      <c r="H293" s="10">
        <f>SUMIFS(GQList,GIList,Table_ExternalData_17[[#This Row],[item_key]],GTList,Table_ExternalData_17[[#Headers],[TR]],GDList,"&lt;&gt;"&amp;0)</f>
        <v>0</v>
      </c>
      <c r="I293" s="10">
        <f>SUMIFS(GQList,GIList,Table_ExternalData_17[[#This Row],[item_key]],GTList,Table_ExternalData_17[[#Headers],[RCA]],GDList,"&lt;&gt;"&amp;0)</f>
        <v>0</v>
      </c>
      <c r="J293" s="10">
        <f>SUM(Table_ExternalData_17[[#This Row],[GRN]]+Table_ExternalData_17[[#This Row],[VSTR]]+Table_ExternalData_17[[#This Row],[SR]]+Table_ExternalData_17[[#This Row],[TR]]+Table_ExternalData_17[[#This Row],[RCA]])</f>
        <v>0</v>
      </c>
      <c r="K293" s="10">
        <f>SUMIFS(IsQList,IsIList,Table_ExternalData_17[[#This Row],[item_key]],IsITypeList,Table_ExternalData_17[[#Headers],[R/P]],IsDList,"&lt;&gt;"&amp;0)</f>
        <v>0</v>
      </c>
      <c r="L293" s="10">
        <f>SUMIFS(IsQList,IsIList,Table_ExternalData_17[[#This Row],[item_key]],IsITypeList,Table_ExternalData_17[[#Headers],[CST]],IsDList,"&lt;&gt;"&amp;0)</f>
        <v>0</v>
      </c>
      <c r="M293" s="10">
        <f>SUMIFS(IsQList,IsIList,Table_ExternalData_15[[#This Row],[item_key]],IsITypeList,Table_ExternalData_17[[#Headers],[S/I]],IsDList,"&lt;&gt;"&amp;0)</f>
        <v>2</v>
      </c>
      <c r="N293" s="10">
        <f>SUMIFS(IsQList,IsIList,Table_ExternalData_15[[#This Row],[item_key]],IsITypeList,Table_ExternalData_17[[#Headers],[VST]],IsDList,"&lt;&gt;"&amp;0)</f>
        <v>0</v>
      </c>
      <c r="O293" s="10">
        <f>ABS(SUMIFS(IsQList,IsIList,Table_ExternalData_17[[#This Row],[item_key]],IsITypeList,Table_ExternalData_17[[#Headers],[RTN]],IsDList,"&lt;&gt;"&amp;0))</f>
        <v>0</v>
      </c>
      <c r="P293" s="10">
        <f>SUM(Table_ExternalData_17[[#This Row],[R/P]:[RTN]])</f>
        <v>2</v>
      </c>
      <c r="Q293" s="10">
        <f>SUM((Table_ExternalData_17[[#This Row],[Opening]]+Table_ExternalData_17[[#This Row],[Total Receipt]])-ABS(Table_ExternalData_17[[#This Row],[Total Issue]]))</f>
        <v>108</v>
      </c>
    </row>
    <row r="294" spans="1:17">
      <c r="A294" s="1" t="s">
        <v>791</v>
      </c>
      <c r="B294" s="1" t="s">
        <v>2715</v>
      </c>
      <c r="C294" s="1" t="s">
        <v>2716</v>
      </c>
      <c r="D294" s="10">
        <f>SUMIFS(OPBQList,OPBIList,Table_ExternalData_17[[#This Row],[item_key]])+SUMIFS(GQList,GIList,Table_ExternalData_17[[#This Row],[item_key]],GDList,0)-ABS(SUMIFS(IsQList,IsIList,Table_ExternalData_17[[#This Row],[item_key]],IsDList,0))</f>
        <v>1100</v>
      </c>
      <c r="E294" s="10">
        <f>SUMIFS(GQList,GIList,Table_ExternalData_17[[#This Row],[item_key]],GTList,Table_ExternalData_17[[#Headers],[GRN]],GDList,"&lt;&gt;"&amp;0)</f>
        <v>0</v>
      </c>
      <c r="F294" s="10">
        <f>SUMIFS(GQList,GIList,Table_ExternalData_17[[#This Row],[item_key]],GTList,Table_ExternalData_17[[#Headers],[VSTR]],GDList,"&lt;&gt;"&amp;0)</f>
        <v>0</v>
      </c>
      <c r="G294" s="10">
        <f>SUMIFS(GQList,GIList,Table_ExternalData_17[[#This Row],[item_key]],GTList,Table_ExternalData_17[[#Headers],[SR]],GDList,"&lt;&gt;"&amp;0)</f>
        <v>0</v>
      </c>
      <c r="H294" s="10">
        <f>SUMIFS(GQList,GIList,Table_ExternalData_17[[#This Row],[item_key]],GTList,Table_ExternalData_17[[#Headers],[TR]],GDList,"&lt;&gt;"&amp;0)</f>
        <v>0</v>
      </c>
      <c r="I294" s="10">
        <f>SUMIFS(GQList,GIList,Table_ExternalData_17[[#This Row],[item_key]],GTList,Table_ExternalData_17[[#Headers],[RCA]],GDList,"&lt;&gt;"&amp;0)</f>
        <v>0</v>
      </c>
      <c r="J294" s="10">
        <f>SUM(Table_ExternalData_17[[#This Row],[GRN]]+Table_ExternalData_17[[#This Row],[VSTR]]+Table_ExternalData_17[[#This Row],[SR]]+Table_ExternalData_17[[#This Row],[TR]]+Table_ExternalData_17[[#This Row],[RCA]])</f>
        <v>0</v>
      </c>
      <c r="K294" s="10">
        <f>SUMIFS(IsQList,IsIList,Table_ExternalData_17[[#This Row],[item_key]],IsITypeList,Table_ExternalData_17[[#Headers],[R/P]],IsDList,"&lt;&gt;"&amp;0)</f>
        <v>0</v>
      </c>
      <c r="L294" s="10">
        <f>SUMIFS(IsQList,IsIList,Table_ExternalData_17[[#This Row],[item_key]],IsITypeList,Table_ExternalData_17[[#Headers],[CST]],IsDList,"&lt;&gt;"&amp;0)</f>
        <v>0</v>
      </c>
      <c r="M294" s="10">
        <f>SUMIFS(IsQList,IsIList,Table_ExternalData_15[[#This Row],[item_key]],IsITypeList,Table_ExternalData_17[[#Headers],[S/I]],IsDList,"&lt;&gt;"&amp;0)</f>
        <v>5</v>
      </c>
      <c r="N294" s="10">
        <f>SUMIFS(IsQList,IsIList,Table_ExternalData_15[[#This Row],[item_key]],IsITypeList,Table_ExternalData_17[[#Headers],[VST]],IsDList,"&lt;&gt;"&amp;0)</f>
        <v>0</v>
      </c>
      <c r="O294" s="10">
        <f>ABS(SUMIFS(IsQList,IsIList,Table_ExternalData_17[[#This Row],[item_key]],IsITypeList,Table_ExternalData_17[[#Headers],[RTN]],IsDList,"&lt;&gt;"&amp;0))</f>
        <v>0</v>
      </c>
      <c r="P294" s="10">
        <f>SUM(Table_ExternalData_17[[#This Row],[R/P]:[RTN]])</f>
        <v>5</v>
      </c>
      <c r="Q294" s="10">
        <f>SUM((Table_ExternalData_17[[#This Row],[Opening]]+Table_ExternalData_17[[#This Row],[Total Receipt]])-ABS(Table_ExternalData_17[[#This Row],[Total Issue]]))</f>
        <v>1095</v>
      </c>
    </row>
    <row r="295" spans="1:17">
      <c r="A295" s="1" t="s">
        <v>1966</v>
      </c>
      <c r="B295" s="1" t="s">
        <v>2717</v>
      </c>
      <c r="C295" s="1" t="s">
        <v>2718</v>
      </c>
      <c r="D29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95" s="10">
        <f>SUMIFS(GQList,GIList,Table_ExternalData_17[[#This Row],[item_key]],GTList,Table_ExternalData_17[[#Headers],[GRN]],GDList,"&lt;&gt;"&amp;0)</f>
        <v>0</v>
      </c>
      <c r="F295" s="10">
        <f>SUMIFS(GQList,GIList,Table_ExternalData_17[[#This Row],[item_key]],GTList,Table_ExternalData_17[[#Headers],[VSTR]],GDList,"&lt;&gt;"&amp;0)</f>
        <v>0</v>
      </c>
      <c r="G295" s="10">
        <f>SUMIFS(GQList,GIList,Table_ExternalData_17[[#This Row],[item_key]],GTList,Table_ExternalData_17[[#Headers],[SR]],GDList,"&lt;&gt;"&amp;0)</f>
        <v>0</v>
      </c>
      <c r="H295" s="10">
        <f>SUMIFS(GQList,GIList,Table_ExternalData_17[[#This Row],[item_key]],GTList,Table_ExternalData_17[[#Headers],[TR]],GDList,"&lt;&gt;"&amp;0)</f>
        <v>0</v>
      </c>
      <c r="I295" s="10">
        <f>SUMIFS(GQList,GIList,Table_ExternalData_17[[#This Row],[item_key]],GTList,Table_ExternalData_17[[#Headers],[RCA]],GDList,"&lt;&gt;"&amp;0)</f>
        <v>0</v>
      </c>
      <c r="J295" s="10">
        <f>SUM(Table_ExternalData_17[[#This Row],[GRN]]+Table_ExternalData_17[[#This Row],[VSTR]]+Table_ExternalData_17[[#This Row],[SR]]+Table_ExternalData_17[[#This Row],[TR]]+Table_ExternalData_17[[#This Row],[RCA]])</f>
        <v>0</v>
      </c>
      <c r="K295" s="10">
        <f>SUMIFS(IsQList,IsIList,Table_ExternalData_17[[#This Row],[item_key]],IsITypeList,Table_ExternalData_17[[#Headers],[R/P]],IsDList,"&lt;&gt;"&amp;0)</f>
        <v>0</v>
      </c>
      <c r="L295" s="10">
        <f>SUMIFS(IsQList,IsIList,Table_ExternalData_17[[#This Row],[item_key]],IsITypeList,Table_ExternalData_17[[#Headers],[CST]],IsDList,"&lt;&gt;"&amp;0)</f>
        <v>0</v>
      </c>
      <c r="M295" s="10">
        <f>SUMIFS(IsQList,IsIList,Table_ExternalData_15[[#This Row],[item_key]],IsITypeList,Table_ExternalData_17[[#Headers],[S/I]],IsDList,"&lt;&gt;"&amp;0)</f>
        <v>0</v>
      </c>
      <c r="N295" s="10">
        <f>SUMIFS(IsQList,IsIList,Table_ExternalData_15[[#This Row],[item_key]],IsITypeList,Table_ExternalData_17[[#Headers],[VST]],IsDList,"&lt;&gt;"&amp;0)</f>
        <v>0</v>
      </c>
      <c r="O295" s="10">
        <f>ABS(SUMIFS(IsQList,IsIList,Table_ExternalData_17[[#This Row],[item_key]],IsITypeList,Table_ExternalData_17[[#Headers],[RTN]],IsDList,"&lt;&gt;"&amp;0))</f>
        <v>0</v>
      </c>
      <c r="P295" s="10">
        <f>SUM(Table_ExternalData_17[[#This Row],[R/P]:[RTN]])</f>
        <v>0</v>
      </c>
      <c r="Q295" s="10">
        <f>SUM((Table_ExternalData_17[[#This Row],[Opening]]+Table_ExternalData_17[[#This Row],[Total Receipt]])-ABS(Table_ExternalData_17[[#This Row],[Total Issue]]))</f>
        <v>0</v>
      </c>
    </row>
    <row r="296" spans="1:17">
      <c r="A296" s="1" t="s">
        <v>792</v>
      </c>
      <c r="B296" s="1" t="s">
        <v>1400</v>
      </c>
      <c r="C296" s="1" t="s">
        <v>1401</v>
      </c>
      <c r="D29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96" s="10">
        <f>SUMIFS(GQList,GIList,Table_ExternalData_17[[#This Row],[item_key]],GTList,Table_ExternalData_17[[#Headers],[GRN]],GDList,"&lt;&gt;"&amp;0)</f>
        <v>100</v>
      </c>
      <c r="F296" s="10">
        <f>SUMIFS(GQList,GIList,Table_ExternalData_17[[#This Row],[item_key]],GTList,Table_ExternalData_17[[#Headers],[VSTR]],GDList,"&lt;&gt;"&amp;0)</f>
        <v>0</v>
      </c>
      <c r="G296" s="10">
        <f>SUMIFS(GQList,GIList,Table_ExternalData_17[[#This Row],[item_key]],GTList,Table_ExternalData_17[[#Headers],[SR]],GDList,"&lt;&gt;"&amp;0)</f>
        <v>0</v>
      </c>
      <c r="H296" s="10">
        <f>SUMIFS(GQList,GIList,Table_ExternalData_17[[#This Row],[item_key]],GTList,Table_ExternalData_17[[#Headers],[TR]],GDList,"&lt;&gt;"&amp;0)</f>
        <v>0</v>
      </c>
      <c r="I296" s="10">
        <f>SUMIFS(GQList,GIList,Table_ExternalData_17[[#This Row],[item_key]],GTList,Table_ExternalData_17[[#Headers],[RCA]],GDList,"&lt;&gt;"&amp;0)</f>
        <v>0</v>
      </c>
      <c r="J296" s="10">
        <f>SUM(Table_ExternalData_17[[#This Row],[GRN]]+Table_ExternalData_17[[#This Row],[VSTR]]+Table_ExternalData_17[[#This Row],[SR]]+Table_ExternalData_17[[#This Row],[TR]]+Table_ExternalData_17[[#This Row],[RCA]])</f>
        <v>100</v>
      </c>
      <c r="K296" s="10">
        <f>SUMIFS(IsQList,IsIList,Table_ExternalData_17[[#This Row],[item_key]],IsITypeList,Table_ExternalData_17[[#Headers],[R/P]],IsDList,"&lt;&gt;"&amp;0)</f>
        <v>0</v>
      </c>
      <c r="L296" s="10">
        <f>SUMIFS(IsQList,IsIList,Table_ExternalData_17[[#This Row],[item_key]],IsITypeList,Table_ExternalData_17[[#Headers],[CST]],IsDList,"&lt;&gt;"&amp;0)</f>
        <v>0</v>
      </c>
      <c r="M296" s="10">
        <f>SUMIFS(IsQList,IsIList,Table_ExternalData_15[[#This Row],[item_key]],IsITypeList,Table_ExternalData_17[[#Headers],[S/I]],IsDList,"&lt;&gt;"&amp;0)</f>
        <v>0</v>
      </c>
      <c r="N296" s="10">
        <f>SUMIFS(IsQList,IsIList,Table_ExternalData_15[[#This Row],[item_key]],IsITypeList,Table_ExternalData_17[[#Headers],[VST]],IsDList,"&lt;&gt;"&amp;0)</f>
        <v>0</v>
      </c>
      <c r="O296" s="10">
        <f>ABS(SUMIFS(IsQList,IsIList,Table_ExternalData_17[[#This Row],[item_key]],IsITypeList,Table_ExternalData_17[[#Headers],[RTN]],IsDList,"&lt;&gt;"&amp;0))</f>
        <v>0</v>
      </c>
      <c r="P296" s="10">
        <f>SUM(Table_ExternalData_17[[#This Row],[R/P]:[RTN]])</f>
        <v>0</v>
      </c>
      <c r="Q296" s="10">
        <f>SUM((Table_ExternalData_17[[#This Row],[Opening]]+Table_ExternalData_17[[#This Row],[Total Receipt]])-ABS(Table_ExternalData_17[[#This Row],[Total Issue]]))</f>
        <v>100</v>
      </c>
    </row>
    <row r="297" spans="1:17">
      <c r="A297" s="1" t="s">
        <v>795</v>
      </c>
      <c r="B297" s="1" t="s">
        <v>1405</v>
      </c>
      <c r="C297" s="1" t="s">
        <v>1406</v>
      </c>
      <c r="D29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97" s="10">
        <f>SUMIFS(GQList,GIList,Table_ExternalData_17[[#This Row],[item_key]],GTList,Table_ExternalData_17[[#Headers],[GRN]],GDList,"&lt;&gt;"&amp;0)</f>
        <v>0</v>
      </c>
      <c r="F297" s="10">
        <f>SUMIFS(GQList,GIList,Table_ExternalData_17[[#This Row],[item_key]],GTList,Table_ExternalData_17[[#Headers],[VSTR]],GDList,"&lt;&gt;"&amp;0)</f>
        <v>0</v>
      </c>
      <c r="G297" s="10">
        <f>SUMIFS(GQList,GIList,Table_ExternalData_17[[#This Row],[item_key]],GTList,Table_ExternalData_17[[#Headers],[SR]],GDList,"&lt;&gt;"&amp;0)</f>
        <v>0</v>
      </c>
      <c r="H297" s="10">
        <f>SUMIFS(GQList,GIList,Table_ExternalData_17[[#This Row],[item_key]],GTList,Table_ExternalData_17[[#Headers],[TR]],GDList,"&lt;&gt;"&amp;0)</f>
        <v>0</v>
      </c>
      <c r="I297" s="10">
        <f>SUMIFS(GQList,GIList,Table_ExternalData_17[[#This Row],[item_key]],GTList,Table_ExternalData_17[[#Headers],[RCA]],GDList,"&lt;&gt;"&amp;0)</f>
        <v>0</v>
      </c>
      <c r="J297" s="10">
        <f>SUM(Table_ExternalData_17[[#This Row],[GRN]]+Table_ExternalData_17[[#This Row],[VSTR]]+Table_ExternalData_17[[#This Row],[SR]]+Table_ExternalData_17[[#This Row],[TR]]+Table_ExternalData_17[[#This Row],[RCA]])</f>
        <v>0</v>
      </c>
      <c r="K297" s="10">
        <f>SUMIFS(IsQList,IsIList,Table_ExternalData_17[[#This Row],[item_key]],IsITypeList,Table_ExternalData_17[[#Headers],[R/P]],IsDList,"&lt;&gt;"&amp;0)</f>
        <v>0</v>
      </c>
      <c r="L297" s="10">
        <f>SUMIFS(IsQList,IsIList,Table_ExternalData_17[[#This Row],[item_key]],IsITypeList,Table_ExternalData_17[[#Headers],[CST]],IsDList,"&lt;&gt;"&amp;0)</f>
        <v>0</v>
      </c>
      <c r="M297" s="10">
        <f>SUMIFS(IsQList,IsIList,Table_ExternalData_15[[#This Row],[item_key]],IsITypeList,Table_ExternalData_17[[#Headers],[S/I]],IsDList,"&lt;&gt;"&amp;0)</f>
        <v>250</v>
      </c>
      <c r="N297" s="10">
        <f>SUMIFS(IsQList,IsIList,Table_ExternalData_15[[#This Row],[item_key]],IsITypeList,Table_ExternalData_17[[#Headers],[VST]],IsDList,"&lt;&gt;"&amp;0)</f>
        <v>0</v>
      </c>
      <c r="O297" s="10">
        <f>ABS(SUMIFS(IsQList,IsIList,Table_ExternalData_17[[#This Row],[item_key]],IsITypeList,Table_ExternalData_17[[#Headers],[RTN]],IsDList,"&lt;&gt;"&amp;0))</f>
        <v>0</v>
      </c>
      <c r="P297" s="10">
        <f>SUM(Table_ExternalData_17[[#This Row],[R/P]:[RTN]])</f>
        <v>250</v>
      </c>
      <c r="Q297" s="10">
        <f>SUM((Table_ExternalData_17[[#This Row],[Opening]]+Table_ExternalData_17[[#This Row],[Total Receipt]])-ABS(Table_ExternalData_17[[#This Row],[Total Issue]]))</f>
        <v>-250</v>
      </c>
    </row>
    <row r="298" spans="1:17">
      <c r="A298" s="1" t="s">
        <v>797</v>
      </c>
      <c r="B298" s="1" t="s">
        <v>1407</v>
      </c>
      <c r="C298" s="1" t="s">
        <v>1408</v>
      </c>
      <c r="D29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298" s="10">
        <f>SUMIFS(GQList,GIList,Table_ExternalData_17[[#This Row],[item_key]],GTList,Table_ExternalData_17[[#Headers],[GRN]],GDList,"&lt;&gt;"&amp;0)</f>
        <v>115</v>
      </c>
      <c r="F298" s="10">
        <f>SUMIFS(GQList,GIList,Table_ExternalData_17[[#This Row],[item_key]],GTList,Table_ExternalData_17[[#Headers],[VSTR]],GDList,"&lt;&gt;"&amp;0)</f>
        <v>0</v>
      </c>
      <c r="G298" s="10">
        <f>SUMIFS(GQList,GIList,Table_ExternalData_17[[#This Row],[item_key]],GTList,Table_ExternalData_17[[#Headers],[SR]],GDList,"&lt;&gt;"&amp;0)</f>
        <v>0</v>
      </c>
      <c r="H298" s="10">
        <f>SUMIFS(GQList,GIList,Table_ExternalData_17[[#This Row],[item_key]],GTList,Table_ExternalData_17[[#Headers],[TR]],GDList,"&lt;&gt;"&amp;0)</f>
        <v>0</v>
      </c>
      <c r="I298" s="10">
        <f>SUMIFS(GQList,GIList,Table_ExternalData_17[[#This Row],[item_key]],GTList,Table_ExternalData_17[[#Headers],[RCA]],GDList,"&lt;&gt;"&amp;0)</f>
        <v>0</v>
      </c>
      <c r="J298" s="10">
        <f>SUM(Table_ExternalData_17[[#This Row],[GRN]]+Table_ExternalData_17[[#This Row],[VSTR]]+Table_ExternalData_17[[#This Row],[SR]]+Table_ExternalData_17[[#This Row],[TR]]+Table_ExternalData_17[[#This Row],[RCA]])</f>
        <v>115</v>
      </c>
      <c r="K298" s="10">
        <f>SUMIFS(IsQList,IsIList,Table_ExternalData_17[[#This Row],[item_key]],IsITypeList,Table_ExternalData_17[[#Headers],[R/P]],IsDList,"&lt;&gt;"&amp;0)</f>
        <v>0</v>
      </c>
      <c r="L298" s="10">
        <f>SUMIFS(IsQList,IsIList,Table_ExternalData_17[[#This Row],[item_key]],IsITypeList,Table_ExternalData_17[[#Headers],[CST]],IsDList,"&lt;&gt;"&amp;0)</f>
        <v>0</v>
      </c>
      <c r="M298" s="10">
        <f>SUMIFS(IsQList,IsIList,Table_ExternalData_15[[#This Row],[item_key]],IsITypeList,Table_ExternalData_17[[#Headers],[S/I]],IsDList,"&lt;&gt;"&amp;0)</f>
        <v>6</v>
      </c>
      <c r="N298" s="10">
        <f>SUMIFS(IsQList,IsIList,Table_ExternalData_15[[#This Row],[item_key]],IsITypeList,Table_ExternalData_17[[#Headers],[VST]],IsDList,"&lt;&gt;"&amp;0)</f>
        <v>0</v>
      </c>
      <c r="O298" s="10">
        <f>ABS(SUMIFS(IsQList,IsIList,Table_ExternalData_17[[#This Row],[item_key]],IsITypeList,Table_ExternalData_17[[#Headers],[RTN]],IsDList,"&lt;&gt;"&amp;0))</f>
        <v>0</v>
      </c>
      <c r="P298" s="10">
        <f>SUM(Table_ExternalData_17[[#This Row],[R/P]:[RTN]])</f>
        <v>6</v>
      </c>
      <c r="Q298" s="10">
        <f>SUM((Table_ExternalData_17[[#This Row],[Opening]]+Table_ExternalData_17[[#This Row],[Total Receipt]])-ABS(Table_ExternalData_17[[#This Row],[Total Issue]]))</f>
        <v>109</v>
      </c>
    </row>
    <row r="299" spans="1:17">
      <c r="A299" s="1" t="s">
        <v>815</v>
      </c>
      <c r="B299" s="1" t="s">
        <v>1410</v>
      </c>
      <c r="C299" s="1" t="s">
        <v>1411</v>
      </c>
      <c r="D299" s="10">
        <f>SUMIFS(OPBQList,OPBIList,Table_ExternalData_17[[#This Row],[item_key]])+SUMIFS(GQList,GIList,Table_ExternalData_17[[#This Row],[item_key]],GDList,0)-ABS(SUMIFS(IsQList,IsIList,Table_ExternalData_17[[#This Row],[item_key]],IsDList,0))</f>
        <v>89</v>
      </c>
      <c r="E299" s="10">
        <f>SUMIFS(GQList,GIList,Table_ExternalData_17[[#This Row],[item_key]],GTList,Table_ExternalData_17[[#Headers],[GRN]],GDList,"&lt;&gt;"&amp;0)</f>
        <v>0</v>
      </c>
      <c r="F299" s="10">
        <f>SUMIFS(GQList,GIList,Table_ExternalData_17[[#This Row],[item_key]],GTList,Table_ExternalData_17[[#Headers],[VSTR]],GDList,"&lt;&gt;"&amp;0)</f>
        <v>0</v>
      </c>
      <c r="G299" s="10">
        <f>SUMIFS(GQList,GIList,Table_ExternalData_17[[#This Row],[item_key]],GTList,Table_ExternalData_17[[#Headers],[SR]],GDList,"&lt;&gt;"&amp;0)</f>
        <v>0</v>
      </c>
      <c r="H299" s="10">
        <f>SUMIFS(GQList,GIList,Table_ExternalData_17[[#This Row],[item_key]],GTList,Table_ExternalData_17[[#Headers],[TR]],GDList,"&lt;&gt;"&amp;0)</f>
        <v>0</v>
      </c>
      <c r="I299" s="10">
        <f>SUMIFS(GQList,GIList,Table_ExternalData_17[[#This Row],[item_key]],GTList,Table_ExternalData_17[[#Headers],[RCA]],GDList,"&lt;&gt;"&amp;0)</f>
        <v>0</v>
      </c>
      <c r="J299" s="10">
        <f>SUM(Table_ExternalData_17[[#This Row],[GRN]]+Table_ExternalData_17[[#This Row],[VSTR]]+Table_ExternalData_17[[#This Row],[SR]]+Table_ExternalData_17[[#This Row],[TR]]+Table_ExternalData_17[[#This Row],[RCA]])</f>
        <v>0</v>
      </c>
      <c r="K299" s="10">
        <f>SUMIFS(IsQList,IsIList,Table_ExternalData_17[[#This Row],[item_key]],IsITypeList,Table_ExternalData_17[[#Headers],[R/P]],IsDList,"&lt;&gt;"&amp;0)</f>
        <v>0</v>
      </c>
      <c r="L299" s="10">
        <f>SUMIFS(IsQList,IsIList,Table_ExternalData_17[[#This Row],[item_key]],IsITypeList,Table_ExternalData_17[[#Headers],[CST]],IsDList,"&lt;&gt;"&amp;0)</f>
        <v>0</v>
      </c>
      <c r="M299" s="10">
        <f>SUMIFS(IsQList,IsIList,Table_ExternalData_15[[#This Row],[item_key]],IsITypeList,Table_ExternalData_17[[#Headers],[S/I]],IsDList,"&lt;&gt;"&amp;0)</f>
        <v>0</v>
      </c>
      <c r="N299" s="10">
        <f>SUMIFS(IsQList,IsIList,Table_ExternalData_15[[#This Row],[item_key]],IsITypeList,Table_ExternalData_17[[#Headers],[VST]],IsDList,"&lt;&gt;"&amp;0)</f>
        <v>0</v>
      </c>
      <c r="O299" s="10">
        <f>ABS(SUMIFS(IsQList,IsIList,Table_ExternalData_17[[#This Row],[item_key]],IsITypeList,Table_ExternalData_17[[#Headers],[RTN]],IsDList,"&lt;&gt;"&amp;0))</f>
        <v>0</v>
      </c>
      <c r="P299" s="10">
        <f>SUM(Table_ExternalData_17[[#This Row],[R/P]:[RTN]])</f>
        <v>0</v>
      </c>
      <c r="Q299" s="10">
        <f>SUM((Table_ExternalData_17[[#This Row],[Opening]]+Table_ExternalData_17[[#This Row],[Total Receipt]])-ABS(Table_ExternalData_17[[#This Row],[Total Issue]]))</f>
        <v>89</v>
      </c>
    </row>
    <row r="300" spans="1:17">
      <c r="A300" s="1" t="s">
        <v>2002</v>
      </c>
      <c r="B300" s="1" t="s">
        <v>2719</v>
      </c>
      <c r="C300" s="1" t="s">
        <v>2720</v>
      </c>
      <c r="D300" s="10">
        <f>SUMIFS(OPBQList,OPBIList,Table_ExternalData_17[[#This Row],[item_key]])+SUMIFS(GQList,GIList,Table_ExternalData_17[[#This Row],[item_key]],GDList,0)-ABS(SUMIFS(IsQList,IsIList,Table_ExternalData_17[[#This Row],[item_key]],IsDList,0))</f>
        <v>2273</v>
      </c>
      <c r="E300" s="10">
        <f>SUMIFS(GQList,GIList,Table_ExternalData_17[[#This Row],[item_key]],GTList,Table_ExternalData_17[[#Headers],[GRN]],GDList,"&lt;&gt;"&amp;0)</f>
        <v>0</v>
      </c>
      <c r="F300" s="10">
        <f>SUMIFS(GQList,GIList,Table_ExternalData_17[[#This Row],[item_key]],GTList,Table_ExternalData_17[[#Headers],[VSTR]],GDList,"&lt;&gt;"&amp;0)</f>
        <v>0</v>
      </c>
      <c r="G300" s="10">
        <f>SUMIFS(GQList,GIList,Table_ExternalData_17[[#This Row],[item_key]],GTList,Table_ExternalData_17[[#Headers],[SR]],GDList,"&lt;&gt;"&amp;0)</f>
        <v>0</v>
      </c>
      <c r="H300" s="10">
        <f>SUMIFS(GQList,GIList,Table_ExternalData_17[[#This Row],[item_key]],GTList,Table_ExternalData_17[[#Headers],[TR]],GDList,"&lt;&gt;"&amp;0)</f>
        <v>0</v>
      </c>
      <c r="I300" s="10">
        <f>SUMIFS(GQList,GIList,Table_ExternalData_17[[#This Row],[item_key]],GTList,Table_ExternalData_17[[#Headers],[RCA]],GDList,"&lt;&gt;"&amp;0)</f>
        <v>0</v>
      </c>
      <c r="J300" s="10">
        <f>SUM(Table_ExternalData_17[[#This Row],[GRN]]+Table_ExternalData_17[[#This Row],[VSTR]]+Table_ExternalData_17[[#This Row],[SR]]+Table_ExternalData_17[[#This Row],[TR]]+Table_ExternalData_17[[#This Row],[RCA]])</f>
        <v>0</v>
      </c>
      <c r="K300" s="10">
        <f>SUMIFS(IsQList,IsIList,Table_ExternalData_17[[#This Row],[item_key]],IsITypeList,Table_ExternalData_17[[#Headers],[R/P]],IsDList,"&lt;&gt;"&amp;0)</f>
        <v>0</v>
      </c>
      <c r="L300" s="10">
        <f>SUMIFS(IsQList,IsIList,Table_ExternalData_17[[#This Row],[item_key]],IsITypeList,Table_ExternalData_17[[#Headers],[CST]],IsDList,"&lt;&gt;"&amp;0)</f>
        <v>0</v>
      </c>
      <c r="M300" s="10">
        <f>SUMIFS(IsQList,IsIList,Table_ExternalData_15[[#This Row],[item_key]],IsITypeList,Table_ExternalData_17[[#Headers],[S/I]],IsDList,"&lt;&gt;"&amp;0)</f>
        <v>5</v>
      </c>
      <c r="N300" s="10">
        <f>SUMIFS(IsQList,IsIList,Table_ExternalData_15[[#This Row],[item_key]],IsITypeList,Table_ExternalData_17[[#Headers],[VST]],IsDList,"&lt;&gt;"&amp;0)</f>
        <v>0</v>
      </c>
      <c r="O300" s="10">
        <f>ABS(SUMIFS(IsQList,IsIList,Table_ExternalData_17[[#This Row],[item_key]],IsITypeList,Table_ExternalData_17[[#Headers],[RTN]],IsDList,"&lt;&gt;"&amp;0))</f>
        <v>0</v>
      </c>
      <c r="P300" s="10">
        <f>SUM(Table_ExternalData_17[[#This Row],[R/P]:[RTN]])</f>
        <v>5</v>
      </c>
      <c r="Q300" s="10">
        <f>SUM((Table_ExternalData_17[[#This Row],[Opening]]+Table_ExternalData_17[[#This Row],[Total Receipt]])-ABS(Table_ExternalData_17[[#This Row],[Total Issue]]))</f>
        <v>2268</v>
      </c>
    </row>
    <row r="301" spans="1:17">
      <c r="A301" s="1" t="s">
        <v>817</v>
      </c>
      <c r="B301" s="1" t="s">
        <v>1622</v>
      </c>
      <c r="C301" s="1" t="s">
        <v>1596</v>
      </c>
      <c r="D301" s="10">
        <f>SUMIFS(OPBQList,OPBIList,Table_ExternalData_17[[#This Row],[item_key]])+SUMIFS(GQList,GIList,Table_ExternalData_17[[#This Row],[item_key]],GDList,0)-ABS(SUMIFS(IsQList,IsIList,Table_ExternalData_17[[#This Row],[item_key]],IsDList,0))</f>
        <v>652</v>
      </c>
      <c r="E301" s="10">
        <f>SUMIFS(GQList,GIList,Table_ExternalData_17[[#This Row],[item_key]],GTList,Table_ExternalData_17[[#Headers],[GRN]],GDList,"&lt;&gt;"&amp;0)</f>
        <v>0</v>
      </c>
      <c r="F301" s="10">
        <f>SUMIFS(GQList,GIList,Table_ExternalData_17[[#This Row],[item_key]],GTList,Table_ExternalData_17[[#Headers],[VSTR]],GDList,"&lt;&gt;"&amp;0)</f>
        <v>0</v>
      </c>
      <c r="G301" s="10">
        <f>SUMIFS(GQList,GIList,Table_ExternalData_17[[#This Row],[item_key]],GTList,Table_ExternalData_17[[#Headers],[SR]],GDList,"&lt;&gt;"&amp;0)</f>
        <v>0</v>
      </c>
      <c r="H301" s="10">
        <f>SUMIFS(GQList,GIList,Table_ExternalData_17[[#This Row],[item_key]],GTList,Table_ExternalData_17[[#Headers],[TR]],GDList,"&lt;&gt;"&amp;0)</f>
        <v>0</v>
      </c>
      <c r="I301" s="10">
        <f>SUMIFS(GQList,GIList,Table_ExternalData_17[[#This Row],[item_key]],GTList,Table_ExternalData_17[[#Headers],[RCA]],GDList,"&lt;&gt;"&amp;0)</f>
        <v>0</v>
      </c>
      <c r="J301" s="10">
        <f>SUM(Table_ExternalData_17[[#This Row],[GRN]]+Table_ExternalData_17[[#This Row],[VSTR]]+Table_ExternalData_17[[#This Row],[SR]]+Table_ExternalData_17[[#This Row],[TR]]+Table_ExternalData_17[[#This Row],[RCA]])</f>
        <v>0</v>
      </c>
      <c r="K301" s="10">
        <f>SUMIFS(IsQList,IsIList,Table_ExternalData_17[[#This Row],[item_key]],IsITypeList,Table_ExternalData_17[[#Headers],[R/P]],IsDList,"&lt;&gt;"&amp;0)</f>
        <v>0</v>
      </c>
      <c r="L301" s="10">
        <f>SUMIFS(IsQList,IsIList,Table_ExternalData_17[[#This Row],[item_key]],IsITypeList,Table_ExternalData_17[[#Headers],[CST]],IsDList,"&lt;&gt;"&amp;0)</f>
        <v>0</v>
      </c>
      <c r="M301" s="10">
        <f>SUMIFS(IsQList,IsIList,Table_ExternalData_15[[#This Row],[item_key]],IsITypeList,Table_ExternalData_17[[#Headers],[S/I]],IsDList,"&lt;&gt;"&amp;0)</f>
        <v>20</v>
      </c>
      <c r="N301" s="10">
        <f>SUMIFS(IsQList,IsIList,Table_ExternalData_15[[#This Row],[item_key]],IsITypeList,Table_ExternalData_17[[#Headers],[VST]],IsDList,"&lt;&gt;"&amp;0)</f>
        <v>0</v>
      </c>
      <c r="O301" s="10">
        <f>ABS(SUMIFS(IsQList,IsIList,Table_ExternalData_17[[#This Row],[item_key]],IsITypeList,Table_ExternalData_17[[#Headers],[RTN]],IsDList,"&lt;&gt;"&amp;0))</f>
        <v>0</v>
      </c>
      <c r="P301" s="10">
        <f>SUM(Table_ExternalData_17[[#This Row],[R/P]:[RTN]])</f>
        <v>20</v>
      </c>
      <c r="Q301" s="10">
        <f>SUM((Table_ExternalData_17[[#This Row],[Opening]]+Table_ExternalData_17[[#This Row],[Total Receipt]])-ABS(Table_ExternalData_17[[#This Row],[Total Issue]]))</f>
        <v>632</v>
      </c>
    </row>
    <row r="302" spans="1:17">
      <c r="A302" s="1" t="s">
        <v>2009</v>
      </c>
      <c r="B302" s="1" t="s">
        <v>2353</v>
      </c>
      <c r="C302" s="1" t="s">
        <v>2354</v>
      </c>
      <c r="D302" s="10">
        <f>SUMIFS(OPBQList,OPBIList,Table_ExternalData_17[[#This Row],[item_key]])+SUMIFS(GQList,GIList,Table_ExternalData_17[[#This Row],[item_key]],GDList,0)-ABS(SUMIFS(IsQList,IsIList,Table_ExternalData_17[[#This Row],[item_key]],IsDList,0))</f>
        <v>159</v>
      </c>
      <c r="E302" s="10">
        <f>SUMIFS(GQList,GIList,Table_ExternalData_17[[#This Row],[item_key]],GTList,Table_ExternalData_17[[#Headers],[GRN]],GDList,"&lt;&gt;"&amp;0)</f>
        <v>1000</v>
      </c>
      <c r="F302" s="10">
        <f>SUMIFS(GQList,GIList,Table_ExternalData_17[[#This Row],[item_key]],GTList,Table_ExternalData_17[[#Headers],[VSTR]],GDList,"&lt;&gt;"&amp;0)</f>
        <v>0</v>
      </c>
      <c r="G302" s="10">
        <f>SUMIFS(GQList,GIList,Table_ExternalData_17[[#This Row],[item_key]],GTList,Table_ExternalData_17[[#Headers],[SR]],GDList,"&lt;&gt;"&amp;0)</f>
        <v>0</v>
      </c>
      <c r="H302" s="10">
        <f>SUMIFS(GQList,GIList,Table_ExternalData_17[[#This Row],[item_key]],GTList,Table_ExternalData_17[[#Headers],[TR]],GDList,"&lt;&gt;"&amp;0)</f>
        <v>0</v>
      </c>
      <c r="I302" s="10">
        <f>SUMIFS(GQList,GIList,Table_ExternalData_17[[#This Row],[item_key]],GTList,Table_ExternalData_17[[#Headers],[RCA]],GDList,"&lt;&gt;"&amp;0)</f>
        <v>0</v>
      </c>
      <c r="J302" s="10">
        <f>SUM(Table_ExternalData_17[[#This Row],[GRN]]+Table_ExternalData_17[[#This Row],[VSTR]]+Table_ExternalData_17[[#This Row],[SR]]+Table_ExternalData_17[[#This Row],[TR]]+Table_ExternalData_17[[#This Row],[RCA]])</f>
        <v>1000</v>
      </c>
      <c r="K302" s="10">
        <f>SUMIFS(IsQList,IsIList,Table_ExternalData_17[[#This Row],[item_key]],IsITypeList,Table_ExternalData_17[[#Headers],[R/P]],IsDList,"&lt;&gt;"&amp;0)</f>
        <v>0</v>
      </c>
      <c r="L302" s="10">
        <f>SUMIFS(IsQList,IsIList,Table_ExternalData_17[[#This Row],[item_key]],IsITypeList,Table_ExternalData_17[[#Headers],[CST]],IsDList,"&lt;&gt;"&amp;0)</f>
        <v>0</v>
      </c>
      <c r="M302" s="10">
        <f>SUMIFS(IsQList,IsIList,Table_ExternalData_15[[#This Row],[item_key]],IsITypeList,Table_ExternalData_17[[#Headers],[S/I]],IsDList,"&lt;&gt;"&amp;0)</f>
        <v>10</v>
      </c>
      <c r="N302" s="10">
        <f>SUMIFS(IsQList,IsIList,Table_ExternalData_15[[#This Row],[item_key]],IsITypeList,Table_ExternalData_17[[#Headers],[VST]],IsDList,"&lt;&gt;"&amp;0)</f>
        <v>0</v>
      </c>
      <c r="O302" s="10">
        <f>ABS(SUMIFS(IsQList,IsIList,Table_ExternalData_17[[#This Row],[item_key]],IsITypeList,Table_ExternalData_17[[#Headers],[RTN]],IsDList,"&lt;&gt;"&amp;0))</f>
        <v>0</v>
      </c>
      <c r="P302" s="10">
        <f>SUM(Table_ExternalData_17[[#This Row],[R/P]:[RTN]])</f>
        <v>10</v>
      </c>
      <c r="Q302" s="10">
        <f>SUM((Table_ExternalData_17[[#This Row],[Opening]]+Table_ExternalData_17[[#This Row],[Total Receipt]])-ABS(Table_ExternalData_17[[#This Row],[Total Issue]]))</f>
        <v>1149</v>
      </c>
    </row>
    <row r="303" spans="1:17">
      <c r="A303" s="1" t="s">
        <v>818</v>
      </c>
      <c r="B303" s="1" t="s">
        <v>1413</v>
      </c>
      <c r="C303" s="1" t="s">
        <v>1414</v>
      </c>
      <c r="D303" s="10">
        <f>SUMIFS(OPBQList,OPBIList,Table_ExternalData_17[[#This Row],[item_key]])+SUMIFS(GQList,GIList,Table_ExternalData_17[[#This Row],[item_key]],GDList,0)-ABS(SUMIFS(IsQList,IsIList,Table_ExternalData_17[[#This Row],[item_key]],IsDList,0))</f>
        <v>89</v>
      </c>
      <c r="E303" s="10">
        <f>SUMIFS(GQList,GIList,Table_ExternalData_17[[#This Row],[item_key]],GTList,Table_ExternalData_17[[#Headers],[GRN]],GDList,"&lt;&gt;"&amp;0)</f>
        <v>0</v>
      </c>
      <c r="F303" s="10">
        <f>SUMIFS(GQList,GIList,Table_ExternalData_17[[#This Row],[item_key]],GTList,Table_ExternalData_17[[#Headers],[VSTR]],GDList,"&lt;&gt;"&amp;0)</f>
        <v>0</v>
      </c>
      <c r="G303" s="10">
        <f>SUMIFS(GQList,GIList,Table_ExternalData_17[[#This Row],[item_key]],GTList,Table_ExternalData_17[[#Headers],[SR]],GDList,"&lt;&gt;"&amp;0)</f>
        <v>0</v>
      </c>
      <c r="H303" s="10">
        <f>SUMIFS(GQList,GIList,Table_ExternalData_17[[#This Row],[item_key]],GTList,Table_ExternalData_17[[#Headers],[TR]],GDList,"&lt;&gt;"&amp;0)</f>
        <v>0</v>
      </c>
      <c r="I303" s="10">
        <f>SUMIFS(GQList,GIList,Table_ExternalData_17[[#This Row],[item_key]],GTList,Table_ExternalData_17[[#Headers],[RCA]],GDList,"&lt;&gt;"&amp;0)</f>
        <v>0</v>
      </c>
      <c r="J303" s="10">
        <f>SUM(Table_ExternalData_17[[#This Row],[GRN]]+Table_ExternalData_17[[#This Row],[VSTR]]+Table_ExternalData_17[[#This Row],[SR]]+Table_ExternalData_17[[#This Row],[TR]]+Table_ExternalData_17[[#This Row],[RCA]])</f>
        <v>0</v>
      </c>
      <c r="K303" s="10">
        <f>SUMIFS(IsQList,IsIList,Table_ExternalData_17[[#This Row],[item_key]],IsITypeList,Table_ExternalData_17[[#Headers],[R/P]],IsDList,"&lt;&gt;"&amp;0)</f>
        <v>0</v>
      </c>
      <c r="L303" s="10">
        <f>SUMIFS(IsQList,IsIList,Table_ExternalData_17[[#This Row],[item_key]],IsITypeList,Table_ExternalData_17[[#Headers],[CST]],IsDList,"&lt;&gt;"&amp;0)</f>
        <v>0</v>
      </c>
      <c r="M303" s="10">
        <f>SUMIFS(IsQList,IsIList,Table_ExternalData_15[[#This Row],[item_key]],IsITypeList,Table_ExternalData_17[[#Headers],[S/I]],IsDList,"&lt;&gt;"&amp;0)</f>
        <v>9</v>
      </c>
      <c r="N303" s="10">
        <f>SUMIFS(IsQList,IsIList,Table_ExternalData_15[[#This Row],[item_key]],IsITypeList,Table_ExternalData_17[[#Headers],[VST]],IsDList,"&lt;&gt;"&amp;0)</f>
        <v>0</v>
      </c>
      <c r="O303" s="10">
        <f>ABS(SUMIFS(IsQList,IsIList,Table_ExternalData_17[[#This Row],[item_key]],IsITypeList,Table_ExternalData_17[[#Headers],[RTN]],IsDList,"&lt;&gt;"&amp;0))</f>
        <v>0</v>
      </c>
      <c r="P303" s="10">
        <f>SUM(Table_ExternalData_17[[#This Row],[R/P]:[RTN]])</f>
        <v>9</v>
      </c>
      <c r="Q303" s="10">
        <f>SUM((Table_ExternalData_17[[#This Row],[Opening]]+Table_ExternalData_17[[#This Row],[Total Receipt]])-ABS(Table_ExternalData_17[[#This Row],[Total Issue]]))</f>
        <v>80</v>
      </c>
    </row>
    <row r="304" spans="1:17">
      <c r="A304" s="1" t="s">
        <v>819</v>
      </c>
      <c r="B304" s="1" t="s">
        <v>2721</v>
      </c>
      <c r="C304" s="1" t="s">
        <v>2722</v>
      </c>
      <c r="D304" s="10">
        <f>SUMIFS(OPBQList,OPBIList,Table_ExternalData_17[[#This Row],[item_key]])+SUMIFS(GQList,GIList,Table_ExternalData_17[[#This Row],[item_key]],GDList,0)-ABS(SUMIFS(IsQList,IsIList,Table_ExternalData_17[[#This Row],[item_key]],IsDList,0))</f>
        <v>3675</v>
      </c>
      <c r="E304" s="10">
        <f>SUMIFS(GQList,GIList,Table_ExternalData_17[[#This Row],[item_key]],GTList,Table_ExternalData_17[[#Headers],[GRN]],GDList,"&lt;&gt;"&amp;0)</f>
        <v>0</v>
      </c>
      <c r="F304" s="10">
        <f>SUMIFS(GQList,GIList,Table_ExternalData_17[[#This Row],[item_key]],GTList,Table_ExternalData_17[[#Headers],[VSTR]],GDList,"&lt;&gt;"&amp;0)</f>
        <v>0</v>
      </c>
      <c r="G304" s="10">
        <f>SUMIFS(GQList,GIList,Table_ExternalData_17[[#This Row],[item_key]],GTList,Table_ExternalData_17[[#Headers],[SR]],GDList,"&lt;&gt;"&amp;0)</f>
        <v>0</v>
      </c>
      <c r="H304" s="10">
        <f>SUMIFS(GQList,GIList,Table_ExternalData_17[[#This Row],[item_key]],GTList,Table_ExternalData_17[[#Headers],[TR]],GDList,"&lt;&gt;"&amp;0)</f>
        <v>0</v>
      </c>
      <c r="I304" s="10">
        <f>SUMIFS(GQList,GIList,Table_ExternalData_17[[#This Row],[item_key]],GTList,Table_ExternalData_17[[#Headers],[RCA]],GDList,"&lt;&gt;"&amp;0)</f>
        <v>0</v>
      </c>
      <c r="J304" s="10">
        <f>SUM(Table_ExternalData_17[[#This Row],[GRN]]+Table_ExternalData_17[[#This Row],[VSTR]]+Table_ExternalData_17[[#This Row],[SR]]+Table_ExternalData_17[[#This Row],[TR]]+Table_ExternalData_17[[#This Row],[RCA]])</f>
        <v>0</v>
      </c>
      <c r="K304" s="10">
        <f>SUMIFS(IsQList,IsIList,Table_ExternalData_17[[#This Row],[item_key]],IsITypeList,Table_ExternalData_17[[#Headers],[R/P]],IsDList,"&lt;&gt;"&amp;0)</f>
        <v>0</v>
      </c>
      <c r="L304" s="10">
        <f>SUMIFS(IsQList,IsIList,Table_ExternalData_17[[#This Row],[item_key]],IsITypeList,Table_ExternalData_17[[#Headers],[CST]],IsDList,"&lt;&gt;"&amp;0)</f>
        <v>0</v>
      </c>
      <c r="M304" s="10">
        <f>SUMIFS(IsQList,IsIList,Table_ExternalData_15[[#This Row],[item_key]],IsITypeList,Table_ExternalData_17[[#Headers],[S/I]],IsDList,"&lt;&gt;"&amp;0)</f>
        <v>25</v>
      </c>
      <c r="N304" s="10">
        <f>SUMIFS(IsQList,IsIList,Table_ExternalData_15[[#This Row],[item_key]],IsITypeList,Table_ExternalData_17[[#Headers],[VST]],IsDList,"&lt;&gt;"&amp;0)</f>
        <v>0</v>
      </c>
      <c r="O304" s="10">
        <f>ABS(SUMIFS(IsQList,IsIList,Table_ExternalData_17[[#This Row],[item_key]],IsITypeList,Table_ExternalData_17[[#Headers],[RTN]],IsDList,"&lt;&gt;"&amp;0))</f>
        <v>0</v>
      </c>
      <c r="P304" s="10">
        <f>SUM(Table_ExternalData_17[[#This Row],[R/P]:[RTN]])</f>
        <v>25</v>
      </c>
      <c r="Q304" s="10">
        <f>SUM((Table_ExternalData_17[[#This Row],[Opening]]+Table_ExternalData_17[[#This Row],[Total Receipt]])-ABS(Table_ExternalData_17[[#This Row],[Total Issue]]))</f>
        <v>3650</v>
      </c>
    </row>
    <row r="305" spans="1:17">
      <c r="A305" s="1" t="s">
        <v>2020</v>
      </c>
      <c r="B305" s="1" t="s">
        <v>2723</v>
      </c>
      <c r="C305" s="1" t="s">
        <v>2724</v>
      </c>
      <c r="D305" s="10">
        <f>SUMIFS(OPBQList,OPBIList,Table_ExternalData_17[[#This Row],[item_key]])+SUMIFS(GQList,GIList,Table_ExternalData_17[[#This Row],[item_key]],GDList,0)-ABS(SUMIFS(IsQList,IsIList,Table_ExternalData_17[[#This Row],[item_key]],IsDList,0))</f>
        <v>4495</v>
      </c>
      <c r="E305" s="10">
        <f>SUMIFS(GQList,GIList,Table_ExternalData_17[[#This Row],[item_key]],GTList,Table_ExternalData_17[[#Headers],[GRN]],GDList,"&lt;&gt;"&amp;0)</f>
        <v>0</v>
      </c>
      <c r="F305" s="10">
        <f>SUMIFS(GQList,GIList,Table_ExternalData_17[[#This Row],[item_key]],GTList,Table_ExternalData_17[[#Headers],[VSTR]],GDList,"&lt;&gt;"&amp;0)</f>
        <v>0</v>
      </c>
      <c r="G305" s="10">
        <f>SUMIFS(GQList,GIList,Table_ExternalData_17[[#This Row],[item_key]],GTList,Table_ExternalData_17[[#Headers],[SR]],GDList,"&lt;&gt;"&amp;0)</f>
        <v>0</v>
      </c>
      <c r="H305" s="10">
        <f>SUMIFS(GQList,GIList,Table_ExternalData_17[[#This Row],[item_key]],GTList,Table_ExternalData_17[[#Headers],[TR]],GDList,"&lt;&gt;"&amp;0)</f>
        <v>0</v>
      </c>
      <c r="I305" s="10">
        <f>SUMIFS(GQList,GIList,Table_ExternalData_17[[#This Row],[item_key]],GTList,Table_ExternalData_17[[#Headers],[RCA]],GDList,"&lt;&gt;"&amp;0)</f>
        <v>0</v>
      </c>
      <c r="J305" s="10">
        <f>SUM(Table_ExternalData_17[[#This Row],[GRN]]+Table_ExternalData_17[[#This Row],[VSTR]]+Table_ExternalData_17[[#This Row],[SR]]+Table_ExternalData_17[[#This Row],[TR]]+Table_ExternalData_17[[#This Row],[RCA]])</f>
        <v>0</v>
      </c>
      <c r="K305" s="10">
        <f>SUMIFS(IsQList,IsIList,Table_ExternalData_17[[#This Row],[item_key]],IsITypeList,Table_ExternalData_17[[#Headers],[R/P]],IsDList,"&lt;&gt;"&amp;0)</f>
        <v>0</v>
      </c>
      <c r="L305" s="10">
        <f>SUMIFS(IsQList,IsIList,Table_ExternalData_17[[#This Row],[item_key]],IsITypeList,Table_ExternalData_17[[#Headers],[CST]],IsDList,"&lt;&gt;"&amp;0)</f>
        <v>0</v>
      </c>
      <c r="M305" s="10">
        <f>SUMIFS(IsQList,IsIList,Table_ExternalData_15[[#This Row],[item_key]],IsITypeList,Table_ExternalData_17[[#Headers],[S/I]],IsDList,"&lt;&gt;"&amp;0)</f>
        <v>25</v>
      </c>
      <c r="N305" s="10">
        <f>SUMIFS(IsQList,IsIList,Table_ExternalData_15[[#This Row],[item_key]],IsITypeList,Table_ExternalData_17[[#Headers],[VST]],IsDList,"&lt;&gt;"&amp;0)</f>
        <v>0</v>
      </c>
      <c r="O305" s="10">
        <f>ABS(SUMIFS(IsQList,IsIList,Table_ExternalData_17[[#This Row],[item_key]],IsITypeList,Table_ExternalData_17[[#Headers],[RTN]],IsDList,"&lt;&gt;"&amp;0))</f>
        <v>0</v>
      </c>
      <c r="P305" s="10">
        <f>SUM(Table_ExternalData_17[[#This Row],[R/P]:[RTN]])</f>
        <v>25</v>
      </c>
      <c r="Q305" s="10">
        <f>SUM((Table_ExternalData_17[[#This Row],[Opening]]+Table_ExternalData_17[[#This Row],[Total Receipt]])-ABS(Table_ExternalData_17[[#This Row],[Total Issue]]))</f>
        <v>4470</v>
      </c>
    </row>
    <row r="306" spans="1:17">
      <c r="A306" s="1" t="s">
        <v>2026</v>
      </c>
      <c r="B306" s="1" t="s">
        <v>2725</v>
      </c>
      <c r="C306" s="1" t="s">
        <v>2726</v>
      </c>
      <c r="D306" s="10">
        <f>SUMIFS(OPBQList,OPBIList,Table_ExternalData_17[[#This Row],[item_key]])+SUMIFS(GQList,GIList,Table_ExternalData_17[[#This Row],[item_key]],GDList,0)-ABS(SUMIFS(IsQList,IsIList,Table_ExternalData_17[[#This Row],[item_key]],IsDList,0))</f>
        <v>4723</v>
      </c>
      <c r="E306" s="10">
        <f>SUMIFS(GQList,GIList,Table_ExternalData_17[[#This Row],[item_key]],GTList,Table_ExternalData_17[[#Headers],[GRN]],GDList,"&lt;&gt;"&amp;0)</f>
        <v>0</v>
      </c>
      <c r="F306" s="10">
        <f>SUMIFS(GQList,GIList,Table_ExternalData_17[[#This Row],[item_key]],GTList,Table_ExternalData_17[[#Headers],[VSTR]],GDList,"&lt;&gt;"&amp;0)</f>
        <v>0</v>
      </c>
      <c r="G306" s="10">
        <f>SUMIFS(GQList,GIList,Table_ExternalData_17[[#This Row],[item_key]],GTList,Table_ExternalData_17[[#Headers],[SR]],GDList,"&lt;&gt;"&amp;0)</f>
        <v>0</v>
      </c>
      <c r="H306" s="10">
        <f>SUMIFS(GQList,GIList,Table_ExternalData_17[[#This Row],[item_key]],GTList,Table_ExternalData_17[[#Headers],[TR]],GDList,"&lt;&gt;"&amp;0)</f>
        <v>0</v>
      </c>
      <c r="I306" s="10">
        <f>SUMIFS(GQList,GIList,Table_ExternalData_17[[#This Row],[item_key]],GTList,Table_ExternalData_17[[#Headers],[RCA]],GDList,"&lt;&gt;"&amp;0)</f>
        <v>0</v>
      </c>
      <c r="J306" s="10">
        <f>SUM(Table_ExternalData_17[[#This Row],[GRN]]+Table_ExternalData_17[[#This Row],[VSTR]]+Table_ExternalData_17[[#This Row],[SR]]+Table_ExternalData_17[[#This Row],[TR]]+Table_ExternalData_17[[#This Row],[RCA]])</f>
        <v>0</v>
      </c>
      <c r="K306" s="10">
        <f>SUMIFS(IsQList,IsIList,Table_ExternalData_17[[#This Row],[item_key]],IsITypeList,Table_ExternalData_17[[#Headers],[R/P]],IsDList,"&lt;&gt;"&amp;0)</f>
        <v>0</v>
      </c>
      <c r="L306" s="10">
        <f>SUMIFS(IsQList,IsIList,Table_ExternalData_17[[#This Row],[item_key]],IsITypeList,Table_ExternalData_17[[#Headers],[CST]],IsDList,"&lt;&gt;"&amp;0)</f>
        <v>0</v>
      </c>
      <c r="M306" s="10">
        <f>SUMIFS(IsQList,IsIList,Table_ExternalData_15[[#This Row],[item_key]],IsITypeList,Table_ExternalData_17[[#Headers],[S/I]],IsDList,"&lt;&gt;"&amp;0)</f>
        <v>25</v>
      </c>
      <c r="N306" s="10">
        <f>SUMIFS(IsQList,IsIList,Table_ExternalData_15[[#This Row],[item_key]],IsITypeList,Table_ExternalData_17[[#Headers],[VST]],IsDList,"&lt;&gt;"&amp;0)</f>
        <v>0</v>
      </c>
      <c r="O306" s="10">
        <f>ABS(SUMIFS(IsQList,IsIList,Table_ExternalData_17[[#This Row],[item_key]],IsITypeList,Table_ExternalData_17[[#Headers],[RTN]],IsDList,"&lt;&gt;"&amp;0))</f>
        <v>0</v>
      </c>
      <c r="P306" s="10">
        <f>SUM(Table_ExternalData_17[[#This Row],[R/P]:[RTN]])</f>
        <v>25</v>
      </c>
      <c r="Q306" s="10">
        <f>SUM((Table_ExternalData_17[[#This Row],[Opening]]+Table_ExternalData_17[[#This Row],[Total Receipt]])-ABS(Table_ExternalData_17[[#This Row],[Total Issue]]))</f>
        <v>4698</v>
      </c>
    </row>
    <row r="307" spans="1:17">
      <c r="A307" s="1" t="s">
        <v>2027</v>
      </c>
      <c r="B307" s="1" t="s">
        <v>2727</v>
      </c>
      <c r="C307" s="1" t="s">
        <v>2728</v>
      </c>
      <c r="D307" s="10">
        <f>SUMIFS(OPBQList,OPBIList,Table_ExternalData_17[[#This Row],[item_key]])+SUMIFS(GQList,GIList,Table_ExternalData_17[[#This Row],[item_key]],GDList,0)-ABS(SUMIFS(IsQList,IsIList,Table_ExternalData_17[[#This Row],[item_key]],IsDList,0))</f>
        <v>24</v>
      </c>
      <c r="E307" s="10">
        <f>SUMIFS(GQList,GIList,Table_ExternalData_17[[#This Row],[item_key]],GTList,Table_ExternalData_17[[#Headers],[GRN]],GDList,"&lt;&gt;"&amp;0)</f>
        <v>0</v>
      </c>
      <c r="F307" s="10">
        <f>SUMIFS(GQList,GIList,Table_ExternalData_17[[#This Row],[item_key]],GTList,Table_ExternalData_17[[#Headers],[VSTR]],GDList,"&lt;&gt;"&amp;0)</f>
        <v>0</v>
      </c>
      <c r="G307" s="10">
        <f>SUMIFS(GQList,GIList,Table_ExternalData_17[[#This Row],[item_key]],GTList,Table_ExternalData_17[[#Headers],[SR]],GDList,"&lt;&gt;"&amp;0)</f>
        <v>0</v>
      </c>
      <c r="H307" s="10">
        <f>SUMIFS(GQList,GIList,Table_ExternalData_17[[#This Row],[item_key]],GTList,Table_ExternalData_17[[#Headers],[TR]],GDList,"&lt;&gt;"&amp;0)</f>
        <v>0</v>
      </c>
      <c r="I307" s="10">
        <f>SUMIFS(GQList,GIList,Table_ExternalData_17[[#This Row],[item_key]],GTList,Table_ExternalData_17[[#Headers],[RCA]],GDList,"&lt;&gt;"&amp;0)</f>
        <v>0</v>
      </c>
      <c r="J307" s="10">
        <f>SUM(Table_ExternalData_17[[#This Row],[GRN]]+Table_ExternalData_17[[#This Row],[VSTR]]+Table_ExternalData_17[[#This Row],[SR]]+Table_ExternalData_17[[#This Row],[TR]]+Table_ExternalData_17[[#This Row],[RCA]])</f>
        <v>0</v>
      </c>
      <c r="K307" s="10">
        <f>SUMIFS(IsQList,IsIList,Table_ExternalData_17[[#This Row],[item_key]],IsITypeList,Table_ExternalData_17[[#Headers],[R/P]],IsDList,"&lt;&gt;"&amp;0)</f>
        <v>0</v>
      </c>
      <c r="L307" s="10">
        <f>SUMIFS(IsQList,IsIList,Table_ExternalData_17[[#This Row],[item_key]],IsITypeList,Table_ExternalData_17[[#Headers],[CST]],IsDList,"&lt;&gt;"&amp;0)</f>
        <v>0</v>
      </c>
      <c r="M307" s="10">
        <f>SUMIFS(IsQList,IsIList,Table_ExternalData_15[[#This Row],[item_key]],IsITypeList,Table_ExternalData_17[[#Headers],[S/I]],IsDList,"&lt;&gt;"&amp;0)</f>
        <v>14023</v>
      </c>
      <c r="N307" s="10">
        <f>SUMIFS(IsQList,IsIList,Table_ExternalData_15[[#This Row],[item_key]],IsITypeList,Table_ExternalData_17[[#Headers],[VST]],IsDList,"&lt;&gt;"&amp;0)</f>
        <v>0</v>
      </c>
      <c r="O307" s="10">
        <f>ABS(SUMIFS(IsQList,IsIList,Table_ExternalData_17[[#This Row],[item_key]],IsITypeList,Table_ExternalData_17[[#Headers],[RTN]],IsDList,"&lt;&gt;"&amp;0))</f>
        <v>0</v>
      </c>
      <c r="P307" s="10">
        <f>SUM(Table_ExternalData_17[[#This Row],[R/P]:[RTN]])</f>
        <v>14023</v>
      </c>
      <c r="Q307" s="10">
        <f>SUM((Table_ExternalData_17[[#This Row],[Opening]]+Table_ExternalData_17[[#This Row],[Total Receipt]])-ABS(Table_ExternalData_17[[#This Row],[Total Issue]]))</f>
        <v>-13999</v>
      </c>
    </row>
    <row r="308" spans="1:17">
      <c r="A308" s="1" t="s">
        <v>2028</v>
      </c>
      <c r="B308" s="1" t="s">
        <v>2729</v>
      </c>
      <c r="C308" s="1" t="s">
        <v>2730</v>
      </c>
      <c r="D308" s="10">
        <f>SUMIFS(OPBQList,OPBIList,Table_ExternalData_17[[#This Row],[item_key]])+SUMIFS(GQList,GIList,Table_ExternalData_17[[#This Row],[item_key]],GDList,0)-ABS(SUMIFS(IsQList,IsIList,Table_ExternalData_17[[#This Row],[item_key]],IsDList,0))</f>
        <v>80</v>
      </c>
      <c r="E308" s="10">
        <f>SUMIFS(GQList,GIList,Table_ExternalData_17[[#This Row],[item_key]],GTList,Table_ExternalData_17[[#Headers],[GRN]],GDList,"&lt;&gt;"&amp;0)</f>
        <v>0</v>
      </c>
      <c r="F308" s="10">
        <f>SUMIFS(GQList,GIList,Table_ExternalData_17[[#This Row],[item_key]],GTList,Table_ExternalData_17[[#Headers],[VSTR]],GDList,"&lt;&gt;"&amp;0)</f>
        <v>0</v>
      </c>
      <c r="G308" s="10">
        <f>SUMIFS(GQList,GIList,Table_ExternalData_17[[#This Row],[item_key]],GTList,Table_ExternalData_17[[#Headers],[SR]],GDList,"&lt;&gt;"&amp;0)</f>
        <v>0</v>
      </c>
      <c r="H308" s="10">
        <f>SUMIFS(GQList,GIList,Table_ExternalData_17[[#This Row],[item_key]],GTList,Table_ExternalData_17[[#Headers],[TR]],GDList,"&lt;&gt;"&amp;0)</f>
        <v>0</v>
      </c>
      <c r="I308" s="10">
        <f>SUMIFS(GQList,GIList,Table_ExternalData_17[[#This Row],[item_key]],GTList,Table_ExternalData_17[[#Headers],[RCA]],GDList,"&lt;&gt;"&amp;0)</f>
        <v>0</v>
      </c>
      <c r="J308" s="10">
        <f>SUM(Table_ExternalData_17[[#This Row],[GRN]]+Table_ExternalData_17[[#This Row],[VSTR]]+Table_ExternalData_17[[#This Row],[SR]]+Table_ExternalData_17[[#This Row],[TR]]+Table_ExternalData_17[[#This Row],[RCA]])</f>
        <v>0</v>
      </c>
      <c r="K308" s="10">
        <f>SUMIFS(IsQList,IsIList,Table_ExternalData_17[[#This Row],[item_key]],IsITypeList,Table_ExternalData_17[[#Headers],[R/P]],IsDList,"&lt;&gt;"&amp;0)</f>
        <v>0</v>
      </c>
      <c r="L308" s="10">
        <f>SUMIFS(IsQList,IsIList,Table_ExternalData_17[[#This Row],[item_key]],IsITypeList,Table_ExternalData_17[[#Headers],[CST]],IsDList,"&lt;&gt;"&amp;0)</f>
        <v>0</v>
      </c>
      <c r="M308" s="10">
        <f>SUMIFS(IsQList,IsIList,Table_ExternalData_15[[#This Row],[item_key]],IsITypeList,Table_ExternalData_17[[#Headers],[S/I]],IsDList,"&lt;&gt;"&amp;0)</f>
        <v>0</v>
      </c>
      <c r="N308" s="10">
        <f>SUMIFS(IsQList,IsIList,Table_ExternalData_15[[#This Row],[item_key]],IsITypeList,Table_ExternalData_17[[#Headers],[VST]],IsDList,"&lt;&gt;"&amp;0)</f>
        <v>0</v>
      </c>
      <c r="O308" s="10">
        <f>ABS(SUMIFS(IsQList,IsIList,Table_ExternalData_17[[#This Row],[item_key]],IsITypeList,Table_ExternalData_17[[#Headers],[RTN]],IsDList,"&lt;&gt;"&amp;0))</f>
        <v>0</v>
      </c>
      <c r="P308" s="10">
        <f>SUM(Table_ExternalData_17[[#This Row],[R/P]:[RTN]])</f>
        <v>0</v>
      </c>
      <c r="Q308" s="10">
        <f>SUM((Table_ExternalData_17[[#This Row],[Opening]]+Table_ExternalData_17[[#This Row],[Total Receipt]])-ABS(Table_ExternalData_17[[#This Row],[Total Issue]]))</f>
        <v>80</v>
      </c>
    </row>
    <row r="309" spans="1:17">
      <c r="A309" s="1" t="s">
        <v>824</v>
      </c>
      <c r="B309" s="1" t="s">
        <v>2731</v>
      </c>
      <c r="C309" s="1" t="s">
        <v>2732</v>
      </c>
      <c r="D309" s="10">
        <f>SUMIFS(OPBQList,OPBIList,Table_ExternalData_17[[#This Row],[item_key]])+SUMIFS(GQList,GIList,Table_ExternalData_17[[#This Row],[item_key]],GDList,0)-ABS(SUMIFS(IsQList,IsIList,Table_ExternalData_17[[#This Row],[item_key]],IsDList,0))</f>
        <v>312</v>
      </c>
      <c r="E309" s="10">
        <f>SUMIFS(GQList,GIList,Table_ExternalData_17[[#This Row],[item_key]],GTList,Table_ExternalData_17[[#Headers],[GRN]],GDList,"&lt;&gt;"&amp;0)</f>
        <v>0</v>
      </c>
      <c r="F309" s="10">
        <f>SUMIFS(GQList,GIList,Table_ExternalData_17[[#This Row],[item_key]],GTList,Table_ExternalData_17[[#Headers],[VSTR]],GDList,"&lt;&gt;"&amp;0)</f>
        <v>0</v>
      </c>
      <c r="G309" s="10">
        <f>SUMIFS(GQList,GIList,Table_ExternalData_17[[#This Row],[item_key]],GTList,Table_ExternalData_17[[#Headers],[SR]],GDList,"&lt;&gt;"&amp;0)</f>
        <v>0</v>
      </c>
      <c r="H309" s="10">
        <f>SUMIFS(GQList,GIList,Table_ExternalData_17[[#This Row],[item_key]],GTList,Table_ExternalData_17[[#Headers],[TR]],GDList,"&lt;&gt;"&amp;0)</f>
        <v>0</v>
      </c>
      <c r="I309" s="10">
        <f>SUMIFS(GQList,GIList,Table_ExternalData_17[[#This Row],[item_key]],GTList,Table_ExternalData_17[[#Headers],[RCA]],GDList,"&lt;&gt;"&amp;0)</f>
        <v>0</v>
      </c>
      <c r="J309" s="10">
        <f>SUM(Table_ExternalData_17[[#This Row],[GRN]]+Table_ExternalData_17[[#This Row],[VSTR]]+Table_ExternalData_17[[#This Row],[SR]]+Table_ExternalData_17[[#This Row],[TR]]+Table_ExternalData_17[[#This Row],[RCA]])</f>
        <v>0</v>
      </c>
      <c r="K309" s="10">
        <f>SUMIFS(IsQList,IsIList,Table_ExternalData_17[[#This Row],[item_key]],IsITypeList,Table_ExternalData_17[[#Headers],[R/P]],IsDList,"&lt;&gt;"&amp;0)</f>
        <v>0</v>
      </c>
      <c r="L309" s="10">
        <f>SUMIFS(IsQList,IsIList,Table_ExternalData_17[[#This Row],[item_key]],IsITypeList,Table_ExternalData_17[[#Headers],[CST]],IsDList,"&lt;&gt;"&amp;0)</f>
        <v>0</v>
      </c>
      <c r="M309" s="10">
        <f>SUMIFS(IsQList,IsIList,Table_ExternalData_15[[#This Row],[item_key]],IsITypeList,Table_ExternalData_17[[#Headers],[S/I]],IsDList,"&lt;&gt;"&amp;0)</f>
        <v>20</v>
      </c>
      <c r="N309" s="10">
        <f>SUMIFS(IsQList,IsIList,Table_ExternalData_15[[#This Row],[item_key]],IsITypeList,Table_ExternalData_17[[#Headers],[VST]],IsDList,"&lt;&gt;"&amp;0)</f>
        <v>0</v>
      </c>
      <c r="O309" s="10">
        <f>ABS(SUMIFS(IsQList,IsIList,Table_ExternalData_17[[#This Row],[item_key]],IsITypeList,Table_ExternalData_17[[#Headers],[RTN]],IsDList,"&lt;&gt;"&amp;0))</f>
        <v>0</v>
      </c>
      <c r="P309" s="10">
        <f>SUM(Table_ExternalData_17[[#This Row],[R/P]:[RTN]])</f>
        <v>20</v>
      </c>
      <c r="Q309" s="10">
        <f>SUM((Table_ExternalData_17[[#This Row],[Opening]]+Table_ExternalData_17[[#This Row],[Total Receipt]])-ABS(Table_ExternalData_17[[#This Row],[Total Issue]]))</f>
        <v>292</v>
      </c>
    </row>
    <row r="310" spans="1:17">
      <c r="A310" s="1" t="s">
        <v>827</v>
      </c>
      <c r="B310" s="1" t="s">
        <v>2360</v>
      </c>
      <c r="C310" s="1" t="s">
        <v>2361</v>
      </c>
      <c r="D310" s="10">
        <f>SUMIFS(OPBQList,OPBIList,Table_ExternalData_17[[#This Row],[item_key]])+SUMIFS(GQList,GIList,Table_ExternalData_17[[#This Row],[item_key]],GDList,0)-ABS(SUMIFS(IsQList,IsIList,Table_ExternalData_17[[#This Row],[item_key]],IsDList,0))</f>
        <v>58</v>
      </c>
      <c r="E310" s="10">
        <f>SUMIFS(GQList,GIList,Table_ExternalData_17[[#This Row],[item_key]],GTList,Table_ExternalData_17[[#Headers],[GRN]],GDList,"&lt;&gt;"&amp;0)</f>
        <v>0</v>
      </c>
      <c r="F310" s="10">
        <f>SUMIFS(GQList,GIList,Table_ExternalData_17[[#This Row],[item_key]],GTList,Table_ExternalData_17[[#Headers],[VSTR]],GDList,"&lt;&gt;"&amp;0)</f>
        <v>0</v>
      </c>
      <c r="G310" s="10">
        <f>SUMIFS(GQList,GIList,Table_ExternalData_17[[#This Row],[item_key]],GTList,Table_ExternalData_17[[#Headers],[SR]],GDList,"&lt;&gt;"&amp;0)</f>
        <v>0</v>
      </c>
      <c r="H310" s="10">
        <f>SUMIFS(GQList,GIList,Table_ExternalData_17[[#This Row],[item_key]],GTList,Table_ExternalData_17[[#Headers],[TR]],GDList,"&lt;&gt;"&amp;0)</f>
        <v>0</v>
      </c>
      <c r="I310" s="10">
        <f>SUMIFS(GQList,GIList,Table_ExternalData_17[[#This Row],[item_key]],GTList,Table_ExternalData_17[[#Headers],[RCA]],GDList,"&lt;&gt;"&amp;0)</f>
        <v>0</v>
      </c>
      <c r="J310" s="10">
        <f>SUM(Table_ExternalData_17[[#This Row],[GRN]]+Table_ExternalData_17[[#This Row],[VSTR]]+Table_ExternalData_17[[#This Row],[SR]]+Table_ExternalData_17[[#This Row],[TR]]+Table_ExternalData_17[[#This Row],[RCA]])</f>
        <v>0</v>
      </c>
      <c r="K310" s="10">
        <f>SUMIFS(IsQList,IsIList,Table_ExternalData_17[[#This Row],[item_key]],IsITypeList,Table_ExternalData_17[[#Headers],[R/P]],IsDList,"&lt;&gt;"&amp;0)</f>
        <v>0</v>
      </c>
      <c r="L310" s="10">
        <f>SUMIFS(IsQList,IsIList,Table_ExternalData_17[[#This Row],[item_key]],IsITypeList,Table_ExternalData_17[[#Headers],[CST]],IsDList,"&lt;&gt;"&amp;0)</f>
        <v>0</v>
      </c>
      <c r="M310" s="10">
        <f>SUMIFS(IsQList,IsIList,Table_ExternalData_15[[#This Row],[item_key]],IsITypeList,Table_ExternalData_17[[#Headers],[S/I]],IsDList,"&lt;&gt;"&amp;0)</f>
        <v>0</v>
      </c>
      <c r="N310" s="10">
        <f>SUMIFS(IsQList,IsIList,Table_ExternalData_15[[#This Row],[item_key]],IsITypeList,Table_ExternalData_17[[#Headers],[VST]],IsDList,"&lt;&gt;"&amp;0)</f>
        <v>0</v>
      </c>
      <c r="O310" s="10">
        <f>ABS(SUMIFS(IsQList,IsIList,Table_ExternalData_17[[#This Row],[item_key]],IsITypeList,Table_ExternalData_17[[#Headers],[RTN]],IsDList,"&lt;&gt;"&amp;0))</f>
        <v>0</v>
      </c>
      <c r="P310" s="10">
        <f>SUM(Table_ExternalData_17[[#This Row],[R/P]:[RTN]])</f>
        <v>0</v>
      </c>
      <c r="Q310" s="10">
        <f>SUM((Table_ExternalData_17[[#This Row],[Opening]]+Table_ExternalData_17[[#This Row],[Total Receipt]])-ABS(Table_ExternalData_17[[#This Row],[Total Issue]]))</f>
        <v>58</v>
      </c>
    </row>
    <row r="311" spans="1:17">
      <c r="A311" s="1" t="s">
        <v>2056</v>
      </c>
      <c r="B311" s="1" t="s">
        <v>2733</v>
      </c>
      <c r="C311" s="1" t="s">
        <v>2734</v>
      </c>
      <c r="D31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11" s="10">
        <f>SUMIFS(GQList,GIList,Table_ExternalData_17[[#This Row],[item_key]],GTList,Table_ExternalData_17[[#Headers],[GRN]],GDList,"&lt;&gt;"&amp;0)</f>
        <v>100</v>
      </c>
      <c r="F311" s="10">
        <f>SUMIFS(GQList,GIList,Table_ExternalData_17[[#This Row],[item_key]],GTList,Table_ExternalData_17[[#Headers],[VSTR]],GDList,"&lt;&gt;"&amp;0)</f>
        <v>0</v>
      </c>
      <c r="G311" s="10">
        <f>SUMIFS(GQList,GIList,Table_ExternalData_17[[#This Row],[item_key]],GTList,Table_ExternalData_17[[#Headers],[SR]],GDList,"&lt;&gt;"&amp;0)</f>
        <v>0</v>
      </c>
      <c r="H311" s="10">
        <f>SUMIFS(GQList,GIList,Table_ExternalData_17[[#This Row],[item_key]],GTList,Table_ExternalData_17[[#Headers],[TR]],GDList,"&lt;&gt;"&amp;0)</f>
        <v>0</v>
      </c>
      <c r="I311" s="10">
        <f>SUMIFS(GQList,GIList,Table_ExternalData_17[[#This Row],[item_key]],GTList,Table_ExternalData_17[[#Headers],[RCA]],GDList,"&lt;&gt;"&amp;0)</f>
        <v>0</v>
      </c>
      <c r="J311" s="10">
        <f>SUM(Table_ExternalData_17[[#This Row],[GRN]]+Table_ExternalData_17[[#This Row],[VSTR]]+Table_ExternalData_17[[#This Row],[SR]]+Table_ExternalData_17[[#This Row],[TR]]+Table_ExternalData_17[[#This Row],[RCA]])</f>
        <v>100</v>
      </c>
      <c r="K311" s="10">
        <f>SUMIFS(IsQList,IsIList,Table_ExternalData_17[[#This Row],[item_key]],IsITypeList,Table_ExternalData_17[[#Headers],[R/P]],IsDList,"&lt;&gt;"&amp;0)</f>
        <v>0</v>
      </c>
      <c r="L311" s="10">
        <f>SUMIFS(IsQList,IsIList,Table_ExternalData_17[[#This Row],[item_key]],IsITypeList,Table_ExternalData_17[[#Headers],[CST]],IsDList,"&lt;&gt;"&amp;0)</f>
        <v>0</v>
      </c>
      <c r="M311" s="10">
        <f>SUMIFS(IsQList,IsIList,Table_ExternalData_15[[#This Row],[item_key]],IsITypeList,Table_ExternalData_17[[#Headers],[S/I]],IsDList,"&lt;&gt;"&amp;0)</f>
        <v>100</v>
      </c>
      <c r="N311" s="10">
        <f>SUMIFS(IsQList,IsIList,Table_ExternalData_15[[#This Row],[item_key]],IsITypeList,Table_ExternalData_17[[#Headers],[VST]],IsDList,"&lt;&gt;"&amp;0)</f>
        <v>0</v>
      </c>
      <c r="O311" s="10">
        <f>ABS(SUMIFS(IsQList,IsIList,Table_ExternalData_17[[#This Row],[item_key]],IsITypeList,Table_ExternalData_17[[#Headers],[RTN]],IsDList,"&lt;&gt;"&amp;0))</f>
        <v>0</v>
      </c>
      <c r="P311" s="10">
        <f>SUM(Table_ExternalData_17[[#This Row],[R/P]:[RTN]])</f>
        <v>100</v>
      </c>
      <c r="Q311" s="10">
        <f>SUM((Table_ExternalData_17[[#This Row],[Opening]]+Table_ExternalData_17[[#This Row],[Total Receipt]])-ABS(Table_ExternalData_17[[#This Row],[Total Issue]]))</f>
        <v>0</v>
      </c>
    </row>
    <row r="312" spans="1:17">
      <c r="A312" s="1" t="s">
        <v>2062</v>
      </c>
      <c r="B312" s="1" t="s">
        <v>2389</v>
      </c>
      <c r="C312" s="1" t="s">
        <v>1553</v>
      </c>
      <c r="D312" s="10">
        <f>SUMIFS(OPBQList,OPBIList,Table_ExternalData_17[[#This Row],[item_key]])+SUMIFS(GQList,GIList,Table_ExternalData_17[[#This Row],[item_key]],GDList,0)-ABS(SUMIFS(IsQList,IsIList,Table_ExternalData_17[[#This Row],[item_key]],IsDList,0))</f>
        <v>107</v>
      </c>
      <c r="E312" s="10">
        <f>SUMIFS(GQList,GIList,Table_ExternalData_17[[#This Row],[item_key]],GTList,Table_ExternalData_17[[#Headers],[GRN]],GDList,"&lt;&gt;"&amp;0)</f>
        <v>50</v>
      </c>
      <c r="F312" s="10">
        <f>SUMIFS(GQList,GIList,Table_ExternalData_17[[#This Row],[item_key]],GTList,Table_ExternalData_17[[#Headers],[VSTR]],GDList,"&lt;&gt;"&amp;0)</f>
        <v>0</v>
      </c>
      <c r="G312" s="10">
        <f>SUMIFS(GQList,GIList,Table_ExternalData_17[[#This Row],[item_key]],GTList,Table_ExternalData_17[[#Headers],[SR]],GDList,"&lt;&gt;"&amp;0)</f>
        <v>0</v>
      </c>
      <c r="H312" s="10">
        <f>SUMIFS(GQList,GIList,Table_ExternalData_17[[#This Row],[item_key]],GTList,Table_ExternalData_17[[#Headers],[TR]],GDList,"&lt;&gt;"&amp;0)</f>
        <v>0</v>
      </c>
      <c r="I312" s="10">
        <f>SUMIFS(GQList,GIList,Table_ExternalData_17[[#This Row],[item_key]],GTList,Table_ExternalData_17[[#Headers],[RCA]],GDList,"&lt;&gt;"&amp;0)</f>
        <v>0</v>
      </c>
      <c r="J312" s="10">
        <f>SUM(Table_ExternalData_17[[#This Row],[GRN]]+Table_ExternalData_17[[#This Row],[VSTR]]+Table_ExternalData_17[[#This Row],[SR]]+Table_ExternalData_17[[#This Row],[TR]]+Table_ExternalData_17[[#This Row],[RCA]])</f>
        <v>50</v>
      </c>
      <c r="K312" s="10">
        <f>SUMIFS(IsQList,IsIList,Table_ExternalData_17[[#This Row],[item_key]],IsITypeList,Table_ExternalData_17[[#Headers],[R/P]],IsDList,"&lt;&gt;"&amp;0)</f>
        <v>0</v>
      </c>
      <c r="L312" s="10">
        <f>SUMIFS(IsQList,IsIList,Table_ExternalData_17[[#This Row],[item_key]],IsITypeList,Table_ExternalData_17[[#Headers],[CST]],IsDList,"&lt;&gt;"&amp;0)</f>
        <v>0</v>
      </c>
      <c r="M312" s="10">
        <f>SUMIFS(IsQList,IsIList,Table_ExternalData_15[[#This Row],[item_key]],IsITypeList,Table_ExternalData_17[[#Headers],[S/I]],IsDList,"&lt;&gt;"&amp;0)</f>
        <v>100</v>
      </c>
      <c r="N312" s="10">
        <f>SUMIFS(IsQList,IsIList,Table_ExternalData_15[[#This Row],[item_key]],IsITypeList,Table_ExternalData_17[[#Headers],[VST]],IsDList,"&lt;&gt;"&amp;0)</f>
        <v>0</v>
      </c>
      <c r="O312" s="10">
        <f>ABS(SUMIFS(IsQList,IsIList,Table_ExternalData_17[[#This Row],[item_key]],IsITypeList,Table_ExternalData_17[[#Headers],[RTN]],IsDList,"&lt;&gt;"&amp;0))</f>
        <v>0</v>
      </c>
      <c r="P312" s="10">
        <f>SUM(Table_ExternalData_17[[#This Row],[R/P]:[RTN]])</f>
        <v>100</v>
      </c>
      <c r="Q312" s="10">
        <f>SUM((Table_ExternalData_17[[#This Row],[Opening]]+Table_ExternalData_17[[#This Row],[Total Receipt]])-ABS(Table_ExternalData_17[[#This Row],[Total Issue]]))</f>
        <v>57</v>
      </c>
    </row>
    <row r="313" spans="1:17">
      <c r="A313" s="1" t="s">
        <v>2071</v>
      </c>
      <c r="B313" s="1" t="s">
        <v>2735</v>
      </c>
      <c r="C313" s="1" t="s">
        <v>2736</v>
      </c>
      <c r="D313" s="10">
        <f>SUMIFS(OPBQList,OPBIList,Table_ExternalData_17[[#This Row],[item_key]])+SUMIFS(GQList,GIList,Table_ExternalData_17[[#This Row],[item_key]],GDList,0)-ABS(SUMIFS(IsQList,IsIList,Table_ExternalData_17[[#This Row],[item_key]],IsDList,0))</f>
        <v>50</v>
      </c>
      <c r="E313" s="10">
        <f>SUMIFS(GQList,GIList,Table_ExternalData_17[[#This Row],[item_key]],GTList,Table_ExternalData_17[[#Headers],[GRN]],GDList,"&lt;&gt;"&amp;0)</f>
        <v>0</v>
      </c>
      <c r="F313" s="10">
        <f>SUMIFS(GQList,GIList,Table_ExternalData_17[[#This Row],[item_key]],GTList,Table_ExternalData_17[[#Headers],[VSTR]],GDList,"&lt;&gt;"&amp;0)</f>
        <v>0</v>
      </c>
      <c r="G313" s="10">
        <f>SUMIFS(GQList,GIList,Table_ExternalData_17[[#This Row],[item_key]],GTList,Table_ExternalData_17[[#Headers],[SR]],GDList,"&lt;&gt;"&amp;0)</f>
        <v>0</v>
      </c>
      <c r="H313" s="10">
        <f>SUMIFS(GQList,GIList,Table_ExternalData_17[[#This Row],[item_key]],GTList,Table_ExternalData_17[[#Headers],[TR]],GDList,"&lt;&gt;"&amp;0)</f>
        <v>0</v>
      </c>
      <c r="I313" s="10">
        <f>SUMIFS(GQList,GIList,Table_ExternalData_17[[#This Row],[item_key]],GTList,Table_ExternalData_17[[#Headers],[RCA]],GDList,"&lt;&gt;"&amp;0)</f>
        <v>0</v>
      </c>
      <c r="J313" s="10">
        <f>SUM(Table_ExternalData_17[[#This Row],[GRN]]+Table_ExternalData_17[[#This Row],[VSTR]]+Table_ExternalData_17[[#This Row],[SR]]+Table_ExternalData_17[[#This Row],[TR]]+Table_ExternalData_17[[#This Row],[RCA]])</f>
        <v>0</v>
      </c>
      <c r="K313" s="10">
        <f>SUMIFS(IsQList,IsIList,Table_ExternalData_17[[#This Row],[item_key]],IsITypeList,Table_ExternalData_17[[#Headers],[R/P]],IsDList,"&lt;&gt;"&amp;0)</f>
        <v>0</v>
      </c>
      <c r="L313" s="10">
        <f>SUMIFS(IsQList,IsIList,Table_ExternalData_17[[#This Row],[item_key]],IsITypeList,Table_ExternalData_17[[#Headers],[CST]],IsDList,"&lt;&gt;"&amp;0)</f>
        <v>0</v>
      </c>
      <c r="M313" s="10">
        <f>SUMIFS(IsQList,IsIList,Table_ExternalData_15[[#This Row],[item_key]],IsITypeList,Table_ExternalData_17[[#Headers],[S/I]],IsDList,"&lt;&gt;"&amp;0)</f>
        <v>0</v>
      </c>
      <c r="N313" s="10">
        <f>SUMIFS(IsQList,IsIList,Table_ExternalData_15[[#This Row],[item_key]],IsITypeList,Table_ExternalData_17[[#Headers],[VST]],IsDList,"&lt;&gt;"&amp;0)</f>
        <v>0</v>
      </c>
      <c r="O313" s="10">
        <f>ABS(SUMIFS(IsQList,IsIList,Table_ExternalData_17[[#This Row],[item_key]],IsITypeList,Table_ExternalData_17[[#Headers],[RTN]],IsDList,"&lt;&gt;"&amp;0))</f>
        <v>0</v>
      </c>
      <c r="P313" s="10">
        <f>SUM(Table_ExternalData_17[[#This Row],[R/P]:[RTN]])</f>
        <v>0</v>
      </c>
      <c r="Q313" s="10">
        <f>SUM((Table_ExternalData_17[[#This Row],[Opening]]+Table_ExternalData_17[[#This Row],[Total Receipt]])-ABS(Table_ExternalData_17[[#This Row],[Total Issue]]))</f>
        <v>50</v>
      </c>
    </row>
    <row r="314" spans="1:17">
      <c r="A314" s="1" t="s">
        <v>834</v>
      </c>
      <c r="B314" s="1" t="s">
        <v>1415</v>
      </c>
      <c r="C314" s="1" t="s">
        <v>1416</v>
      </c>
      <c r="D314" s="10">
        <f>SUMIFS(OPBQList,OPBIList,Table_ExternalData_17[[#This Row],[item_key]])+SUMIFS(GQList,GIList,Table_ExternalData_17[[#This Row],[item_key]],GDList,0)-ABS(SUMIFS(IsQList,IsIList,Table_ExternalData_17[[#This Row],[item_key]],IsDList,0))</f>
        <v>2</v>
      </c>
      <c r="E314" s="10">
        <f>SUMIFS(GQList,GIList,Table_ExternalData_17[[#This Row],[item_key]],GTList,Table_ExternalData_17[[#Headers],[GRN]],GDList,"&lt;&gt;"&amp;0)</f>
        <v>0</v>
      </c>
      <c r="F314" s="10">
        <f>SUMIFS(GQList,GIList,Table_ExternalData_17[[#This Row],[item_key]],GTList,Table_ExternalData_17[[#Headers],[VSTR]],GDList,"&lt;&gt;"&amp;0)</f>
        <v>0</v>
      </c>
      <c r="G314" s="10">
        <f>SUMIFS(GQList,GIList,Table_ExternalData_17[[#This Row],[item_key]],GTList,Table_ExternalData_17[[#Headers],[SR]],GDList,"&lt;&gt;"&amp;0)</f>
        <v>0</v>
      </c>
      <c r="H314" s="10">
        <f>SUMIFS(GQList,GIList,Table_ExternalData_17[[#This Row],[item_key]],GTList,Table_ExternalData_17[[#Headers],[TR]],GDList,"&lt;&gt;"&amp;0)</f>
        <v>0</v>
      </c>
      <c r="I314" s="10">
        <f>SUMIFS(GQList,GIList,Table_ExternalData_17[[#This Row],[item_key]],GTList,Table_ExternalData_17[[#Headers],[RCA]],GDList,"&lt;&gt;"&amp;0)</f>
        <v>0</v>
      </c>
      <c r="J314" s="10">
        <f>SUM(Table_ExternalData_17[[#This Row],[GRN]]+Table_ExternalData_17[[#This Row],[VSTR]]+Table_ExternalData_17[[#This Row],[SR]]+Table_ExternalData_17[[#This Row],[TR]]+Table_ExternalData_17[[#This Row],[RCA]])</f>
        <v>0</v>
      </c>
      <c r="K314" s="10">
        <f>SUMIFS(IsQList,IsIList,Table_ExternalData_17[[#This Row],[item_key]],IsITypeList,Table_ExternalData_17[[#Headers],[R/P]],IsDList,"&lt;&gt;"&amp;0)</f>
        <v>0</v>
      </c>
      <c r="L314" s="10">
        <f>SUMIFS(IsQList,IsIList,Table_ExternalData_17[[#This Row],[item_key]],IsITypeList,Table_ExternalData_17[[#Headers],[CST]],IsDList,"&lt;&gt;"&amp;0)</f>
        <v>0</v>
      </c>
      <c r="M314" s="10">
        <f>SUMIFS(IsQList,IsIList,Table_ExternalData_15[[#This Row],[item_key]],IsITypeList,Table_ExternalData_17[[#Headers],[S/I]],IsDList,"&lt;&gt;"&amp;0)</f>
        <v>50</v>
      </c>
      <c r="N314" s="10">
        <f>SUMIFS(IsQList,IsIList,Table_ExternalData_15[[#This Row],[item_key]],IsITypeList,Table_ExternalData_17[[#Headers],[VST]],IsDList,"&lt;&gt;"&amp;0)</f>
        <v>0</v>
      </c>
      <c r="O314" s="10">
        <f>ABS(SUMIFS(IsQList,IsIList,Table_ExternalData_17[[#This Row],[item_key]],IsITypeList,Table_ExternalData_17[[#Headers],[RTN]],IsDList,"&lt;&gt;"&amp;0))</f>
        <v>0</v>
      </c>
      <c r="P314" s="10">
        <f>SUM(Table_ExternalData_17[[#This Row],[R/P]:[RTN]])</f>
        <v>50</v>
      </c>
      <c r="Q314" s="10">
        <f>SUM((Table_ExternalData_17[[#This Row],[Opening]]+Table_ExternalData_17[[#This Row],[Total Receipt]])-ABS(Table_ExternalData_17[[#This Row],[Total Issue]]))</f>
        <v>-48</v>
      </c>
    </row>
    <row r="315" spans="1:17">
      <c r="A315" s="1" t="s">
        <v>837</v>
      </c>
      <c r="B315" s="1" t="s">
        <v>1417</v>
      </c>
      <c r="C315" s="1" t="s">
        <v>1418</v>
      </c>
      <c r="D31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15" s="10">
        <f>SUMIFS(GQList,GIList,Table_ExternalData_17[[#This Row],[item_key]],GTList,Table_ExternalData_17[[#Headers],[GRN]],GDList,"&lt;&gt;"&amp;0)</f>
        <v>0</v>
      </c>
      <c r="F315" s="10">
        <f>SUMIFS(GQList,GIList,Table_ExternalData_17[[#This Row],[item_key]],GTList,Table_ExternalData_17[[#Headers],[VSTR]],GDList,"&lt;&gt;"&amp;0)</f>
        <v>0</v>
      </c>
      <c r="G315" s="10">
        <f>SUMIFS(GQList,GIList,Table_ExternalData_17[[#This Row],[item_key]],GTList,Table_ExternalData_17[[#Headers],[SR]],GDList,"&lt;&gt;"&amp;0)</f>
        <v>0</v>
      </c>
      <c r="H315" s="10">
        <f>SUMIFS(GQList,GIList,Table_ExternalData_17[[#This Row],[item_key]],GTList,Table_ExternalData_17[[#Headers],[TR]],GDList,"&lt;&gt;"&amp;0)</f>
        <v>0</v>
      </c>
      <c r="I315" s="10">
        <f>SUMIFS(GQList,GIList,Table_ExternalData_17[[#This Row],[item_key]],GTList,Table_ExternalData_17[[#Headers],[RCA]],GDList,"&lt;&gt;"&amp;0)</f>
        <v>0</v>
      </c>
      <c r="J315" s="10">
        <f>SUM(Table_ExternalData_17[[#This Row],[GRN]]+Table_ExternalData_17[[#This Row],[VSTR]]+Table_ExternalData_17[[#This Row],[SR]]+Table_ExternalData_17[[#This Row],[TR]]+Table_ExternalData_17[[#This Row],[RCA]])</f>
        <v>0</v>
      </c>
      <c r="K315" s="10">
        <f>SUMIFS(IsQList,IsIList,Table_ExternalData_17[[#This Row],[item_key]],IsITypeList,Table_ExternalData_17[[#Headers],[R/P]],IsDList,"&lt;&gt;"&amp;0)</f>
        <v>0</v>
      </c>
      <c r="L315" s="10">
        <f>SUMIFS(IsQList,IsIList,Table_ExternalData_17[[#This Row],[item_key]],IsITypeList,Table_ExternalData_17[[#Headers],[CST]],IsDList,"&lt;&gt;"&amp;0)</f>
        <v>0</v>
      </c>
      <c r="M315" s="10">
        <f>SUMIFS(IsQList,IsIList,Table_ExternalData_15[[#This Row],[item_key]],IsITypeList,Table_ExternalData_17[[#Headers],[S/I]],IsDList,"&lt;&gt;"&amp;0)</f>
        <v>180</v>
      </c>
      <c r="N315" s="10">
        <f>SUMIFS(IsQList,IsIList,Table_ExternalData_15[[#This Row],[item_key]],IsITypeList,Table_ExternalData_17[[#Headers],[VST]],IsDList,"&lt;&gt;"&amp;0)</f>
        <v>0</v>
      </c>
      <c r="O315" s="10">
        <f>ABS(SUMIFS(IsQList,IsIList,Table_ExternalData_17[[#This Row],[item_key]],IsITypeList,Table_ExternalData_17[[#Headers],[RTN]],IsDList,"&lt;&gt;"&amp;0))</f>
        <v>0</v>
      </c>
      <c r="P315" s="10">
        <f>SUM(Table_ExternalData_17[[#This Row],[R/P]:[RTN]])</f>
        <v>180</v>
      </c>
      <c r="Q315" s="10">
        <f>SUM((Table_ExternalData_17[[#This Row],[Opening]]+Table_ExternalData_17[[#This Row],[Total Receipt]])-ABS(Table_ExternalData_17[[#This Row],[Total Issue]]))</f>
        <v>-180</v>
      </c>
    </row>
    <row r="316" spans="1:17">
      <c r="A316" s="1" t="s">
        <v>838</v>
      </c>
      <c r="B316" s="1" t="s">
        <v>2737</v>
      </c>
      <c r="C316" s="1" t="s">
        <v>2738</v>
      </c>
      <c r="D316" s="10">
        <f>SUMIFS(OPBQList,OPBIList,Table_ExternalData_17[[#This Row],[item_key]])+SUMIFS(GQList,GIList,Table_ExternalData_17[[#This Row],[item_key]],GDList,0)-ABS(SUMIFS(IsQList,IsIList,Table_ExternalData_17[[#This Row],[item_key]],IsDList,0))</f>
        <v>36</v>
      </c>
      <c r="E316" s="10">
        <f>SUMIFS(GQList,GIList,Table_ExternalData_17[[#This Row],[item_key]],GTList,Table_ExternalData_17[[#Headers],[GRN]],GDList,"&lt;&gt;"&amp;0)</f>
        <v>50</v>
      </c>
      <c r="F316" s="10">
        <f>SUMIFS(GQList,GIList,Table_ExternalData_17[[#This Row],[item_key]],GTList,Table_ExternalData_17[[#Headers],[VSTR]],GDList,"&lt;&gt;"&amp;0)</f>
        <v>0</v>
      </c>
      <c r="G316" s="10">
        <f>SUMIFS(GQList,GIList,Table_ExternalData_17[[#This Row],[item_key]],GTList,Table_ExternalData_17[[#Headers],[SR]],GDList,"&lt;&gt;"&amp;0)</f>
        <v>0</v>
      </c>
      <c r="H316" s="10">
        <f>SUMIFS(GQList,GIList,Table_ExternalData_17[[#This Row],[item_key]],GTList,Table_ExternalData_17[[#Headers],[TR]],GDList,"&lt;&gt;"&amp;0)</f>
        <v>0</v>
      </c>
      <c r="I316" s="10">
        <f>SUMIFS(GQList,GIList,Table_ExternalData_17[[#This Row],[item_key]],GTList,Table_ExternalData_17[[#Headers],[RCA]],GDList,"&lt;&gt;"&amp;0)</f>
        <v>0</v>
      </c>
      <c r="J316" s="10">
        <f>SUM(Table_ExternalData_17[[#This Row],[GRN]]+Table_ExternalData_17[[#This Row],[VSTR]]+Table_ExternalData_17[[#This Row],[SR]]+Table_ExternalData_17[[#This Row],[TR]]+Table_ExternalData_17[[#This Row],[RCA]])</f>
        <v>50</v>
      </c>
      <c r="K316" s="10">
        <f>SUMIFS(IsQList,IsIList,Table_ExternalData_17[[#This Row],[item_key]],IsITypeList,Table_ExternalData_17[[#Headers],[R/P]],IsDList,"&lt;&gt;"&amp;0)</f>
        <v>0</v>
      </c>
      <c r="L316" s="10">
        <f>SUMIFS(IsQList,IsIList,Table_ExternalData_17[[#This Row],[item_key]],IsITypeList,Table_ExternalData_17[[#Headers],[CST]],IsDList,"&lt;&gt;"&amp;0)</f>
        <v>0</v>
      </c>
      <c r="M316" s="10">
        <f>SUMIFS(IsQList,IsIList,Table_ExternalData_15[[#This Row],[item_key]],IsITypeList,Table_ExternalData_17[[#Headers],[S/I]],IsDList,"&lt;&gt;"&amp;0)</f>
        <v>0</v>
      </c>
      <c r="N316" s="10">
        <f>SUMIFS(IsQList,IsIList,Table_ExternalData_15[[#This Row],[item_key]],IsITypeList,Table_ExternalData_17[[#Headers],[VST]],IsDList,"&lt;&gt;"&amp;0)</f>
        <v>0</v>
      </c>
      <c r="O316" s="10">
        <f>ABS(SUMIFS(IsQList,IsIList,Table_ExternalData_17[[#This Row],[item_key]],IsITypeList,Table_ExternalData_17[[#Headers],[RTN]],IsDList,"&lt;&gt;"&amp;0))</f>
        <v>0</v>
      </c>
      <c r="P316" s="10">
        <f>SUM(Table_ExternalData_17[[#This Row],[R/P]:[RTN]])</f>
        <v>0</v>
      </c>
      <c r="Q316" s="10">
        <f>SUM((Table_ExternalData_17[[#This Row],[Opening]]+Table_ExternalData_17[[#This Row],[Total Receipt]])-ABS(Table_ExternalData_17[[#This Row],[Total Issue]]))</f>
        <v>86</v>
      </c>
    </row>
    <row r="317" spans="1:17">
      <c r="A317" s="1" t="s">
        <v>839</v>
      </c>
      <c r="B317" s="1" t="s">
        <v>2739</v>
      </c>
      <c r="C317" s="1" t="s">
        <v>2740</v>
      </c>
      <c r="D317" s="10">
        <f>SUMIFS(OPBQList,OPBIList,Table_ExternalData_17[[#This Row],[item_key]])+SUMIFS(GQList,GIList,Table_ExternalData_17[[#This Row],[item_key]],GDList,0)-ABS(SUMIFS(IsQList,IsIList,Table_ExternalData_17[[#This Row],[item_key]],IsDList,0))</f>
        <v>1602</v>
      </c>
      <c r="E317" s="10">
        <f>SUMIFS(GQList,GIList,Table_ExternalData_17[[#This Row],[item_key]],GTList,Table_ExternalData_17[[#Headers],[GRN]],GDList,"&lt;&gt;"&amp;0)</f>
        <v>0</v>
      </c>
      <c r="F317" s="10">
        <f>SUMIFS(GQList,GIList,Table_ExternalData_17[[#This Row],[item_key]],GTList,Table_ExternalData_17[[#Headers],[VSTR]],GDList,"&lt;&gt;"&amp;0)</f>
        <v>0</v>
      </c>
      <c r="G317" s="10">
        <f>SUMIFS(GQList,GIList,Table_ExternalData_17[[#This Row],[item_key]],GTList,Table_ExternalData_17[[#Headers],[SR]],GDList,"&lt;&gt;"&amp;0)</f>
        <v>0</v>
      </c>
      <c r="H317" s="10">
        <f>SUMIFS(GQList,GIList,Table_ExternalData_17[[#This Row],[item_key]],GTList,Table_ExternalData_17[[#Headers],[TR]],GDList,"&lt;&gt;"&amp;0)</f>
        <v>0</v>
      </c>
      <c r="I317" s="10">
        <f>SUMIFS(GQList,GIList,Table_ExternalData_17[[#This Row],[item_key]],GTList,Table_ExternalData_17[[#Headers],[RCA]],GDList,"&lt;&gt;"&amp;0)</f>
        <v>0</v>
      </c>
      <c r="J317" s="10">
        <f>SUM(Table_ExternalData_17[[#This Row],[GRN]]+Table_ExternalData_17[[#This Row],[VSTR]]+Table_ExternalData_17[[#This Row],[SR]]+Table_ExternalData_17[[#This Row],[TR]]+Table_ExternalData_17[[#This Row],[RCA]])</f>
        <v>0</v>
      </c>
      <c r="K317" s="10">
        <f>SUMIFS(IsQList,IsIList,Table_ExternalData_17[[#This Row],[item_key]],IsITypeList,Table_ExternalData_17[[#Headers],[R/P]],IsDList,"&lt;&gt;"&amp;0)</f>
        <v>0</v>
      </c>
      <c r="L317" s="10">
        <f>SUMIFS(IsQList,IsIList,Table_ExternalData_17[[#This Row],[item_key]],IsITypeList,Table_ExternalData_17[[#Headers],[CST]],IsDList,"&lt;&gt;"&amp;0)</f>
        <v>0</v>
      </c>
      <c r="M317" s="10">
        <f>SUMIFS(IsQList,IsIList,Table_ExternalData_15[[#This Row],[item_key]],IsITypeList,Table_ExternalData_17[[#Headers],[S/I]],IsDList,"&lt;&gt;"&amp;0)</f>
        <v>100</v>
      </c>
      <c r="N317" s="10">
        <f>SUMIFS(IsQList,IsIList,Table_ExternalData_15[[#This Row],[item_key]],IsITypeList,Table_ExternalData_17[[#Headers],[VST]],IsDList,"&lt;&gt;"&amp;0)</f>
        <v>0</v>
      </c>
      <c r="O317" s="10">
        <f>ABS(SUMIFS(IsQList,IsIList,Table_ExternalData_17[[#This Row],[item_key]],IsITypeList,Table_ExternalData_17[[#Headers],[RTN]],IsDList,"&lt;&gt;"&amp;0))</f>
        <v>0</v>
      </c>
      <c r="P317" s="10">
        <f>SUM(Table_ExternalData_17[[#This Row],[R/P]:[RTN]])</f>
        <v>100</v>
      </c>
      <c r="Q317" s="10">
        <f>SUM((Table_ExternalData_17[[#This Row],[Opening]]+Table_ExternalData_17[[#This Row],[Total Receipt]])-ABS(Table_ExternalData_17[[#This Row],[Total Issue]]))</f>
        <v>1502</v>
      </c>
    </row>
    <row r="318" spans="1:17">
      <c r="A318" s="1" t="s">
        <v>840</v>
      </c>
      <c r="B318" s="1" t="s">
        <v>2741</v>
      </c>
      <c r="C318" s="1" t="s">
        <v>2742</v>
      </c>
      <c r="D318" s="10">
        <f>SUMIFS(OPBQList,OPBIList,Table_ExternalData_17[[#This Row],[item_key]])+SUMIFS(GQList,GIList,Table_ExternalData_17[[#This Row],[item_key]],GDList,0)-ABS(SUMIFS(IsQList,IsIList,Table_ExternalData_17[[#This Row],[item_key]],IsDList,0))</f>
        <v>670</v>
      </c>
      <c r="E318" s="10">
        <f>SUMIFS(GQList,GIList,Table_ExternalData_17[[#This Row],[item_key]],GTList,Table_ExternalData_17[[#Headers],[GRN]],GDList,"&lt;&gt;"&amp;0)</f>
        <v>0</v>
      </c>
      <c r="F318" s="10">
        <f>SUMIFS(GQList,GIList,Table_ExternalData_17[[#This Row],[item_key]],GTList,Table_ExternalData_17[[#Headers],[VSTR]],GDList,"&lt;&gt;"&amp;0)</f>
        <v>0</v>
      </c>
      <c r="G318" s="10">
        <f>SUMIFS(GQList,GIList,Table_ExternalData_17[[#This Row],[item_key]],GTList,Table_ExternalData_17[[#Headers],[SR]],GDList,"&lt;&gt;"&amp;0)</f>
        <v>0</v>
      </c>
      <c r="H318" s="10">
        <f>SUMIFS(GQList,GIList,Table_ExternalData_17[[#This Row],[item_key]],GTList,Table_ExternalData_17[[#Headers],[TR]],GDList,"&lt;&gt;"&amp;0)</f>
        <v>0</v>
      </c>
      <c r="I318" s="10">
        <f>SUMIFS(GQList,GIList,Table_ExternalData_17[[#This Row],[item_key]],GTList,Table_ExternalData_17[[#Headers],[RCA]],GDList,"&lt;&gt;"&amp;0)</f>
        <v>0</v>
      </c>
      <c r="J318" s="10">
        <f>SUM(Table_ExternalData_17[[#This Row],[GRN]]+Table_ExternalData_17[[#This Row],[VSTR]]+Table_ExternalData_17[[#This Row],[SR]]+Table_ExternalData_17[[#This Row],[TR]]+Table_ExternalData_17[[#This Row],[RCA]])</f>
        <v>0</v>
      </c>
      <c r="K318" s="10">
        <f>SUMIFS(IsQList,IsIList,Table_ExternalData_17[[#This Row],[item_key]],IsITypeList,Table_ExternalData_17[[#Headers],[R/P]],IsDList,"&lt;&gt;"&amp;0)</f>
        <v>0</v>
      </c>
      <c r="L318" s="10">
        <f>SUMIFS(IsQList,IsIList,Table_ExternalData_17[[#This Row],[item_key]],IsITypeList,Table_ExternalData_17[[#Headers],[CST]],IsDList,"&lt;&gt;"&amp;0)</f>
        <v>0</v>
      </c>
      <c r="M318" s="10">
        <f>SUMIFS(IsQList,IsIList,Table_ExternalData_15[[#This Row],[item_key]],IsITypeList,Table_ExternalData_17[[#Headers],[S/I]],IsDList,"&lt;&gt;"&amp;0)</f>
        <v>670</v>
      </c>
      <c r="N318" s="10">
        <f>SUMIFS(IsQList,IsIList,Table_ExternalData_15[[#This Row],[item_key]],IsITypeList,Table_ExternalData_17[[#Headers],[VST]],IsDList,"&lt;&gt;"&amp;0)</f>
        <v>0</v>
      </c>
      <c r="O318" s="10">
        <f>ABS(SUMIFS(IsQList,IsIList,Table_ExternalData_17[[#This Row],[item_key]],IsITypeList,Table_ExternalData_17[[#Headers],[RTN]],IsDList,"&lt;&gt;"&amp;0))</f>
        <v>0</v>
      </c>
      <c r="P318" s="10">
        <f>SUM(Table_ExternalData_17[[#This Row],[R/P]:[RTN]])</f>
        <v>670</v>
      </c>
      <c r="Q318" s="10">
        <f>SUM((Table_ExternalData_17[[#This Row],[Opening]]+Table_ExternalData_17[[#This Row],[Total Receipt]])-ABS(Table_ExternalData_17[[#This Row],[Total Issue]]))</f>
        <v>0</v>
      </c>
    </row>
    <row r="319" spans="1:17">
      <c r="A319" s="1" t="s">
        <v>842</v>
      </c>
      <c r="B319" s="1" t="s">
        <v>1419</v>
      </c>
      <c r="C319" s="1" t="s">
        <v>1374</v>
      </c>
      <c r="D319" s="10">
        <f>SUMIFS(OPBQList,OPBIList,Table_ExternalData_17[[#This Row],[item_key]])+SUMIFS(GQList,GIList,Table_ExternalData_17[[#This Row],[item_key]],GDList,0)-ABS(SUMIFS(IsQList,IsIList,Table_ExternalData_17[[#This Row],[item_key]],IsDList,0))</f>
        <v>31</v>
      </c>
      <c r="E319" s="10">
        <f>SUMIFS(GQList,GIList,Table_ExternalData_17[[#This Row],[item_key]],GTList,Table_ExternalData_17[[#Headers],[GRN]],GDList,"&lt;&gt;"&amp;0)</f>
        <v>0</v>
      </c>
      <c r="F319" s="10">
        <f>SUMIFS(GQList,GIList,Table_ExternalData_17[[#This Row],[item_key]],GTList,Table_ExternalData_17[[#Headers],[VSTR]],GDList,"&lt;&gt;"&amp;0)</f>
        <v>0</v>
      </c>
      <c r="G319" s="10">
        <f>SUMIFS(GQList,GIList,Table_ExternalData_17[[#This Row],[item_key]],GTList,Table_ExternalData_17[[#Headers],[SR]],GDList,"&lt;&gt;"&amp;0)</f>
        <v>0</v>
      </c>
      <c r="H319" s="10">
        <f>SUMIFS(GQList,GIList,Table_ExternalData_17[[#This Row],[item_key]],GTList,Table_ExternalData_17[[#Headers],[TR]],GDList,"&lt;&gt;"&amp;0)</f>
        <v>0</v>
      </c>
      <c r="I319" s="10">
        <f>SUMIFS(GQList,GIList,Table_ExternalData_17[[#This Row],[item_key]],GTList,Table_ExternalData_17[[#Headers],[RCA]],GDList,"&lt;&gt;"&amp;0)</f>
        <v>0</v>
      </c>
      <c r="J319" s="10">
        <f>SUM(Table_ExternalData_17[[#This Row],[GRN]]+Table_ExternalData_17[[#This Row],[VSTR]]+Table_ExternalData_17[[#This Row],[SR]]+Table_ExternalData_17[[#This Row],[TR]]+Table_ExternalData_17[[#This Row],[RCA]])</f>
        <v>0</v>
      </c>
      <c r="K319" s="10">
        <f>SUMIFS(IsQList,IsIList,Table_ExternalData_17[[#This Row],[item_key]],IsITypeList,Table_ExternalData_17[[#Headers],[R/P]],IsDList,"&lt;&gt;"&amp;0)</f>
        <v>0</v>
      </c>
      <c r="L319" s="10">
        <f>SUMIFS(IsQList,IsIList,Table_ExternalData_17[[#This Row],[item_key]],IsITypeList,Table_ExternalData_17[[#Headers],[CST]],IsDList,"&lt;&gt;"&amp;0)</f>
        <v>0</v>
      </c>
      <c r="M319" s="10">
        <f>SUMIFS(IsQList,IsIList,Table_ExternalData_15[[#This Row],[item_key]],IsITypeList,Table_ExternalData_17[[#Headers],[S/I]],IsDList,"&lt;&gt;"&amp;0)</f>
        <v>55</v>
      </c>
      <c r="N319" s="10">
        <f>SUMIFS(IsQList,IsIList,Table_ExternalData_15[[#This Row],[item_key]],IsITypeList,Table_ExternalData_17[[#Headers],[VST]],IsDList,"&lt;&gt;"&amp;0)</f>
        <v>0</v>
      </c>
      <c r="O319" s="10">
        <f>ABS(SUMIFS(IsQList,IsIList,Table_ExternalData_17[[#This Row],[item_key]],IsITypeList,Table_ExternalData_17[[#Headers],[RTN]],IsDList,"&lt;&gt;"&amp;0))</f>
        <v>0</v>
      </c>
      <c r="P319" s="10">
        <f>SUM(Table_ExternalData_17[[#This Row],[R/P]:[RTN]])</f>
        <v>55</v>
      </c>
      <c r="Q319" s="10">
        <f>SUM((Table_ExternalData_17[[#This Row],[Opening]]+Table_ExternalData_17[[#This Row],[Total Receipt]])-ABS(Table_ExternalData_17[[#This Row],[Total Issue]]))</f>
        <v>-24</v>
      </c>
    </row>
    <row r="320" spans="1:17">
      <c r="A320" s="1" t="s">
        <v>845</v>
      </c>
      <c r="B320" s="1" t="s">
        <v>2743</v>
      </c>
      <c r="C320" s="1" t="s">
        <v>2744</v>
      </c>
      <c r="D32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20" s="10">
        <f>SUMIFS(GQList,GIList,Table_ExternalData_17[[#This Row],[item_key]],GTList,Table_ExternalData_17[[#Headers],[GRN]],GDList,"&lt;&gt;"&amp;0)</f>
        <v>38</v>
      </c>
      <c r="F320" s="10">
        <f>SUMIFS(GQList,GIList,Table_ExternalData_17[[#This Row],[item_key]],GTList,Table_ExternalData_17[[#Headers],[VSTR]],GDList,"&lt;&gt;"&amp;0)</f>
        <v>0</v>
      </c>
      <c r="G320" s="10">
        <f>SUMIFS(GQList,GIList,Table_ExternalData_17[[#This Row],[item_key]],GTList,Table_ExternalData_17[[#Headers],[SR]],GDList,"&lt;&gt;"&amp;0)</f>
        <v>0</v>
      </c>
      <c r="H320" s="10">
        <f>SUMIFS(GQList,GIList,Table_ExternalData_17[[#This Row],[item_key]],GTList,Table_ExternalData_17[[#Headers],[TR]],GDList,"&lt;&gt;"&amp;0)</f>
        <v>0</v>
      </c>
      <c r="I320" s="10">
        <f>SUMIFS(GQList,GIList,Table_ExternalData_17[[#This Row],[item_key]],GTList,Table_ExternalData_17[[#Headers],[RCA]],GDList,"&lt;&gt;"&amp;0)</f>
        <v>0</v>
      </c>
      <c r="J320" s="10">
        <f>SUM(Table_ExternalData_17[[#This Row],[GRN]]+Table_ExternalData_17[[#This Row],[VSTR]]+Table_ExternalData_17[[#This Row],[SR]]+Table_ExternalData_17[[#This Row],[TR]]+Table_ExternalData_17[[#This Row],[RCA]])</f>
        <v>38</v>
      </c>
      <c r="K320" s="10">
        <f>SUMIFS(IsQList,IsIList,Table_ExternalData_17[[#This Row],[item_key]],IsITypeList,Table_ExternalData_17[[#Headers],[R/P]],IsDList,"&lt;&gt;"&amp;0)</f>
        <v>0</v>
      </c>
      <c r="L320" s="10">
        <f>SUMIFS(IsQList,IsIList,Table_ExternalData_17[[#This Row],[item_key]],IsITypeList,Table_ExternalData_17[[#Headers],[CST]],IsDList,"&lt;&gt;"&amp;0)</f>
        <v>0</v>
      </c>
      <c r="M320" s="10">
        <f>SUMIFS(IsQList,IsIList,Table_ExternalData_15[[#This Row],[item_key]],IsITypeList,Table_ExternalData_17[[#Headers],[S/I]],IsDList,"&lt;&gt;"&amp;0)</f>
        <v>40</v>
      </c>
      <c r="N320" s="10">
        <f>SUMIFS(IsQList,IsIList,Table_ExternalData_15[[#This Row],[item_key]],IsITypeList,Table_ExternalData_17[[#Headers],[VST]],IsDList,"&lt;&gt;"&amp;0)</f>
        <v>0</v>
      </c>
      <c r="O320" s="10">
        <f>ABS(SUMIFS(IsQList,IsIList,Table_ExternalData_17[[#This Row],[item_key]],IsITypeList,Table_ExternalData_17[[#Headers],[RTN]],IsDList,"&lt;&gt;"&amp;0))</f>
        <v>0</v>
      </c>
      <c r="P320" s="10">
        <f>SUM(Table_ExternalData_17[[#This Row],[R/P]:[RTN]])</f>
        <v>40</v>
      </c>
      <c r="Q320" s="10">
        <f>SUM((Table_ExternalData_17[[#This Row],[Opening]]+Table_ExternalData_17[[#This Row],[Total Receipt]])-ABS(Table_ExternalData_17[[#This Row],[Total Issue]]))</f>
        <v>-2</v>
      </c>
    </row>
    <row r="321" spans="1:17">
      <c r="A321" s="1" t="s">
        <v>2089</v>
      </c>
      <c r="B321" s="1" t="s">
        <v>2745</v>
      </c>
      <c r="C321" s="1" t="s">
        <v>2746</v>
      </c>
      <c r="D321" s="10">
        <f>SUMIFS(OPBQList,OPBIList,Table_ExternalData_17[[#This Row],[item_key]])+SUMIFS(GQList,GIList,Table_ExternalData_17[[#This Row],[item_key]],GDList,0)-ABS(SUMIFS(IsQList,IsIList,Table_ExternalData_17[[#This Row],[item_key]],IsDList,0))</f>
        <v>308</v>
      </c>
      <c r="E321" s="10">
        <f>SUMIFS(GQList,GIList,Table_ExternalData_17[[#This Row],[item_key]],GTList,Table_ExternalData_17[[#Headers],[GRN]],GDList,"&lt;&gt;"&amp;0)</f>
        <v>0</v>
      </c>
      <c r="F321" s="10">
        <f>SUMIFS(GQList,GIList,Table_ExternalData_17[[#This Row],[item_key]],GTList,Table_ExternalData_17[[#Headers],[VSTR]],GDList,"&lt;&gt;"&amp;0)</f>
        <v>0</v>
      </c>
      <c r="G321" s="10">
        <f>SUMIFS(GQList,GIList,Table_ExternalData_17[[#This Row],[item_key]],GTList,Table_ExternalData_17[[#Headers],[SR]],GDList,"&lt;&gt;"&amp;0)</f>
        <v>0</v>
      </c>
      <c r="H321" s="10">
        <f>SUMIFS(GQList,GIList,Table_ExternalData_17[[#This Row],[item_key]],GTList,Table_ExternalData_17[[#Headers],[TR]],GDList,"&lt;&gt;"&amp;0)</f>
        <v>0</v>
      </c>
      <c r="I321" s="10">
        <f>SUMIFS(GQList,GIList,Table_ExternalData_17[[#This Row],[item_key]],GTList,Table_ExternalData_17[[#Headers],[RCA]],GDList,"&lt;&gt;"&amp;0)</f>
        <v>0</v>
      </c>
      <c r="J321" s="10">
        <f>SUM(Table_ExternalData_17[[#This Row],[GRN]]+Table_ExternalData_17[[#This Row],[VSTR]]+Table_ExternalData_17[[#This Row],[SR]]+Table_ExternalData_17[[#This Row],[TR]]+Table_ExternalData_17[[#This Row],[RCA]])</f>
        <v>0</v>
      </c>
      <c r="K321" s="10">
        <f>SUMIFS(IsQList,IsIList,Table_ExternalData_17[[#This Row],[item_key]],IsITypeList,Table_ExternalData_17[[#Headers],[R/P]],IsDList,"&lt;&gt;"&amp;0)</f>
        <v>0</v>
      </c>
      <c r="L321" s="10">
        <f>SUMIFS(IsQList,IsIList,Table_ExternalData_17[[#This Row],[item_key]],IsITypeList,Table_ExternalData_17[[#Headers],[CST]],IsDList,"&lt;&gt;"&amp;0)</f>
        <v>0</v>
      </c>
      <c r="M321" s="10">
        <f>SUMIFS(IsQList,IsIList,Table_ExternalData_15[[#This Row],[item_key]],IsITypeList,Table_ExternalData_17[[#Headers],[S/I]],IsDList,"&lt;&gt;"&amp;0)</f>
        <v>20</v>
      </c>
      <c r="N321" s="10">
        <f>SUMIFS(IsQList,IsIList,Table_ExternalData_15[[#This Row],[item_key]],IsITypeList,Table_ExternalData_17[[#Headers],[VST]],IsDList,"&lt;&gt;"&amp;0)</f>
        <v>0</v>
      </c>
      <c r="O321" s="10">
        <f>ABS(SUMIFS(IsQList,IsIList,Table_ExternalData_17[[#This Row],[item_key]],IsITypeList,Table_ExternalData_17[[#Headers],[RTN]],IsDList,"&lt;&gt;"&amp;0))</f>
        <v>0</v>
      </c>
      <c r="P321" s="10">
        <f>SUM(Table_ExternalData_17[[#This Row],[R/P]:[RTN]])</f>
        <v>20</v>
      </c>
      <c r="Q321" s="10">
        <f>SUM((Table_ExternalData_17[[#This Row],[Opening]]+Table_ExternalData_17[[#This Row],[Total Receipt]])-ABS(Table_ExternalData_17[[#This Row],[Total Issue]]))</f>
        <v>288</v>
      </c>
    </row>
    <row r="322" spans="1:17">
      <c r="A322" s="1" t="s">
        <v>848</v>
      </c>
      <c r="B322" s="1" t="s">
        <v>2747</v>
      </c>
      <c r="C322" s="1" t="s">
        <v>2748</v>
      </c>
      <c r="D322" s="10">
        <f>SUMIFS(OPBQList,OPBIList,Table_ExternalData_17[[#This Row],[item_key]])+SUMIFS(GQList,GIList,Table_ExternalData_17[[#This Row],[item_key]],GDList,0)-ABS(SUMIFS(IsQList,IsIList,Table_ExternalData_17[[#This Row],[item_key]],IsDList,0))</f>
        <v>2923</v>
      </c>
      <c r="E322" s="10">
        <f>SUMIFS(GQList,GIList,Table_ExternalData_17[[#This Row],[item_key]],GTList,Table_ExternalData_17[[#Headers],[GRN]],GDList,"&lt;&gt;"&amp;0)</f>
        <v>0</v>
      </c>
      <c r="F322" s="10">
        <f>SUMIFS(GQList,GIList,Table_ExternalData_17[[#This Row],[item_key]],GTList,Table_ExternalData_17[[#Headers],[VSTR]],GDList,"&lt;&gt;"&amp;0)</f>
        <v>0</v>
      </c>
      <c r="G322" s="10">
        <f>SUMIFS(GQList,GIList,Table_ExternalData_17[[#This Row],[item_key]],GTList,Table_ExternalData_17[[#Headers],[SR]],GDList,"&lt;&gt;"&amp;0)</f>
        <v>0</v>
      </c>
      <c r="H322" s="10">
        <f>SUMIFS(GQList,GIList,Table_ExternalData_17[[#This Row],[item_key]],GTList,Table_ExternalData_17[[#Headers],[TR]],GDList,"&lt;&gt;"&amp;0)</f>
        <v>0</v>
      </c>
      <c r="I322" s="10">
        <f>SUMIFS(GQList,GIList,Table_ExternalData_17[[#This Row],[item_key]],GTList,Table_ExternalData_17[[#Headers],[RCA]],GDList,"&lt;&gt;"&amp;0)</f>
        <v>0</v>
      </c>
      <c r="J322" s="10">
        <f>SUM(Table_ExternalData_17[[#This Row],[GRN]]+Table_ExternalData_17[[#This Row],[VSTR]]+Table_ExternalData_17[[#This Row],[SR]]+Table_ExternalData_17[[#This Row],[TR]]+Table_ExternalData_17[[#This Row],[RCA]])</f>
        <v>0</v>
      </c>
      <c r="K322" s="10">
        <f>SUMIFS(IsQList,IsIList,Table_ExternalData_17[[#This Row],[item_key]],IsITypeList,Table_ExternalData_17[[#Headers],[R/P]],IsDList,"&lt;&gt;"&amp;0)</f>
        <v>0</v>
      </c>
      <c r="L322" s="10">
        <f>SUMIFS(IsQList,IsIList,Table_ExternalData_17[[#This Row],[item_key]],IsITypeList,Table_ExternalData_17[[#Headers],[CST]],IsDList,"&lt;&gt;"&amp;0)</f>
        <v>0</v>
      </c>
      <c r="M322" s="10">
        <f>SUMIFS(IsQList,IsIList,Table_ExternalData_15[[#This Row],[item_key]],IsITypeList,Table_ExternalData_17[[#Headers],[S/I]],IsDList,"&lt;&gt;"&amp;0)</f>
        <v>20</v>
      </c>
      <c r="N322" s="10">
        <f>SUMIFS(IsQList,IsIList,Table_ExternalData_15[[#This Row],[item_key]],IsITypeList,Table_ExternalData_17[[#Headers],[VST]],IsDList,"&lt;&gt;"&amp;0)</f>
        <v>0</v>
      </c>
      <c r="O322" s="10">
        <f>ABS(SUMIFS(IsQList,IsIList,Table_ExternalData_17[[#This Row],[item_key]],IsITypeList,Table_ExternalData_17[[#Headers],[RTN]],IsDList,"&lt;&gt;"&amp;0))</f>
        <v>0</v>
      </c>
      <c r="P322" s="10">
        <f>SUM(Table_ExternalData_17[[#This Row],[R/P]:[RTN]])</f>
        <v>20</v>
      </c>
      <c r="Q322" s="10">
        <f>SUM((Table_ExternalData_17[[#This Row],[Opening]]+Table_ExternalData_17[[#This Row],[Total Receipt]])-ABS(Table_ExternalData_17[[#This Row],[Total Issue]]))</f>
        <v>2903</v>
      </c>
    </row>
    <row r="323" spans="1:17">
      <c r="A323" s="1" t="s">
        <v>859</v>
      </c>
      <c r="B323" s="1" t="s">
        <v>2749</v>
      </c>
      <c r="C323" s="1" t="s">
        <v>2750</v>
      </c>
      <c r="D323" s="10">
        <f>SUMIFS(OPBQList,OPBIList,Table_ExternalData_17[[#This Row],[item_key]])+SUMIFS(GQList,GIList,Table_ExternalData_17[[#This Row],[item_key]],GDList,0)-ABS(SUMIFS(IsQList,IsIList,Table_ExternalData_17[[#This Row],[item_key]],IsDList,0))</f>
        <v>675</v>
      </c>
      <c r="E323" s="10">
        <f>SUMIFS(GQList,GIList,Table_ExternalData_17[[#This Row],[item_key]],GTList,Table_ExternalData_17[[#Headers],[GRN]],GDList,"&lt;&gt;"&amp;0)</f>
        <v>0</v>
      </c>
      <c r="F323" s="10">
        <f>SUMIFS(GQList,GIList,Table_ExternalData_17[[#This Row],[item_key]],GTList,Table_ExternalData_17[[#Headers],[VSTR]],GDList,"&lt;&gt;"&amp;0)</f>
        <v>0</v>
      </c>
      <c r="G323" s="10">
        <f>SUMIFS(GQList,GIList,Table_ExternalData_17[[#This Row],[item_key]],GTList,Table_ExternalData_17[[#Headers],[SR]],GDList,"&lt;&gt;"&amp;0)</f>
        <v>0</v>
      </c>
      <c r="H323" s="10">
        <f>SUMIFS(GQList,GIList,Table_ExternalData_17[[#This Row],[item_key]],GTList,Table_ExternalData_17[[#Headers],[TR]],GDList,"&lt;&gt;"&amp;0)</f>
        <v>0</v>
      </c>
      <c r="I323" s="10">
        <f>SUMIFS(GQList,GIList,Table_ExternalData_17[[#This Row],[item_key]],GTList,Table_ExternalData_17[[#Headers],[RCA]],GDList,"&lt;&gt;"&amp;0)</f>
        <v>0</v>
      </c>
      <c r="J323" s="10">
        <f>SUM(Table_ExternalData_17[[#This Row],[GRN]]+Table_ExternalData_17[[#This Row],[VSTR]]+Table_ExternalData_17[[#This Row],[SR]]+Table_ExternalData_17[[#This Row],[TR]]+Table_ExternalData_17[[#This Row],[RCA]])</f>
        <v>0</v>
      </c>
      <c r="K323" s="10">
        <f>SUMIFS(IsQList,IsIList,Table_ExternalData_17[[#This Row],[item_key]],IsITypeList,Table_ExternalData_17[[#Headers],[R/P]],IsDList,"&lt;&gt;"&amp;0)</f>
        <v>0</v>
      </c>
      <c r="L323" s="10">
        <f>SUMIFS(IsQList,IsIList,Table_ExternalData_17[[#This Row],[item_key]],IsITypeList,Table_ExternalData_17[[#Headers],[CST]],IsDList,"&lt;&gt;"&amp;0)</f>
        <v>0</v>
      </c>
      <c r="M323" s="10">
        <f>SUMIFS(IsQList,IsIList,Table_ExternalData_15[[#This Row],[item_key]],IsITypeList,Table_ExternalData_17[[#Headers],[S/I]],IsDList,"&lt;&gt;"&amp;0)</f>
        <v>10</v>
      </c>
      <c r="N323" s="10">
        <f>SUMIFS(IsQList,IsIList,Table_ExternalData_15[[#This Row],[item_key]],IsITypeList,Table_ExternalData_17[[#Headers],[VST]],IsDList,"&lt;&gt;"&amp;0)</f>
        <v>0</v>
      </c>
      <c r="O323" s="10">
        <f>ABS(SUMIFS(IsQList,IsIList,Table_ExternalData_17[[#This Row],[item_key]],IsITypeList,Table_ExternalData_17[[#Headers],[RTN]],IsDList,"&lt;&gt;"&amp;0))</f>
        <v>0</v>
      </c>
      <c r="P323" s="10">
        <f>SUM(Table_ExternalData_17[[#This Row],[R/P]:[RTN]])</f>
        <v>10</v>
      </c>
      <c r="Q323" s="10">
        <f>SUM((Table_ExternalData_17[[#This Row],[Opening]]+Table_ExternalData_17[[#This Row],[Total Receipt]])-ABS(Table_ExternalData_17[[#This Row],[Total Issue]]))</f>
        <v>665</v>
      </c>
    </row>
    <row r="324" spans="1:17">
      <c r="A324" s="1" t="s">
        <v>869</v>
      </c>
      <c r="B324" s="1" t="s">
        <v>2391</v>
      </c>
      <c r="C324" s="1" t="s">
        <v>2392</v>
      </c>
      <c r="D32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24" s="10">
        <f>SUMIFS(GQList,GIList,Table_ExternalData_17[[#This Row],[item_key]],GTList,Table_ExternalData_17[[#Headers],[GRN]],GDList,"&lt;&gt;"&amp;0)</f>
        <v>0</v>
      </c>
      <c r="F324" s="10">
        <f>SUMIFS(GQList,GIList,Table_ExternalData_17[[#This Row],[item_key]],GTList,Table_ExternalData_17[[#Headers],[VSTR]],GDList,"&lt;&gt;"&amp;0)</f>
        <v>0</v>
      </c>
      <c r="G324" s="10">
        <f>SUMIFS(GQList,GIList,Table_ExternalData_17[[#This Row],[item_key]],GTList,Table_ExternalData_17[[#Headers],[SR]],GDList,"&lt;&gt;"&amp;0)</f>
        <v>0</v>
      </c>
      <c r="H324" s="10">
        <f>SUMIFS(GQList,GIList,Table_ExternalData_17[[#This Row],[item_key]],GTList,Table_ExternalData_17[[#Headers],[TR]],GDList,"&lt;&gt;"&amp;0)</f>
        <v>0</v>
      </c>
      <c r="I324" s="10">
        <f>SUMIFS(GQList,GIList,Table_ExternalData_17[[#This Row],[item_key]],GTList,Table_ExternalData_17[[#Headers],[RCA]],GDList,"&lt;&gt;"&amp;0)</f>
        <v>0</v>
      </c>
      <c r="J324" s="10">
        <f>SUM(Table_ExternalData_17[[#This Row],[GRN]]+Table_ExternalData_17[[#This Row],[VSTR]]+Table_ExternalData_17[[#This Row],[SR]]+Table_ExternalData_17[[#This Row],[TR]]+Table_ExternalData_17[[#This Row],[RCA]])</f>
        <v>0</v>
      </c>
      <c r="K324" s="10">
        <f>SUMIFS(IsQList,IsIList,Table_ExternalData_17[[#This Row],[item_key]],IsITypeList,Table_ExternalData_17[[#Headers],[R/P]],IsDList,"&lt;&gt;"&amp;0)</f>
        <v>0</v>
      </c>
      <c r="L324" s="10">
        <f>SUMIFS(IsQList,IsIList,Table_ExternalData_17[[#This Row],[item_key]],IsITypeList,Table_ExternalData_17[[#Headers],[CST]],IsDList,"&lt;&gt;"&amp;0)</f>
        <v>0</v>
      </c>
      <c r="M324" s="10">
        <f>SUMIFS(IsQList,IsIList,Table_ExternalData_15[[#This Row],[item_key]],IsITypeList,Table_ExternalData_17[[#Headers],[S/I]],IsDList,"&lt;&gt;"&amp;0)</f>
        <v>3</v>
      </c>
      <c r="N324" s="10">
        <f>SUMIFS(IsQList,IsIList,Table_ExternalData_15[[#This Row],[item_key]],IsITypeList,Table_ExternalData_17[[#Headers],[VST]],IsDList,"&lt;&gt;"&amp;0)</f>
        <v>0</v>
      </c>
      <c r="O324" s="10">
        <f>ABS(SUMIFS(IsQList,IsIList,Table_ExternalData_17[[#This Row],[item_key]],IsITypeList,Table_ExternalData_17[[#Headers],[RTN]],IsDList,"&lt;&gt;"&amp;0))</f>
        <v>0</v>
      </c>
      <c r="P324" s="10">
        <f>SUM(Table_ExternalData_17[[#This Row],[R/P]:[RTN]])</f>
        <v>3</v>
      </c>
      <c r="Q324" s="10">
        <f>SUM((Table_ExternalData_17[[#This Row],[Opening]]+Table_ExternalData_17[[#This Row],[Total Receipt]])-ABS(Table_ExternalData_17[[#This Row],[Total Issue]]))</f>
        <v>-3</v>
      </c>
    </row>
    <row r="325" spans="1:17">
      <c r="A325" s="1" t="s">
        <v>2112</v>
      </c>
      <c r="B325" s="1" t="s">
        <v>2751</v>
      </c>
      <c r="C325" s="1" t="s">
        <v>2752</v>
      </c>
      <c r="D325" s="10">
        <f>SUMIFS(OPBQList,OPBIList,Table_ExternalData_17[[#This Row],[item_key]])+SUMIFS(GQList,GIList,Table_ExternalData_17[[#This Row],[item_key]],GDList,0)-ABS(SUMIFS(IsQList,IsIList,Table_ExternalData_17[[#This Row],[item_key]],IsDList,0))</f>
        <v>185</v>
      </c>
      <c r="E325" s="10">
        <f>SUMIFS(GQList,GIList,Table_ExternalData_17[[#This Row],[item_key]],GTList,Table_ExternalData_17[[#Headers],[GRN]],GDList,"&lt;&gt;"&amp;0)</f>
        <v>0</v>
      </c>
      <c r="F325" s="10">
        <f>SUMIFS(GQList,GIList,Table_ExternalData_17[[#This Row],[item_key]],GTList,Table_ExternalData_17[[#Headers],[VSTR]],GDList,"&lt;&gt;"&amp;0)</f>
        <v>0</v>
      </c>
      <c r="G325" s="10">
        <f>SUMIFS(GQList,GIList,Table_ExternalData_17[[#This Row],[item_key]],GTList,Table_ExternalData_17[[#Headers],[SR]],GDList,"&lt;&gt;"&amp;0)</f>
        <v>0</v>
      </c>
      <c r="H325" s="10">
        <f>SUMIFS(GQList,GIList,Table_ExternalData_17[[#This Row],[item_key]],GTList,Table_ExternalData_17[[#Headers],[TR]],GDList,"&lt;&gt;"&amp;0)</f>
        <v>0</v>
      </c>
      <c r="I325" s="10">
        <f>SUMIFS(GQList,GIList,Table_ExternalData_17[[#This Row],[item_key]],GTList,Table_ExternalData_17[[#Headers],[RCA]],GDList,"&lt;&gt;"&amp;0)</f>
        <v>0</v>
      </c>
      <c r="J325" s="10">
        <f>SUM(Table_ExternalData_17[[#This Row],[GRN]]+Table_ExternalData_17[[#This Row],[VSTR]]+Table_ExternalData_17[[#This Row],[SR]]+Table_ExternalData_17[[#This Row],[TR]]+Table_ExternalData_17[[#This Row],[RCA]])</f>
        <v>0</v>
      </c>
      <c r="K325" s="10">
        <f>SUMIFS(IsQList,IsIList,Table_ExternalData_17[[#This Row],[item_key]],IsITypeList,Table_ExternalData_17[[#Headers],[R/P]],IsDList,"&lt;&gt;"&amp;0)</f>
        <v>0</v>
      </c>
      <c r="L325" s="10">
        <f>SUMIFS(IsQList,IsIList,Table_ExternalData_17[[#This Row],[item_key]],IsITypeList,Table_ExternalData_17[[#Headers],[CST]],IsDList,"&lt;&gt;"&amp;0)</f>
        <v>0</v>
      </c>
      <c r="M325" s="10">
        <f>SUMIFS(IsQList,IsIList,Table_ExternalData_15[[#This Row],[item_key]],IsITypeList,Table_ExternalData_17[[#Headers],[S/I]],IsDList,"&lt;&gt;"&amp;0)</f>
        <v>20</v>
      </c>
      <c r="N325" s="10">
        <f>SUMIFS(IsQList,IsIList,Table_ExternalData_15[[#This Row],[item_key]],IsITypeList,Table_ExternalData_17[[#Headers],[VST]],IsDList,"&lt;&gt;"&amp;0)</f>
        <v>0</v>
      </c>
      <c r="O325" s="10">
        <f>ABS(SUMIFS(IsQList,IsIList,Table_ExternalData_17[[#This Row],[item_key]],IsITypeList,Table_ExternalData_17[[#Headers],[RTN]],IsDList,"&lt;&gt;"&amp;0))</f>
        <v>0</v>
      </c>
      <c r="P325" s="10">
        <f>SUM(Table_ExternalData_17[[#This Row],[R/P]:[RTN]])</f>
        <v>20</v>
      </c>
      <c r="Q325" s="10">
        <f>SUM((Table_ExternalData_17[[#This Row],[Opening]]+Table_ExternalData_17[[#This Row],[Total Receipt]])-ABS(Table_ExternalData_17[[#This Row],[Total Issue]]))</f>
        <v>165</v>
      </c>
    </row>
    <row r="326" spans="1:17">
      <c r="A326" s="1" t="s">
        <v>871</v>
      </c>
      <c r="B326" s="1" t="s">
        <v>2753</v>
      </c>
      <c r="C326" s="1" t="s">
        <v>2754</v>
      </c>
      <c r="D32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26" s="10">
        <f>SUMIFS(GQList,GIList,Table_ExternalData_17[[#This Row],[item_key]],GTList,Table_ExternalData_17[[#Headers],[GRN]],GDList,"&lt;&gt;"&amp;0)</f>
        <v>0</v>
      </c>
      <c r="F326" s="10">
        <f>SUMIFS(GQList,GIList,Table_ExternalData_17[[#This Row],[item_key]],GTList,Table_ExternalData_17[[#Headers],[VSTR]],GDList,"&lt;&gt;"&amp;0)</f>
        <v>0</v>
      </c>
      <c r="G326" s="10">
        <f>SUMIFS(GQList,GIList,Table_ExternalData_17[[#This Row],[item_key]],GTList,Table_ExternalData_17[[#Headers],[SR]],GDList,"&lt;&gt;"&amp;0)</f>
        <v>0</v>
      </c>
      <c r="H326" s="10">
        <f>SUMIFS(GQList,GIList,Table_ExternalData_17[[#This Row],[item_key]],GTList,Table_ExternalData_17[[#Headers],[TR]],GDList,"&lt;&gt;"&amp;0)</f>
        <v>0</v>
      </c>
      <c r="I326" s="10">
        <f>SUMIFS(GQList,GIList,Table_ExternalData_17[[#This Row],[item_key]],GTList,Table_ExternalData_17[[#Headers],[RCA]],GDList,"&lt;&gt;"&amp;0)</f>
        <v>0</v>
      </c>
      <c r="J326" s="10">
        <f>SUM(Table_ExternalData_17[[#This Row],[GRN]]+Table_ExternalData_17[[#This Row],[VSTR]]+Table_ExternalData_17[[#This Row],[SR]]+Table_ExternalData_17[[#This Row],[TR]]+Table_ExternalData_17[[#This Row],[RCA]])</f>
        <v>0</v>
      </c>
      <c r="K326" s="10">
        <f>SUMIFS(IsQList,IsIList,Table_ExternalData_17[[#This Row],[item_key]],IsITypeList,Table_ExternalData_17[[#Headers],[R/P]],IsDList,"&lt;&gt;"&amp;0)</f>
        <v>0</v>
      </c>
      <c r="L326" s="10">
        <f>SUMIFS(IsQList,IsIList,Table_ExternalData_17[[#This Row],[item_key]],IsITypeList,Table_ExternalData_17[[#Headers],[CST]],IsDList,"&lt;&gt;"&amp;0)</f>
        <v>0</v>
      </c>
      <c r="M326" s="10">
        <f>SUMIFS(IsQList,IsIList,Table_ExternalData_15[[#This Row],[item_key]],IsITypeList,Table_ExternalData_17[[#Headers],[S/I]],IsDList,"&lt;&gt;"&amp;0)</f>
        <v>0</v>
      </c>
      <c r="N326" s="10">
        <f>SUMIFS(IsQList,IsIList,Table_ExternalData_15[[#This Row],[item_key]],IsITypeList,Table_ExternalData_17[[#Headers],[VST]],IsDList,"&lt;&gt;"&amp;0)</f>
        <v>0</v>
      </c>
      <c r="O326" s="10">
        <f>ABS(SUMIFS(IsQList,IsIList,Table_ExternalData_17[[#This Row],[item_key]],IsITypeList,Table_ExternalData_17[[#Headers],[RTN]],IsDList,"&lt;&gt;"&amp;0))</f>
        <v>0</v>
      </c>
      <c r="P326" s="10">
        <f>SUM(Table_ExternalData_17[[#This Row],[R/P]:[RTN]])</f>
        <v>0</v>
      </c>
      <c r="Q326" s="10">
        <f>SUM((Table_ExternalData_17[[#This Row],[Opening]]+Table_ExternalData_17[[#This Row],[Total Receipt]])-ABS(Table_ExternalData_17[[#This Row],[Total Issue]]))</f>
        <v>0</v>
      </c>
    </row>
    <row r="327" spans="1:17">
      <c r="A327" s="1" t="s">
        <v>873</v>
      </c>
      <c r="B327" s="1" t="s">
        <v>1425</v>
      </c>
      <c r="C327" s="1" t="s">
        <v>1374</v>
      </c>
      <c r="D327" s="10">
        <f>SUMIFS(OPBQList,OPBIList,Table_ExternalData_17[[#This Row],[item_key]])+SUMIFS(GQList,GIList,Table_ExternalData_17[[#This Row],[item_key]],GDList,0)-ABS(SUMIFS(IsQList,IsIList,Table_ExternalData_17[[#This Row],[item_key]],IsDList,0))</f>
        <v>141</v>
      </c>
      <c r="E327" s="10">
        <f>SUMIFS(GQList,GIList,Table_ExternalData_17[[#This Row],[item_key]],GTList,Table_ExternalData_17[[#Headers],[GRN]],GDList,"&lt;&gt;"&amp;0)</f>
        <v>0</v>
      </c>
      <c r="F327" s="10">
        <f>SUMIFS(GQList,GIList,Table_ExternalData_17[[#This Row],[item_key]],GTList,Table_ExternalData_17[[#Headers],[VSTR]],GDList,"&lt;&gt;"&amp;0)</f>
        <v>0</v>
      </c>
      <c r="G327" s="10">
        <f>SUMIFS(GQList,GIList,Table_ExternalData_17[[#This Row],[item_key]],GTList,Table_ExternalData_17[[#Headers],[SR]],GDList,"&lt;&gt;"&amp;0)</f>
        <v>0</v>
      </c>
      <c r="H327" s="10">
        <f>SUMIFS(GQList,GIList,Table_ExternalData_17[[#This Row],[item_key]],GTList,Table_ExternalData_17[[#Headers],[TR]],GDList,"&lt;&gt;"&amp;0)</f>
        <v>0</v>
      </c>
      <c r="I327" s="10">
        <f>SUMIFS(GQList,GIList,Table_ExternalData_17[[#This Row],[item_key]],GTList,Table_ExternalData_17[[#Headers],[RCA]],GDList,"&lt;&gt;"&amp;0)</f>
        <v>0</v>
      </c>
      <c r="J327" s="10">
        <f>SUM(Table_ExternalData_17[[#This Row],[GRN]]+Table_ExternalData_17[[#This Row],[VSTR]]+Table_ExternalData_17[[#This Row],[SR]]+Table_ExternalData_17[[#This Row],[TR]]+Table_ExternalData_17[[#This Row],[RCA]])</f>
        <v>0</v>
      </c>
      <c r="K327" s="10">
        <f>SUMIFS(IsQList,IsIList,Table_ExternalData_17[[#This Row],[item_key]],IsITypeList,Table_ExternalData_17[[#Headers],[R/P]],IsDList,"&lt;&gt;"&amp;0)</f>
        <v>0</v>
      </c>
      <c r="L327" s="10">
        <f>SUMIFS(IsQList,IsIList,Table_ExternalData_17[[#This Row],[item_key]],IsITypeList,Table_ExternalData_17[[#Headers],[CST]],IsDList,"&lt;&gt;"&amp;0)</f>
        <v>0</v>
      </c>
      <c r="M327" s="10">
        <f>SUMIFS(IsQList,IsIList,Table_ExternalData_15[[#This Row],[item_key]],IsITypeList,Table_ExternalData_17[[#Headers],[S/I]],IsDList,"&lt;&gt;"&amp;0)</f>
        <v>15</v>
      </c>
      <c r="N327" s="10">
        <f>SUMIFS(IsQList,IsIList,Table_ExternalData_15[[#This Row],[item_key]],IsITypeList,Table_ExternalData_17[[#Headers],[VST]],IsDList,"&lt;&gt;"&amp;0)</f>
        <v>0</v>
      </c>
      <c r="O327" s="10">
        <f>ABS(SUMIFS(IsQList,IsIList,Table_ExternalData_17[[#This Row],[item_key]],IsITypeList,Table_ExternalData_17[[#Headers],[RTN]],IsDList,"&lt;&gt;"&amp;0))</f>
        <v>0</v>
      </c>
      <c r="P327" s="10">
        <f>SUM(Table_ExternalData_17[[#This Row],[R/P]:[RTN]])</f>
        <v>15</v>
      </c>
      <c r="Q327" s="10">
        <f>SUM((Table_ExternalData_17[[#This Row],[Opening]]+Table_ExternalData_17[[#This Row],[Total Receipt]])-ABS(Table_ExternalData_17[[#This Row],[Total Issue]]))</f>
        <v>126</v>
      </c>
    </row>
    <row r="328" spans="1:17">
      <c r="A328" s="1" t="s">
        <v>2136</v>
      </c>
      <c r="B328" s="1" t="s">
        <v>2755</v>
      </c>
      <c r="C328" s="1" t="s">
        <v>2756</v>
      </c>
      <c r="D328" s="10">
        <f>SUMIFS(OPBQList,OPBIList,Table_ExternalData_17[[#This Row],[item_key]])+SUMIFS(GQList,GIList,Table_ExternalData_17[[#This Row],[item_key]],GDList,0)-ABS(SUMIFS(IsQList,IsIList,Table_ExternalData_17[[#This Row],[item_key]],IsDList,0))</f>
        <v>167</v>
      </c>
      <c r="E328" s="10">
        <f>SUMIFS(GQList,GIList,Table_ExternalData_17[[#This Row],[item_key]],GTList,Table_ExternalData_17[[#Headers],[GRN]],GDList,"&lt;&gt;"&amp;0)</f>
        <v>0</v>
      </c>
      <c r="F328" s="10">
        <f>SUMIFS(GQList,GIList,Table_ExternalData_17[[#This Row],[item_key]],GTList,Table_ExternalData_17[[#Headers],[VSTR]],GDList,"&lt;&gt;"&amp;0)</f>
        <v>0</v>
      </c>
      <c r="G328" s="10">
        <f>SUMIFS(GQList,GIList,Table_ExternalData_17[[#This Row],[item_key]],GTList,Table_ExternalData_17[[#Headers],[SR]],GDList,"&lt;&gt;"&amp;0)</f>
        <v>0</v>
      </c>
      <c r="H328" s="10">
        <f>SUMIFS(GQList,GIList,Table_ExternalData_17[[#This Row],[item_key]],GTList,Table_ExternalData_17[[#Headers],[TR]],GDList,"&lt;&gt;"&amp;0)</f>
        <v>0</v>
      </c>
      <c r="I328" s="10">
        <f>SUMIFS(GQList,GIList,Table_ExternalData_17[[#This Row],[item_key]],GTList,Table_ExternalData_17[[#Headers],[RCA]],GDList,"&lt;&gt;"&amp;0)</f>
        <v>0</v>
      </c>
      <c r="J328" s="10">
        <f>SUM(Table_ExternalData_17[[#This Row],[GRN]]+Table_ExternalData_17[[#This Row],[VSTR]]+Table_ExternalData_17[[#This Row],[SR]]+Table_ExternalData_17[[#This Row],[TR]]+Table_ExternalData_17[[#This Row],[RCA]])</f>
        <v>0</v>
      </c>
      <c r="K328" s="10">
        <f>SUMIFS(IsQList,IsIList,Table_ExternalData_17[[#This Row],[item_key]],IsITypeList,Table_ExternalData_17[[#Headers],[R/P]],IsDList,"&lt;&gt;"&amp;0)</f>
        <v>0</v>
      </c>
      <c r="L328" s="10">
        <f>SUMIFS(IsQList,IsIList,Table_ExternalData_17[[#This Row],[item_key]],IsITypeList,Table_ExternalData_17[[#Headers],[CST]],IsDList,"&lt;&gt;"&amp;0)</f>
        <v>0</v>
      </c>
      <c r="M328" s="10">
        <f>SUMIFS(IsQList,IsIList,Table_ExternalData_15[[#This Row],[item_key]],IsITypeList,Table_ExternalData_17[[#Headers],[S/I]],IsDList,"&lt;&gt;"&amp;0)</f>
        <v>0</v>
      </c>
      <c r="N328" s="10">
        <f>SUMIFS(IsQList,IsIList,Table_ExternalData_15[[#This Row],[item_key]],IsITypeList,Table_ExternalData_17[[#Headers],[VST]],IsDList,"&lt;&gt;"&amp;0)</f>
        <v>0</v>
      </c>
      <c r="O328" s="10">
        <f>ABS(SUMIFS(IsQList,IsIList,Table_ExternalData_17[[#This Row],[item_key]],IsITypeList,Table_ExternalData_17[[#Headers],[RTN]],IsDList,"&lt;&gt;"&amp;0))</f>
        <v>0</v>
      </c>
      <c r="P328" s="10">
        <f>SUM(Table_ExternalData_17[[#This Row],[R/P]:[RTN]])</f>
        <v>0</v>
      </c>
      <c r="Q328" s="10">
        <f>SUM((Table_ExternalData_17[[#This Row],[Opening]]+Table_ExternalData_17[[#This Row],[Total Receipt]])-ABS(Table_ExternalData_17[[#This Row],[Total Issue]]))</f>
        <v>167</v>
      </c>
    </row>
    <row r="329" spans="1:17">
      <c r="A329" s="1" t="s">
        <v>2140</v>
      </c>
      <c r="B329" s="1" t="s">
        <v>2757</v>
      </c>
      <c r="C329" s="1" t="s">
        <v>2758</v>
      </c>
      <c r="D329" s="10">
        <f>SUMIFS(OPBQList,OPBIList,Table_ExternalData_17[[#This Row],[item_key]])+SUMIFS(GQList,GIList,Table_ExternalData_17[[#This Row],[item_key]],GDList,0)-ABS(SUMIFS(IsQList,IsIList,Table_ExternalData_17[[#This Row],[item_key]],IsDList,0))</f>
        <v>6</v>
      </c>
      <c r="E329" s="10">
        <f>SUMIFS(GQList,GIList,Table_ExternalData_17[[#This Row],[item_key]],GTList,Table_ExternalData_17[[#Headers],[GRN]],GDList,"&lt;&gt;"&amp;0)</f>
        <v>0</v>
      </c>
      <c r="F329" s="10">
        <f>SUMIFS(GQList,GIList,Table_ExternalData_17[[#This Row],[item_key]],GTList,Table_ExternalData_17[[#Headers],[VSTR]],GDList,"&lt;&gt;"&amp;0)</f>
        <v>0</v>
      </c>
      <c r="G329" s="10">
        <f>SUMIFS(GQList,GIList,Table_ExternalData_17[[#This Row],[item_key]],GTList,Table_ExternalData_17[[#Headers],[SR]],GDList,"&lt;&gt;"&amp;0)</f>
        <v>0</v>
      </c>
      <c r="H329" s="10">
        <f>SUMIFS(GQList,GIList,Table_ExternalData_17[[#This Row],[item_key]],GTList,Table_ExternalData_17[[#Headers],[TR]],GDList,"&lt;&gt;"&amp;0)</f>
        <v>0</v>
      </c>
      <c r="I329" s="10">
        <f>SUMIFS(GQList,GIList,Table_ExternalData_17[[#This Row],[item_key]],GTList,Table_ExternalData_17[[#Headers],[RCA]],GDList,"&lt;&gt;"&amp;0)</f>
        <v>0</v>
      </c>
      <c r="J329" s="10">
        <f>SUM(Table_ExternalData_17[[#This Row],[GRN]]+Table_ExternalData_17[[#This Row],[VSTR]]+Table_ExternalData_17[[#This Row],[SR]]+Table_ExternalData_17[[#This Row],[TR]]+Table_ExternalData_17[[#This Row],[RCA]])</f>
        <v>0</v>
      </c>
      <c r="K329" s="10">
        <f>SUMIFS(IsQList,IsIList,Table_ExternalData_17[[#This Row],[item_key]],IsITypeList,Table_ExternalData_17[[#Headers],[R/P]],IsDList,"&lt;&gt;"&amp;0)</f>
        <v>0</v>
      </c>
      <c r="L329" s="10">
        <f>SUMIFS(IsQList,IsIList,Table_ExternalData_17[[#This Row],[item_key]],IsITypeList,Table_ExternalData_17[[#Headers],[CST]],IsDList,"&lt;&gt;"&amp;0)</f>
        <v>0</v>
      </c>
      <c r="M329" s="10">
        <f>SUMIFS(IsQList,IsIList,Table_ExternalData_15[[#This Row],[item_key]],IsITypeList,Table_ExternalData_17[[#Headers],[S/I]],IsDList,"&lt;&gt;"&amp;0)</f>
        <v>5</v>
      </c>
      <c r="N329" s="10">
        <f>SUMIFS(IsQList,IsIList,Table_ExternalData_15[[#This Row],[item_key]],IsITypeList,Table_ExternalData_17[[#Headers],[VST]],IsDList,"&lt;&gt;"&amp;0)</f>
        <v>0</v>
      </c>
      <c r="O329" s="10">
        <f>ABS(SUMIFS(IsQList,IsIList,Table_ExternalData_17[[#This Row],[item_key]],IsITypeList,Table_ExternalData_17[[#Headers],[RTN]],IsDList,"&lt;&gt;"&amp;0))</f>
        <v>0</v>
      </c>
      <c r="P329" s="10">
        <f>SUM(Table_ExternalData_17[[#This Row],[R/P]:[RTN]])</f>
        <v>5</v>
      </c>
      <c r="Q329" s="10">
        <f>SUM((Table_ExternalData_17[[#This Row],[Opening]]+Table_ExternalData_17[[#This Row],[Total Receipt]])-ABS(Table_ExternalData_17[[#This Row],[Total Issue]]))</f>
        <v>1</v>
      </c>
    </row>
    <row r="330" spans="1:17">
      <c r="A330" s="1" t="s">
        <v>890</v>
      </c>
      <c r="B330" s="1" t="s">
        <v>1426</v>
      </c>
      <c r="C330" s="1" t="s">
        <v>1411</v>
      </c>
      <c r="D330" s="10">
        <f>SUMIFS(OPBQList,OPBIList,Table_ExternalData_17[[#This Row],[item_key]])+SUMIFS(GQList,GIList,Table_ExternalData_17[[#This Row],[item_key]],GDList,0)-ABS(SUMIFS(IsQList,IsIList,Table_ExternalData_17[[#This Row],[item_key]],IsDList,0))</f>
        <v>1185</v>
      </c>
      <c r="E330" s="10">
        <f>SUMIFS(GQList,GIList,Table_ExternalData_17[[#This Row],[item_key]],GTList,Table_ExternalData_17[[#Headers],[GRN]],GDList,"&lt;&gt;"&amp;0)</f>
        <v>0</v>
      </c>
      <c r="F330" s="10">
        <f>SUMIFS(GQList,GIList,Table_ExternalData_17[[#This Row],[item_key]],GTList,Table_ExternalData_17[[#Headers],[VSTR]],GDList,"&lt;&gt;"&amp;0)</f>
        <v>0</v>
      </c>
      <c r="G330" s="10">
        <f>SUMIFS(GQList,GIList,Table_ExternalData_17[[#This Row],[item_key]],GTList,Table_ExternalData_17[[#Headers],[SR]],GDList,"&lt;&gt;"&amp;0)</f>
        <v>0</v>
      </c>
      <c r="H330" s="10">
        <f>SUMIFS(GQList,GIList,Table_ExternalData_17[[#This Row],[item_key]],GTList,Table_ExternalData_17[[#Headers],[TR]],GDList,"&lt;&gt;"&amp;0)</f>
        <v>0</v>
      </c>
      <c r="I330" s="10">
        <f>SUMIFS(GQList,GIList,Table_ExternalData_17[[#This Row],[item_key]],GTList,Table_ExternalData_17[[#Headers],[RCA]],GDList,"&lt;&gt;"&amp;0)</f>
        <v>0</v>
      </c>
      <c r="J330" s="10">
        <f>SUM(Table_ExternalData_17[[#This Row],[GRN]]+Table_ExternalData_17[[#This Row],[VSTR]]+Table_ExternalData_17[[#This Row],[SR]]+Table_ExternalData_17[[#This Row],[TR]]+Table_ExternalData_17[[#This Row],[RCA]])</f>
        <v>0</v>
      </c>
      <c r="K330" s="10">
        <f>SUMIFS(IsQList,IsIList,Table_ExternalData_17[[#This Row],[item_key]],IsITypeList,Table_ExternalData_17[[#Headers],[R/P]],IsDList,"&lt;&gt;"&amp;0)</f>
        <v>0</v>
      </c>
      <c r="L330" s="10">
        <f>SUMIFS(IsQList,IsIList,Table_ExternalData_17[[#This Row],[item_key]],IsITypeList,Table_ExternalData_17[[#Headers],[CST]],IsDList,"&lt;&gt;"&amp;0)</f>
        <v>0</v>
      </c>
      <c r="M330" s="10">
        <f>SUMIFS(IsQList,IsIList,Table_ExternalData_15[[#This Row],[item_key]],IsITypeList,Table_ExternalData_17[[#Headers],[S/I]],IsDList,"&lt;&gt;"&amp;0)</f>
        <v>10</v>
      </c>
      <c r="N330" s="10">
        <f>SUMIFS(IsQList,IsIList,Table_ExternalData_15[[#This Row],[item_key]],IsITypeList,Table_ExternalData_17[[#Headers],[VST]],IsDList,"&lt;&gt;"&amp;0)</f>
        <v>0</v>
      </c>
      <c r="O330" s="10">
        <f>ABS(SUMIFS(IsQList,IsIList,Table_ExternalData_17[[#This Row],[item_key]],IsITypeList,Table_ExternalData_17[[#Headers],[RTN]],IsDList,"&lt;&gt;"&amp;0))</f>
        <v>0</v>
      </c>
      <c r="P330" s="10">
        <f>SUM(Table_ExternalData_17[[#This Row],[R/P]:[RTN]])</f>
        <v>10</v>
      </c>
      <c r="Q330" s="10">
        <f>SUM((Table_ExternalData_17[[#This Row],[Opening]]+Table_ExternalData_17[[#This Row],[Total Receipt]])-ABS(Table_ExternalData_17[[#This Row],[Total Issue]]))</f>
        <v>1175</v>
      </c>
    </row>
    <row r="331" spans="1:17">
      <c r="A331" s="1" t="s">
        <v>891</v>
      </c>
      <c r="B331" s="1" t="s">
        <v>1427</v>
      </c>
      <c r="C331" s="1" t="s">
        <v>1412</v>
      </c>
      <c r="D331" s="10">
        <f>SUMIFS(OPBQList,OPBIList,Table_ExternalData_17[[#This Row],[item_key]])+SUMIFS(GQList,GIList,Table_ExternalData_17[[#This Row],[item_key]],GDList,0)-ABS(SUMIFS(IsQList,IsIList,Table_ExternalData_17[[#This Row],[item_key]],IsDList,0))</f>
        <v>1435</v>
      </c>
      <c r="E331" s="10">
        <f>SUMIFS(GQList,GIList,Table_ExternalData_17[[#This Row],[item_key]],GTList,Table_ExternalData_17[[#Headers],[GRN]],GDList,"&lt;&gt;"&amp;0)</f>
        <v>0</v>
      </c>
      <c r="F331" s="10">
        <f>SUMIFS(GQList,GIList,Table_ExternalData_17[[#This Row],[item_key]],GTList,Table_ExternalData_17[[#Headers],[VSTR]],GDList,"&lt;&gt;"&amp;0)</f>
        <v>0</v>
      </c>
      <c r="G331" s="10">
        <f>SUMIFS(GQList,GIList,Table_ExternalData_17[[#This Row],[item_key]],GTList,Table_ExternalData_17[[#Headers],[SR]],GDList,"&lt;&gt;"&amp;0)</f>
        <v>0</v>
      </c>
      <c r="H331" s="10">
        <f>SUMIFS(GQList,GIList,Table_ExternalData_17[[#This Row],[item_key]],GTList,Table_ExternalData_17[[#Headers],[TR]],GDList,"&lt;&gt;"&amp;0)</f>
        <v>0</v>
      </c>
      <c r="I331" s="10">
        <f>SUMIFS(GQList,GIList,Table_ExternalData_17[[#This Row],[item_key]],GTList,Table_ExternalData_17[[#Headers],[RCA]],GDList,"&lt;&gt;"&amp;0)</f>
        <v>0</v>
      </c>
      <c r="J331" s="10">
        <f>SUM(Table_ExternalData_17[[#This Row],[GRN]]+Table_ExternalData_17[[#This Row],[VSTR]]+Table_ExternalData_17[[#This Row],[SR]]+Table_ExternalData_17[[#This Row],[TR]]+Table_ExternalData_17[[#This Row],[RCA]])</f>
        <v>0</v>
      </c>
      <c r="K331" s="10">
        <f>SUMIFS(IsQList,IsIList,Table_ExternalData_17[[#This Row],[item_key]],IsITypeList,Table_ExternalData_17[[#Headers],[R/P]],IsDList,"&lt;&gt;"&amp;0)</f>
        <v>0</v>
      </c>
      <c r="L331" s="10">
        <f>SUMIFS(IsQList,IsIList,Table_ExternalData_17[[#This Row],[item_key]],IsITypeList,Table_ExternalData_17[[#Headers],[CST]],IsDList,"&lt;&gt;"&amp;0)</f>
        <v>0</v>
      </c>
      <c r="M331" s="10">
        <f>SUMIFS(IsQList,IsIList,Table_ExternalData_15[[#This Row],[item_key]],IsITypeList,Table_ExternalData_17[[#Headers],[S/I]],IsDList,"&lt;&gt;"&amp;0)</f>
        <v>10</v>
      </c>
      <c r="N331" s="10">
        <f>SUMIFS(IsQList,IsIList,Table_ExternalData_15[[#This Row],[item_key]],IsITypeList,Table_ExternalData_17[[#Headers],[VST]],IsDList,"&lt;&gt;"&amp;0)</f>
        <v>0</v>
      </c>
      <c r="O331" s="10">
        <f>ABS(SUMIFS(IsQList,IsIList,Table_ExternalData_17[[#This Row],[item_key]],IsITypeList,Table_ExternalData_17[[#Headers],[RTN]],IsDList,"&lt;&gt;"&amp;0))</f>
        <v>0</v>
      </c>
      <c r="P331" s="10">
        <f>SUM(Table_ExternalData_17[[#This Row],[R/P]:[RTN]])</f>
        <v>10</v>
      </c>
      <c r="Q331" s="10">
        <f>SUM((Table_ExternalData_17[[#This Row],[Opening]]+Table_ExternalData_17[[#This Row],[Total Receipt]])-ABS(Table_ExternalData_17[[#This Row],[Total Issue]]))</f>
        <v>1425</v>
      </c>
    </row>
    <row r="332" spans="1:17">
      <c r="A332" s="1" t="s">
        <v>902</v>
      </c>
      <c r="B332" s="1" t="s">
        <v>2759</v>
      </c>
      <c r="C332" s="1" t="s">
        <v>2760</v>
      </c>
      <c r="D332" s="10">
        <f>SUMIFS(OPBQList,OPBIList,Table_ExternalData_17[[#This Row],[item_key]])+SUMIFS(GQList,GIList,Table_ExternalData_17[[#This Row],[item_key]],GDList,0)-ABS(SUMIFS(IsQList,IsIList,Table_ExternalData_17[[#This Row],[item_key]],IsDList,0))</f>
        <v>1123</v>
      </c>
      <c r="E332" s="10">
        <f>SUMIFS(GQList,GIList,Table_ExternalData_17[[#This Row],[item_key]],GTList,Table_ExternalData_17[[#Headers],[GRN]],GDList,"&lt;&gt;"&amp;0)</f>
        <v>0</v>
      </c>
      <c r="F332" s="10">
        <f>SUMIFS(GQList,GIList,Table_ExternalData_17[[#This Row],[item_key]],GTList,Table_ExternalData_17[[#Headers],[VSTR]],GDList,"&lt;&gt;"&amp;0)</f>
        <v>0</v>
      </c>
      <c r="G332" s="10">
        <f>SUMIFS(GQList,GIList,Table_ExternalData_17[[#This Row],[item_key]],GTList,Table_ExternalData_17[[#Headers],[SR]],GDList,"&lt;&gt;"&amp;0)</f>
        <v>0</v>
      </c>
      <c r="H332" s="10">
        <f>SUMIFS(GQList,GIList,Table_ExternalData_17[[#This Row],[item_key]],GTList,Table_ExternalData_17[[#Headers],[TR]],GDList,"&lt;&gt;"&amp;0)</f>
        <v>0</v>
      </c>
      <c r="I332" s="10">
        <f>SUMIFS(GQList,GIList,Table_ExternalData_17[[#This Row],[item_key]],GTList,Table_ExternalData_17[[#Headers],[RCA]],GDList,"&lt;&gt;"&amp;0)</f>
        <v>0</v>
      </c>
      <c r="J332" s="10">
        <f>SUM(Table_ExternalData_17[[#This Row],[GRN]]+Table_ExternalData_17[[#This Row],[VSTR]]+Table_ExternalData_17[[#This Row],[SR]]+Table_ExternalData_17[[#This Row],[TR]]+Table_ExternalData_17[[#This Row],[RCA]])</f>
        <v>0</v>
      </c>
      <c r="K332" s="10">
        <f>SUMIFS(IsQList,IsIList,Table_ExternalData_17[[#This Row],[item_key]],IsITypeList,Table_ExternalData_17[[#Headers],[R/P]],IsDList,"&lt;&gt;"&amp;0)</f>
        <v>0</v>
      </c>
      <c r="L332" s="10">
        <f>SUMIFS(IsQList,IsIList,Table_ExternalData_17[[#This Row],[item_key]],IsITypeList,Table_ExternalData_17[[#Headers],[CST]],IsDList,"&lt;&gt;"&amp;0)</f>
        <v>0</v>
      </c>
      <c r="M332" s="10">
        <f>SUMIFS(IsQList,IsIList,Table_ExternalData_15[[#This Row],[item_key]],IsITypeList,Table_ExternalData_17[[#Headers],[S/I]],IsDList,"&lt;&gt;"&amp;0)</f>
        <v>3</v>
      </c>
      <c r="N332" s="10">
        <f>SUMIFS(IsQList,IsIList,Table_ExternalData_15[[#This Row],[item_key]],IsITypeList,Table_ExternalData_17[[#Headers],[VST]],IsDList,"&lt;&gt;"&amp;0)</f>
        <v>0</v>
      </c>
      <c r="O332" s="10">
        <f>ABS(SUMIFS(IsQList,IsIList,Table_ExternalData_17[[#This Row],[item_key]],IsITypeList,Table_ExternalData_17[[#Headers],[RTN]],IsDList,"&lt;&gt;"&amp;0))</f>
        <v>0</v>
      </c>
      <c r="P332" s="10">
        <f>SUM(Table_ExternalData_17[[#This Row],[R/P]:[RTN]])</f>
        <v>3</v>
      </c>
      <c r="Q332" s="10">
        <f>SUM((Table_ExternalData_17[[#This Row],[Opening]]+Table_ExternalData_17[[#This Row],[Total Receipt]])-ABS(Table_ExternalData_17[[#This Row],[Total Issue]]))</f>
        <v>1120</v>
      </c>
    </row>
    <row r="333" spans="1:17">
      <c r="A333" s="1" t="s">
        <v>908</v>
      </c>
      <c r="B333" s="1" t="s">
        <v>2761</v>
      </c>
      <c r="C333" s="1" t="s">
        <v>2762</v>
      </c>
      <c r="D333" s="10">
        <f>SUMIFS(OPBQList,OPBIList,Table_ExternalData_17[[#This Row],[item_key]])+SUMIFS(GQList,GIList,Table_ExternalData_17[[#This Row],[item_key]],GDList,0)-ABS(SUMIFS(IsQList,IsIList,Table_ExternalData_17[[#This Row],[item_key]],IsDList,0))</f>
        <v>6</v>
      </c>
      <c r="E333" s="10">
        <f>SUMIFS(GQList,GIList,Table_ExternalData_17[[#This Row],[item_key]],GTList,Table_ExternalData_17[[#Headers],[GRN]],GDList,"&lt;&gt;"&amp;0)</f>
        <v>0</v>
      </c>
      <c r="F333" s="10">
        <f>SUMIFS(GQList,GIList,Table_ExternalData_17[[#This Row],[item_key]],GTList,Table_ExternalData_17[[#Headers],[VSTR]],GDList,"&lt;&gt;"&amp;0)</f>
        <v>0</v>
      </c>
      <c r="G333" s="10">
        <f>SUMIFS(GQList,GIList,Table_ExternalData_17[[#This Row],[item_key]],GTList,Table_ExternalData_17[[#Headers],[SR]],GDList,"&lt;&gt;"&amp;0)</f>
        <v>0</v>
      </c>
      <c r="H333" s="10">
        <f>SUMIFS(GQList,GIList,Table_ExternalData_17[[#This Row],[item_key]],GTList,Table_ExternalData_17[[#Headers],[TR]],GDList,"&lt;&gt;"&amp;0)</f>
        <v>0</v>
      </c>
      <c r="I333" s="10">
        <f>SUMIFS(GQList,GIList,Table_ExternalData_17[[#This Row],[item_key]],GTList,Table_ExternalData_17[[#Headers],[RCA]],GDList,"&lt;&gt;"&amp;0)</f>
        <v>0</v>
      </c>
      <c r="J333" s="10">
        <f>SUM(Table_ExternalData_17[[#This Row],[GRN]]+Table_ExternalData_17[[#This Row],[VSTR]]+Table_ExternalData_17[[#This Row],[SR]]+Table_ExternalData_17[[#This Row],[TR]]+Table_ExternalData_17[[#This Row],[RCA]])</f>
        <v>0</v>
      </c>
      <c r="K333" s="10">
        <f>SUMIFS(IsQList,IsIList,Table_ExternalData_17[[#This Row],[item_key]],IsITypeList,Table_ExternalData_17[[#Headers],[R/P]],IsDList,"&lt;&gt;"&amp;0)</f>
        <v>0</v>
      </c>
      <c r="L333" s="10">
        <f>SUMIFS(IsQList,IsIList,Table_ExternalData_17[[#This Row],[item_key]],IsITypeList,Table_ExternalData_17[[#Headers],[CST]],IsDList,"&lt;&gt;"&amp;0)</f>
        <v>0</v>
      </c>
      <c r="M333" s="10">
        <f>SUMIFS(IsQList,IsIList,Table_ExternalData_15[[#This Row],[item_key]],IsITypeList,Table_ExternalData_17[[#Headers],[S/I]],IsDList,"&lt;&gt;"&amp;0)</f>
        <v>20</v>
      </c>
      <c r="N333" s="10">
        <f>SUMIFS(IsQList,IsIList,Table_ExternalData_15[[#This Row],[item_key]],IsITypeList,Table_ExternalData_17[[#Headers],[VST]],IsDList,"&lt;&gt;"&amp;0)</f>
        <v>0</v>
      </c>
      <c r="O333" s="10">
        <f>ABS(SUMIFS(IsQList,IsIList,Table_ExternalData_17[[#This Row],[item_key]],IsITypeList,Table_ExternalData_17[[#Headers],[RTN]],IsDList,"&lt;&gt;"&amp;0))</f>
        <v>0</v>
      </c>
      <c r="P333" s="10">
        <f>SUM(Table_ExternalData_17[[#This Row],[R/P]:[RTN]])</f>
        <v>20</v>
      </c>
      <c r="Q333" s="10">
        <f>SUM((Table_ExternalData_17[[#This Row],[Opening]]+Table_ExternalData_17[[#This Row],[Total Receipt]])-ABS(Table_ExternalData_17[[#This Row],[Total Issue]]))</f>
        <v>-14</v>
      </c>
    </row>
    <row r="334" spans="1:17">
      <c r="A334" s="1" t="s">
        <v>942</v>
      </c>
      <c r="B334" s="1" t="s">
        <v>1428</v>
      </c>
      <c r="C334" s="1" t="s">
        <v>1429</v>
      </c>
      <c r="D334" s="10">
        <f>SUMIFS(OPBQList,OPBIList,Table_ExternalData_17[[#This Row],[item_key]])+SUMIFS(GQList,GIList,Table_ExternalData_17[[#This Row],[item_key]],GDList,0)-ABS(SUMIFS(IsQList,IsIList,Table_ExternalData_17[[#This Row],[item_key]],IsDList,0))</f>
        <v>42</v>
      </c>
      <c r="E334" s="10">
        <f>SUMIFS(GQList,GIList,Table_ExternalData_17[[#This Row],[item_key]],GTList,Table_ExternalData_17[[#Headers],[GRN]],GDList,"&lt;&gt;"&amp;0)</f>
        <v>0</v>
      </c>
      <c r="F334" s="10">
        <f>SUMIFS(GQList,GIList,Table_ExternalData_17[[#This Row],[item_key]],GTList,Table_ExternalData_17[[#Headers],[VSTR]],GDList,"&lt;&gt;"&amp;0)</f>
        <v>0</v>
      </c>
      <c r="G334" s="10">
        <f>SUMIFS(GQList,GIList,Table_ExternalData_17[[#This Row],[item_key]],GTList,Table_ExternalData_17[[#Headers],[SR]],GDList,"&lt;&gt;"&amp;0)</f>
        <v>0</v>
      </c>
      <c r="H334" s="10">
        <f>SUMIFS(GQList,GIList,Table_ExternalData_17[[#This Row],[item_key]],GTList,Table_ExternalData_17[[#Headers],[TR]],GDList,"&lt;&gt;"&amp;0)</f>
        <v>0</v>
      </c>
      <c r="I334" s="10">
        <f>SUMIFS(GQList,GIList,Table_ExternalData_17[[#This Row],[item_key]],GTList,Table_ExternalData_17[[#Headers],[RCA]],GDList,"&lt;&gt;"&amp;0)</f>
        <v>0</v>
      </c>
      <c r="J334" s="10">
        <f>SUM(Table_ExternalData_17[[#This Row],[GRN]]+Table_ExternalData_17[[#This Row],[VSTR]]+Table_ExternalData_17[[#This Row],[SR]]+Table_ExternalData_17[[#This Row],[TR]]+Table_ExternalData_17[[#This Row],[RCA]])</f>
        <v>0</v>
      </c>
      <c r="K334" s="10">
        <f>SUMIFS(IsQList,IsIList,Table_ExternalData_17[[#This Row],[item_key]],IsITypeList,Table_ExternalData_17[[#Headers],[R/P]],IsDList,"&lt;&gt;"&amp;0)</f>
        <v>0</v>
      </c>
      <c r="L334" s="10">
        <f>SUMIFS(IsQList,IsIList,Table_ExternalData_17[[#This Row],[item_key]],IsITypeList,Table_ExternalData_17[[#Headers],[CST]],IsDList,"&lt;&gt;"&amp;0)</f>
        <v>0</v>
      </c>
      <c r="M334" s="10">
        <f>SUMIFS(IsQList,IsIList,Table_ExternalData_15[[#This Row],[item_key]],IsITypeList,Table_ExternalData_17[[#Headers],[S/I]],IsDList,"&lt;&gt;"&amp;0)</f>
        <v>20</v>
      </c>
      <c r="N334" s="10">
        <f>SUMIFS(IsQList,IsIList,Table_ExternalData_15[[#This Row],[item_key]],IsITypeList,Table_ExternalData_17[[#Headers],[VST]],IsDList,"&lt;&gt;"&amp;0)</f>
        <v>0</v>
      </c>
      <c r="O334" s="10">
        <f>ABS(SUMIFS(IsQList,IsIList,Table_ExternalData_17[[#This Row],[item_key]],IsITypeList,Table_ExternalData_17[[#Headers],[RTN]],IsDList,"&lt;&gt;"&amp;0))</f>
        <v>0</v>
      </c>
      <c r="P334" s="10">
        <f>SUM(Table_ExternalData_17[[#This Row],[R/P]:[RTN]])</f>
        <v>20</v>
      </c>
      <c r="Q334" s="10">
        <f>SUM((Table_ExternalData_17[[#This Row],[Opening]]+Table_ExternalData_17[[#This Row],[Total Receipt]])-ABS(Table_ExternalData_17[[#This Row],[Total Issue]]))</f>
        <v>22</v>
      </c>
    </row>
    <row r="335" spans="1:17">
      <c r="A335" s="1" t="s">
        <v>943</v>
      </c>
      <c r="B335" s="1" t="s">
        <v>1430</v>
      </c>
      <c r="C335" s="1" t="s">
        <v>1431</v>
      </c>
      <c r="D335" s="10">
        <f>SUMIFS(OPBQList,OPBIList,Table_ExternalData_17[[#This Row],[item_key]])+SUMIFS(GQList,GIList,Table_ExternalData_17[[#This Row],[item_key]],GDList,0)-ABS(SUMIFS(IsQList,IsIList,Table_ExternalData_17[[#This Row],[item_key]],IsDList,0))</f>
        <v>9</v>
      </c>
      <c r="E335" s="10">
        <f>SUMIFS(GQList,GIList,Table_ExternalData_17[[#This Row],[item_key]],GTList,Table_ExternalData_17[[#Headers],[GRN]],GDList,"&lt;&gt;"&amp;0)</f>
        <v>0</v>
      </c>
      <c r="F335" s="10">
        <f>SUMIFS(GQList,GIList,Table_ExternalData_17[[#This Row],[item_key]],GTList,Table_ExternalData_17[[#Headers],[VSTR]],GDList,"&lt;&gt;"&amp;0)</f>
        <v>0</v>
      </c>
      <c r="G335" s="10">
        <f>SUMIFS(GQList,GIList,Table_ExternalData_17[[#This Row],[item_key]],GTList,Table_ExternalData_17[[#Headers],[SR]],GDList,"&lt;&gt;"&amp;0)</f>
        <v>0</v>
      </c>
      <c r="H335" s="10">
        <f>SUMIFS(GQList,GIList,Table_ExternalData_17[[#This Row],[item_key]],GTList,Table_ExternalData_17[[#Headers],[TR]],GDList,"&lt;&gt;"&amp;0)</f>
        <v>0</v>
      </c>
      <c r="I335" s="10">
        <f>SUMIFS(GQList,GIList,Table_ExternalData_17[[#This Row],[item_key]],GTList,Table_ExternalData_17[[#Headers],[RCA]],GDList,"&lt;&gt;"&amp;0)</f>
        <v>0</v>
      </c>
      <c r="J335" s="10">
        <f>SUM(Table_ExternalData_17[[#This Row],[GRN]]+Table_ExternalData_17[[#This Row],[VSTR]]+Table_ExternalData_17[[#This Row],[SR]]+Table_ExternalData_17[[#This Row],[TR]]+Table_ExternalData_17[[#This Row],[RCA]])</f>
        <v>0</v>
      </c>
      <c r="K335" s="10">
        <f>SUMIFS(IsQList,IsIList,Table_ExternalData_17[[#This Row],[item_key]],IsITypeList,Table_ExternalData_17[[#Headers],[R/P]],IsDList,"&lt;&gt;"&amp;0)</f>
        <v>0</v>
      </c>
      <c r="L335" s="10">
        <f>SUMIFS(IsQList,IsIList,Table_ExternalData_17[[#This Row],[item_key]],IsITypeList,Table_ExternalData_17[[#Headers],[CST]],IsDList,"&lt;&gt;"&amp;0)</f>
        <v>0</v>
      </c>
      <c r="M335" s="10">
        <f>SUMIFS(IsQList,IsIList,Table_ExternalData_15[[#This Row],[item_key]],IsITypeList,Table_ExternalData_17[[#Headers],[S/I]],IsDList,"&lt;&gt;"&amp;0)</f>
        <v>20</v>
      </c>
      <c r="N335" s="10">
        <f>SUMIFS(IsQList,IsIList,Table_ExternalData_15[[#This Row],[item_key]],IsITypeList,Table_ExternalData_17[[#Headers],[VST]],IsDList,"&lt;&gt;"&amp;0)</f>
        <v>0</v>
      </c>
      <c r="O335" s="10">
        <f>ABS(SUMIFS(IsQList,IsIList,Table_ExternalData_17[[#This Row],[item_key]],IsITypeList,Table_ExternalData_17[[#Headers],[RTN]],IsDList,"&lt;&gt;"&amp;0))</f>
        <v>0</v>
      </c>
      <c r="P335" s="10">
        <f>SUM(Table_ExternalData_17[[#This Row],[R/P]:[RTN]])</f>
        <v>20</v>
      </c>
      <c r="Q335" s="10">
        <f>SUM((Table_ExternalData_17[[#This Row],[Opening]]+Table_ExternalData_17[[#This Row],[Total Receipt]])-ABS(Table_ExternalData_17[[#This Row],[Total Issue]]))</f>
        <v>-11</v>
      </c>
    </row>
    <row r="336" spans="1:17">
      <c r="A336" s="1" t="s">
        <v>944</v>
      </c>
      <c r="B336" s="1" t="s">
        <v>1432</v>
      </c>
      <c r="C336" s="1" t="s">
        <v>1350</v>
      </c>
      <c r="D336" s="10">
        <f>SUMIFS(OPBQList,OPBIList,Table_ExternalData_17[[#This Row],[item_key]])+SUMIFS(GQList,GIList,Table_ExternalData_17[[#This Row],[item_key]],GDList,0)-ABS(SUMIFS(IsQList,IsIList,Table_ExternalData_17[[#This Row],[item_key]],IsDList,0))</f>
        <v>104</v>
      </c>
      <c r="E336" s="10">
        <f>SUMIFS(GQList,GIList,Table_ExternalData_17[[#This Row],[item_key]],GTList,Table_ExternalData_17[[#Headers],[GRN]],GDList,"&lt;&gt;"&amp;0)</f>
        <v>0</v>
      </c>
      <c r="F336" s="10">
        <f>SUMIFS(GQList,GIList,Table_ExternalData_17[[#This Row],[item_key]],GTList,Table_ExternalData_17[[#Headers],[VSTR]],GDList,"&lt;&gt;"&amp;0)</f>
        <v>0</v>
      </c>
      <c r="G336" s="10">
        <f>SUMIFS(GQList,GIList,Table_ExternalData_17[[#This Row],[item_key]],GTList,Table_ExternalData_17[[#Headers],[SR]],GDList,"&lt;&gt;"&amp;0)</f>
        <v>0</v>
      </c>
      <c r="H336" s="10">
        <f>SUMIFS(GQList,GIList,Table_ExternalData_17[[#This Row],[item_key]],GTList,Table_ExternalData_17[[#Headers],[TR]],GDList,"&lt;&gt;"&amp;0)</f>
        <v>0</v>
      </c>
      <c r="I336" s="10">
        <f>SUMIFS(GQList,GIList,Table_ExternalData_17[[#This Row],[item_key]],GTList,Table_ExternalData_17[[#Headers],[RCA]],GDList,"&lt;&gt;"&amp;0)</f>
        <v>0</v>
      </c>
      <c r="J336" s="10">
        <f>SUM(Table_ExternalData_17[[#This Row],[GRN]]+Table_ExternalData_17[[#This Row],[VSTR]]+Table_ExternalData_17[[#This Row],[SR]]+Table_ExternalData_17[[#This Row],[TR]]+Table_ExternalData_17[[#This Row],[RCA]])</f>
        <v>0</v>
      </c>
      <c r="K336" s="10">
        <f>SUMIFS(IsQList,IsIList,Table_ExternalData_17[[#This Row],[item_key]],IsITypeList,Table_ExternalData_17[[#Headers],[R/P]],IsDList,"&lt;&gt;"&amp;0)</f>
        <v>0</v>
      </c>
      <c r="L336" s="10">
        <f>SUMIFS(IsQList,IsIList,Table_ExternalData_17[[#This Row],[item_key]],IsITypeList,Table_ExternalData_17[[#Headers],[CST]],IsDList,"&lt;&gt;"&amp;0)</f>
        <v>0</v>
      </c>
      <c r="M336" s="10">
        <f>SUMIFS(IsQList,IsIList,Table_ExternalData_15[[#This Row],[item_key]],IsITypeList,Table_ExternalData_17[[#Headers],[S/I]],IsDList,"&lt;&gt;"&amp;0)</f>
        <v>0</v>
      </c>
      <c r="N336" s="10">
        <f>SUMIFS(IsQList,IsIList,Table_ExternalData_15[[#This Row],[item_key]],IsITypeList,Table_ExternalData_17[[#Headers],[VST]],IsDList,"&lt;&gt;"&amp;0)</f>
        <v>0</v>
      </c>
      <c r="O336" s="10">
        <f>ABS(SUMIFS(IsQList,IsIList,Table_ExternalData_17[[#This Row],[item_key]],IsITypeList,Table_ExternalData_17[[#Headers],[RTN]],IsDList,"&lt;&gt;"&amp;0))</f>
        <v>0</v>
      </c>
      <c r="P336" s="10">
        <f>SUM(Table_ExternalData_17[[#This Row],[R/P]:[RTN]])</f>
        <v>0</v>
      </c>
      <c r="Q336" s="10">
        <f>SUM((Table_ExternalData_17[[#This Row],[Opening]]+Table_ExternalData_17[[#This Row],[Total Receipt]])-ABS(Table_ExternalData_17[[#This Row],[Total Issue]]))</f>
        <v>104</v>
      </c>
    </row>
    <row r="337" spans="1:17">
      <c r="A337" s="1" t="s">
        <v>945</v>
      </c>
      <c r="B337" s="1" t="s">
        <v>1433</v>
      </c>
      <c r="C337" s="1" t="s">
        <v>1434</v>
      </c>
      <c r="D337" s="10">
        <f>SUMIFS(OPBQList,OPBIList,Table_ExternalData_17[[#This Row],[item_key]])+SUMIFS(GQList,GIList,Table_ExternalData_17[[#This Row],[item_key]],GDList,0)-ABS(SUMIFS(IsQList,IsIList,Table_ExternalData_17[[#This Row],[item_key]],IsDList,0))</f>
        <v>126</v>
      </c>
      <c r="E337" s="10">
        <f>SUMIFS(GQList,GIList,Table_ExternalData_17[[#This Row],[item_key]],GTList,Table_ExternalData_17[[#Headers],[GRN]],GDList,"&lt;&gt;"&amp;0)</f>
        <v>0</v>
      </c>
      <c r="F337" s="10">
        <f>SUMIFS(GQList,GIList,Table_ExternalData_17[[#This Row],[item_key]],GTList,Table_ExternalData_17[[#Headers],[VSTR]],GDList,"&lt;&gt;"&amp;0)</f>
        <v>0</v>
      </c>
      <c r="G337" s="10">
        <f>SUMIFS(GQList,GIList,Table_ExternalData_17[[#This Row],[item_key]],GTList,Table_ExternalData_17[[#Headers],[SR]],GDList,"&lt;&gt;"&amp;0)</f>
        <v>0</v>
      </c>
      <c r="H337" s="10">
        <f>SUMIFS(GQList,GIList,Table_ExternalData_17[[#This Row],[item_key]],GTList,Table_ExternalData_17[[#Headers],[TR]],GDList,"&lt;&gt;"&amp;0)</f>
        <v>0</v>
      </c>
      <c r="I337" s="10">
        <f>SUMIFS(GQList,GIList,Table_ExternalData_17[[#This Row],[item_key]],GTList,Table_ExternalData_17[[#Headers],[RCA]],GDList,"&lt;&gt;"&amp;0)</f>
        <v>0</v>
      </c>
      <c r="J337" s="10">
        <f>SUM(Table_ExternalData_17[[#This Row],[GRN]]+Table_ExternalData_17[[#This Row],[VSTR]]+Table_ExternalData_17[[#This Row],[SR]]+Table_ExternalData_17[[#This Row],[TR]]+Table_ExternalData_17[[#This Row],[RCA]])</f>
        <v>0</v>
      </c>
      <c r="K337" s="10">
        <f>SUMIFS(IsQList,IsIList,Table_ExternalData_17[[#This Row],[item_key]],IsITypeList,Table_ExternalData_17[[#Headers],[R/P]],IsDList,"&lt;&gt;"&amp;0)</f>
        <v>0</v>
      </c>
      <c r="L337" s="10">
        <f>SUMIFS(IsQList,IsIList,Table_ExternalData_17[[#This Row],[item_key]],IsITypeList,Table_ExternalData_17[[#Headers],[CST]],IsDList,"&lt;&gt;"&amp;0)</f>
        <v>0</v>
      </c>
      <c r="M337" s="10">
        <f>SUMIFS(IsQList,IsIList,Table_ExternalData_15[[#This Row],[item_key]],IsITypeList,Table_ExternalData_17[[#Headers],[S/I]],IsDList,"&lt;&gt;"&amp;0)</f>
        <v>5</v>
      </c>
      <c r="N337" s="10">
        <f>SUMIFS(IsQList,IsIList,Table_ExternalData_15[[#This Row],[item_key]],IsITypeList,Table_ExternalData_17[[#Headers],[VST]],IsDList,"&lt;&gt;"&amp;0)</f>
        <v>0</v>
      </c>
      <c r="O337" s="10">
        <f>ABS(SUMIFS(IsQList,IsIList,Table_ExternalData_17[[#This Row],[item_key]],IsITypeList,Table_ExternalData_17[[#Headers],[RTN]],IsDList,"&lt;&gt;"&amp;0))</f>
        <v>0</v>
      </c>
      <c r="P337" s="10">
        <f>SUM(Table_ExternalData_17[[#This Row],[R/P]:[RTN]])</f>
        <v>5</v>
      </c>
      <c r="Q337" s="10">
        <f>SUM((Table_ExternalData_17[[#This Row],[Opening]]+Table_ExternalData_17[[#This Row],[Total Receipt]])-ABS(Table_ExternalData_17[[#This Row],[Total Issue]]))</f>
        <v>121</v>
      </c>
    </row>
    <row r="338" spans="1:17">
      <c r="A338" s="1" t="s">
        <v>946</v>
      </c>
      <c r="B338" s="1" t="s">
        <v>1435</v>
      </c>
      <c r="C338" s="1" t="s">
        <v>1436</v>
      </c>
      <c r="D33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38" s="10">
        <f>SUMIFS(GQList,GIList,Table_ExternalData_17[[#This Row],[item_key]],GTList,Table_ExternalData_17[[#Headers],[GRN]],GDList,"&lt;&gt;"&amp;0)</f>
        <v>100</v>
      </c>
      <c r="F338" s="10">
        <f>SUMIFS(GQList,GIList,Table_ExternalData_17[[#This Row],[item_key]],GTList,Table_ExternalData_17[[#Headers],[VSTR]],GDList,"&lt;&gt;"&amp;0)</f>
        <v>0</v>
      </c>
      <c r="G338" s="10">
        <f>SUMIFS(GQList,GIList,Table_ExternalData_17[[#This Row],[item_key]],GTList,Table_ExternalData_17[[#Headers],[SR]],GDList,"&lt;&gt;"&amp;0)</f>
        <v>0</v>
      </c>
      <c r="H338" s="10">
        <f>SUMIFS(GQList,GIList,Table_ExternalData_17[[#This Row],[item_key]],GTList,Table_ExternalData_17[[#Headers],[TR]],GDList,"&lt;&gt;"&amp;0)</f>
        <v>0</v>
      </c>
      <c r="I338" s="10">
        <f>SUMIFS(GQList,GIList,Table_ExternalData_17[[#This Row],[item_key]],GTList,Table_ExternalData_17[[#Headers],[RCA]],GDList,"&lt;&gt;"&amp;0)</f>
        <v>0</v>
      </c>
      <c r="J338" s="10">
        <f>SUM(Table_ExternalData_17[[#This Row],[GRN]]+Table_ExternalData_17[[#This Row],[VSTR]]+Table_ExternalData_17[[#This Row],[SR]]+Table_ExternalData_17[[#This Row],[TR]]+Table_ExternalData_17[[#This Row],[RCA]])</f>
        <v>100</v>
      </c>
      <c r="K338" s="10">
        <f>SUMIFS(IsQList,IsIList,Table_ExternalData_17[[#This Row],[item_key]],IsITypeList,Table_ExternalData_17[[#Headers],[R/P]],IsDList,"&lt;&gt;"&amp;0)</f>
        <v>0</v>
      </c>
      <c r="L338" s="10">
        <f>SUMIFS(IsQList,IsIList,Table_ExternalData_17[[#This Row],[item_key]],IsITypeList,Table_ExternalData_17[[#Headers],[CST]],IsDList,"&lt;&gt;"&amp;0)</f>
        <v>0</v>
      </c>
      <c r="M338" s="10">
        <f>SUMIFS(IsQList,IsIList,Table_ExternalData_15[[#This Row],[item_key]],IsITypeList,Table_ExternalData_17[[#Headers],[S/I]],IsDList,"&lt;&gt;"&amp;0)</f>
        <v>0</v>
      </c>
      <c r="N338" s="10">
        <f>SUMIFS(IsQList,IsIList,Table_ExternalData_15[[#This Row],[item_key]],IsITypeList,Table_ExternalData_17[[#Headers],[VST]],IsDList,"&lt;&gt;"&amp;0)</f>
        <v>0</v>
      </c>
      <c r="O338" s="10">
        <f>ABS(SUMIFS(IsQList,IsIList,Table_ExternalData_17[[#This Row],[item_key]],IsITypeList,Table_ExternalData_17[[#Headers],[RTN]],IsDList,"&lt;&gt;"&amp;0))</f>
        <v>0</v>
      </c>
      <c r="P338" s="10">
        <f>SUM(Table_ExternalData_17[[#This Row],[R/P]:[RTN]])</f>
        <v>0</v>
      </c>
      <c r="Q338" s="10">
        <f>SUM((Table_ExternalData_17[[#This Row],[Opening]]+Table_ExternalData_17[[#This Row],[Total Receipt]])-ABS(Table_ExternalData_17[[#This Row],[Total Issue]]))</f>
        <v>100</v>
      </c>
    </row>
    <row r="339" spans="1:17">
      <c r="A339" s="1" t="s">
        <v>947</v>
      </c>
      <c r="B339" s="1" t="s">
        <v>1437</v>
      </c>
      <c r="C339" s="1" t="s">
        <v>1438</v>
      </c>
      <c r="D33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39" s="10">
        <f>SUMIFS(GQList,GIList,Table_ExternalData_17[[#This Row],[item_key]],GTList,Table_ExternalData_17[[#Headers],[GRN]],GDList,"&lt;&gt;"&amp;0)</f>
        <v>100</v>
      </c>
      <c r="F339" s="10">
        <f>SUMIFS(GQList,GIList,Table_ExternalData_17[[#This Row],[item_key]],GTList,Table_ExternalData_17[[#Headers],[VSTR]],GDList,"&lt;&gt;"&amp;0)</f>
        <v>0</v>
      </c>
      <c r="G339" s="10">
        <f>SUMIFS(GQList,GIList,Table_ExternalData_17[[#This Row],[item_key]],GTList,Table_ExternalData_17[[#Headers],[SR]],GDList,"&lt;&gt;"&amp;0)</f>
        <v>0</v>
      </c>
      <c r="H339" s="10">
        <f>SUMIFS(GQList,GIList,Table_ExternalData_17[[#This Row],[item_key]],GTList,Table_ExternalData_17[[#Headers],[TR]],GDList,"&lt;&gt;"&amp;0)</f>
        <v>0</v>
      </c>
      <c r="I339" s="10">
        <f>SUMIFS(GQList,GIList,Table_ExternalData_17[[#This Row],[item_key]],GTList,Table_ExternalData_17[[#Headers],[RCA]],GDList,"&lt;&gt;"&amp;0)</f>
        <v>0</v>
      </c>
      <c r="J339" s="10">
        <f>SUM(Table_ExternalData_17[[#This Row],[GRN]]+Table_ExternalData_17[[#This Row],[VSTR]]+Table_ExternalData_17[[#This Row],[SR]]+Table_ExternalData_17[[#This Row],[TR]]+Table_ExternalData_17[[#This Row],[RCA]])</f>
        <v>100</v>
      </c>
      <c r="K339" s="10">
        <f>SUMIFS(IsQList,IsIList,Table_ExternalData_17[[#This Row],[item_key]],IsITypeList,Table_ExternalData_17[[#Headers],[R/P]],IsDList,"&lt;&gt;"&amp;0)</f>
        <v>0</v>
      </c>
      <c r="L339" s="10">
        <f>SUMIFS(IsQList,IsIList,Table_ExternalData_17[[#This Row],[item_key]],IsITypeList,Table_ExternalData_17[[#Headers],[CST]],IsDList,"&lt;&gt;"&amp;0)</f>
        <v>0</v>
      </c>
      <c r="M339" s="10">
        <f>SUMIFS(IsQList,IsIList,Table_ExternalData_15[[#This Row],[item_key]],IsITypeList,Table_ExternalData_17[[#Headers],[S/I]],IsDList,"&lt;&gt;"&amp;0)</f>
        <v>0</v>
      </c>
      <c r="N339" s="10">
        <f>SUMIFS(IsQList,IsIList,Table_ExternalData_15[[#This Row],[item_key]],IsITypeList,Table_ExternalData_17[[#Headers],[VST]],IsDList,"&lt;&gt;"&amp;0)</f>
        <v>0</v>
      </c>
      <c r="O339" s="10">
        <f>ABS(SUMIFS(IsQList,IsIList,Table_ExternalData_17[[#This Row],[item_key]],IsITypeList,Table_ExternalData_17[[#Headers],[RTN]],IsDList,"&lt;&gt;"&amp;0))</f>
        <v>0</v>
      </c>
      <c r="P339" s="10">
        <f>SUM(Table_ExternalData_17[[#This Row],[R/P]:[RTN]])</f>
        <v>0</v>
      </c>
      <c r="Q339" s="10">
        <f>SUM((Table_ExternalData_17[[#This Row],[Opening]]+Table_ExternalData_17[[#This Row],[Total Receipt]])-ABS(Table_ExternalData_17[[#This Row],[Total Issue]]))</f>
        <v>100</v>
      </c>
    </row>
    <row r="340" spans="1:17">
      <c r="A340" s="1" t="s">
        <v>948</v>
      </c>
      <c r="B340" s="1" t="s">
        <v>1439</v>
      </c>
      <c r="C340" s="1" t="s">
        <v>1440</v>
      </c>
      <c r="D340" s="10">
        <f>SUMIFS(OPBQList,OPBIList,Table_ExternalData_17[[#This Row],[item_key]])+SUMIFS(GQList,GIList,Table_ExternalData_17[[#This Row],[item_key]],GDList,0)-ABS(SUMIFS(IsQList,IsIList,Table_ExternalData_17[[#This Row],[item_key]],IsDList,0))</f>
        <v>44</v>
      </c>
      <c r="E340" s="10">
        <f>SUMIFS(GQList,GIList,Table_ExternalData_17[[#This Row],[item_key]],GTList,Table_ExternalData_17[[#Headers],[GRN]],GDList,"&lt;&gt;"&amp;0)</f>
        <v>0</v>
      </c>
      <c r="F340" s="10">
        <f>SUMIFS(GQList,GIList,Table_ExternalData_17[[#This Row],[item_key]],GTList,Table_ExternalData_17[[#Headers],[VSTR]],GDList,"&lt;&gt;"&amp;0)</f>
        <v>0</v>
      </c>
      <c r="G340" s="10">
        <f>SUMIFS(GQList,GIList,Table_ExternalData_17[[#This Row],[item_key]],GTList,Table_ExternalData_17[[#Headers],[SR]],GDList,"&lt;&gt;"&amp;0)</f>
        <v>0</v>
      </c>
      <c r="H340" s="10">
        <f>SUMIFS(GQList,GIList,Table_ExternalData_17[[#This Row],[item_key]],GTList,Table_ExternalData_17[[#Headers],[TR]],GDList,"&lt;&gt;"&amp;0)</f>
        <v>0</v>
      </c>
      <c r="I340" s="10">
        <f>SUMIFS(GQList,GIList,Table_ExternalData_17[[#This Row],[item_key]],GTList,Table_ExternalData_17[[#Headers],[RCA]],GDList,"&lt;&gt;"&amp;0)</f>
        <v>0</v>
      </c>
      <c r="J340" s="10">
        <f>SUM(Table_ExternalData_17[[#This Row],[GRN]]+Table_ExternalData_17[[#This Row],[VSTR]]+Table_ExternalData_17[[#This Row],[SR]]+Table_ExternalData_17[[#This Row],[TR]]+Table_ExternalData_17[[#This Row],[RCA]])</f>
        <v>0</v>
      </c>
      <c r="K340" s="10">
        <f>SUMIFS(IsQList,IsIList,Table_ExternalData_17[[#This Row],[item_key]],IsITypeList,Table_ExternalData_17[[#Headers],[R/P]],IsDList,"&lt;&gt;"&amp;0)</f>
        <v>0</v>
      </c>
      <c r="L340" s="10">
        <f>SUMIFS(IsQList,IsIList,Table_ExternalData_17[[#This Row],[item_key]],IsITypeList,Table_ExternalData_17[[#Headers],[CST]],IsDList,"&lt;&gt;"&amp;0)</f>
        <v>0</v>
      </c>
      <c r="M340" s="10">
        <f>SUMIFS(IsQList,IsIList,Table_ExternalData_15[[#This Row],[item_key]],IsITypeList,Table_ExternalData_17[[#Headers],[S/I]],IsDList,"&lt;&gt;"&amp;0)</f>
        <v>0</v>
      </c>
      <c r="N340" s="10">
        <f>SUMIFS(IsQList,IsIList,Table_ExternalData_15[[#This Row],[item_key]],IsITypeList,Table_ExternalData_17[[#Headers],[VST]],IsDList,"&lt;&gt;"&amp;0)</f>
        <v>0</v>
      </c>
      <c r="O340" s="10">
        <f>ABS(SUMIFS(IsQList,IsIList,Table_ExternalData_17[[#This Row],[item_key]],IsITypeList,Table_ExternalData_17[[#Headers],[RTN]],IsDList,"&lt;&gt;"&amp;0))</f>
        <v>0</v>
      </c>
      <c r="P340" s="10">
        <f>SUM(Table_ExternalData_17[[#This Row],[R/P]:[RTN]])</f>
        <v>0</v>
      </c>
      <c r="Q340" s="10">
        <f>SUM((Table_ExternalData_17[[#This Row],[Opening]]+Table_ExternalData_17[[#This Row],[Total Receipt]])-ABS(Table_ExternalData_17[[#This Row],[Total Issue]]))</f>
        <v>44</v>
      </c>
    </row>
    <row r="341" spans="1:17">
      <c r="A341" s="1" t="s">
        <v>949</v>
      </c>
      <c r="B341" s="1" t="s">
        <v>1441</v>
      </c>
      <c r="C341" s="1" t="s">
        <v>1442</v>
      </c>
      <c r="D341" s="10">
        <f>SUMIFS(OPBQList,OPBIList,Table_ExternalData_17[[#This Row],[item_key]])+SUMIFS(GQList,GIList,Table_ExternalData_17[[#This Row],[item_key]],GDList,0)-ABS(SUMIFS(IsQList,IsIList,Table_ExternalData_17[[#This Row],[item_key]],IsDList,0))</f>
        <v>74</v>
      </c>
      <c r="E341" s="10">
        <f>SUMIFS(GQList,GIList,Table_ExternalData_17[[#This Row],[item_key]],GTList,Table_ExternalData_17[[#Headers],[GRN]],GDList,"&lt;&gt;"&amp;0)</f>
        <v>0</v>
      </c>
      <c r="F341" s="10">
        <f>SUMIFS(GQList,GIList,Table_ExternalData_17[[#This Row],[item_key]],GTList,Table_ExternalData_17[[#Headers],[VSTR]],GDList,"&lt;&gt;"&amp;0)</f>
        <v>0</v>
      </c>
      <c r="G341" s="10">
        <f>SUMIFS(GQList,GIList,Table_ExternalData_17[[#This Row],[item_key]],GTList,Table_ExternalData_17[[#Headers],[SR]],GDList,"&lt;&gt;"&amp;0)</f>
        <v>0</v>
      </c>
      <c r="H341" s="10">
        <f>SUMIFS(GQList,GIList,Table_ExternalData_17[[#This Row],[item_key]],GTList,Table_ExternalData_17[[#Headers],[TR]],GDList,"&lt;&gt;"&amp;0)</f>
        <v>0</v>
      </c>
      <c r="I341" s="10">
        <f>SUMIFS(GQList,GIList,Table_ExternalData_17[[#This Row],[item_key]],GTList,Table_ExternalData_17[[#Headers],[RCA]],GDList,"&lt;&gt;"&amp;0)</f>
        <v>0</v>
      </c>
      <c r="J341" s="10">
        <f>SUM(Table_ExternalData_17[[#This Row],[GRN]]+Table_ExternalData_17[[#This Row],[VSTR]]+Table_ExternalData_17[[#This Row],[SR]]+Table_ExternalData_17[[#This Row],[TR]]+Table_ExternalData_17[[#This Row],[RCA]])</f>
        <v>0</v>
      </c>
      <c r="K341" s="10">
        <f>SUMIFS(IsQList,IsIList,Table_ExternalData_17[[#This Row],[item_key]],IsITypeList,Table_ExternalData_17[[#Headers],[R/P]],IsDList,"&lt;&gt;"&amp;0)</f>
        <v>0</v>
      </c>
      <c r="L341" s="10">
        <f>SUMIFS(IsQList,IsIList,Table_ExternalData_17[[#This Row],[item_key]],IsITypeList,Table_ExternalData_17[[#Headers],[CST]],IsDList,"&lt;&gt;"&amp;0)</f>
        <v>0</v>
      </c>
      <c r="M341" s="10">
        <f>SUMIFS(IsQList,IsIList,Table_ExternalData_15[[#This Row],[item_key]],IsITypeList,Table_ExternalData_17[[#Headers],[S/I]],IsDList,"&lt;&gt;"&amp;0)</f>
        <v>26</v>
      </c>
      <c r="N341" s="10">
        <f>SUMIFS(IsQList,IsIList,Table_ExternalData_15[[#This Row],[item_key]],IsITypeList,Table_ExternalData_17[[#Headers],[VST]],IsDList,"&lt;&gt;"&amp;0)</f>
        <v>0</v>
      </c>
      <c r="O341" s="10">
        <f>ABS(SUMIFS(IsQList,IsIList,Table_ExternalData_17[[#This Row],[item_key]],IsITypeList,Table_ExternalData_17[[#Headers],[RTN]],IsDList,"&lt;&gt;"&amp;0))</f>
        <v>0</v>
      </c>
      <c r="P341" s="10">
        <f>SUM(Table_ExternalData_17[[#This Row],[R/P]:[RTN]])</f>
        <v>26</v>
      </c>
      <c r="Q341" s="10">
        <f>SUM((Table_ExternalData_17[[#This Row],[Opening]]+Table_ExternalData_17[[#This Row],[Total Receipt]])-ABS(Table_ExternalData_17[[#This Row],[Total Issue]]))</f>
        <v>48</v>
      </c>
    </row>
    <row r="342" spans="1:17">
      <c r="A342" s="1" t="s">
        <v>950</v>
      </c>
      <c r="B342" s="1" t="s">
        <v>1443</v>
      </c>
      <c r="C342" s="1" t="s">
        <v>1444</v>
      </c>
      <c r="D342" s="10">
        <f>SUMIFS(OPBQList,OPBIList,Table_ExternalData_17[[#This Row],[item_key]])+SUMIFS(GQList,GIList,Table_ExternalData_17[[#This Row],[item_key]],GDList,0)-ABS(SUMIFS(IsQList,IsIList,Table_ExternalData_17[[#This Row],[item_key]],IsDList,0))</f>
        <v>236</v>
      </c>
      <c r="E342" s="10">
        <f>SUMIFS(GQList,GIList,Table_ExternalData_17[[#This Row],[item_key]],GTList,Table_ExternalData_17[[#Headers],[GRN]],GDList,"&lt;&gt;"&amp;0)</f>
        <v>0</v>
      </c>
      <c r="F342" s="10">
        <f>SUMIFS(GQList,GIList,Table_ExternalData_17[[#This Row],[item_key]],GTList,Table_ExternalData_17[[#Headers],[VSTR]],GDList,"&lt;&gt;"&amp;0)</f>
        <v>0</v>
      </c>
      <c r="G342" s="10">
        <f>SUMIFS(GQList,GIList,Table_ExternalData_17[[#This Row],[item_key]],GTList,Table_ExternalData_17[[#Headers],[SR]],GDList,"&lt;&gt;"&amp;0)</f>
        <v>0</v>
      </c>
      <c r="H342" s="10">
        <f>SUMIFS(GQList,GIList,Table_ExternalData_17[[#This Row],[item_key]],GTList,Table_ExternalData_17[[#Headers],[TR]],GDList,"&lt;&gt;"&amp;0)</f>
        <v>0</v>
      </c>
      <c r="I342" s="10">
        <f>SUMIFS(GQList,GIList,Table_ExternalData_17[[#This Row],[item_key]],GTList,Table_ExternalData_17[[#Headers],[RCA]],GDList,"&lt;&gt;"&amp;0)</f>
        <v>0</v>
      </c>
      <c r="J342" s="10">
        <f>SUM(Table_ExternalData_17[[#This Row],[GRN]]+Table_ExternalData_17[[#This Row],[VSTR]]+Table_ExternalData_17[[#This Row],[SR]]+Table_ExternalData_17[[#This Row],[TR]]+Table_ExternalData_17[[#This Row],[RCA]])</f>
        <v>0</v>
      </c>
      <c r="K342" s="10">
        <f>SUMIFS(IsQList,IsIList,Table_ExternalData_17[[#This Row],[item_key]],IsITypeList,Table_ExternalData_17[[#Headers],[R/P]],IsDList,"&lt;&gt;"&amp;0)</f>
        <v>0</v>
      </c>
      <c r="L342" s="10">
        <f>SUMIFS(IsQList,IsIList,Table_ExternalData_17[[#This Row],[item_key]],IsITypeList,Table_ExternalData_17[[#Headers],[CST]],IsDList,"&lt;&gt;"&amp;0)</f>
        <v>0</v>
      </c>
      <c r="M342" s="10">
        <f>SUMIFS(IsQList,IsIList,Table_ExternalData_15[[#This Row],[item_key]],IsITypeList,Table_ExternalData_17[[#Headers],[S/I]],IsDList,"&lt;&gt;"&amp;0)</f>
        <v>10</v>
      </c>
      <c r="N342" s="10">
        <f>SUMIFS(IsQList,IsIList,Table_ExternalData_15[[#This Row],[item_key]],IsITypeList,Table_ExternalData_17[[#Headers],[VST]],IsDList,"&lt;&gt;"&amp;0)</f>
        <v>0</v>
      </c>
      <c r="O342" s="10">
        <f>ABS(SUMIFS(IsQList,IsIList,Table_ExternalData_17[[#This Row],[item_key]],IsITypeList,Table_ExternalData_17[[#Headers],[RTN]],IsDList,"&lt;&gt;"&amp;0))</f>
        <v>0</v>
      </c>
      <c r="P342" s="10">
        <f>SUM(Table_ExternalData_17[[#This Row],[R/P]:[RTN]])</f>
        <v>10</v>
      </c>
      <c r="Q342" s="10">
        <f>SUM((Table_ExternalData_17[[#This Row],[Opening]]+Table_ExternalData_17[[#This Row],[Total Receipt]])-ABS(Table_ExternalData_17[[#This Row],[Total Issue]]))</f>
        <v>226</v>
      </c>
    </row>
    <row r="343" spans="1:17">
      <c r="A343" s="1" t="s">
        <v>951</v>
      </c>
      <c r="B343" s="1" t="s">
        <v>1445</v>
      </c>
      <c r="C343" s="1" t="s">
        <v>1446</v>
      </c>
      <c r="D343" s="10">
        <f>SUMIFS(OPBQList,OPBIList,Table_ExternalData_17[[#This Row],[item_key]])+SUMIFS(GQList,GIList,Table_ExternalData_17[[#This Row],[item_key]],GDList,0)-ABS(SUMIFS(IsQList,IsIList,Table_ExternalData_17[[#This Row],[item_key]],IsDList,0))</f>
        <v>156</v>
      </c>
      <c r="E343" s="10">
        <f>SUMIFS(GQList,GIList,Table_ExternalData_17[[#This Row],[item_key]],GTList,Table_ExternalData_17[[#Headers],[GRN]],GDList,"&lt;&gt;"&amp;0)</f>
        <v>0</v>
      </c>
      <c r="F343" s="10">
        <f>SUMIFS(GQList,GIList,Table_ExternalData_17[[#This Row],[item_key]],GTList,Table_ExternalData_17[[#Headers],[VSTR]],GDList,"&lt;&gt;"&amp;0)</f>
        <v>0</v>
      </c>
      <c r="G343" s="10">
        <f>SUMIFS(GQList,GIList,Table_ExternalData_17[[#This Row],[item_key]],GTList,Table_ExternalData_17[[#Headers],[SR]],GDList,"&lt;&gt;"&amp;0)</f>
        <v>0</v>
      </c>
      <c r="H343" s="10">
        <f>SUMIFS(GQList,GIList,Table_ExternalData_17[[#This Row],[item_key]],GTList,Table_ExternalData_17[[#Headers],[TR]],GDList,"&lt;&gt;"&amp;0)</f>
        <v>0</v>
      </c>
      <c r="I343" s="10">
        <f>SUMIFS(GQList,GIList,Table_ExternalData_17[[#This Row],[item_key]],GTList,Table_ExternalData_17[[#Headers],[RCA]],GDList,"&lt;&gt;"&amp;0)</f>
        <v>0</v>
      </c>
      <c r="J343" s="10">
        <f>SUM(Table_ExternalData_17[[#This Row],[GRN]]+Table_ExternalData_17[[#This Row],[VSTR]]+Table_ExternalData_17[[#This Row],[SR]]+Table_ExternalData_17[[#This Row],[TR]]+Table_ExternalData_17[[#This Row],[RCA]])</f>
        <v>0</v>
      </c>
      <c r="K343" s="10">
        <f>SUMIFS(IsQList,IsIList,Table_ExternalData_17[[#This Row],[item_key]],IsITypeList,Table_ExternalData_17[[#Headers],[R/P]],IsDList,"&lt;&gt;"&amp;0)</f>
        <v>0</v>
      </c>
      <c r="L343" s="10">
        <f>SUMIFS(IsQList,IsIList,Table_ExternalData_17[[#This Row],[item_key]],IsITypeList,Table_ExternalData_17[[#Headers],[CST]],IsDList,"&lt;&gt;"&amp;0)</f>
        <v>0</v>
      </c>
      <c r="M343" s="10">
        <f>SUMIFS(IsQList,IsIList,Table_ExternalData_15[[#This Row],[item_key]],IsITypeList,Table_ExternalData_17[[#Headers],[S/I]],IsDList,"&lt;&gt;"&amp;0)</f>
        <v>15</v>
      </c>
      <c r="N343" s="10">
        <f>SUMIFS(IsQList,IsIList,Table_ExternalData_15[[#This Row],[item_key]],IsITypeList,Table_ExternalData_17[[#Headers],[VST]],IsDList,"&lt;&gt;"&amp;0)</f>
        <v>0</v>
      </c>
      <c r="O343" s="10">
        <f>ABS(SUMIFS(IsQList,IsIList,Table_ExternalData_17[[#This Row],[item_key]],IsITypeList,Table_ExternalData_17[[#Headers],[RTN]],IsDList,"&lt;&gt;"&amp;0))</f>
        <v>0</v>
      </c>
      <c r="P343" s="10">
        <f>SUM(Table_ExternalData_17[[#This Row],[R/P]:[RTN]])</f>
        <v>15</v>
      </c>
      <c r="Q343" s="10">
        <f>SUM((Table_ExternalData_17[[#This Row],[Opening]]+Table_ExternalData_17[[#This Row],[Total Receipt]])-ABS(Table_ExternalData_17[[#This Row],[Total Issue]]))</f>
        <v>141</v>
      </c>
    </row>
    <row r="344" spans="1:17">
      <c r="A344" s="1" t="s">
        <v>952</v>
      </c>
      <c r="B344" s="1" t="s">
        <v>1447</v>
      </c>
      <c r="C344" s="1" t="s">
        <v>1448</v>
      </c>
      <c r="D344" s="10">
        <f>SUMIFS(OPBQList,OPBIList,Table_ExternalData_17[[#This Row],[item_key]])+SUMIFS(GQList,GIList,Table_ExternalData_17[[#This Row],[item_key]],GDList,0)-ABS(SUMIFS(IsQList,IsIList,Table_ExternalData_17[[#This Row],[item_key]],IsDList,0))</f>
        <v>299</v>
      </c>
      <c r="E344" s="10">
        <f>SUMIFS(GQList,GIList,Table_ExternalData_17[[#This Row],[item_key]],GTList,Table_ExternalData_17[[#Headers],[GRN]],GDList,"&lt;&gt;"&amp;0)</f>
        <v>0</v>
      </c>
      <c r="F344" s="10">
        <f>SUMIFS(GQList,GIList,Table_ExternalData_17[[#This Row],[item_key]],GTList,Table_ExternalData_17[[#Headers],[VSTR]],GDList,"&lt;&gt;"&amp;0)</f>
        <v>0</v>
      </c>
      <c r="G344" s="10">
        <f>SUMIFS(GQList,GIList,Table_ExternalData_17[[#This Row],[item_key]],GTList,Table_ExternalData_17[[#Headers],[SR]],GDList,"&lt;&gt;"&amp;0)</f>
        <v>0</v>
      </c>
      <c r="H344" s="10">
        <f>SUMIFS(GQList,GIList,Table_ExternalData_17[[#This Row],[item_key]],GTList,Table_ExternalData_17[[#Headers],[TR]],GDList,"&lt;&gt;"&amp;0)</f>
        <v>0</v>
      </c>
      <c r="I344" s="10">
        <f>SUMIFS(GQList,GIList,Table_ExternalData_17[[#This Row],[item_key]],GTList,Table_ExternalData_17[[#Headers],[RCA]],GDList,"&lt;&gt;"&amp;0)</f>
        <v>0</v>
      </c>
      <c r="J344" s="10">
        <f>SUM(Table_ExternalData_17[[#This Row],[GRN]]+Table_ExternalData_17[[#This Row],[VSTR]]+Table_ExternalData_17[[#This Row],[SR]]+Table_ExternalData_17[[#This Row],[TR]]+Table_ExternalData_17[[#This Row],[RCA]])</f>
        <v>0</v>
      </c>
      <c r="K344" s="10">
        <f>SUMIFS(IsQList,IsIList,Table_ExternalData_17[[#This Row],[item_key]],IsITypeList,Table_ExternalData_17[[#Headers],[R/P]],IsDList,"&lt;&gt;"&amp;0)</f>
        <v>0</v>
      </c>
      <c r="L344" s="10">
        <f>SUMIFS(IsQList,IsIList,Table_ExternalData_17[[#This Row],[item_key]],IsITypeList,Table_ExternalData_17[[#Headers],[CST]],IsDList,"&lt;&gt;"&amp;0)</f>
        <v>0</v>
      </c>
      <c r="M344" s="10">
        <f>SUMIFS(IsQList,IsIList,Table_ExternalData_15[[#This Row],[item_key]],IsITypeList,Table_ExternalData_17[[#Headers],[S/I]],IsDList,"&lt;&gt;"&amp;0)</f>
        <v>7</v>
      </c>
      <c r="N344" s="10">
        <f>SUMIFS(IsQList,IsIList,Table_ExternalData_15[[#This Row],[item_key]],IsITypeList,Table_ExternalData_17[[#Headers],[VST]],IsDList,"&lt;&gt;"&amp;0)</f>
        <v>0</v>
      </c>
      <c r="O344" s="10">
        <f>ABS(SUMIFS(IsQList,IsIList,Table_ExternalData_17[[#This Row],[item_key]],IsITypeList,Table_ExternalData_17[[#Headers],[RTN]],IsDList,"&lt;&gt;"&amp;0))</f>
        <v>0</v>
      </c>
      <c r="P344" s="10">
        <f>SUM(Table_ExternalData_17[[#This Row],[R/P]:[RTN]])</f>
        <v>7</v>
      </c>
      <c r="Q344" s="10">
        <f>SUM((Table_ExternalData_17[[#This Row],[Opening]]+Table_ExternalData_17[[#This Row],[Total Receipt]])-ABS(Table_ExternalData_17[[#This Row],[Total Issue]]))</f>
        <v>292</v>
      </c>
    </row>
    <row r="345" spans="1:17">
      <c r="A345" s="1" t="s">
        <v>953</v>
      </c>
      <c r="B345" s="1" t="s">
        <v>2414</v>
      </c>
      <c r="C345" s="1" t="s">
        <v>2415</v>
      </c>
      <c r="D345" s="10">
        <f>SUMIFS(OPBQList,OPBIList,Table_ExternalData_17[[#This Row],[item_key]])+SUMIFS(GQList,GIList,Table_ExternalData_17[[#This Row],[item_key]],GDList,0)-ABS(SUMIFS(IsQList,IsIList,Table_ExternalData_17[[#This Row],[item_key]],IsDList,0))</f>
        <v>284</v>
      </c>
      <c r="E345" s="10">
        <f>SUMIFS(GQList,GIList,Table_ExternalData_17[[#This Row],[item_key]],GTList,Table_ExternalData_17[[#Headers],[GRN]],GDList,"&lt;&gt;"&amp;0)</f>
        <v>17880</v>
      </c>
      <c r="F345" s="10">
        <f>SUMIFS(GQList,GIList,Table_ExternalData_17[[#This Row],[item_key]],GTList,Table_ExternalData_17[[#Headers],[VSTR]],GDList,"&lt;&gt;"&amp;0)</f>
        <v>0</v>
      </c>
      <c r="G345" s="10">
        <f>SUMIFS(GQList,GIList,Table_ExternalData_17[[#This Row],[item_key]],GTList,Table_ExternalData_17[[#Headers],[SR]],GDList,"&lt;&gt;"&amp;0)</f>
        <v>0</v>
      </c>
      <c r="H345" s="10">
        <f>SUMIFS(GQList,GIList,Table_ExternalData_17[[#This Row],[item_key]],GTList,Table_ExternalData_17[[#Headers],[TR]],GDList,"&lt;&gt;"&amp;0)</f>
        <v>0</v>
      </c>
      <c r="I345" s="10">
        <f>SUMIFS(GQList,GIList,Table_ExternalData_17[[#This Row],[item_key]],GTList,Table_ExternalData_17[[#Headers],[RCA]],GDList,"&lt;&gt;"&amp;0)</f>
        <v>0</v>
      </c>
      <c r="J345" s="10">
        <f>SUM(Table_ExternalData_17[[#This Row],[GRN]]+Table_ExternalData_17[[#This Row],[VSTR]]+Table_ExternalData_17[[#This Row],[SR]]+Table_ExternalData_17[[#This Row],[TR]]+Table_ExternalData_17[[#This Row],[RCA]])</f>
        <v>17880</v>
      </c>
      <c r="K345" s="10">
        <f>SUMIFS(IsQList,IsIList,Table_ExternalData_17[[#This Row],[item_key]],IsITypeList,Table_ExternalData_17[[#Headers],[R/P]],IsDList,"&lt;&gt;"&amp;0)</f>
        <v>0</v>
      </c>
      <c r="L345" s="10">
        <f>SUMIFS(IsQList,IsIList,Table_ExternalData_17[[#This Row],[item_key]],IsITypeList,Table_ExternalData_17[[#Headers],[CST]],IsDList,"&lt;&gt;"&amp;0)</f>
        <v>0</v>
      </c>
      <c r="M345" s="10">
        <f>SUMIFS(IsQList,IsIList,Table_ExternalData_15[[#This Row],[item_key]],IsITypeList,Table_ExternalData_17[[#Headers],[S/I]],IsDList,"&lt;&gt;"&amp;0)</f>
        <v>10</v>
      </c>
      <c r="N345" s="10">
        <f>SUMIFS(IsQList,IsIList,Table_ExternalData_15[[#This Row],[item_key]],IsITypeList,Table_ExternalData_17[[#Headers],[VST]],IsDList,"&lt;&gt;"&amp;0)</f>
        <v>0</v>
      </c>
      <c r="O345" s="10">
        <f>ABS(SUMIFS(IsQList,IsIList,Table_ExternalData_17[[#This Row],[item_key]],IsITypeList,Table_ExternalData_17[[#Headers],[RTN]],IsDList,"&lt;&gt;"&amp;0))</f>
        <v>0</v>
      </c>
      <c r="P345" s="10">
        <f>SUM(Table_ExternalData_17[[#This Row],[R/P]:[RTN]])</f>
        <v>10</v>
      </c>
      <c r="Q345" s="10">
        <f>SUM((Table_ExternalData_17[[#This Row],[Opening]]+Table_ExternalData_17[[#This Row],[Total Receipt]])-ABS(Table_ExternalData_17[[#This Row],[Total Issue]]))</f>
        <v>18154</v>
      </c>
    </row>
    <row r="346" spans="1:17">
      <c r="A346" s="1" t="s">
        <v>954</v>
      </c>
      <c r="B346" s="1" t="s">
        <v>1449</v>
      </c>
      <c r="C346" s="1" t="s">
        <v>1450</v>
      </c>
      <c r="D346" s="10">
        <f>SUMIFS(OPBQList,OPBIList,Table_ExternalData_17[[#This Row],[item_key]])+SUMIFS(GQList,GIList,Table_ExternalData_17[[#This Row],[item_key]],GDList,0)-ABS(SUMIFS(IsQList,IsIList,Table_ExternalData_17[[#This Row],[item_key]],IsDList,0))</f>
        <v>7</v>
      </c>
      <c r="E346" s="10">
        <f>SUMIFS(GQList,GIList,Table_ExternalData_17[[#This Row],[item_key]],GTList,Table_ExternalData_17[[#Headers],[GRN]],GDList,"&lt;&gt;"&amp;0)</f>
        <v>0</v>
      </c>
      <c r="F346" s="10">
        <f>SUMIFS(GQList,GIList,Table_ExternalData_17[[#This Row],[item_key]],GTList,Table_ExternalData_17[[#Headers],[VSTR]],GDList,"&lt;&gt;"&amp;0)</f>
        <v>0</v>
      </c>
      <c r="G346" s="10">
        <f>SUMIFS(GQList,GIList,Table_ExternalData_17[[#This Row],[item_key]],GTList,Table_ExternalData_17[[#Headers],[SR]],GDList,"&lt;&gt;"&amp;0)</f>
        <v>0</v>
      </c>
      <c r="H346" s="10">
        <f>SUMIFS(GQList,GIList,Table_ExternalData_17[[#This Row],[item_key]],GTList,Table_ExternalData_17[[#Headers],[TR]],GDList,"&lt;&gt;"&amp;0)</f>
        <v>0</v>
      </c>
      <c r="I346" s="10">
        <f>SUMIFS(GQList,GIList,Table_ExternalData_17[[#This Row],[item_key]],GTList,Table_ExternalData_17[[#Headers],[RCA]],GDList,"&lt;&gt;"&amp;0)</f>
        <v>0</v>
      </c>
      <c r="J346" s="10">
        <f>SUM(Table_ExternalData_17[[#This Row],[GRN]]+Table_ExternalData_17[[#This Row],[VSTR]]+Table_ExternalData_17[[#This Row],[SR]]+Table_ExternalData_17[[#This Row],[TR]]+Table_ExternalData_17[[#This Row],[RCA]])</f>
        <v>0</v>
      </c>
      <c r="K346" s="10">
        <f>SUMIFS(IsQList,IsIList,Table_ExternalData_17[[#This Row],[item_key]],IsITypeList,Table_ExternalData_17[[#Headers],[R/P]],IsDList,"&lt;&gt;"&amp;0)</f>
        <v>0</v>
      </c>
      <c r="L346" s="10">
        <f>SUMIFS(IsQList,IsIList,Table_ExternalData_17[[#This Row],[item_key]],IsITypeList,Table_ExternalData_17[[#Headers],[CST]],IsDList,"&lt;&gt;"&amp;0)</f>
        <v>0</v>
      </c>
      <c r="M346" s="10">
        <f>SUMIFS(IsQList,IsIList,Table_ExternalData_15[[#This Row],[item_key]],IsITypeList,Table_ExternalData_17[[#Headers],[S/I]],IsDList,"&lt;&gt;"&amp;0)</f>
        <v>10</v>
      </c>
      <c r="N346" s="10">
        <f>SUMIFS(IsQList,IsIList,Table_ExternalData_15[[#This Row],[item_key]],IsITypeList,Table_ExternalData_17[[#Headers],[VST]],IsDList,"&lt;&gt;"&amp;0)</f>
        <v>0</v>
      </c>
      <c r="O346" s="10">
        <f>ABS(SUMIFS(IsQList,IsIList,Table_ExternalData_17[[#This Row],[item_key]],IsITypeList,Table_ExternalData_17[[#Headers],[RTN]],IsDList,"&lt;&gt;"&amp;0))</f>
        <v>0</v>
      </c>
      <c r="P346" s="10">
        <f>SUM(Table_ExternalData_17[[#This Row],[R/P]:[RTN]])</f>
        <v>10</v>
      </c>
      <c r="Q346" s="10">
        <f>SUM((Table_ExternalData_17[[#This Row],[Opening]]+Table_ExternalData_17[[#This Row],[Total Receipt]])-ABS(Table_ExternalData_17[[#This Row],[Total Issue]]))</f>
        <v>-3</v>
      </c>
    </row>
    <row r="347" spans="1:17">
      <c r="A347" s="1" t="s">
        <v>955</v>
      </c>
      <c r="B347" s="1" t="s">
        <v>1451</v>
      </c>
      <c r="C347" s="1" t="s">
        <v>1452</v>
      </c>
      <c r="D347" s="10">
        <f>SUMIFS(OPBQList,OPBIList,Table_ExternalData_17[[#This Row],[item_key]])+SUMIFS(GQList,GIList,Table_ExternalData_17[[#This Row],[item_key]],GDList,0)-ABS(SUMIFS(IsQList,IsIList,Table_ExternalData_17[[#This Row],[item_key]],IsDList,0))</f>
        <v>253</v>
      </c>
      <c r="E347" s="10">
        <f>SUMIFS(GQList,GIList,Table_ExternalData_17[[#This Row],[item_key]],GTList,Table_ExternalData_17[[#Headers],[GRN]],GDList,"&lt;&gt;"&amp;0)</f>
        <v>0</v>
      </c>
      <c r="F347" s="10">
        <f>SUMIFS(GQList,GIList,Table_ExternalData_17[[#This Row],[item_key]],GTList,Table_ExternalData_17[[#Headers],[VSTR]],GDList,"&lt;&gt;"&amp;0)</f>
        <v>0</v>
      </c>
      <c r="G347" s="10">
        <f>SUMIFS(GQList,GIList,Table_ExternalData_17[[#This Row],[item_key]],GTList,Table_ExternalData_17[[#Headers],[SR]],GDList,"&lt;&gt;"&amp;0)</f>
        <v>0</v>
      </c>
      <c r="H347" s="10">
        <f>SUMIFS(GQList,GIList,Table_ExternalData_17[[#This Row],[item_key]],GTList,Table_ExternalData_17[[#Headers],[TR]],GDList,"&lt;&gt;"&amp;0)</f>
        <v>0</v>
      </c>
      <c r="I347" s="10">
        <f>SUMIFS(GQList,GIList,Table_ExternalData_17[[#This Row],[item_key]],GTList,Table_ExternalData_17[[#Headers],[RCA]],GDList,"&lt;&gt;"&amp;0)</f>
        <v>0</v>
      </c>
      <c r="J347" s="10">
        <f>SUM(Table_ExternalData_17[[#This Row],[GRN]]+Table_ExternalData_17[[#This Row],[VSTR]]+Table_ExternalData_17[[#This Row],[SR]]+Table_ExternalData_17[[#This Row],[TR]]+Table_ExternalData_17[[#This Row],[RCA]])</f>
        <v>0</v>
      </c>
      <c r="K347" s="10">
        <f>SUMIFS(IsQList,IsIList,Table_ExternalData_17[[#This Row],[item_key]],IsITypeList,Table_ExternalData_17[[#Headers],[R/P]],IsDList,"&lt;&gt;"&amp;0)</f>
        <v>0</v>
      </c>
      <c r="L347" s="10">
        <f>SUMIFS(IsQList,IsIList,Table_ExternalData_17[[#This Row],[item_key]],IsITypeList,Table_ExternalData_17[[#Headers],[CST]],IsDList,"&lt;&gt;"&amp;0)</f>
        <v>0</v>
      </c>
      <c r="M347" s="10">
        <f>SUMIFS(IsQList,IsIList,Table_ExternalData_15[[#This Row],[item_key]],IsITypeList,Table_ExternalData_17[[#Headers],[S/I]],IsDList,"&lt;&gt;"&amp;0)</f>
        <v>2</v>
      </c>
      <c r="N347" s="10">
        <f>SUMIFS(IsQList,IsIList,Table_ExternalData_15[[#This Row],[item_key]],IsITypeList,Table_ExternalData_17[[#Headers],[VST]],IsDList,"&lt;&gt;"&amp;0)</f>
        <v>0</v>
      </c>
      <c r="O347" s="10">
        <f>ABS(SUMIFS(IsQList,IsIList,Table_ExternalData_17[[#This Row],[item_key]],IsITypeList,Table_ExternalData_17[[#Headers],[RTN]],IsDList,"&lt;&gt;"&amp;0))</f>
        <v>0</v>
      </c>
      <c r="P347" s="10">
        <f>SUM(Table_ExternalData_17[[#This Row],[R/P]:[RTN]])</f>
        <v>2</v>
      </c>
      <c r="Q347" s="10">
        <f>SUM((Table_ExternalData_17[[#This Row],[Opening]]+Table_ExternalData_17[[#This Row],[Total Receipt]])-ABS(Table_ExternalData_17[[#This Row],[Total Issue]]))</f>
        <v>251</v>
      </c>
    </row>
    <row r="348" spans="1:17">
      <c r="A348" s="1" t="s">
        <v>956</v>
      </c>
      <c r="B348" s="1" t="s">
        <v>1453</v>
      </c>
      <c r="C348" s="1" t="s">
        <v>1454</v>
      </c>
      <c r="D348" s="10">
        <f>SUMIFS(OPBQList,OPBIList,Table_ExternalData_17[[#This Row],[item_key]])+SUMIFS(GQList,GIList,Table_ExternalData_17[[#This Row],[item_key]],GDList,0)-ABS(SUMIFS(IsQList,IsIList,Table_ExternalData_17[[#This Row],[item_key]],IsDList,0))</f>
        <v>137</v>
      </c>
      <c r="E348" s="10">
        <f>SUMIFS(GQList,GIList,Table_ExternalData_17[[#This Row],[item_key]],GTList,Table_ExternalData_17[[#Headers],[GRN]],GDList,"&lt;&gt;"&amp;0)</f>
        <v>0</v>
      </c>
      <c r="F348" s="10">
        <f>SUMIFS(GQList,GIList,Table_ExternalData_17[[#This Row],[item_key]],GTList,Table_ExternalData_17[[#Headers],[VSTR]],GDList,"&lt;&gt;"&amp;0)</f>
        <v>0</v>
      </c>
      <c r="G348" s="10">
        <f>SUMIFS(GQList,GIList,Table_ExternalData_17[[#This Row],[item_key]],GTList,Table_ExternalData_17[[#Headers],[SR]],GDList,"&lt;&gt;"&amp;0)</f>
        <v>0</v>
      </c>
      <c r="H348" s="10">
        <f>SUMIFS(GQList,GIList,Table_ExternalData_17[[#This Row],[item_key]],GTList,Table_ExternalData_17[[#Headers],[TR]],GDList,"&lt;&gt;"&amp;0)</f>
        <v>0</v>
      </c>
      <c r="I348" s="10">
        <f>SUMIFS(GQList,GIList,Table_ExternalData_17[[#This Row],[item_key]],GTList,Table_ExternalData_17[[#Headers],[RCA]],GDList,"&lt;&gt;"&amp;0)</f>
        <v>0</v>
      </c>
      <c r="J348" s="10">
        <f>SUM(Table_ExternalData_17[[#This Row],[GRN]]+Table_ExternalData_17[[#This Row],[VSTR]]+Table_ExternalData_17[[#This Row],[SR]]+Table_ExternalData_17[[#This Row],[TR]]+Table_ExternalData_17[[#This Row],[RCA]])</f>
        <v>0</v>
      </c>
      <c r="K348" s="10">
        <f>SUMIFS(IsQList,IsIList,Table_ExternalData_17[[#This Row],[item_key]],IsITypeList,Table_ExternalData_17[[#Headers],[R/P]],IsDList,"&lt;&gt;"&amp;0)</f>
        <v>0</v>
      </c>
      <c r="L348" s="10">
        <f>SUMIFS(IsQList,IsIList,Table_ExternalData_17[[#This Row],[item_key]],IsITypeList,Table_ExternalData_17[[#Headers],[CST]],IsDList,"&lt;&gt;"&amp;0)</f>
        <v>0</v>
      </c>
      <c r="M348" s="10">
        <f>SUMIFS(IsQList,IsIList,Table_ExternalData_15[[#This Row],[item_key]],IsITypeList,Table_ExternalData_17[[#Headers],[S/I]],IsDList,"&lt;&gt;"&amp;0)</f>
        <v>13</v>
      </c>
      <c r="N348" s="10">
        <f>SUMIFS(IsQList,IsIList,Table_ExternalData_15[[#This Row],[item_key]],IsITypeList,Table_ExternalData_17[[#Headers],[VST]],IsDList,"&lt;&gt;"&amp;0)</f>
        <v>0</v>
      </c>
      <c r="O348" s="10">
        <f>ABS(SUMIFS(IsQList,IsIList,Table_ExternalData_17[[#This Row],[item_key]],IsITypeList,Table_ExternalData_17[[#Headers],[RTN]],IsDList,"&lt;&gt;"&amp;0))</f>
        <v>0</v>
      </c>
      <c r="P348" s="10">
        <f>SUM(Table_ExternalData_17[[#This Row],[R/P]:[RTN]])</f>
        <v>13</v>
      </c>
      <c r="Q348" s="10">
        <f>SUM((Table_ExternalData_17[[#This Row],[Opening]]+Table_ExternalData_17[[#This Row],[Total Receipt]])-ABS(Table_ExternalData_17[[#This Row],[Total Issue]]))</f>
        <v>124</v>
      </c>
    </row>
    <row r="349" spans="1:17">
      <c r="A349" s="1" t="s">
        <v>957</v>
      </c>
      <c r="B349" s="1" t="s">
        <v>1455</v>
      </c>
      <c r="C349" s="1" t="s">
        <v>1456</v>
      </c>
      <c r="D349" s="10">
        <f>SUMIFS(OPBQList,OPBIList,Table_ExternalData_17[[#This Row],[item_key]])+SUMIFS(GQList,GIList,Table_ExternalData_17[[#This Row],[item_key]],GDList,0)-ABS(SUMIFS(IsQList,IsIList,Table_ExternalData_17[[#This Row],[item_key]],IsDList,0))</f>
        <v>156</v>
      </c>
      <c r="E349" s="10">
        <f>SUMIFS(GQList,GIList,Table_ExternalData_17[[#This Row],[item_key]],GTList,Table_ExternalData_17[[#Headers],[GRN]],GDList,"&lt;&gt;"&amp;0)</f>
        <v>0</v>
      </c>
      <c r="F349" s="10">
        <f>SUMIFS(GQList,GIList,Table_ExternalData_17[[#This Row],[item_key]],GTList,Table_ExternalData_17[[#Headers],[VSTR]],GDList,"&lt;&gt;"&amp;0)</f>
        <v>0</v>
      </c>
      <c r="G349" s="10">
        <f>SUMIFS(GQList,GIList,Table_ExternalData_17[[#This Row],[item_key]],GTList,Table_ExternalData_17[[#Headers],[SR]],GDList,"&lt;&gt;"&amp;0)</f>
        <v>0</v>
      </c>
      <c r="H349" s="10">
        <f>SUMIFS(GQList,GIList,Table_ExternalData_17[[#This Row],[item_key]],GTList,Table_ExternalData_17[[#Headers],[TR]],GDList,"&lt;&gt;"&amp;0)</f>
        <v>0</v>
      </c>
      <c r="I349" s="10">
        <f>SUMIFS(GQList,GIList,Table_ExternalData_17[[#This Row],[item_key]],GTList,Table_ExternalData_17[[#Headers],[RCA]],GDList,"&lt;&gt;"&amp;0)</f>
        <v>0</v>
      </c>
      <c r="J349" s="10">
        <f>SUM(Table_ExternalData_17[[#This Row],[GRN]]+Table_ExternalData_17[[#This Row],[VSTR]]+Table_ExternalData_17[[#This Row],[SR]]+Table_ExternalData_17[[#This Row],[TR]]+Table_ExternalData_17[[#This Row],[RCA]])</f>
        <v>0</v>
      </c>
      <c r="K349" s="10">
        <f>SUMIFS(IsQList,IsIList,Table_ExternalData_17[[#This Row],[item_key]],IsITypeList,Table_ExternalData_17[[#Headers],[R/P]],IsDList,"&lt;&gt;"&amp;0)</f>
        <v>0</v>
      </c>
      <c r="L349" s="10">
        <f>SUMIFS(IsQList,IsIList,Table_ExternalData_17[[#This Row],[item_key]],IsITypeList,Table_ExternalData_17[[#Headers],[CST]],IsDList,"&lt;&gt;"&amp;0)</f>
        <v>0</v>
      </c>
      <c r="M349" s="10">
        <f>SUMIFS(IsQList,IsIList,Table_ExternalData_15[[#This Row],[item_key]],IsITypeList,Table_ExternalData_17[[#Headers],[S/I]],IsDList,"&lt;&gt;"&amp;0)</f>
        <v>26</v>
      </c>
      <c r="N349" s="10">
        <f>SUMIFS(IsQList,IsIList,Table_ExternalData_15[[#This Row],[item_key]],IsITypeList,Table_ExternalData_17[[#Headers],[VST]],IsDList,"&lt;&gt;"&amp;0)</f>
        <v>0</v>
      </c>
      <c r="O349" s="10">
        <f>ABS(SUMIFS(IsQList,IsIList,Table_ExternalData_17[[#This Row],[item_key]],IsITypeList,Table_ExternalData_17[[#Headers],[RTN]],IsDList,"&lt;&gt;"&amp;0))</f>
        <v>0</v>
      </c>
      <c r="P349" s="10">
        <f>SUM(Table_ExternalData_17[[#This Row],[R/P]:[RTN]])</f>
        <v>26</v>
      </c>
      <c r="Q349" s="10">
        <f>SUM((Table_ExternalData_17[[#This Row],[Opening]]+Table_ExternalData_17[[#This Row],[Total Receipt]])-ABS(Table_ExternalData_17[[#This Row],[Total Issue]]))</f>
        <v>130</v>
      </c>
    </row>
    <row r="350" spans="1:17">
      <c r="A350" s="1" t="s">
        <v>958</v>
      </c>
      <c r="B350" s="1" t="s">
        <v>1457</v>
      </c>
      <c r="C350" s="1" t="s">
        <v>1458</v>
      </c>
      <c r="D350" s="10">
        <f>SUMIFS(OPBQList,OPBIList,Table_ExternalData_17[[#This Row],[item_key]])+SUMIFS(GQList,GIList,Table_ExternalData_17[[#This Row],[item_key]],GDList,0)-ABS(SUMIFS(IsQList,IsIList,Table_ExternalData_17[[#This Row],[item_key]],IsDList,0))</f>
        <v>116</v>
      </c>
      <c r="E350" s="10">
        <f>SUMIFS(GQList,GIList,Table_ExternalData_17[[#This Row],[item_key]],GTList,Table_ExternalData_17[[#Headers],[GRN]],GDList,"&lt;&gt;"&amp;0)</f>
        <v>0</v>
      </c>
      <c r="F350" s="10">
        <f>SUMIFS(GQList,GIList,Table_ExternalData_17[[#This Row],[item_key]],GTList,Table_ExternalData_17[[#Headers],[VSTR]],GDList,"&lt;&gt;"&amp;0)</f>
        <v>0</v>
      </c>
      <c r="G350" s="10">
        <f>SUMIFS(GQList,GIList,Table_ExternalData_17[[#This Row],[item_key]],GTList,Table_ExternalData_17[[#Headers],[SR]],GDList,"&lt;&gt;"&amp;0)</f>
        <v>0</v>
      </c>
      <c r="H350" s="10">
        <f>SUMIFS(GQList,GIList,Table_ExternalData_17[[#This Row],[item_key]],GTList,Table_ExternalData_17[[#Headers],[TR]],GDList,"&lt;&gt;"&amp;0)</f>
        <v>0</v>
      </c>
      <c r="I350" s="10">
        <f>SUMIFS(GQList,GIList,Table_ExternalData_17[[#This Row],[item_key]],GTList,Table_ExternalData_17[[#Headers],[RCA]],GDList,"&lt;&gt;"&amp;0)</f>
        <v>0</v>
      </c>
      <c r="J350" s="10">
        <f>SUM(Table_ExternalData_17[[#This Row],[GRN]]+Table_ExternalData_17[[#This Row],[VSTR]]+Table_ExternalData_17[[#This Row],[SR]]+Table_ExternalData_17[[#This Row],[TR]]+Table_ExternalData_17[[#This Row],[RCA]])</f>
        <v>0</v>
      </c>
      <c r="K350" s="10">
        <f>SUMIFS(IsQList,IsIList,Table_ExternalData_17[[#This Row],[item_key]],IsITypeList,Table_ExternalData_17[[#Headers],[R/P]],IsDList,"&lt;&gt;"&amp;0)</f>
        <v>0</v>
      </c>
      <c r="L350" s="10">
        <f>SUMIFS(IsQList,IsIList,Table_ExternalData_17[[#This Row],[item_key]],IsITypeList,Table_ExternalData_17[[#Headers],[CST]],IsDList,"&lt;&gt;"&amp;0)</f>
        <v>0</v>
      </c>
      <c r="M350" s="10">
        <f>SUMIFS(IsQList,IsIList,Table_ExternalData_15[[#This Row],[item_key]],IsITypeList,Table_ExternalData_17[[#Headers],[S/I]],IsDList,"&lt;&gt;"&amp;0)</f>
        <v>6</v>
      </c>
      <c r="N350" s="10">
        <f>SUMIFS(IsQList,IsIList,Table_ExternalData_15[[#This Row],[item_key]],IsITypeList,Table_ExternalData_17[[#Headers],[VST]],IsDList,"&lt;&gt;"&amp;0)</f>
        <v>0</v>
      </c>
      <c r="O350" s="10">
        <f>ABS(SUMIFS(IsQList,IsIList,Table_ExternalData_17[[#This Row],[item_key]],IsITypeList,Table_ExternalData_17[[#Headers],[RTN]],IsDList,"&lt;&gt;"&amp;0))</f>
        <v>0</v>
      </c>
      <c r="P350" s="10">
        <f>SUM(Table_ExternalData_17[[#This Row],[R/P]:[RTN]])</f>
        <v>6</v>
      </c>
      <c r="Q350" s="10">
        <f>SUM((Table_ExternalData_17[[#This Row],[Opening]]+Table_ExternalData_17[[#This Row],[Total Receipt]])-ABS(Table_ExternalData_17[[#This Row],[Total Issue]]))</f>
        <v>110</v>
      </c>
    </row>
    <row r="351" spans="1:17">
      <c r="A351" s="1" t="s">
        <v>959</v>
      </c>
      <c r="B351" s="1" t="s">
        <v>1459</v>
      </c>
      <c r="C351" s="1" t="s">
        <v>1460</v>
      </c>
      <c r="D351" s="10">
        <f>SUMIFS(OPBQList,OPBIList,Table_ExternalData_17[[#This Row],[item_key]])+SUMIFS(GQList,GIList,Table_ExternalData_17[[#This Row],[item_key]],GDList,0)-ABS(SUMIFS(IsQList,IsIList,Table_ExternalData_17[[#This Row],[item_key]],IsDList,0))</f>
        <v>194</v>
      </c>
      <c r="E351" s="10">
        <f>SUMIFS(GQList,GIList,Table_ExternalData_17[[#This Row],[item_key]],GTList,Table_ExternalData_17[[#Headers],[GRN]],GDList,"&lt;&gt;"&amp;0)</f>
        <v>0</v>
      </c>
      <c r="F351" s="10">
        <f>SUMIFS(GQList,GIList,Table_ExternalData_17[[#This Row],[item_key]],GTList,Table_ExternalData_17[[#Headers],[VSTR]],GDList,"&lt;&gt;"&amp;0)</f>
        <v>0</v>
      </c>
      <c r="G351" s="10">
        <f>SUMIFS(GQList,GIList,Table_ExternalData_17[[#This Row],[item_key]],GTList,Table_ExternalData_17[[#Headers],[SR]],GDList,"&lt;&gt;"&amp;0)</f>
        <v>0</v>
      </c>
      <c r="H351" s="10">
        <f>SUMIFS(GQList,GIList,Table_ExternalData_17[[#This Row],[item_key]],GTList,Table_ExternalData_17[[#Headers],[TR]],GDList,"&lt;&gt;"&amp;0)</f>
        <v>0</v>
      </c>
      <c r="I351" s="10">
        <f>SUMIFS(GQList,GIList,Table_ExternalData_17[[#This Row],[item_key]],GTList,Table_ExternalData_17[[#Headers],[RCA]],GDList,"&lt;&gt;"&amp;0)</f>
        <v>0</v>
      </c>
      <c r="J351" s="10">
        <f>SUM(Table_ExternalData_17[[#This Row],[GRN]]+Table_ExternalData_17[[#This Row],[VSTR]]+Table_ExternalData_17[[#This Row],[SR]]+Table_ExternalData_17[[#This Row],[TR]]+Table_ExternalData_17[[#This Row],[RCA]])</f>
        <v>0</v>
      </c>
      <c r="K351" s="10">
        <f>SUMIFS(IsQList,IsIList,Table_ExternalData_17[[#This Row],[item_key]],IsITypeList,Table_ExternalData_17[[#Headers],[R/P]],IsDList,"&lt;&gt;"&amp;0)</f>
        <v>0</v>
      </c>
      <c r="L351" s="10">
        <f>SUMIFS(IsQList,IsIList,Table_ExternalData_17[[#This Row],[item_key]],IsITypeList,Table_ExternalData_17[[#Headers],[CST]],IsDList,"&lt;&gt;"&amp;0)</f>
        <v>0</v>
      </c>
      <c r="M351" s="10">
        <f>SUMIFS(IsQList,IsIList,Table_ExternalData_15[[#This Row],[item_key]],IsITypeList,Table_ExternalData_17[[#Headers],[S/I]],IsDList,"&lt;&gt;"&amp;0)</f>
        <v>66</v>
      </c>
      <c r="N351" s="10">
        <f>SUMIFS(IsQList,IsIList,Table_ExternalData_15[[#This Row],[item_key]],IsITypeList,Table_ExternalData_17[[#Headers],[VST]],IsDList,"&lt;&gt;"&amp;0)</f>
        <v>0</v>
      </c>
      <c r="O351" s="10">
        <f>ABS(SUMIFS(IsQList,IsIList,Table_ExternalData_17[[#This Row],[item_key]],IsITypeList,Table_ExternalData_17[[#Headers],[RTN]],IsDList,"&lt;&gt;"&amp;0))</f>
        <v>0</v>
      </c>
      <c r="P351" s="10">
        <f>SUM(Table_ExternalData_17[[#This Row],[R/P]:[RTN]])</f>
        <v>66</v>
      </c>
      <c r="Q351" s="10">
        <f>SUM((Table_ExternalData_17[[#This Row],[Opening]]+Table_ExternalData_17[[#This Row],[Total Receipt]])-ABS(Table_ExternalData_17[[#This Row],[Total Issue]]))</f>
        <v>128</v>
      </c>
    </row>
    <row r="352" spans="1:17">
      <c r="A352" s="1" t="s">
        <v>960</v>
      </c>
      <c r="B352" s="1" t="s">
        <v>1461</v>
      </c>
      <c r="C352" s="1" t="s">
        <v>1376</v>
      </c>
      <c r="D352" s="10">
        <f>SUMIFS(OPBQList,OPBIList,Table_ExternalData_17[[#This Row],[item_key]])+SUMIFS(GQList,GIList,Table_ExternalData_17[[#This Row],[item_key]],GDList,0)-ABS(SUMIFS(IsQList,IsIList,Table_ExternalData_17[[#This Row],[item_key]],IsDList,0))</f>
        <v>284</v>
      </c>
      <c r="E352" s="10">
        <f>SUMIFS(GQList,GIList,Table_ExternalData_17[[#This Row],[item_key]],GTList,Table_ExternalData_17[[#Headers],[GRN]],GDList,"&lt;&gt;"&amp;0)</f>
        <v>0</v>
      </c>
      <c r="F352" s="10">
        <f>SUMIFS(GQList,GIList,Table_ExternalData_17[[#This Row],[item_key]],GTList,Table_ExternalData_17[[#Headers],[VSTR]],GDList,"&lt;&gt;"&amp;0)</f>
        <v>0</v>
      </c>
      <c r="G352" s="10">
        <f>SUMIFS(GQList,GIList,Table_ExternalData_17[[#This Row],[item_key]],GTList,Table_ExternalData_17[[#Headers],[SR]],GDList,"&lt;&gt;"&amp;0)</f>
        <v>0</v>
      </c>
      <c r="H352" s="10">
        <f>SUMIFS(GQList,GIList,Table_ExternalData_17[[#This Row],[item_key]],GTList,Table_ExternalData_17[[#Headers],[TR]],GDList,"&lt;&gt;"&amp;0)</f>
        <v>0</v>
      </c>
      <c r="I352" s="10">
        <f>SUMIFS(GQList,GIList,Table_ExternalData_17[[#This Row],[item_key]],GTList,Table_ExternalData_17[[#Headers],[RCA]],GDList,"&lt;&gt;"&amp;0)</f>
        <v>0</v>
      </c>
      <c r="J352" s="10">
        <f>SUM(Table_ExternalData_17[[#This Row],[GRN]]+Table_ExternalData_17[[#This Row],[VSTR]]+Table_ExternalData_17[[#This Row],[SR]]+Table_ExternalData_17[[#This Row],[TR]]+Table_ExternalData_17[[#This Row],[RCA]])</f>
        <v>0</v>
      </c>
      <c r="K352" s="10">
        <f>SUMIFS(IsQList,IsIList,Table_ExternalData_17[[#This Row],[item_key]],IsITypeList,Table_ExternalData_17[[#Headers],[R/P]],IsDList,"&lt;&gt;"&amp;0)</f>
        <v>0</v>
      </c>
      <c r="L352" s="10">
        <f>SUMIFS(IsQList,IsIList,Table_ExternalData_17[[#This Row],[item_key]],IsITypeList,Table_ExternalData_17[[#Headers],[CST]],IsDList,"&lt;&gt;"&amp;0)</f>
        <v>0</v>
      </c>
      <c r="M352" s="10">
        <f>SUMIFS(IsQList,IsIList,Table_ExternalData_15[[#This Row],[item_key]],IsITypeList,Table_ExternalData_17[[#Headers],[S/I]],IsDList,"&lt;&gt;"&amp;0)</f>
        <v>280</v>
      </c>
      <c r="N352" s="10">
        <f>SUMIFS(IsQList,IsIList,Table_ExternalData_15[[#This Row],[item_key]],IsITypeList,Table_ExternalData_17[[#Headers],[VST]],IsDList,"&lt;&gt;"&amp;0)</f>
        <v>0</v>
      </c>
      <c r="O352" s="10">
        <f>ABS(SUMIFS(IsQList,IsIList,Table_ExternalData_17[[#This Row],[item_key]],IsITypeList,Table_ExternalData_17[[#Headers],[RTN]],IsDList,"&lt;&gt;"&amp;0))</f>
        <v>0</v>
      </c>
      <c r="P352" s="10">
        <f>SUM(Table_ExternalData_17[[#This Row],[R/P]:[RTN]])</f>
        <v>280</v>
      </c>
      <c r="Q352" s="10">
        <f>SUM((Table_ExternalData_17[[#This Row],[Opening]]+Table_ExternalData_17[[#This Row],[Total Receipt]])-ABS(Table_ExternalData_17[[#This Row],[Total Issue]]))</f>
        <v>4</v>
      </c>
    </row>
    <row r="353" spans="1:17">
      <c r="A353" s="1" t="s">
        <v>961</v>
      </c>
      <c r="B353" s="1" t="s">
        <v>1462</v>
      </c>
      <c r="C353" s="1" t="s">
        <v>1463</v>
      </c>
      <c r="D353" s="10">
        <f>SUMIFS(OPBQList,OPBIList,Table_ExternalData_17[[#This Row],[item_key]])+SUMIFS(GQList,GIList,Table_ExternalData_17[[#This Row],[item_key]],GDList,0)-ABS(SUMIFS(IsQList,IsIList,Table_ExternalData_17[[#This Row],[item_key]],IsDList,0))</f>
        <v>472</v>
      </c>
      <c r="E353" s="10">
        <f>SUMIFS(GQList,GIList,Table_ExternalData_17[[#This Row],[item_key]],GTList,Table_ExternalData_17[[#Headers],[GRN]],GDList,"&lt;&gt;"&amp;0)</f>
        <v>0</v>
      </c>
      <c r="F353" s="10">
        <f>SUMIFS(GQList,GIList,Table_ExternalData_17[[#This Row],[item_key]],GTList,Table_ExternalData_17[[#Headers],[VSTR]],GDList,"&lt;&gt;"&amp;0)</f>
        <v>0</v>
      </c>
      <c r="G353" s="10">
        <f>SUMIFS(GQList,GIList,Table_ExternalData_17[[#This Row],[item_key]],GTList,Table_ExternalData_17[[#Headers],[SR]],GDList,"&lt;&gt;"&amp;0)</f>
        <v>0</v>
      </c>
      <c r="H353" s="10">
        <f>SUMIFS(GQList,GIList,Table_ExternalData_17[[#This Row],[item_key]],GTList,Table_ExternalData_17[[#Headers],[TR]],GDList,"&lt;&gt;"&amp;0)</f>
        <v>0</v>
      </c>
      <c r="I353" s="10">
        <f>SUMIFS(GQList,GIList,Table_ExternalData_17[[#This Row],[item_key]],GTList,Table_ExternalData_17[[#Headers],[RCA]],GDList,"&lt;&gt;"&amp;0)</f>
        <v>0</v>
      </c>
      <c r="J353" s="10">
        <f>SUM(Table_ExternalData_17[[#This Row],[GRN]]+Table_ExternalData_17[[#This Row],[VSTR]]+Table_ExternalData_17[[#This Row],[SR]]+Table_ExternalData_17[[#This Row],[TR]]+Table_ExternalData_17[[#This Row],[RCA]])</f>
        <v>0</v>
      </c>
      <c r="K353" s="10">
        <f>SUMIFS(IsQList,IsIList,Table_ExternalData_17[[#This Row],[item_key]],IsITypeList,Table_ExternalData_17[[#Headers],[R/P]],IsDList,"&lt;&gt;"&amp;0)</f>
        <v>0</v>
      </c>
      <c r="L353" s="10">
        <f>SUMIFS(IsQList,IsIList,Table_ExternalData_17[[#This Row],[item_key]],IsITypeList,Table_ExternalData_17[[#Headers],[CST]],IsDList,"&lt;&gt;"&amp;0)</f>
        <v>0</v>
      </c>
      <c r="M353" s="10">
        <f>SUMIFS(IsQList,IsIList,Table_ExternalData_15[[#This Row],[item_key]],IsITypeList,Table_ExternalData_17[[#Headers],[S/I]],IsDList,"&lt;&gt;"&amp;0)</f>
        <v>4</v>
      </c>
      <c r="N353" s="10">
        <f>SUMIFS(IsQList,IsIList,Table_ExternalData_15[[#This Row],[item_key]],IsITypeList,Table_ExternalData_17[[#Headers],[VST]],IsDList,"&lt;&gt;"&amp;0)</f>
        <v>0</v>
      </c>
      <c r="O353" s="10">
        <f>ABS(SUMIFS(IsQList,IsIList,Table_ExternalData_17[[#This Row],[item_key]],IsITypeList,Table_ExternalData_17[[#Headers],[RTN]],IsDList,"&lt;&gt;"&amp;0))</f>
        <v>0</v>
      </c>
      <c r="P353" s="10">
        <f>SUM(Table_ExternalData_17[[#This Row],[R/P]:[RTN]])</f>
        <v>4</v>
      </c>
      <c r="Q353" s="10">
        <f>SUM((Table_ExternalData_17[[#This Row],[Opening]]+Table_ExternalData_17[[#This Row],[Total Receipt]])-ABS(Table_ExternalData_17[[#This Row],[Total Issue]]))</f>
        <v>468</v>
      </c>
    </row>
    <row r="354" spans="1:17">
      <c r="A354" s="1" t="s">
        <v>962</v>
      </c>
      <c r="B354" s="1" t="s">
        <v>1464</v>
      </c>
      <c r="C354" s="1" t="s">
        <v>1465</v>
      </c>
      <c r="D354" s="10">
        <f>SUMIFS(OPBQList,OPBIList,Table_ExternalData_17[[#This Row],[item_key]])+SUMIFS(GQList,GIList,Table_ExternalData_17[[#This Row],[item_key]],GDList,0)-ABS(SUMIFS(IsQList,IsIList,Table_ExternalData_17[[#This Row],[item_key]],IsDList,0))</f>
        <v>405</v>
      </c>
      <c r="E354" s="10">
        <f>SUMIFS(GQList,GIList,Table_ExternalData_17[[#This Row],[item_key]],GTList,Table_ExternalData_17[[#Headers],[GRN]],GDList,"&lt;&gt;"&amp;0)</f>
        <v>0</v>
      </c>
      <c r="F354" s="10">
        <f>SUMIFS(GQList,GIList,Table_ExternalData_17[[#This Row],[item_key]],GTList,Table_ExternalData_17[[#Headers],[VSTR]],GDList,"&lt;&gt;"&amp;0)</f>
        <v>0</v>
      </c>
      <c r="G354" s="10">
        <f>SUMIFS(GQList,GIList,Table_ExternalData_17[[#This Row],[item_key]],GTList,Table_ExternalData_17[[#Headers],[SR]],GDList,"&lt;&gt;"&amp;0)</f>
        <v>0</v>
      </c>
      <c r="H354" s="10">
        <f>SUMIFS(GQList,GIList,Table_ExternalData_17[[#This Row],[item_key]],GTList,Table_ExternalData_17[[#Headers],[TR]],GDList,"&lt;&gt;"&amp;0)</f>
        <v>0</v>
      </c>
      <c r="I354" s="10">
        <f>SUMIFS(GQList,GIList,Table_ExternalData_17[[#This Row],[item_key]],GTList,Table_ExternalData_17[[#Headers],[RCA]],GDList,"&lt;&gt;"&amp;0)</f>
        <v>0</v>
      </c>
      <c r="J354" s="10">
        <f>SUM(Table_ExternalData_17[[#This Row],[GRN]]+Table_ExternalData_17[[#This Row],[VSTR]]+Table_ExternalData_17[[#This Row],[SR]]+Table_ExternalData_17[[#This Row],[TR]]+Table_ExternalData_17[[#This Row],[RCA]])</f>
        <v>0</v>
      </c>
      <c r="K354" s="10">
        <f>SUMIFS(IsQList,IsIList,Table_ExternalData_17[[#This Row],[item_key]],IsITypeList,Table_ExternalData_17[[#Headers],[R/P]],IsDList,"&lt;&gt;"&amp;0)</f>
        <v>0</v>
      </c>
      <c r="L354" s="10">
        <f>SUMIFS(IsQList,IsIList,Table_ExternalData_17[[#This Row],[item_key]],IsITypeList,Table_ExternalData_17[[#Headers],[CST]],IsDList,"&lt;&gt;"&amp;0)</f>
        <v>0</v>
      </c>
      <c r="M354" s="10">
        <f>SUMIFS(IsQList,IsIList,Table_ExternalData_15[[#This Row],[item_key]],IsITypeList,Table_ExternalData_17[[#Headers],[S/I]],IsDList,"&lt;&gt;"&amp;0)</f>
        <v>0</v>
      </c>
      <c r="N354" s="10">
        <f>SUMIFS(IsQList,IsIList,Table_ExternalData_15[[#This Row],[item_key]],IsITypeList,Table_ExternalData_17[[#Headers],[VST]],IsDList,"&lt;&gt;"&amp;0)</f>
        <v>0</v>
      </c>
      <c r="O354" s="10">
        <f>ABS(SUMIFS(IsQList,IsIList,Table_ExternalData_17[[#This Row],[item_key]],IsITypeList,Table_ExternalData_17[[#Headers],[RTN]],IsDList,"&lt;&gt;"&amp;0))</f>
        <v>0</v>
      </c>
      <c r="P354" s="10">
        <f>SUM(Table_ExternalData_17[[#This Row],[R/P]:[RTN]])</f>
        <v>0</v>
      </c>
      <c r="Q354" s="10">
        <f>SUM((Table_ExternalData_17[[#This Row],[Opening]]+Table_ExternalData_17[[#This Row],[Total Receipt]])-ABS(Table_ExternalData_17[[#This Row],[Total Issue]]))</f>
        <v>405</v>
      </c>
    </row>
    <row r="355" spans="1:17">
      <c r="A355" s="1" t="s">
        <v>963</v>
      </c>
      <c r="B355" s="1" t="s">
        <v>1466</v>
      </c>
      <c r="C355" s="1" t="s">
        <v>1467</v>
      </c>
      <c r="D355" s="10">
        <f>SUMIFS(OPBQList,OPBIList,Table_ExternalData_17[[#This Row],[item_key]])+SUMIFS(GQList,GIList,Table_ExternalData_17[[#This Row],[item_key]],GDList,0)-ABS(SUMIFS(IsQList,IsIList,Table_ExternalData_17[[#This Row],[item_key]],IsDList,0))</f>
        <v>67</v>
      </c>
      <c r="E355" s="10">
        <f>SUMIFS(GQList,GIList,Table_ExternalData_17[[#This Row],[item_key]],GTList,Table_ExternalData_17[[#Headers],[GRN]],GDList,"&lt;&gt;"&amp;0)</f>
        <v>0</v>
      </c>
      <c r="F355" s="10">
        <f>SUMIFS(GQList,GIList,Table_ExternalData_17[[#This Row],[item_key]],GTList,Table_ExternalData_17[[#Headers],[VSTR]],GDList,"&lt;&gt;"&amp;0)</f>
        <v>0</v>
      </c>
      <c r="G355" s="10">
        <f>SUMIFS(GQList,GIList,Table_ExternalData_17[[#This Row],[item_key]],GTList,Table_ExternalData_17[[#Headers],[SR]],GDList,"&lt;&gt;"&amp;0)</f>
        <v>0</v>
      </c>
      <c r="H355" s="10">
        <f>SUMIFS(GQList,GIList,Table_ExternalData_17[[#This Row],[item_key]],GTList,Table_ExternalData_17[[#Headers],[TR]],GDList,"&lt;&gt;"&amp;0)</f>
        <v>0</v>
      </c>
      <c r="I355" s="10">
        <f>SUMIFS(GQList,GIList,Table_ExternalData_17[[#This Row],[item_key]],GTList,Table_ExternalData_17[[#Headers],[RCA]],GDList,"&lt;&gt;"&amp;0)</f>
        <v>0</v>
      </c>
      <c r="J355" s="10">
        <f>SUM(Table_ExternalData_17[[#This Row],[GRN]]+Table_ExternalData_17[[#This Row],[VSTR]]+Table_ExternalData_17[[#This Row],[SR]]+Table_ExternalData_17[[#This Row],[TR]]+Table_ExternalData_17[[#This Row],[RCA]])</f>
        <v>0</v>
      </c>
      <c r="K355" s="10">
        <f>SUMIFS(IsQList,IsIList,Table_ExternalData_17[[#This Row],[item_key]],IsITypeList,Table_ExternalData_17[[#Headers],[R/P]],IsDList,"&lt;&gt;"&amp;0)</f>
        <v>0</v>
      </c>
      <c r="L355" s="10">
        <f>SUMIFS(IsQList,IsIList,Table_ExternalData_17[[#This Row],[item_key]],IsITypeList,Table_ExternalData_17[[#Headers],[CST]],IsDList,"&lt;&gt;"&amp;0)</f>
        <v>0</v>
      </c>
      <c r="M355" s="10">
        <f>SUMIFS(IsQList,IsIList,Table_ExternalData_15[[#This Row],[item_key]],IsITypeList,Table_ExternalData_17[[#Headers],[S/I]],IsDList,"&lt;&gt;"&amp;0)</f>
        <v>5</v>
      </c>
      <c r="N355" s="10">
        <f>SUMIFS(IsQList,IsIList,Table_ExternalData_15[[#This Row],[item_key]],IsITypeList,Table_ExternalData_17[[#Headers],[VST]],IsDList,"&lt;&gt;"&amp;0)</f>
        <v>0</v>
      </c>
      <c r="O355" s="10">
        <f>ABS(SUMIFS(IsQList,IsIList,Table_ExternalData_17[[#This Row],[item_key]],IsITypeList,Table_ExternalData_17[[#Headers],[RTN]],IsDList,"&lt;&gt;"&amp;0))</f>
        <v>0</v>
      </c>
      <c r="P355" s="10">
        <f>SUM(Table_ExternalData_17[[#This Row],[R/P]:[RTN]])</f>
        <v>5</v>
      </c>
      <c r="Q355" s="10">
        <f>SUM((Table_ExternalData_17[[#This Row],[Opening]]+Table_ExternalData_17[[#This Row],[Total Receipt]])-ABS(Table_ExternalData_17[[#This Row],[Total Issue]]))</f>
        <v>62</v>
      </c>
    </row>
    <row r="356" spans="1:17">
      <c r="A356" s="1" t="s">
        <v>964</v>
      </c>
      <c r="B356" s="1" t="s">
        <v>1468</v>
      </c>
      <c r="C356" s="1" t="s">
        <v>1469</v>
      </c>
      <c r="D356" s="10">
        <f>SUMIFS(OPBQList,OPBIList,Table_ExternalData_17[[#This Row],[item_key]])+SUMIFS(GQList,GIList,Table_ExternalData_17[[#This Row],[item_key]],GDList,0)-ABS(SUMIFS(IsQList,IsIList,Table_ExternalData_17[[#This Row],[item_key]],IsDList,0))</f>
        <v>161</v>
      </c>
      <c r="E356" s="10">
        <f>SUMIFS(GQList,GIList,Table_ExternalData_17[[#This Row],[item_key]],GTList,Table_ExternalData_17[[#Headers],[GRN]],GDList,"&lt;&gt;"&amp;0)</f>
        <v>0</v>
      </c>
      <c r="F356" s="10">
        <f>SUMIFS(GQList,GIList,Table_ExternalData_17[[#This Row],[item_key]],GTList,Table_ExternalData_17[[#Headers],[VSTR]],GDList,"&lt;&gt;"&amp;0)</f>
        <v>0</v>
      </c>
      <c r="G356" s="10">
        <f>SUMIFS(GQList,GIList,Table_ExternalData_17[[#This Row],[item_key]],GTList,Table_ExternalData_17[[#Headers],[SR]],GDList,"&lt;&gt;"&amp;0)</f>
        <v>0</v>
      </c>
      <c r="H356" s="10">
        <f>SUMIFS(GQList,GIList,Table_ExternalData_17[[#This Row],[item_key]],GTList,Table_ExternalData_17[[#Headers],[TR]],GDList,"&lt;&gt;"&amp;0)</f>
        <v>0</v>
      </c>
      <c r="I356" s="10">
        <f>SUMIFS(GQList,GIList,Table_ExternalData_17[[#This Row],[item_key]],GTList,Table_ExternalData_17[[#Headers],[RCA]],GDList,"&lt;&gt;"&amp;0)</f>
        <v>0</v>
      </c>
      <c r="J356" s="10">
        <f>SUM(Table_ExternalData_17[[#This Row],[GRN]]+Table_ExternalData_17[[#This Row],[VSTR]]+Table_ExternalData_17[[#This Row],[SR]]+Table_ExternalData_17[[#This Row],[TR]]+Table_ExternalData_17[[#This Row],[RCA]])</f>
        <v>0</v>
      </c>
      <c r="K356" s="10">
        <f>SUMIFS(IsQList,IsIList,Table_ExternalData_17[[#This Row],[item_key]],IsITypeList,Table_ExternalData_17[[#Headers],[R/P]],IsDList,"&lt;&gt;"&amp;0)</f>
        <v>0</v>
      </c>
      <c r="L356" s="10">
        <f>SUMIFS(IsQList,IsIList,Table_ExternalData_17[[#This Row],[item_key]],IsITypeList,Table_ExternalData_17[[#Headers],[CST]],IsDList,"&lt;&gt;"&amp;0)</f>
        <v>0</v>
      </c>
      <c r="M356" s="10">
        <f>SUMIFS(IsQList,IsIList,Table_ExternalData_15[[#This Row],[item_key]],IsITypeList,Table_ExternalData_17[[#Headers],[S/I]],IsDList,"&lt;&gt;"&amp;0)</f>
        <v>0</v>
      </c>
      <c r="N356" s="10">
        <f>SUMIFS(IsQList,IsIList,Table_ExternalData_15[[#This Row],[item_key]],IsITypeList,Table_ExternalData_17[[#Headers],[VST]],IsDList,"&lt;&gt;"&amp;0)</f>
        <v>0</v>
      </c>
      <c r="O356" s="10">
        <f>ABS(SUMIFS(IsQList,IsIList,Table_ExternalData_17[[#This Row],[item_key]],IsITypeList,Table_ExternalData_17[[#Headers],[RTN]],IsDList,"&lt;&gt;"&amp;0))</f>
        <v>0</v>
      </c>
      <c r="P356" s="10">
        <f>SUM(Table_ExternalData_17[[#This Row],[R/P]:[RTN]])</f>
        <v>0</v>
      </c>
      <c r="Q356" s="10">
        <f>SUM((Table_ExternalData_17[[#This Row],[Opening]]+Table_ExternalData_17[[#This Row],[Total Receipt]])-ABS(Table_ExternalData_17[[#This Row],[Total Issue]]))</f>
        <v>161</v>
      </c>
    </row>
    <row r="357" spans="1:17">
      <c r="A357" s="1" t="s">
        <v>965</v>
      </c>
      <c r="B357" s="1" t="s">
        <v>1470</v>
      </c>
      <c r="C357" s="1" t="s">
        <v>1471</v>
      </c>
      <c r="D357" s="10">
        <f>SUMIFS(OPBQList,OPBIList,Table_ExternalData_17[[#This Row],[item_key]])+SUMIFS(GQList,GIList,Table_ExternalData_17[[#This Row],[item_key]],GDList,0)-ABS(SUMIFS(IsQList,IsIList,Table_ExternalData_17[[#This Row],[item_key]],IsDList,0))</f>
        <v>366</v>
      </c>
      <c r="E357" s="10">
        <f>SUMIFS(GQList,GIList,Table_ExternalData_17[[#This Row],[item_key]],GTList,Table_ExternalData_17[[#Headers],[GRN]],GDList,"&lt;&gt;"&amp;0)</f>
        <v>0</v>
      </c>
      <c r="F357" s="10">
        <f>SUMIFS(GQList,GIList,Table_ExternalData_17[[#This Row],[item_key]],GTList,Table_ExternalData_17[[#Headers],[VSTR]],GDList,"&lt;&gt;"&amp;0)</f>
        <v>0</v>
      </c>
      <c r="G357" s="10">
        <f>SUMIFS(GQList,GIList,Table_ExternalData_17[[#This Row],[item_key]],GTList,Table_ExternalData_17[[#Headers],[SR]],GDList,"&lt;&gt;"&amp;0)</f>
        <v>0</v>
      </c>
      <c r="H357" s="10">
        <f>SUMIFS(GQList,GIList,Table_ExternalData_17[[#This Row],[item_key]],GTList,Table_ExternalData_17[[#Headers],[TR]],GDList,"&lt;&gt;"&amp;0)</f>
        <v>0</v>
      </c>
      <c r="I357" s="10">
        <f>SUMIFS(GQList,GIList,Table_ExternalData_17[[#This Row],[item_key]],GTList,Table_ExternalData_17[[#Headers],[RCA]],GDList,"&lt;&gt;"&amp;0)</f>
        <v>0</v>
      </c>
      <c r="J357" s="10">
        <f>SUM(Table_ExternalData_17[[#This Row],[GRN]]+Table_ExternalData_17[[#This Row],[VSTR]]+Table_ExternalData_17[[#This Row],[SR]]+Table_ExternalData_17[[#This Row],[TR]]+Table_ExternalData_17[[#This Row],[RCA]])</f>
        <v>0</v>
      </c>
      <c r="K357" s="10">
        <f>SUMIFS(IsQList,IsIList,Table_ExternalData_17[[#This Row],[item_key]],IsITypeList,Table_ExternalData_17[[#Headers],[R/P]],IsDList,"&lt;&gt;"&amp;0)</f>
        <v>0</v>
      </c>
      <c r="L357" s="10">
        <f>SUMIFS(IsQList,IsIList,Table_ExternalData_17[[#This Row],[item_key]],IsITypeList,Table_ExternalData_17[[#Headers],[CST]],IsDList,"&lt;&gt;"&amp;0)</f>
        <v>0</v>
      </c>
      <c r="M357" s="10">
        <f>SUMIFS(IsQList,IsIList,Table_ExternalData_15[[#This Row],[item_key]],IsITypeList,Table_ExternalData_17[[#Headers],[S/I]],IsDList,"&lt;&gt;"&amp;0)</f>
        <v>3</v>
      </c>
      <c r="N357" s="10">
        <f>SUMIFS(IsQList,IsIList,Table_ExternalData_15[[#This Row],[item_key]],IsITypeList,Table_ExternalData_17[[#Headers],[VST]],IsDList,"&lt;&gt;"&amp;0)</f>
        <v>0</v>
      </c>
      <c r="O357" s="10">
        <f>ABS(SUMIFS(IsQList,IsIList,Table_ExternalData_17[[#This Row],[item_key]],IsITypeList,Table_ExternalData_17[[#Headers],[RTN]],IsDList,"&lt;&gt;"&amp;0))</f>
        <v>0</v>
      </c>
      <c r="P357" s="10">
        <f>SUM(Table_ExternalData_17[[#This Row],[R/P]:[RTN]])</f>
        <v>3</v>
      </c>
      <c r="Q357" s="10">
        <f>SUM((Table_ExternalData_17[[#This Row],[Opening]]+Table_ExternalData_17[[#This Row],[Total Receipt]])-ABS(Table_ExternalData_17[[#This Row],[Total Issue]]))</f>
        <v>363</v>
      </c>
    </row>
    <row r="358" spans="1:17">
      <c r="A358" s="1" t="s">
        <v>966</v>
      </c>
      <c r="B358" s="1" t="s">
        <v>1472</v>
      </c>
      <c r="C358" s="1" t="s">
        <v>1473</v>
      </c>
      <c r="D358" s="10">
        <f>SUMIFS(OPBQList,OPBIList,Table_ExternalData_17[[#This Row],[item_key]])+SUMIFS(GQList,GIList,Table_ExternalData_17[[#This Row],[item_key]],GDList,0)-ABS(SUMIFS(IsQList,IsIList,Table_ExternalData_17[[#This Row],[item_key]],IsDList,0))</f>
        <v>11</v>
      </c>
      <c r="E358" s="10">
        <f>SUMIFS(GQList,GIList,Table_ExternalData_17[[#This Row],[item_key]],GTList,Table_ExternalData_17[[#Headers],[GRN]],GDList,"&lt;&gt;"&amp;0)</f>
        <v>0</v>
      </c>
      <c r="F358" s="10">
        <f>SUMIFS(GQList,GIList,Table_ExternalData_17[[#This Row],[item_key]],GTList,Table_ExternalData_17[[#Headers],[VSTR]],GDList,"&lt;&gt;"&amp;0)</f>
        <v>0</v>
      </c>
      <c r="G358" s="10">
        <f>SUMIFS(GQList,GIList,Table_ExternalData_17[[#This Row],[item_key]],GTList,Table_ExternalData_17[[#Headers],[SR]],GDList,"&lt;&gt;"&amp;0)</f>
        <v>0</v>
      </c>
      <c r="H358" s="10">
        <f>SUMIFS(GQList,GIList,Table_ExternalData_17[[#This Row],[item_key]],GTList,Table_ExternalData_17[[#Headers],[TR]],GDList,"&lt;&gt;"&amp;0)</f>
        <v>0</v>
      </c>
      <c r="I358" s="10">
        <f>SUMIFS(GQList,GIList,Table_ExternalData_17[[#This Row],[item_key]],GTList,Table_ExternalData_17[[#Headers],[RCA]],GDList,"&lt;&gt;"&amp;0)</f>
        <v>0</v>
      </c>
      <c r="J358" s="10">
        <f>SUM(Table_ExternalData_17[[#This Row],[GRN]]+Table_ExternalData_17[[#This Row],[VSTR]]+Table_ExternalData_17[[#This Row],[SR]]+Table_ExternalData_17[[#This Row],[TR]]+Table_ExternalData_17[[#This Row],[RCA]])</f>
        <v>0</v>
      </c>
      <c r="K358" s="10">
        <f>SUMIFS(IsQList,IsIList,Table_ExternalData_17[[#This Row],[item_key]],IsITypeList,Table_ExternalData_17[[#Headers],[R/P]],IsDList,"&lt;&gt;"&amp;0)</f>
        <v>0</v>
      </c>
      <c r="L358" s="10">
        <f>SUMIFS(IsQList,IsIList,Table_ExternalData_17[[#This Row],[item_key]],IsITypeList,Table_ExternalData_17[[#Headers],[CST]],IsDList,"&lt;&gt;"&amp;0)</f>
        <v>0</v>
      </c>
      <c r="M358" s="10">
        <f>SUMIFS(IsQList,IsIList,Table_ExternalData_15[[#This Row],[item_key]],IsITypeList,Table_ExternalData_17[[#Headers],[S/I]],IsDList,"&lt;&gt;"&amp;0)</f>
        <v>3</v>
      </c>
      <c r="N358" s="10">
        <f>SUMIFS(IsQList,IsIList,Table_ExternalData_15[[#This Row],[item_key]],IsITypeList,Table_ExternalData_17[[#Headers],[VST]],IsDList,"&lt;&gt;"&amp;0)</f>
        <v>0</v>
      </c>
      <c r="O358" s="10">
        <f>ABS(SUMIFS(IsQList,IsIList,Table_ExternalData_17[[#This Row],[item_key]],IsITypeList,Table_ExternalData_17[[#Headers],[RTN]],IsDList,"&lt;&gt;"&amp;0))</f>
        <v>0</v>
      </c>
      <c r="P358" s="10">
        <f>SUM(Table_ExternalData_17[[#This Row],[R/P]:[RTN]])</f>
        <v>3</v>
      </c>
      <c r="Q358" s="10">
        <f>SUM((Table_ExternalData_17[[#This Row],[Opening]]+Table_ExternalData_17[[#This Row],[Total Receipt]])-ABS(Table_ExternalData_17[[#This Row],[Total Issue]]))</f>
        <v>8</v>
      </c>
    </row>
    <row r="359" spans="1:17">
      <c r="A359" s="1" t="s">
        <v>968</v>
      </c>
      <c r="B359" s="1" t="s">
        <v>1474</v>
      </c>
      <c r="C359" s="1" t="s">
        <v>1475</v>
      </c>
      <c r="D359" s="10">
        <f>SUMIFS(OPBQList,OPBIList,Table_ExternalData_17[[#This Row],[item_key]])+SUMIFS(GQList,GIList,Table_ExternalData_17[[#This Row],[item_key]],GDList,0)-ABS(SUMIFS(IsQList,IsIList,Table_ExternalData_17[[#This Row],[item_key]],IsDList,0))</f>
        <v>9</v>
      </c>
      <c r="E359" s="10">
        <f>SUMIFS(GQList,GIList,Table_ExternalData_17[[#This Row],[item_key]],GTList,Table_ExternalData_17[[#Headers],[GRN]],GDList,"&lt;&gt;"&amp;0)</f>
        <v>0</v>
      </c>
      <c r="F359" s="10">
        <f>SUMIFS(GQList,GIList,Table_ExternalData_17[[#This Row],[item_key]],GTList,Table_ExternalData_17[[#Headers],[VSTR]],GDList,"&lt;&gt;"&amp;0)</f>
        <v>0</v>
      </c>
      <c r="G359" s="10">
        <f>SUMIFS(GQList,GIList,Table_ExternalData_17[[#This Row],[item_key]],GTList,Table_ExternalData_17[[#Headers],[SR]],GDList,"&lt;&gt;"&amp;0)</f>
        <v>0</v>
      </c>
      <c r="H359" s="10">
        <f>SUMIFS(GQList,GIList,Table_ExternalData_17[[#This Row],[item_key]],GTList,Table_ExternalData_17[[#Headers],[TR]],GDList,"&lt;&gt;"&amp;0)</f>
        <v>0</v>
      </c>
      <c r="I359" s="10">
        <f>SUMIFS(GQList,GIList,Table_ExternalData_17[[#This Row],[item_key]],GTList,Table_ExternalData_17[[#Headers],[RCA]],GDList,"&lt;&gt;"&amp;0)</f>
        <v>0</v>
      </c>
      <c r="J359" s="10">
        <f>SUM(Table_ExternalData_17[[#This Row],[GRN]]+Table_ExternalData_17[[#This Row],[VSTR]]+Table_ExternalData_17[[#This Row],[SR]]+Table_ExternalData_17[[#This Row],[TR]]+Table_ExternalData_17[[#This Row],[RCA]])</f>
        <v>0</v>
      </c>
      <c r="K359" s="10">
        <f>SUMIFS(IsQList,IsIList,Table_ExternalData_17[[#This Row],[item_key]],IsITypeList,Table_ExternalData_17[[#Headers],[R/P]],IsDList,"&lt;&gt;"&amp;0)</f>
        <v>0</v>
      </c>
      <c r="L359" s="10">
        <f>SUMIFS(IsQList,IsIList,Table_ExternalData_17[[#This Row],[item_key]],IsITypeList,Table_ExternalData_17[[#Headers],[CST]],IsDList,"&lt;&gt;"&amp;0)</f>
        <v>0</v>
      </c>
      <c r="M359" s="10">
        <f>SUMIFS(IsQList,IsIList,Table_ExternalData_15[[#This Row],[item_key]],IsITypeList,Table_ExternalData_17[[#Headers],[S/I]],IsDList,"&lt;&gt;"&amp;0)</f>
        <v>10</v>
      </c>
      <c r="N359" s="10">
        <f>SUMIFS(IsQList,IsIList,Table_ExternalData_15[[#This Row],[item_key]],IsITypeList,Table_ExternalData_17[[#Headers],[VST]],IsDList,"&lt;&gt;"&amp;0)</f>
        <v>0</v>
      </c>
      <c r="O359" s="10">
        <f>ABS(SUMIFS(IsQList,IsIList,Table_ExternalData_17[[#This Row],[item_key]],IsITypeList,Table_ExternalData_17[[#Headers],[RTN]],IsDList,"&lt;&gt;"&amp;0))</f>
        <v>0</v>
      </c>
      <c r="P359" s="10">
        <f>SUM(Table_ExternalData_17[[#This Row],[R/P]:[RTN]])</f>
        <v>10</v>
      </c>
      <c r="Q359" s="10">
        <f>SUM((Table_ExternalData_17[[#This Row],[Opening]]+Table_ExternalData_17[[#This Row],[Total Receipt]])-ABS(Table_ExternalData_17[[#This Row],[Total Issue]]))</f>
        <v>-1</v>
      </c>
    </row>
    <row r="360" spans="1:17">
      <c r="A360" s="1" t="s">
        <v>970</v>
      </c>
      <c r="B360" s="1" t="s">
        <v>1476</v>
      </c>
      <c r="C360" s="1" t="s">
        <v>1477</v>
      </c>
      <c r="D36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60" s="10">
        <f>SUMIFS(GQList,GIList,Table_ExternalData_17[[#This Row],[item_key]],GTList,Table_ExternalData_17[[#Headers],[GRN]],GDList,"&lt;&gt;"&amp;0)</f>
        <v>0</v>
      </c>
      <c r="F360" s="10">
        <f>SUMIFS(GQList,GIList,Table_ExternalData_17[[#This Row],[item_key]],GTList,Table_ExternalData_17[[#Headers],[VSTR]],GDList,"&lt;&gt;"&amp;0)</f>
        <v>0</v>
      </c>
      <c r="G360" s="10">
        <f>SUMIFS(GQList,GIList,Table_ExternalData_17[[#This Row],[item_key]],GTList,Table_ExternalData_17[[#Headers],[SR]],GDList,"&lt;&gt;"&amp;0)</f>
        <v>0</v>
      </c>
      <c r="H360" s="10">
        <f>SUMIFS(GQList,GIList,Table_ExternalData_17[[#This Row],[item_key]],GTList,Table_ExternalData_17[[#Headers],[TR]],GDList,"&lt;&gt;"&amp;0)</f>
        <v>0</v>
      </c>
      <c r="I360" s="10">
        <f>SUMIFS(GQList,GIList,Table_ExternalData_17[[#This Row],[item_key]],GTList,Table_ExternalData_17[[#Headers],[RCA]],GDList,"&lt;&gt;"&amp;0)</f>
        <v>0</v>
      </c>
      <c r="J360" s="10">
        <f>SUM(Table_ExternalData_17[[#This Row],[GRN]]+Table_ExternalData_17[[#This Row],[VSTR]]+Table_ExternalData_17[[#This Row],[SR]]+Table_ExternalData_17[[#This Row],[TR]]+Table_ExternalData_17[[#This Row],[RCA]])</f>
        <v>0</v>
      </c>
      <c r="K360" s="10">
        <f>SUMIFS(IsQList,IsIList,Table_ExternalData_17[[#This Row],[item_key]],IsITypeList,Table_ExternalData_17[[#Headers],[R/P]],IsDList,"&lt;&gt;"&amp;0)</f>
        <v>0</v>
      </c>
      <c r="L360" s="10">
        <f>SUMIFS(IsQList,IsIList,Table_ExternalData_17[[#This Row],[item_key]],IsITypeList,Table_ExternalData_17[[#Headers],[CST]],IsDList,"&lt;&gt;"&amp;0)</f>
        <v>0</v>
      </c>
      <c r="M360" s="10">
        <f>SUMIFS(IsQList,IsIList,Table_ExternalData_15[[#This Row],[item_key]],IsITypeList,Table_ExternalData_17[[#Headers],[S/I]],IsDList,"&lt;&gt;"&amp;0)</f>
        <v>20</v>
      </c>
      <c r="N360" s="10">
        <f>SUMIFS(IsQList,IsIList,Table_ExternalData_15[[#This Row],[item_key]],IsITypeList,Table_ExternalData_17[[#Headers],[VST]],IsDList,"&lt;&gt;"&amp;0)</f>
        <v>0</v>
      </c>
      <c r="O360" s="10">
        <f>ABS(SUMIFS(IsQList,IsIList,Table_ExternalData_17[[#This Row],[item_key]],IsITypeList,Table_ExternalData_17[[#Headers],[RTN]],IsDList,"&lt;&gt;"&amp;0))</f>
        <v>0</v>
      </c>
      <c r="P360" s="10">
        <f>SUM(Table_ExternalData_17[[#This Row],[R/P]:[RTN]])</f>
        <v>20</v>
      </c>
      <c r="Q360" s="10">
        <f>SUM((Table_ExternalData_17[[#This Row],[Opening]]+Table_ExternalData_17[[#This Row],[Total Receipt]])-ABS(Table_ExternalData_17[[#This Row],[Total Issue]]))</f>
        <v>-20</v>
      </c>
    </row>
    <row r="361" spans="1:17">
      <c r="A361" s="1" t="s">
        <v>971</v>
      </c>
      <c r="B361" s="1" t="s">
        <v>1478</v>
      </c>
      <c r="C361" s="1" t="s">
        <v>1479</v>
      </c>
      <c r="D361" s="10">
        <f>SUMIFS(OPBQList,OPBIList,Table_ExternalData_17[[#This Row],[item_key]])+SUMIFS(GQList,GIList,Table_ExternalData_17[[#This Row],[item_key]],GDList,0)-ABS(SUMIFS(IsQList,IsIList,Table_ExternalData_17[[#This Row],[item_key]],IsDList,0))</f>
        <v>1610</v>
      </c>
      <c r="E361" s="10">
        <f>SUMIFS(GQList,GIList,Table_ExternalData_17[[#This Row],[item_key]],GTList,Table_ExternalData_17[[#Headers],[GRN]],GDList,"&lt;&gt;"&amp;0)</f>
        <v>0</v>
      </c>
      <c r="F361" s="10">
        <f>SUMIFS(GQList,GIList,Table_ExternalData_17[[#This Row],[item_key]],GTList,Table_ExternalData_17[[#Headers],[VSTR]],GDList,"&lt;&gt;"&amp;0)</f>
        <v>0</v>
      </c>
      <c r="G361" s="10">
        <f>SUMIFS(GQList,GIList,Table_ExternalData_17[[#This Row],[item_key]],GTList,Table_ExternalData_17[[#Headers],[SR]],GDList,"&lt;&gt;"&amp;0)</f>
        <v>0</v>
      </c>
      <c r="H361" s="10">
        <f>SUMIFS(GQList,GIList,Table_ExternalData_17[[#This Row],[item_key]],GTList,Table_ExternalData_17[[#Headers],[TR]],GDList,"&lt;&gt;"&amp;0)</f>
        <v>0</v>
      </c>
      <c r="I361" s="10">
        <f>SUMIFS(GQList,GIList,Table_ExternalData_17[[#This Row],[item_key]],GTList,Table_ExternalData_17[[#Headers],[RCA]],GDList,"&lt;&gt;"&amp;0)</f>
        <v>0</v>
      </c>
      <c r="J361" s="10">
        <f>SUM(Table_ExternalData_17[[#This Row],[GRN]]+Table_ExternalData_17[[#This Row],[VSTR]]+Table_ExternalData_17[[#This Row],[SR]]+Table_ExternalData_17[[#This Row],[TR]]+Table_ExternalData_17[[#This Row],[RCA]])</f>
        <v>0</v>
      </c>
      <c r="K361" s="10">
        <f>SUMIFS(IsQList,IsIList,Table_ExternalData_17[[#This Row],[item_key]],IsITypeList,Table_ExternalData_17[[#Headers],[R/P]],IsDList,"&lt;&gt;"&amp;0)</f>
        <v>0</v>
      </c>
      <c r="L361" s="10">
        <f>SUMIFS(IsQList,IsIList,Table_ExternalData_17[[#This Row],[item_key]],IsITypeList,Table_ExternalData_17[[#Headers],[CST]],IsDList,"&lt;&gt;"&amp;0)</f>
        <v>0</v>
      </c>
      <c r="M361" s="10">
        <f>SUMIFS(IsQList,IsIList,Table_ExternalData_15[[#This Row],[item_key]],IsITypeList,Table_ExternalData_17[[#Headers],[S/I]],IsDList,"&lt;&gt;"&amp;0)</f>
        <v>60</v>
      </c>
      <c r="N361" s="10">
        <f>SUMIFS(IsQList,IsIList,Table_ExternalData_15[[#This Row],[item_key]],IsITypeList,Table_ExternalData_17[[#Headers],[VST]],IsDList,"&lt;&gt;"&amp;0)</f>
        <v>0</v>
      </c>
      <c r="O361" s="10">
        <f>ABS(SUMIFS(IsQList,IsIList,Table_ExternalData_17[[#This Row],[item_key]],IsITypeList,Table_ExternalData_17[[#Headers],[RTN]],IsDList,"&lt;&gt;"&amp;0))</f>
        <v>0</v>
      </c>
      <c r="P361" s="10">
        <f>SUM(Table_ExternalData_17[[#This Row],[R/P]:[RTN]])</f>
        <v>60</v>
      </c>
      <c r="Q361" s="10">
        <f>SUM((Table_ExternalData_17[[#This Row],[Opening]]+Table_ExternalData_17[[#This Row],[Total Receipt]])-ABS(Table_ExternalData_17[[#This Row],[Total Issue]]))</f>
        <v>1550</v>
      </c>
    </row>
    <row r="362" spans="1:17">
      <c r="A362" s="1" t="s">
        <v>972</v>
      </c>
      <c r="B362" s="1" t="s">
        <v>1480</v>
      </c>
      <c r="C362" s="1" t="s">
        <v>1481</v>
      </c>
      <c r="D362" s="10">
        <f>SUMIFS(OPBQList,OPBIList,Table_ExternalData_17[[#This Row],[item_key]])+SUMIFS(GQList,GIList,Table_ExternalData_17[[#This Row],[item_key]],GDList,0)-ABS(SUMIFS(IsQList,IsIList,Table_ExternalData_17[[#This Row],[item_key]],IsDList,0))</f>
        <v>6846</v>
      </c>
      <c r="E362" s="10">
        <f>SUMIFS(GQList,GIList,Table_ExternalData_17[[#This Row],[item_key]],GTList,Table_ExternalData_17[[#Headers],[GRN]],GDList,"&lt;&gt;"&amp;0)</f>
        <v>0</v>
      </c>
      <c r="F362" s="10">
        <f>SUMIFS(GQList,GIList,Table_ExternalData_17[[#This Row],[item_key]],GTList,Table_ExternalData_17[[#Headers],[VSTR]],GDList,"&lt;&gt;"&amp;0)</f>
        <v>0</v>
      </c>
      <c r="G362" s="10">
        <f>SUMIFS(GQList,GIList,Table_ExternalData_17[[#This Row],[item_key]],GTList,Table_ExternalData_17[[#Headers],[SR]],GDList,"&lt;&gt;"&amp;0)</f>
        <v>0</v>
      </c>
      <c r="H362" s="10">
        <f>SUMIFS(GQList,GIList,Table_ExternalData_17[[#This Row],[item_key]],GTList,Table_ExternalData_17[[#Headers],[TR]],GDList,"&lt;&gt;"&amp;0)</f>
        <v>0</v>
      </c>
      <c r="I362" s="10">
        <f>SUMIFS(GQList,GIList,Table_ExternalData_17[[#This Row],[item_key]],GTList,Table_ExternalData_17[[#Headers],[RCA]],GDList,"&lt;&gt;"&amp;0)</f>
        <v>0</v>
      </c>
      <c r="J362" s="10">
        <f>SUM(Table_ExternalData_17[[#This Row],[GRN]]+Table_ExternalData_17[[#This Row],[VSTR]]+Table_ExternalData_17[[#This Row],[SR]]+Table_ExternalData_17[[#This Row],[TR]]+Table_ExternalData_17[[#This Row],[RCA]])</f>
        <v>0</v>
      </c>
      <c r="K362" s="10">
        <f>SUMIFS(IsQList,IsIList,Table_ExternalData_17[[#This Row],[item_key]],IsITypeList,Table_ExternalData_17[[#Headers],[R/P]],IsDList,"&lt;&gt;"&amp;0)</f>
        <v>0</v>
      </c>
      <c r="L362" s="10">
        <f>SUMIFS(IsQList,IsIList,Table_ExternalData_17[[#This Row],[item_key]],IsITypeList,Table_ExternalData_17[[#Headers],[CST]],IsDList,"&lt;&gt;"&amp;0)</f>
        <v>0</v>
      </c>
      <c r="M362" s="10">
        <f>SUMIFS(IsQList,IsIList,Table_ExternalData_15[[#This Row],[item_key]],IsITypeList,Table_ExternalData_17[[#Headers],[S/I]],IsDList,"&lt;&gt;"&amp;0)</f>
        <v>50</v>
      </c>
      <c r="N362" s="10">
        <f>SUMIFS(IsQList,IsIList,Table_ExternalData_15[[#This Row],[item_key]],IsITypeList,Table_ExternalData_17[[#Headers],[VST]],IsDList,"&lt;&gt;"&amp;0)</f>
        <v>0</v>
      </c>
      <c r="O362" s="10">
        <f>ABS(SUMIFS(IsQList,IsIList,Table_ExternalData_17[[#This Row],[item_key]],IsITypeList,Table_ExternalData_17[[#Headers],[RTN]],IsDList,"&lt;&gt;"&amp;0))</f>
        <v>0</v>
      </c>
      <c r="P362" s="10">
        <f>SUM(Table_ExternalData_17[[#This Row],[R/P]:[RTN]])</f>
        <v>50</v>
      </c>
      <c r="Q362" s="10">
        <f>SUM((Table_ExternalData_17[[#This Row],[Opening]]+Table_ExternalData_17[[#This Row],[Total Receipt]])-ABS(Table_ExternalData_17[[#This Row],[Total Issue]]))</f>
        <v>6796</v>
      </c>
    </row>
    <row r="363" spans="1:17">
      <c r="A363" s="1" t="s">
        <v>974</v>
      </c>
      <c r="B363" s="1" t="s">
        <v>1482</v>
      </c>
      <c r="C363" s="1" t="s">
        <v>1483</v>
      </c>
      <c r="D363" s="10">
        <f>SUMIFS(OPBQList,OPBIList,Table_ExternalData_17[[#This Row],[item_key]])+SUMIFS(GQList,GIList,Table_ExternalData_17[[#This Row],[item_key]],GDList,0)-ABS(SUMIFS(IsQList,IsIList,Table_ExternalData_17[[#This Row],[item_key]],IsDList,0))</f>
        <v>773</v>
      </c>
      <c r="E363" s="10">
        <f>SUMIFS(GQList,GIList,Table_ExternalData_17[[#This Row],[item_key]],GTList,Table_ExternalData_17[[#Headers],[GRN]],GDList,"&lt;&gt;"&amp;0)</f>
        <v>0</v>
      </c>
      <c r="F363" s="10">
        <f>SUMIFS(GQList,GIList,Table_ExternalData_17[[#This Row],[item_key]],GTList,Table_ExternalData_17[[#Headers],[VSTR]],GDList,"&lt;&gt;"&amp;0)</f>
        <v>0</v>
      </c>
      <c r="G363" s="10">
        <f>SUMIFS(GQList,GIList,Table_ExternalData_17[[#This Row],[item_key]],GTList,Table_ExternalData_17[[#Headers],[SR]],GDList,"&lt;&gt;"&amp;0)</f>
        <v>0</v>
      </c>
      <c r="H363" s="10">
        <f>SUMIFS(GQList,GIList,Table_ExternalData_17[[#This Row],[item_key]],GTList,Table_ExternalData_17[[#Headers],[TR]],GDList,"&lt;&gt;"&amp;0)</f>
        <v>0</v>
      </c>
      <c r="I363" s="10">
        <f>SUMIFS(GQList,GIList,Table_ExternalData_17[[#This Row],[item_key]],GTList,Table_ExternalData_17[[#Headers],[RCA]],GDList,"&lt;&gt;"&amp;0)</f>
        <v>0</v>
      </c>
      <c r="J363" s="10">
        <f>SUM(Table_ExternalData_17[[#This Row],[GRN]]+Table_ExternalData_17[[#This Row],[VSTR]]+Table_ExternalData_17[[#This Row],[SR]]+Table_ExternalData_17[[#This Row],[TR]]+Table_ExternalData_17[[#This Row],[RCA]])</f>
        <v>0</v>
      </c>
      <c r="K363" s="10">
        <f>SUMIFS(IsQList,IsIList,Table_ExternalData_17[[#This Row],[item_key]],IsITypeList,Table_ExternalData_17[[#Headers],[R/P]],IsDList,"&lt;&gt;"&amp;0)</f>
        <v>0</v>
      </c>
      <c r="L363" s="10">
        <f>SUMIFS(IsQList,IsIList,Table_ExternalData_17[[#This Row],[item_key]],IsITypeList,Table_ExternalData_17[[#Headers],[CST]],IsDList,"&lt;&gt;"&amp;0)</f>
        <v>0</v>
      </c>
      <c r="M363" s="10">
        <f>SUMIFS(IsQList,IsIList,Table_ExternalData_15[[#This Row],[item_key]],IsITypeList,Table_ExternalData_17[[#Headers],[S/I]],IsDList,"&lt;&gt;"&amp;0)</f>
        <v>19</v>
      </c>
      <c r="N363" s="10">
        <f>SUMIFS(IsQList,IsIList,Table_ExternalData_15[[#This Row],[item_key]],IsITypeList,Table_ExternalData_17[[#Headers],[VST]],IsDList,"&lt;&gt;"&amp;0)</f>
        <v>0</v>
      </c>
      <c r="O363" s="10">
        <f>ABS(SUMIFS(IsQList,IsIList,Table_ExternalData_17[[#This Row],[item_key]],IsITypeList,Table_ExternalData_17[[#Headers],[RTN]],IsDList,"&lt;&gt;"&amp;0))</f>
        <v>0</v>
      </c>
      <c r="P363" s="10">
        <f>SUM(Table_ExternalData_17[[#This Row],[R/P]:[RTN]])</f>
        <v>19</v>
      </c>
      <c r="Q363" s="10">
        <f>SUM((Table_ExternalData_17[[#This Row],[Opening]]+Table_ExternalData_17[[#This Row],[Total Receipt]])-ABS(Table_ExternalData_17[[#This Row],[Total Issue]]))</f>
        <v>754</v>
      </c>
    </row>
    <row r="364" spans="1:17">
      <c r="A364" s="1" t="s">
        <v>979</v>
      </c>
      <c r="B364" s="1" t="s">
        <v>1484</v>
      </c>
      <c r="C364" s="1" t="s">
        <v>1485</v>
      </c>
      <c r="D364" s="10">
        <f>SUMIFS(OPBQList,OPBIList,Table_ExternalData_17[[#This Row],[item_key]])+SUMIFS(GQList,GIList,Table_ExternalData_17[[#This Row],[item_key]],GDList,0)-ABS(SUMIFS(IsQList,IsIList,Table_ExternalData_17[[#This Row],[item_key]],IsDList,0))</f>
        <v>5883</v>
      </c>
      <c r="E364" s="10">
        <f>SUMIFS(GQList,GIList,Table_ExternalData_17[[#This Row],[item_key]],GTList,Table_ExternalData_17[[#Headers],[GRN]],GDList,"&lt;&gt;"&amp;0)</f>
        <v>0</v>
      </c>
      <c r="F364" s="10">
        <f>SUMIFS(GQList,GIList,Table_ExternalData_17[[#This Row],[item_key]],GTList,Table_ExternalData_17[[#Headers],[VSTR]],GDList,"&lt;&gt;"&amp;0)</f>
        <v>0</v>
      </c>
      <c r="G364" s="10">
        <f>SUMIFS(GQList,GIList,Table_ExternalData_17[[#This Row],[item_key]],GTList,Table_ExternalData_17[[#Headers],[SR]],GDList,"&lt;&gt;"&amp;0)</f>
        <v>0</v>
      </c>
      <c r="H364" s="10">
        <f>SUMIFS(GQList,GIList,Table_ExternalData_17[[#This Row],[item_key]],GTList,Table_ExternalData_17[[#Headers],[TR]],GDList,"&lt;&gt;"&amp;0)</f>
        <v>0</v>
      </c>
      <c r="I364" s="10">
        <f>SUMIFS(GQList,GIList,Table_ExternalData_17[[#This Row],[item_key]],GTList,Table_ExternalData_17[[#Headers],[RCA]],GDList,"&lt;&gt;"&amp;0)</f>
        <v>0</v>
      </c>
      <c r="J364" s="10">
        <f>SUM(Table_ExternalData_17[[#This Row],[GRN]]+Table_ExternalData_17[[#This Row],[VSTR]]+Table_ExternalData_17[[#This Row],[SR]]+Table_ExternalData_17[[#This Row],[TR]]+Table_ExternalData_17[[#This Row],[RCA]])</f>
        <v>0</v>
      </c>
      <c r="K364" s="10">
        <f>SUMIFS(IsQList,IsIList,Table_ExternalData_17[[#This Row],[item_key]],IsITypeList,Table_ExternalData_17[[#Headers],[R/P]],IsDList,"&lt;&gt;"&amp;0)</f>
        <v>0</v>
      </c>
      <c r="L364" s="10">
        <f>SUMIFS(IsQList,IsIList,Table_ExternalData_17[[#This Row],[item_key]],IsITypeList,Table_ExternalData_17[[#Headers],[CST]],IsDList,"&lt;&gt;"&amp;0)</f>
        <v>0</v>
      </c>
      <c r="M364" s="10">
        <f>SUMIFS(IsQList,IsIList,Table_ExternalData_15[[#This Row],[item_key]],IsITypeList,Table_ExternalData_17[[#Headers],[S/I]],IsDList,"&lt;&gt;"&amp;0)</f>
        <v>0</v>
      </c>
      <c r="N364" s="10">
        <f>SUMIFS(IsQList,IsIList,Table_ExternalData_15[[#This Row],[item_key]],IsITypeList,Table_ExternalData_17[[#Headers],[VST]],IsDList,"&lt;&gt;"&amp;0)</f>
        <v>0</v>
      </c>
      <c r="O364" s="10">
        <f>ABS(SUMIFS(IsQList,IsIList,Table_ExternalData_17[[#This Row],[item_key]],IsITypeList,Table_ExternalData_17[[#Headers],[RTN]],IsDList,"&lt;&gt;"&amp;0))</f>
        <v>0</v>
      </c>
      <c r="P364" s="10">
        <f>SUM(Table_ExternalData_17[[#This Row],[R/P]:[RTN]])</f>
        <v>0</v>
      </c>
      <c r="Q364" s="10">
        <f>SUM((Table_ExternalData_17[[#This Row],[Opening]]+Table_ExternalData_17[[#This Row],[Total Receipt]])-ABS(Table_ExternalData_17[[#This Row],[Total Issue]]))</f>
        <v>5883</v>
      </c>
    </row>
    <row r="365" spans="1:17">
      <c r="A365" s="1" t="s">
        <v>2160</v>
      </c>
      <c r="B365" s="1" t="s">
        <v>2763</v>
      </c>
      <c r="C365" s="1" t="s">
        <v>2764</v>
      </c>
      <c r="D365" s="10">
        <f>SUMIFS(OPBQList,OPBIList,Table_ExternalData_17[[#This Row],[item_key]])+SUMIFS(GQList,GIList,Table_ExternalData_17[[#This Row],[item_key]],GDList,0)-ABS(SUMIFS(IsQList,IsIList,Table_ExternalData_17[[#This Row],[item_key]],IsDList,0))</f>
        <v>927</v>
      </c>
      <c r="E365" s="10">
        <f>SUMIFS(GQList,GIList,Table_ExternalData_17[[#This Row],[item_key]],GTList,Table_ExternalData_17[[#Headers],[GRN]],GDList,"&lt;&gt;"&amp;0)</f>
        <v>0</v>
      </c>
      <c r="F365" s="10">
        <f>SUMIFS(GQList,GIList,Table_ExternalData_17[[#This Row],[item_key]],GTList,Table_ExternalData_17[[#Headers],[VSTR]],GDList,"&lt;&gt;"&amp;0)</f>
        <v>0</v>
      </c>
      <c r="G365" s="10">
        <f>SUMIFS(GQList,GIList,Table_ExternalData_17[[#This Row],[item_key]],GTList,Table_ExternalData_17[[#Headers],[SR]],GDList,"&lt;&gt;"&amp;0)</f>
        <v>0</v>
      </c>
      <c r="H365" s="10">
        <f>SUMIFS(GQList,GIList,Table_ExternalData_17[[#This Row],[item_key]],GTList,Table_ExternalData_17[[#Headers],[TR]],GDList,"&lt;&gt;"&amp;0)</f>
        <v>0</v>
      </c>
      <c r="I365" s="10">
        <f>SUMIFS(GQList,GIList,Table_ExternalData_17[[#This Row],[item_key]],GTList,Table_ExternalData_17[[#Headers],[RCA]],GDList,"&lt;&gt;"&amp;0)</f>
        <v>0</v>
      </c>
      <c r="J365" s="10">
        <f>SUM(Table_ExternalData_17[[#This Row],[GRN]]+Table_ExternalData_17[[#This Row],[VSTR]]+Table_ExternalData_17[[#This Row],[SR]]+Table_ExternalData_17[[#This Row],[TR]]+Table_ExternalData_17[[#This Row],[RCA]])</f>
        <v>0</v>
      </c>
      <c r="K365" s="10">
        <f>SUMIFS(IsQList,IsIList,Table_ExternalData_17[[#This Row],[item_key]],IsITypeList,Table_ExternalData_17[[#Headers],[R/P]],IsDList,"&lt;&gt;"&amp;0)</f>
        <v>0</v>
      </c>
      <c r="L365" s="10">
        <f>SUMIFS(IsQList,IsIList,Table_ExternalData_17[[#This Row],[item_key]],IsITypeList,Table_ExternalData_17[[#Headers],[CST]],IsDList,"&lt;&gt;"&amp;0)</f>
        <v>0</v>
      </c>
      <c r="M365" s="10">
        <f>SUMIFS(IsQList,IsIList,Table_ExternalData_15[[#This Row],[item_key]],IsITypeList,Table_ExternalData_17[[#Headers],[S/I]],IsDList,"&lt;&gt;"&amp;0)</f>
        <v>100</v>
      </c>
      <c r="N365" s="10">
        <f>SUMIFS(IsQList,IsIList,Table_ExternalData_15[[#This Row],[item_key]],IsITypeList,Table_ExternalData_17[[#Headers],[VST]],IsDList,"&lt;&gt;"&amp;0)</f>
        <v>0</v>
      </c>
      <c r="O365" s="10">
        <f>ABS(SUMIFS(IsQList,IsIList,Table_ExternalData_17[[#This Row],[item_key]],IsITypeList,Table_ExternalData_17[[#Headers],[RTN]],IsDList,"&lt;&gt;"&amp;0))</f>
        <v>0</v>
      </c>
      <c r="P365" s="10">
        <f>SUM(Table_ExternalData_17[[#This Row],[R/P]:[RTN]])</f>
        <v>100</v>
      </c>
      <c r="Q365" s="10">
        <f>SUM((Table_ExternalData_17[[#This Row],[Opening]]+Table_ExternalData_17[[#This Row],[Total Receipt]])-ABS(Table_ExternalData_17[[#This Row],[Total Issue]]))</f>
        <v>827</v>
      </c>
    </row>
    <row r="366" spans="1:17">
      <c r="A366" s="1" t="s">
        <v>2162</v>
      </c>
      <c r="B366" s="1" t="s">
        <v>2765</v>
      </c>
      <c r="C366" s="1" t="s">
        <v>2766</v>
      </c>
      <c r="D366" s="10">
        <f>SUMIFS(OPBQList,OPBIList,Table_ExternalData_17[[#This Row],[item_key]])+SUMIFS(GQList,GIList,Table_ExternalData_17[[#This Row],[item_key]],GDList,0)-ABS(SUMIFS(IsQList,IsIList,Table_ExternalData_17[[#This Row],[item_key]],IsDList,0))</f>
        <v>81</v>
      </c>
      <c r="E366" s="10">
        <f>SUMIFS(GQList,GIList,Table_ExternalData_17[[#This Row],[item_key]],GTList,Table_ExternalData_17[[#Headers],[GRN]],GDList,"&lt;&gt;"&amp;0)</f>
        <v>0</v>
      </c>
      <c r="F366" s="10">
        <f>SUMIFS(GQList,GIList,Table_ExternalData_17[[#This Row],[item_key]],GTList,Table_ExternalData_17[[#Headers],[VSTR]],GDList,"&lt;&gt;"&amp;0)</f>
        <v>0</v>
      </c>
      <c r="G366" s="10">
        <f>SUMIFS(GQList,GIList,Table_ExternalData_17[[#This Row],[item_key]],GTList,Table_ExternalData_17[[#Headers],[SR]],GDList,"&lt;&gt;"&amp;0)</f>
        <v>0</v>
      </c>
      <c r="H366" s="10">
        <f>SUMIFS(GQList,GIList,Table_ExternalData_17[[#This Row],[item_key]],GTList,Table_ExternalData_17[[#Headers],[TR]],GDList,"&lt;&gt;"&amp;0)</f>
        <v>0</v>
      </c>
      <c r="I366" s="10">
        <f>SUMIFS(GQList,GIList,Table_ExternalData_17[[#This Row],[item_key]],GTList,Table_ExternalData_17[[#Headers],[RCA]],GDList,"&lt;&gt;"&amp;0)</f>
        <v>0</v>
      </c>
      <c r="J366" s="10">
        <f>SUM(Table_ExternalData_17[[#This Row],[GRN]]+Table_ExternalData_17[[#This Row],[VSTR]]+Table_ExternalData_17[[#This Row],[SR]]+Table_ExternalData_17[[#This Row],[TR]]+Table_ExternalData_17[[#This Row],[RCA]])</f>
        <v>0</v>
      </c>
      <c r="K366" s="10">
        <f>SUMIFS(IsQList,IsIList,Table_ExternalData_17[[#This Row],[item_key]],IsITypeList,Table_ExternalData_17[[#Headers],[R/P]],IsDList,"&lt;&gt;"&amp;0)</f>
        <v>0</v>
      </c>
      <c r="L366" s="10">
        <f>SUMIFS(IsQList,IsIList,Table_ExternalData_17[[#This Row],[item_key]],IsITypeList,Table_ExternalData_17[[#Headers],[CST]],IsDList,"&lt;&gt;"&amp;0)</f>
        <v>0</v>
      </c>
      <c r="M366" s="10">
        <f>SUMIFS(IsQList,IsIList,Table_ExternalData_15[[#This Row],[item_key]],IsITypeList,Table_ExternalData_17[[#Headers],[S/I]],IsDList,"&lt;&gt;"&amp;0)</f>
        <v>0</v>
      </c>
      <c r="N366" s="10">
        <f>SUMIFS(IsQList,IsIList,Table_ExternalData_15[[#This Row],[item_key]],IsITypeList,Table_ExternalData_17[[#Headers],[VST]],IsDList,"&lt;&gt;"&amp;0)</f>
        <v>0</v>
      </c>
      <c r="O366" s="10">
        <f>ABS(SUMIFS(IsQList,IsIList,Table_ExternalData_17[[#This Row],[item_key]],IsITypeList,Table_ExternalData_17[[#Headers],[RTN]],IsDList,"&lt;&gt;"&amp;0))</f>
        <v>0</v>
      </c>
      <c r="P366" s="10">
        <f>SUM(Table_ExternalData_17[[#This Row],[R/P]:[RTN]])</f>
        <v>0</v>
      </c>
      <c r="Q366" s="10">
        <f>SUM((Table_ExternalData_17[[#This Row],[Opening]]+Table_ExternalData_17[[#This Row],[Total Receipt]])-ABS(Table_ExternalData_17[[#This Row],[Total Issue]]))</f>
        <v>81</v>
      </c>
    </row>
    <row r="367" spans="1:17">
      <c r="A367" s="1" t="s">
        <v>2163</v>
      </c>
      <c r="B367" s="1" t="s">
        <v>2767</v>
      </c>
      <c r="C367" s="1" t="s">
        <v>2768</v>
      </c>
      <c r="D367" s="10">
        <f>SUMIFS(OPBQList,OPBIList,Table_ExternalData_17[[#This Row],[item_key]])+SUMIFS(GQList,GIList,Table_ExternalData_17[[#This Row],[item_key]],GDList,0)-ABS(SUMIFS(IsQList,IsIList,Table_ExternalData_17[[#This Row],[item_key]],IsDList,0))</f>
        <v>53</v>
      </c>
      <c r="E367" s="10">
        <f>SUMIFS(GQList,GIList,Table_ExternalData_17[[#This Row],[item_key]],GTList,Table_ExternalData_17[[#Headers],[GRN]],GDList,"&lt;&gt;"&amp;0)</f>
        <v>0</v>
      </c>
      <c r="F367" s="10">
        <f>SUMIFS(GQList,GIList,Table_ExternalData_17[[#This Row],[item_key]],GTList,Table_ExternalData_17[[#Headers],[VSTR]],GDList,"&lt;&gt;"&amp;0)</f>
        <v>0</v>
      </c>
      <c r="G367" s="10">
        <f>SUMIFS(GQList,GIList,Table_ExternalData_17[[#This Row],[item_key]],GTList,Table_ExternalData_17[[#Headers],[SR]],GDList,"&lt;&gt;"&amp;0)</f>
        <v>0</v>
      </c>
      <c r="H367" s="10">
        <f>SUMIFS(GQList,GIList,Table_ExternalData_17[[#This Row],[item_key]],GTList,Table_ExternalData_17[[#Headers],[TR]],GDList,"&lt;&gt;"&amp;0)</f>
        <v>0</v>
      </c>
      <c r="I367" s="10">
        <f>SUMIFS(GQList,GIList,Table_ExternalData_17[[#This Row],[item_key]],GTList,Table_ExternalData_17[[#Headers],[RCA]],GDList,"&lt;&gt;"&amp;0)</f>
        <v>0</v>
      </c>
      <c r="J367" s="10">
        <f>SUM(Table_ExternalData_17[[#This Row],[GRN]]+Table_ExternalData_17[[#This Row],[VSTR]]+Table_ExternalData_17[[#This Row],[SR]]+Table_ExternalData_17[[#This Row],[TR]]+Table_ExternalData_17[[#This Row],[RCA]])</f>
        <v>0</v>
      </c>
      <c r="K367" s="10">
        <f>SUMIFS(IsQList,IsIList,Table_ExternalData_17[[#This Row],[item_key]],IsITypeList,Table_ExternalData_17[[#Headers],[R/P]],IsDList,"&lt;&gt;"&amp;0)</f>
        <v>0</v>
      </c>
      <c r="L367" s="10">
        <f>SUMIFS(IsQList,IsIList,Table_ExternalData_17[[#This Row],[item_key]],IsITypeList,Table_ExternalData_17[[#Headers],[CST]],IsDList,"&lt;&gt;"&amp;0)</f>
        <v>0</v>
      </c>
      <c r="M367" s="10">
        <f>SUMIFS(IsQList,IsIList,Table_ExternalData_15[[#This Row],[item_key]],IsITypeList,Table_ExternalData_17[[#Headers],[S/I]],IsDList,"&lt;&gt;"&amp;0)</f>
        <v>240</v>
      </c>
      <c r="N367" s="10">
        <f>SUMIFS(IsQList,IsIList,Table_ExternalData_15[[#This Row],[item_key]],IsITypeList,Table_ExternalData_17[[#Headers],[VST]],IsDList,"&lt;&gt;"&amp;0)</f>
        <v>0</v>
      </c>
      <c r="O367" s="10">
        <f>ABS(SUMIFS(IsQList,IsIList,Table_ExternalData_17[[#This Row],[item_key]],IsITypeList,Table_ExternalData_17[[#Headers],[RTN]],IsDList,"&lt;&gt;"&amp;0))</f>
        <v>0</v>
      </c>
      <c r="P367" s="10">
        <f>SUM(Table_ExternalData_17[[#This Row],[R/P]:[RTN]])</f>
        <v>240</v>
      </c>
      <c r="Q367" s="10">
        <f>SUM((Table_ExternalData_17[[#This Row],[Opening]]+Table_ExternalData_17[[#This Row],[Total Receipt]])-ABS(Table_ExternalData_17[[#This Row],[Total Issue]]))</f>
        <v>-187</v>
      </c>
    </row>
    <row r="368" spans="1:17">
      <c r="A368" s="1" t="s">
        <v>2164</v>
      </c>
      <c r="B368" s="1" t="s">
        <v>2769</v>
      </c>
      <c r="C368" s="1" t="s">
        <v>2770</v>
      </c>
      <c r="D368" s="10">
        <f>SUMIFS(OPBQList,OPBIList,Table_ExternalData_17[[#This Row],[item_key]])+SUMIFS(GQList,GIList,Table_ExternalData_17[[#This Row],[item_key]],GDList,0)-ABS(SUMIFS(IsQList,IsIList,Table_ExternalData_17[[#This Row],[item_key]],IsDList,0))</f>
        <v>838</v>
      </c>
      <c r="E368" s="10">
        <f>SUMIFS(GQList,GIList,Table_ExternalData_17[[#This Row],[item_key]],GTList,Table_ExternalData_17[[#Headers],[GRN]],GDList,"&lt;&gt;"&amp;0)</f>
        <v>0</v>
      </c>
      <c r="F368" s="10">
        <f>SUMIFS(GQList,GIList,Table_ExternalData_17[[#This Row],[item_key]],GTList,Table_ExternalData_17[[#Headers],[VSTR]],GDList,"&lt;&gt;"&amp;0)</f>
        <v>0</v>
      </c>
      <c r="G368" s="10">
        <f>SUMIFS(GQList,GIList,Table_ExternalData_17[[#This Row],[item_key]],GTList,Table_ExternalData_17[[#Headers],[SR]],GDList,"&lt;&gt;"&amp;0)</f>
        <v>0</v>
      </c>
      <c r="H368" s="10">
        <f>SUMIFS(GQList,GIList,Table_ExternalData_17[[#This Row],[item_key]],GTList,Table_ExternalData_17[[#Headers],[TR]],GDList,"&lt;&gt;"&amp;0)</f>
        <v>0</v>
      </c>
      <c r="I368" s="10">
        <f>SUMIFS(GQList,GIList,Table_ExternalData_17[[#This Row],[item_key]],GTList,Table_ExternalData_17[[#Headers],[RCA]],GDList,"&lt;&gt;"&amp;0)</f>
        <v>0</v>
      </c>
      <c r="J368" s="10">
        <f>SUM(Table_ExternalData_17[[#This Row],[GRN]]+Table_ExternalData_17[[#This Row],[VSTR]]+Table_ExternalData_17[[#This Row],[SR]]+Table_ExternalData_17[[#This Row],[TR]]+Table_ExternalData_17[[#This Row],[RCA]])</f>
        <v>0</v>
      </c>
      <c r="K368" s="10">
        <f>SUMIFS(IsQList,IsIList,Table_ExternalData_17[[#This Row],[item_key]],IsITypeList,Table_ExternalData_17[[#Headers],[R/P]],IsDList,"&lt;&gt;"&amp;0)</f>
        <v>0</v>
      </c>
      <c r="L368" s="10">
        <f>SUMIFS(IsQList,IsIList,Table_ExternalData_17[[#This Row],[item_key]],IsITypeList,Table_ExternalData_17[[#Headers],[CST]],IsDList,"&lt;&gt;"&amp;0)</f>
        <v>0</v>
      </c>
      <c r="M368" s="10">
        <f>SUMIFS(IsQList,IsIList,Table_ExternalData_15[[#This Row],[item_key]],IsITypeList,Table_ExternalData_17[[#Headers],[S/I]],IsDList,"&lt;&gt;"&amp;0)</f>
        <v>3</v>
      </c>
      <c r="N368" s="10">
        <f>SUMIFS(IsQList,IsIList,Table_ExternalData_15[[#This Row],[item_key]],IsITypeList,Table_ExternalData_17[[#Headers],[VST]],IsDList,"&lt;&gt;"&amp;0)</f>
        <v>0</v>
      </c>
      <c r="O368" s="10">
        <f>ABS(SUMIFS(IsQList,IsIList,Table_ExternalData_17[[#This Row],[item_key]],IsITypeList,Table_ExternalData_17[[#Headers],[RTN]],IsDList,"&lt;&gt;"&amp;0))</f>
        <v>0</v>
      </c>
      <c r="P368" s="10">
        <f>SUM(Table_ExternalData_17[[#This Row],[R/P]:[RTN]])</f>
        <v>3</v>
      </c>
      <c r="Q368" s="10">
        <f>SUM((Table_ExternalData_17[[#This Row],[Opening]]+Table_ExternalData_17[[#This Row],[Total Receipt]])-ABS(Table_ExternalData_17[[#This Row],[Total Issue]]))</f>
        <v>835</v>
      </c>
    </row>
    <row r="369" spans="1:17">
      <c r="A369" s="1" t="s">
        <v>2166</v>
      </c>
      <c r="B369" s="1" t="s">
        <v>2771</v>
      </c>
      <c r="C369" s="1" t="s">
        <v>2772</v>
      </c>
      <c r="D369" s="10">
        <f>SUMIFS(OPBQList,OPBIList,Table_ExternalData_17[[#This Row],[item_key]])+SUMIFS(GQList,GIList,Table_ExternalData_17[[#This Row],[item_key]],GDList,0)-ABS(SUMIFS(IsQList,IsIList,Table_ExternalData_17[[#This Row],[item_key]],IsDList,0))</f>
        <v>19</v>
      </c>
      <c r="E369" s="10">
        <f>SUMIFS(GQList,GIList,Table_ExternalData_17[[#This Row],[item_key]],GTList,Table_ExternalData_17[[#Headers],[GRN]],GDList,"&lt;&gt;"&amp;0)</f>
        <v>0</v>
      </c>
      <c r="F369" s="10">
        <f>SUMIFS(GQList,GIList,Table_ExternalData_17[[#This Row],[item_key]],GTList,Table_ExternalData_17[[#Headers],[VSTR]],GDList,"&lt;&gt;"&amp;0)</f>
        <v>0</v>
      </c>
      <c r="G369" s="10">
        <f>SUMIFS(GQList,GIList,Table_ExternalData_17[[#This Row],[item_key]],GTList,Table_ExternalData_17[[#Headers],[SR]],GDList,"&lt;&gt;"&amp;0)</f>
        <v>0</v>
      </c>
      <c r="H369" s="10">
        <f>SUMIFS(GQList,GIList,Table_ExternalData_17[[#This Row],[item_key]],GTList,Table_ExternalData_17[[#Headers],[TR]],GDList,"&lt;&gt;"&amp;0)</f>
        <v>0</v>
      </c>
      <c r="I369" s="10">
        <f>SUMIFS(GQList,GIList,Table_ExternalData_17[[#This Row],[item_key]],GTList,Table_ExternalData_17[[#Headers],[RCA]],GDList,"&lt;&gt;"&amp;0)</f>
        <v>0</v>
      </c>
      <c r="J369" s="10">
        <f>SUM(Table_ExternalData_17[[#This Row],[GRN]]+Table_ExternalData_17[[#This Row],[VSTR]]+Table_ExternalData_17[[#This Row],[SR]]+Table_ExternalData_17[[#This Row],[TR]]+Table_ExternalData_17[[#This Row],[RCA]])</f>
        <v>0</v>
      </c>
      <c r="K369" s="10">
        <f>SUMIFS(IsQList,IsIList,Table_ExternalData_17[[#This Row],[item_key]],IsITypeList,Table_ExternalData_17[[#Headers],[R/P]],IsDList,"&lt;&gt;"&amp;0)</f>
        <v>0</v>
      </c>
      <c r="L369" s="10">
        <f>SUMIFS(IsQList,IsIList,Table_ExternalData_17[[#This Row],[item_key]],IsITypeList,Table_ExternalData_17[[#Headers],[CST]],IsDList,"&lt;&gt;"&amp;0)</f>
        <v>0</v>
      </c>
      <c r="M369" s="10">
        <f>SUMIFS(IsQList,IsIList,Table_ExternalData_15[[#This Row],[item_key]],IsITypeList,Table_ExternalData_17[[#Headers],[S/I]],IsDList,"&lt;&gt;"&amp;0)</f>
        <v>840</v>
      </c>
      <c r="N369" s="10">
        <f>SUMIFS(IsQList,IsIList,Table_ExternalData_15[[#This Row],[item_key]],IsITypeList,Table_ExternalData_17[[#Headers],[VST]],IsDList,"&lt;&gt;"&amp;0)</f>
        <v>0</v>
      </c>
      <c r="O369" s="10">
        <f>ABS(SUMIFS(IsQList,IsIList,Table_ExternalData_17[[#This Row],[item_key]],IsITypeList,Table_ExternalData_17[[#Headers],[RTN]],IsDList,"&lt;&gt;"&amp;0))</f>
        <v>0</v>
      </c>
      <c r="P369" s="10">
        <f>SUM(Table_ExternalData_17[[#This Row],[R/P]:[RTN]])</f>
        <v>840</v>
      </c>
      <c r="Q369" s="10">
        <f>SUM((Table_ExternalData_17[[#This Row],[Opening]]+Table_ExternalData_17[[#This Row],[Total Receipt]])-ABS(Table_ExternalData_17[[#This Row],[Total Issue]]))</f>
        <v>-821</v>
      </c>
    </row>
    <row r="370" spans="1:17">
      <c r="A370" s="1" t="s">
        <v>5</v>
      </c>
      <c r="B370" s="1" t="s">
        <v>10</v>
      </c>
      <c r="C370" s="1" t="s">
        <v>11</v>
      </c>
      <c r="D370" s="10">
        <f>SUMIFS(OPBQList,OPBIList,Table_ExternalData_17[[#This Row],[item_key]])+SUMIFS(GQList,GIList,Table_ExternalData_17[[#This Row],[item_key]],GDList,0)-ABS(SUMIFS(IsQList,IsIList,Table_ExternalData_17[[#This Row],[item_key]],IsDList,0))</f>
        <v>304</v>
      </c>
      <c r="E370" s="10">
        <f>SUMIFS(GQList,GIList,Table_ExternalData_17[[#This Row],[item_key]],GTList,Table_ExternalData_17[[#Headers],[GRN]],GDList,"&lt;&gt;"&amp;0)</f>
        <v>0</v>
      </c>
      <c r="F370" s="10">
        <f>SUMIFS(GQList,GIList,Table_ExternalData_17[[#This Row],[item_key]],GTList,Table_ExternalData_17[[#Headers],[VSTR]],GDList,"&lt;&gt;"&amp;0)</f>
        <v>0</v>
      </c>
      <c r="G370" s="10">
        <f>SUMIFS(GQList,GIList,Table_ExternalData_17[[#This Row],[item_key]],GTList,Table_ExternalData_17[[#Headers],[SR]],GDList,"&lt;&gt;"&amp;0)</f>
        <v>0</v>
      </c>
      <c r="H370" s="10">
        <f>SUMIFS(GQList,GIList,Table_ExternalData_17[[#This Row],[item_key]],GTList,Table_ExternalData_17[[#Headers],[TR]],GDList,"&lt;&gt;"&amp;0)</f>
        <v>0</v>
      </c>
      <c r="I370" s="10">
        <f>SUMIFS(GQList,GIList,Table_ExternalData_17[[#This Row],[item_key]],GTList,Table_ExternalData_17[[#Headers],[RCA]],GDList,"&lt;&gt;"&amp;0)</f>
        <v>0</v>
      </c>
      <c r="J370" s="10">
        <f>SUM(Table_ExternalData_17[[#This Row],[GRN]]+Table_ExternalData_17[[#This Row],[VSTR]]+Table_ExternalData_17[[#This Row],[SR]]+Table_ExternalData_17[[#This Row],[TR]]+Table_ExternalData_17[[#This Row],[RCA]])</f>
        <v>0</v>
      </c>
      <c r="K370" s="10">
        <f>SUMIFS(IsQList,IsIList,Table_ExternalData_17[[#This Row],[item_key]],IsITypeList,Table_ExternalData_17[[#Headers],[R/P]],IsDList,"&lt;&gt;"&amp;0)</f>
        <v>0</v>
      </c>
      <c r="L370" s="10">
        <f>SUMIFS(IsQList,IsIList,Table_ExternalData_17[[#This Row],[item_key]],IsITypeList,Table_ExternalData_17[[#Headers],[CST]],IsDList,"&lt;&gt;"&amp;0)</f>
        <v>0</v>
      </c>
      <c r="M370" s="10">
        <f>SUMIFS(IsQList,IsIList,Table_ExternalData_15[[#This Row],[item_key]],IsITypeList,Table_ExternalData_17[[#Headers],[S/I]],IsDList,"&lt;&gt;"&amp;0)</f>
        <v>0</v>
      </c>
      <c r="N370" s="10">
        <f>SUMIFS(IsQList,IsIList,Table_ExternalData_15[[#This Row],[item_key]],IsITypeList,Table_ExternalData_17[[#Headers],[VST]],IsDList,"&lt;&gt;"&amp;0)</f>
        <v>0</v>
      </c>
      <c r="O370" s="10">
        <f>ABS(SUMIFS(IsQList,IsIList,Table_ExternalData_17[[#This Row],[item_key]],IsITypeList,Table_ExternalData_17[[#Headers],[RTN]],IsDList,"&lt;&gt;"&amp;0))</f>
        <v>0</v>
      </c>
      <c r="P370" s="10">
        <f>SUM(Table_ExternalData_17[[#This Row],[R/P]:[RTN]])</f>
        <v>0</v>
      </c>
      <c r="Q370" s="10">
        <f>SUM((Table_ExternalData_17[[#This Row],[Opening]]+Table_ExternalData_17[[#This Row],[Total Receipt]])-ABS(Table_ExternalData_17[[#This Row],[Total Issue]]))</f>
        <v>304</v>
      </c>
    </row>
    <row r="371" spans="1:17">
      <c r="A371" s="1" t="s">
        <v>996</v>
      </c>
      <c r="B371" s="1" t="s">
        <v>1487</v>
      </c>
      <c r="C371" s="1" t="s">
        <v>1488</v>
      </c>
      <c r="D371" s="10">
        <f>SUMIFS(OPBQList,OPBIList,Table_ExternalData_17[[#This Row],[item_key]])+SUMIFS(GQList,GIList,Table_ExternalData_17[[#This Row],[item_key]],GDList,0)-ABS(SUMIFS(IsQList,IsIList,Table_ExternalData_17[[#This Row],[item_key]],IsDList,0))</f>
        <v>860</v>
      </c>
      <c r="E371" s="10">
        <f>SUMIFS(GQList,GIList,Table_ExternalData_17[[#This Row],[item_key]],GTList,Table_ExternalData_17[[#Headers],[GRN]],GDList,"&lt;&gt;"&amp;0)</f>
        <v>0</v>
      </c>
      <c r="F371" s="10">
        <f>SUMIFS(GQList,GIList,Table_ExternalData_17[[#This Row],[item_key]],GTList,Table_ExternalData_17[[#Headers],[VSTR]],GDList,"&lt;&gt;"&amp;0)</f>
        <v>0</v>
      </c>
      <c r="G371" s="10">
        <f>SUMIFS(GQList,GIList,Table_ExternalData_17[[#This Row],[item_key]],GTList,Table_ExternalData_17[[#Headers],[SR]],GDList,"&lt;&gt;"&amp;0)</f>
        <v>0</v>
      </c>
      <c r="H371" s="10">
        <f>SUMIFS(GQList,GIList,Table_ExternalData_17[[#This Row],[item_key]],GTList,Table_ExternalData_17[[#Headers],[TR]],GDList,"&lt;&gt;"&amp;0)</f>
        <v>0</v>
      </c>
      <c r="I371" s="10">
        <f>SUMIFS(GQList,GIList,Table_ExternalData_17[[#This Row],[item_key]],GTList,Table_ExternalData_17[[#Headers],[RCA]],GDList,"&lt;&gt;"&amp;0)</f>
        <v>0</v>
      </c>
      <c r="J371" s="10">
        <f>SUM(Table_ExternalData_17[[#This Row],[GRN]]+Table_ExternalData_17[[#This Row],[VSTR]]+Table_ExternalData_17[[#This Row],[SR]]+Table_ExternalData_17[[#This Row],[TR]]+Table_ExternalData_17[[#This Row],[RCA]])</f>
        <v>0</v>
      </c>
      <c r="K371" s="10">
        <f>SUMIFS(IsQList,IsIList,Table_ExternalData_17[[#This Row],[item_key]],IsITypeList,Table_ExternalData_17[[#Headers],[R/P]],IsDList,"&lt;&gt;"&amp;0)</f>
        <v>0</v>
      </c>
      <c r="L371" s="10">
        <f>SUMIFS(IsQList,IsIList,Table_ExternalData_17[[#This Row],[item_key]],IsITypeList,Table_ExternalData_17[[#Headers],[CST]],IsDList,"&lt;&gt;"&amp;0)</f>
        <v>0</v>
      </c>
      <c r="M371" s="10">
        <f>SUMIFS(IsQList,IsIList,Table_ExternalData_15[[#This Row],[item_key]],IsITypeList,Table_ExternalData_17[[#Headers],[S/I]],IsDList,"&lt;&gt;"&amp;0)</f>
        <v>0</v>
      </c>
      <c r="N371" s="10">
        <f>SUMIFS(IsQList,IsIList,Table_ExternalData_15[[#This Row],[item_key]],IsITypeList,Table_ExternalData_17[[#Headers],[VST]],IsDList,"&lt;&gt;"&amp;0)</f>
        <v>0</v>
      </c>
      <c r="O371" s="10">
        <f>ABS(SUMIFS(IsQList,IsIList,Table_ExternalData_17[[#This Row],[item_key]],IsITypeList,Table_ExternalData_17[[#Headers],[RTN]],IsDList,"&lt;&gt;"&amp;0))</f>
        <v>0</v>
      </c>
      <c r="P371" s="10">
        <f>SUM(Table_ExternalData_17[[#This Row],[R/P]:[RTN]])</f>
        <v>0</v>
      </c>
      <c r="Q371" s="10">
        <f>SUM((Table_ExternalData_17[[#This Row],[Opening]]+Table_ExternalData_17[[#This Row],[Total Receipt]])-ABS(Table_ExternalData_17[[#This Row],[Total Issue]]))</f>
        <v>860</v>
      </c>
    </row>
    <row r="372" spans="1:17">
      <c r="A372" s="1" t="s">
        <v>997</v>
      </c>
      <c r="B372" s="1" t="s">
        <v>1489</v>
      </c>
      <c r="C372" s="1" t="s">
        <v>1222</v>
      </c>
      <c r="D372" s="10">
        <f>SUMIFS(OPBQList,OPBIList,Table_ExternalData_17[[#This Row],[item_key]])+SUMIFS(GQList,GIList,Table_ExternalData_17[[#This Row],[item_key]],GDList,0)-ABS(SUMIFS(IsQList,IsIList,Table_ExternalData_17[[#This Row],[item_key]],IsDList,0))</f>
        <v>1517</v>
      </c>
      <c r="E372" s="10">
        <f>SUMIFS(GQList,GIList,Table_ExternalData_17[[#This Row],[item_key]],GTList,Table_ExternalData_17[[#Headers],[GRN]],GDList,"&lt;&gt;"&amp;0)</f>
        <v>0</v>
      </c>
      <c r="F372" s="10">
        <f>SUMIFS(GQList,GIList,Table_ExternalData_17[[#This Row],[item_key]],GTList,Table_ExternalData_17[[#Headers],[VSTR]],GDList,"&lt;&gt;"&amp;0)</f>
        <v>0</v>
      </c>
      <c r="G372" s="10">
        <f>SUMIFS(GQList,GIList,Table_ExternalData_17[[#This Row],[item_key]],GTList,Table_ExternalData_17[[#Headers],[SR]],GDList,"&lt;&gt;"&amp;0)</f>
        <v>0</v>
      </c>
      <c r="H372" s="10">
        <f>SUMIFS(GQList,GIList,Table_ExternalData_17[[#This Row],[item_key]],GTList,Table_ExternalData_17[[#Headers],[TR]],GDList,"&lt;&gt;"&amp;0)</f>
        <v>0</v>
      </c>
      <c r="I372" s="10">
        <f>SUMIFS(GQList,GIList,Table_ExternalData_17[[#This Row],[item_key]],GTList,Table_ExternalData_17[[#Headers],[RCA]],GDList,"&lt;&gt;"&amp;0)</f>
        <v>0</v>
      </c>
      <c r="J372" s="10">
        <f>SUM(Table_ExternalData_17[[#This Row],[GRN]]+Table_ExternalData_17[[#This Row],[VSTR]]+Table_ExternalData_17[[#This Row],[SR]]+Table_ExternalData_17[[#This Row],[TR]]+Table_ExternalData_17[[#This Row],[RCA]])</f>
        <v>0</v>
      </c>
      <c r="K372" s="10">
        <f>SUMIFS(IsQList,IsIList,Table_ExternalData_17[[#This Row],[item_key]],IsITypeList,Table_ExternalData_17[[#Headers],[R/P]],IsDList,"&lt;&gt;"&amp;0)</f>
        <v>0</v>
      </c>
      <c r="L372" s="10">
        <f>SUMIFS(IsQList,IsIList,Table_ExternalData_17[[#This Row],[item_key]],IsITypeList,Table_ExternalData_17[[#Headers],[CST]],IsDList,"&lt;&gt;"&amp;0)</f>
        <v>0</v>
      </c>
      <c r="M372" s="10">
        <f>SUMIFS(IsQList,IsIList,Table_ExternalData_15[[#This Row],[item_key]],IsITypeList,Table_ExternalData_17[[#Headers],[S/I]],IsDList,"&lt;&gt;"&amp;0)</f>
        <v>0</v>
      </c>
      <c r="N372" s="10">
        <f>SUMIFS(IsQList,IsIList,Table_ExternalData_15[[#This Row],[item_key]],IsITypeList,Table_ExternalData_17[[#Headers],[VST]],IsDList,"&lt;&gt;"&amp;0)</f>
        <v>0</v>
      </c>
      <c r="O372" s="10">
        <f>ABS(SUMIFS(IsQList,IsIList,Table_ExternalData_17[[#This Row],[item_key]],IsITypeList,Table_ExternalData_17[[#Headers],[RTN]],IsDList,"&lt;&gt;"&amp;0))</f>
        <v>0</v>
      </c>
      <c r="P372" s="10">
        <f>SUM(Table_ExternalData_17[[#This Row],[R/P]:[RTN]])</f>
        <v>0</v>
      </c>
      <c r="Q372" s="10">
        <f>SUM((Table_ExternalData_17[[#This Row],[Opening]]+Table_ExternalData_17[[#This Row],[Total Receipt]])-ABS(Table_ExternalData_17[[#This Row],[Total Issue]]))</f>
        <v>1517</v>
      </c>
    </row>
    <row r="373" spans="1:17">
      <c r="A373" s="1" t="s">
        <v>2171</v>
      </c>
      <c r="B373" s="1" t="s">
        <v>2773</v>
      </c>
      <c r="C373" s="1" t="s">
        <v>2774</v>
      </c>
      <c r="D373" s="10">
        <f>SUMIFS(OPBQList,OPBIList,Table_ExternalData_17[[#This Row],[item_key]])+SUMIFS(GQList,GIList,Table_ExternalData_17[[#This Row],[item_key]],GDList,0)-ABS(SUMIFS(IsQList,IsIList,Table_ExternalData_17[[#This Row],[item_key]],IsDList,0))</f>
        <v>360</v>
      </c>
      <c r="E373" s="10">
        <f>SUMIFS(GQList,GIList,Table_ExternalData_17[[#This Row],[item_key]],GTList,Table_ExternalData_17[[#Headers],[GRN]],GDList,"&lt;&gt;"&amp;0)</f>
        <v>0</v>
      </c>
      <c r="F373" s="10">
        <f>SUMIFS(GQList,GIList,Table_ExternalData_17[[#This Row],[item_key]],GTList,Table_ExternalData_17[[#Headers],[VSTR]],GDList,"&lt;&gt;"&amp;0)</f>
        <v>0</v>
      </c>
      <c r="G373" s="10">
        <f>SUMIFS(GQList,GIList,Table_ExternalData_17[[#This Row],[item_key]],GTList,Table_ExternalData_17[[#Headers],[SR]],GDList,"&lt;&gt;"&amp;0)</f>
        <v>0</v>
      </c>
      <c r="H373" s="10">
        <f>SUMIFS(GQList,GIList,Table_ExternalData_17[[#This Row],[item_key]],GTList,Table_ExternalData_17[[#Headers],[TR]],GDList,"&lt;&gt;"&amp;0)</f>
        <v>0</v>
      </c>
      <c r="I373" s="10">
        <f>SUMIFS(GQList,GIList,Table_ExternalData_17[[#This Row],[item_key]],GTList,Table_ExternalData_17[[#Headers],[RCA]],GDList,"&lt;&gt;"&amp;0)</f>
        <v>0</v>
      </c>
      <c r="J373" s="10">
        <f>SUM(Table_ExternalData_17[[#This Row],[GRN]]+Table_ExternalData_17[[#This Row],[VSTR]]+Table_ExternalData_17[[#This Row],[SR]]+Table_ExternalData_17[[#This Row],[TR]]+Table_ExternalData_17[[#This Row],[RCA]])</f>
        <v>0</v>
      </c>
      <c r="K373" s="10">
        <f>SUMIFS(IsQList,IsIList,Table_ExternalData_17[[#This Row],[item_key]],IsITypeList,Table_ExternalData_17[[#Headers],[R/P]],IsDList,"&lt;&gt;"&amp;0)</f>
        <v>0</v>
      </c>
      <c r="L373" s="10">
        <f>SUMIFS(IsQList,IsIList,Table_ExternalData_17[[#This Row],[item_key]],IsITypeList,Table_ExternalData_17[[#Headers],[CST]],IsDList,"&lt;&gt;"&amp;0)</f>
        <v>0</v>
      </c>
      <c r="M373" s="10">
        <f>SUMIFS(IsQList,IsIList,Table_ExternalData_15[[#This Row],[item_key]],IsITypeList,Table_ExternalData_17[[#Headers],[S/I]],IsDList,"&lt;&gt;"&amp;0)</f>
        <v>0</v>
      </c>
      <c r="N373" s="10">
        <f>SUMIFS(IsQList,IsIList,Table_ExternalData_15[[#This Row],[item_key]],IsITypeList,Table_ExternalData_17[[#Headers],[VST]],IsDList,"&lt;&gt;"&amp;0)</f>
        <v>0</v>
      </c>
      <c r="O373" s="10">
        <f>ABS(SUMIFS(IsQList,IsIList,Table_ExternalData_17[[#This Row],[item_key]],IsITypeList,Table_ExternalData_17[[#Headers],[RTN]],IsDList,"&lt;&gt;"&amp;0))</f>
        <v>0</v>
      </c>
      <c r="P373" s="10">
        <f>SUM(Table_ExternalData_17[[#This Row],[R/P]:[RTN]])</f>
        <v>0</v>
      </c>
      <c r="Q373" s="10">
        <f>SUM((Table_ExternalData_17[[#This Row],[Opening]]+Table_ExternalData_17[[#This Row],[Total Receipt]])-ABS(Table_ExternalData_17[[#This Row],[Total Issue]]))</f>
        <v>360</v>
      </c>
    </row>
    <row r="374" spans="1:17">
      <c r="A374" s="1" t="s">
        <v>998</v>
      </c>
      <c r="B374" s="1" t="s">
        <v>1490</v>
      </c>
      <c r="C374" s="1" t="s">
        <v>1491</v>
      </c>
      <c r="D374" s="10">
        <f>SUMIFS(OPBQList,OPBIList,Table_ExternalData_17[[#This Row],[item_key]])+SUMIFS(GQList,GIList,Table_ExternalData_17[[#This Row],[item_key]],GDList,0)-ABS(SUMIFS(IsQList,IsIList,Table_ExternalData_17[[#This Row],[item_key]],IsDList,0))</f>
        <v>356</v>
      </c>
      <c r="E374" s="10">
        <f>SUMIFS(GQList,GIList,Table_ExternalData_17[[#This Row],[item_key]],GTList,Table_ExternalData_17[[#Headers],[GRN]],GDList,"&lt;&gt;"&amp;0)</f>
        <v>0</v>
      </c>
      <c r="F374" s="10">
        <f>SUMIFS(GQList,GIList,Table_ExternalData_17[[#This Row],[item_key]],GTList,Table_ExternalData_17[[#Headers],[VSTR]],GDList,"&lt;&gt;"&amp;0)</f>
        <v>0</v>
      </c>
      <c r="G374" s="10">
        <f>SUMIFS(GQList,GIList,Table_ExternalData_17[[#This Row],[item_key]],GTList,Table_ExternalData_17[[#Headers],[SR]],GDList,"&lt;&gt;"&amp;0)</f>
        <v>0</v>
      </c>
      <c r="H374" s="10">
        <f>SUMIFS(GQList,GIList,Table_ExternalData_17[[#This Row],[item_key]],GTList,Table_ExternalData_17[[#Headers],[TR]],GDList,"&lt;&gt;"&amp;0)</f>
        <v>0</v>
      </c>
      <c r="I374" s="10">
        <f>SUMIFS(GQList,GIList,Table_ExternalData_17[[#This Row],[item_key]],GTList,Table_ExternalData_17[[#Headers],[RCA]],GDList,"&lt;&gt;"&amp;0)</f>
        <v>0</v>
      </c>
      <c r="J374" s="10">
        <f>SUM(Table_ExternalData_17[[#This Row],[GRN]]+Table_ExternalData_17[[#This Row],[VSTR]]+Table_ExternalData_17[[#This Row],[SR]]+Table_ExternalData_17[[#This Row],[TR]]+Table_ExternalData_17[[#This Row],[RCA]])</f>
        <v>0</v>
      </c>
      <c r="K374" s="10">
        <f>SUMIFS(IsQList,IsIList,Table_ExternalData_17[[#This Row],[item_key]],IsITypeList,Table_ExternalData_17[[#Headers],[R/P]],IsDList,"&lt;&gt;"&amp;0)</f>
        <v>0</v>
      </c>
      <c r="L374" s="10">
        <f>SUMIFS(IsQList,IsIList,Table_ExternalData_17[[#This Row],[item_key]],IsITypeList,Table_ExternalData_17[[#Headers],[CST]],IsDList,"&lt;&gt;"&amp;0)</f>
        <v>0</v>
      </c>
      <c r="M374" s="10">
        <f>SUMIFS(IsQList,IsIList,Table_ExternalData_15[[#This Row],[item_key]],IsITypeList,Table_ExternalData_17[[#Headers],[S/I]],IsDList,"&lt;&gt;"&amp;0)</f>
        <v>130</v>
      </c>
      <c r="N374" s="10">
        <f>SUMIFS(IsQList,IsIList,Table_ExternalData_15[[#This Row],[item_key]],IsITypeList,Table_ExternalData_17[[#Headers],[VST]],IsDList,"&lt;&gt;"&amp;0)</f>
        <v>0</v>
      </c>
      <c r="O374" s="10">
        <f>ABS(SUMIFS(IsQList,IsIList,Table_ExternalData_17[[#This Row],[item_key]],IsITypeList,Table_ExternalData_17[[#Headers],[RTN]],IsDList,"&lt;&gt;"&amp;0))</f>
        <v>0</v>
      </c>
      <c r="P374" s="10">
        <f>SUM(Table_ExternalData_17[[#This Row],[R/P]:[RTN]])</f>
        <v>130</v>
      </c>
      <c r="Q374" s="10">
        <f>SUM((Table_ExternalData_17[[#This Row],[Opening]]+Table_ExternalData_17[[#This Row],[Total Receipt]])-ABS(Table_ExternalData_17[[#This Row],[Total Issue]]))</f>
        <v>226</v>
      </c>
    </row>
    <row r="375" spans="1:17">
      <c r="A375" s="1" t="s">
        <v>999</v>
      </c>
      <c r="B375" s="1" t="s">
        <v>1492</v>
      </c>
      <c r="C375" s="1" t="s">
        <v>1270</v>
      </c>
      <c r="D375" s="10">
        <f>SUMIFS(OPBQList,OPBIList,Table_ExternalData_17[[#This Row],[item_key]])+SUMIFS(GQList,GIList,Table_ExternalData_17[[#This Row],[item_key]],GDList,0)-ABS(SUMIFS(IsQList,IsIList,Table_ExternalData_17[[#This Row],[item_key]],IsDList,0))</f>
        <v>1148</v>
      </c>
      <c r="E375" s="10">
        <f>SUMIFS(GQList,GIList,Table_ExternalData_17[[#This Row],[item_key]],GTList,Table_ExternalData_17[[#Headers],[GRN]],GDList,"&lt;&gt;"&amp;0)</f>
        <v>0</v>
      </c>
      <c r="F375" s="10">
        <f>SUMIFS(GQList,GIList,Table_ExternalData_17[[#This Row],[item_key]],GTList,Table_ExternalData_17[[#Headers],[VSTR]],GDList,"&lt;&gt;"&amp;0)</f>
        <v>0</v>
      </c>
      <c r="G375" s="10">
        <f>SUMIFS(GQList,GIList,Table_ExternalData_17[[#This Row],[item_key]],GTList,Table_ExternalData_17[[#Headers],[SR]],GDList,"&lt;&gt;"&amp;0)</f>
        <v>0</v>
      </c>
      <c r="H375" s="10">
        <f>SUMIFS(GQList,GIList,Table_ExternalData_17[[#This Row],[item_key]],GTList,Table_ExternalData_17[[#Headers],[TR]],GDList,"&lt;&gt;"&amp;0)</f>
        <v>0</v>
      </c>
      <c r="I375" s="10">
        <f>SUMIFS(GQList,GIList,Table_ExternalData_17[[#This Row],[item_key]],GTList,Table_ExternalData_17[[#Headers],[RCA]],GDList,"&lt;&gt;"&amp;0)</f>
        <v>0</v>
      </c>
      <c r="J375" s="10">
        <f>SUM(Table_ExternalData_17[[#This Row],[GRN]]+Table_ExternalData_17[[#This Row],[VSTR]]+Table_ExternalData_17[[#This Row],[SR]]+Table_ExternalData_17[[#This Row],[TR]]+Table_ExternalData_17[[#This Row],[RCA]])</f>
        <v>0</v>
      </c>
      <c r="K375" s="10">
        <f>SUMIFS(IsQList,IsIList,Table_ExternalData_17[[#This Row],[item_key]],IsITypeList,Table_ExternalData_17[[#Headers],[R/P]],IsDList,"&lt;&gt;"&amp;0)</f>
        <v>0</v>
      </c>
      <c r="L375" s="10">
        <f>SUMIFS(IsQList,IsIList,Table_ExternalData_17[[#This Row],[item_key]],IsITypeList,Table_ExternalData_17[[#Headers],[CST]],IsDList,"&lt;&gt;"&amp;0)</f>
        <v>0</v>
      </c>
      <c r="M375" s="10">
        <f>SUMIFS(IsQList,IsIList,Table_ExternalData_15[[#This Row],[item_key]],IsITypeList,Table_ExternalData_17[[#Headers],[S/I]],IsDList,"&lt;&gt;"&amp;0)</f>
        <v>189</v>
      </c>
      <c r="N375" s="10">
        <f>SUMIFS(IsQList,IsIList,Table_ExternalData_15[[#This Row],[item_key]],IsITypeList,Table_ExternalData_17[[#Headers],[VST]],IsDList,"&lt;&gt;"&amp;0)</f>
        <v>0</v>
      </c>
      <c r="O375" s="10">
        <f>ABS(SUMIFS(IsQList,IsIList,Table_ExternalData_17[[#This Row],[item_key]],IsITypeList,Table_ExternalData_17[[#Headers],[RTN]],IsDList,"&lt;&gt;"&amp;0))</f>
        <v>0</v>
      </c>
      <c r="P375" s="10">
        <f>SUM(Table_ExternalData_17[[#This Row],[R/P]:[RTN]])</f>
        <v>189</v>
      </c>
      <c r="Q375" s="10">
        <f>SUM((Table_ExternalData_17[[#This Row],[Opening]]+Table_ExternalData_17[[#This Row],[Total Receipt]])-ABS(Table_ExternalData_17[[#This Row],[Total Issue]]))</f>
        <v>959</v>
      </c>
    </row>
    <row r="376" spans="1:17">
      <c r="A376" s="1" t="s">
        <v>1000</v>
      </c>
      <c r="B376" s="1" t="s">
        <v>1493</v>
      </c>
      <c r="C376" s="1" t="s">
        <v>1494</v>
      </c>
      <c r="D376" s="10">
        <f>SUMIFS(OPBQList,OPBIList,Table_ExternalData_17[[#This Row],[item_key]])+SUMIFS(GQList,GIList,Table_ExternalData_17[[#This Row],[item_key]],GDList,0)-ABS(SUMIFS(IsQList,IsIList,Table_ExternalData_17[[#This Row],[item_key]],IsDList,0))</f>
        <v>89</v>
      </c>
      <c r="E376" s="10">
        <f>SUMIFS(GQList,GIList,Table_ExternalData_17[[#This Row],[item_key]],GTList,Table_ExternalData_17[[#Headers],[GRN]],GDList,"&lt;&gt;"&amp;0)</f>
        <v>0</v>
      </c>
      <c r="F376" s="10">
        <f>SUMIFS(GQList,GIList,Table_ExternalData_17[[#This Row],[item_key]],GTList,Table_ExternalData_17[[#Headers],[VSTR]],GDList,"&lt;&gt;"&amp;0)</f>
        <v>0</v>
      </c>
      <c r="G376" s="10">
        <f>SUMIFS(GQList,GIList,Table_ExternalData_17[[#This Row],[item_key]],GTList,Table_ExternalData_17[[#Headers],[SR]],GDList,"&lt;&gt;"&amp;0)</f>
        <v>0</v>
      </c>
      <c r="H376" s="10">
        <f>SUMIFS(GQList,GIList,Table_ExternalData_17[[#This Row],[item_key]],GTList,Table_ExternalData_17[[#Headers],[TR]],GDList,"&lt;&gt;"&amp;0)</f>
        <v>0</v>
      </c>
      <c r="I376" s="10">
        <f>SUMIFS(GQList,GIList,Table_ExternalData_17[[#This Row],[item_key]],GTList,Table_ExternalData_17[[#Headers],[RCA]],GDList,"&lt;&gt;"&amp;0)</f>
        <v>0</v>
      </c>
      <c r="J376" s="10">
        <f>SUM(Table_ExternalData_17[[#This Row],[GRN]]+Table_ExternalData_17[[#This Row],[VSTR]]+Table_ExternalData_17[[#This Row],[SR]]+Table_ExternalData_17[[#This Row],[TR]]+Table_ExternalData_17[[#This Row],[RCA]])</f>
        <v>0</v>
      </c>
      <c r="K376" s="10">
        <f>SUMIFS(IsQList,IsIList,Table_ExternalData_17[[#This Row],[item_key]],IsITypeList,Table_ExternalData_17[[#Headers],[R/P]],IsDList,"&lt;&gt;"&amp;0)</f>
        <v>0</v>
      </c>
      <c r="L376" s="10">
        <f>SUMIFS(IsQList,IsIList,Table_ExternalData_17[[#This Row],[item_key]],IsITypeList,Table_ExternalData_17[[#Headers],[CST]],IsDList,"&lt;&gt;"&amp;0)</f>
        <v>0</v>
      </c>
      <c r="M376" s="10">
        <f>SUMIFS(IsQList,IsIList,Table_ExternalData_15[[#This Row],[item_key]],IsITypeList,Table_ExternalData_17[[#Headers],[S/I]],IsDList,"&lt;&gt;"&amp;0)</f>
        <v>30</v>
      </c>
      <c r="N376" s="10">
        <f>SUMIFS(IsQList,IsIList,Table_ExternalData_15[[#This Row],[item_key]],IsITypeList,Table_ExternalData_17[[#Headers],[VST]],IsDList,"&lt;&gt;"&amp;0)</f>
        <v>0</v>
      </c>
      <c r="O376" s="10">
        <f>ABS(SUMIFS(IsQList,IsIList,Table_ExternalData_17[[#This Row],[item_key]],IsITypeList,Table_ExternalData_17[[#Headers],[RTN]],IsDList,"&lt;&gt;"&amp;0))</f>
        <v>0</v>
      </c>
      <c r="P376" s="10">
        <f>SUM(Table_ExternalData_17[[#This Row],[R/P]:[RTN]])</f>
        <v>30</v>
      </c>
      <c r="Q376" s="10">
        <f>SUM((Table_ExternalData_17[[#This Row],[Opening]]+Table_ExternalData_17[[#This Row],[Total Receipt]])-ABS(Table_ExternalData_17[[#This Row],[Total Issue]]))</f>
        <v>59</v>
      </c>
    </row>
    <row r="377" spans="1:17">
      <c r="A377" s="1" t="s">
        <v>1010</v>
      </c>
      <c r="B377" s="1" t="s">
        <v>1495</v>
      </c>
      <c r="C377" s="1" t="s">
        <v>1371</v>
      </c>
      <c r="D377" s="10">
        <f>SUMIFS(OPBQList,OPBIList,Table_ExternalData_17[[#This Row],[item_key]])+SUMIFS(GQList,GIList,Table_ExternalData_17[[#This Row],[item_key]],GDList,0)-ABS(SUMIFS(IsQList,IsIList,Table_ExternalData_17[[#This Row],[item_key]],IsDList,0))</f>
        <v>25</v>
      </c>
      <c r="E377" s="10">
        <f>SUMIFS(GQList,GIList,Table_ExternalData_17[[#This Row],[item_key]],GTList,Table_ExternalData_17[[#Headers],[GRN]],GDList,"&lt;&gt;"&amp;0)</f>
        <v>0</v>
      </c>
      <c r="F377" s="10">
        <f>SUMIFS(GQList,GIList,Table_ExternalData_17[[#This Row],[item_key]],GTList,Table_ExternalData_17[[#Headers],[VSTR]],GDList,"&lt;&gt;"&amp;0)</f>
        <v>0</v>
      </c>
      <c r="G377" s="10">
        <f>SUMIFS(GQList,GIList,Table_ExternalData_17[[#This Row],[item_key]],GTList,Table_ExternalData_17[[#Headers],[SR]],GDList,"&lt;&gt;"&amp;0)</f>
        <v>0</v>
      </c>
      <c r="H377" s="10">
        <f>SUMIFS(GQList,GIList,Table_ExternalData_17[[#This Row],[item_key]],GTList,Table_ExternalData_17[[#Headers],[TR]],GDList,"&lt;&gt;"&amp;0)</f>
        <v>0</v>
      </c>
      <c r="I377" s="10">
        <f>SUMIFS(GQList,GIList,Table_ExternalData_17[[#This Row],[item_key]],GTList,Table_ExternalData_17[[#Headers],[RCA]],GDList,"&lt;&gt;"&amp;0)</f>
        <v>0</v>
      </c>
      <c r="J377" s="10">
        <f>SUM(Table_ExternalData_17[[#This Row],[GRN]]+Table_ExternalData_17[[#This Row],[VSTR]]+Table_ExternalData_17[[#This Row],[SR]]+Table_ExternalData_17[[#This Row],[TR]]+Table_ExternalData_17[[#This Row],[RCA]])</f>
        <v>0</v>
      </c>
      <c r="K377" s="10">
        <f>SUMIFS(IsQList,IsIList,Table_ExternalData_17[[#This Row],[item_key]],IsITypeList,Table_ExternalData_17[[#Headers],[R/P]],IsDList,"&lt;&gt;"&amp;0)</f>
        <v>0</v>
      </c>
      <c r="L377" s="10">
        <f>SUMIFS(IsQList,IsIList,Table_ExternalData_17[[#This Row],[item_key]],IsITypeList,Table_ExternalData_17[[#Headers],[CST]],IsDList,"&lt;&gt;"&amp;0)</f>
        <v>0</v>
      </c>
      <c r="M377" s="10">
        <f>SUMIFS(IsQList,IsIList,Table_ExternalData_15[[#This Row],[item_key]],IsITypeList,Table_ExternalData_17[[#Headers],[S/I]],IsDList,"&lt;&gt;"&amp;0)</f>
        <v>10</v>
      </c>
      <c r="N377" s="10">
        <f>SUMIFS(IsQList,IsIList,Table_ExternalData_15[[#This Row],[item_key]],IsITypeList,Table_ExternalData_17[[#Headers],[VST]],IsDList,"&lt;&gt;"&amp;0)</f>
        <v>0</v>
      </c>
      <c r="O377" s="10">
        <f>ABS(SUMIFS(IsQList,IsIList,Table_ExternalData_17[[#This Row],[item_key]],IsITypeList,Table_ExternalData_17[[#Headers],[RTN]],IsDList,"&lt;&gt;"&amp;0))</f>
        <v>0</v>
      </c>
      <c r="P377" s="10">
        <f>SUM(Table_ExternalData_17[[#This Row],[R/P]:[RTN]])</f>
        <v>10</v>
      </c>
      <c r="Q377" s="10">
        <f>SUM((Table_ExternalData_17[[#This Row],[Opening]]+Table_ExternalData_17[[#This Row],[Total Receipt]])-ABS(Table_ExternalData_17[[#This Row],[Total Issue]]))</f>
        <v>15</v>
      </c>
    </row>
    <row r="378" spans="1:17">
      <c r="A378" s="1" t="s">
        <v>1011</v>
      </c>
      <c r="B378" s="1" t="s">
        <v>1496</v>
      </c>
      <c r="C378" s="1" t="s">
        <v>1497</v>
      </c>
      <c r="D378" s="10">
        <f>SUMIFS(OPBQList,OPBIList,Table_ExternalData_17[[#This Row],[item_key]])+SUMIFS(GQList,GIList,Table_ExternalData_17[[#This Row],[item_key]],GDList,0)-ABS(SUMIFS(IsQList,IsIList,Table_ExternalData_17[[#This Row],[item_key]],IsDList,0))</f>
        <v>164</v>
      </c>
      <c r="E378" s="10">
        <f>SUMIFS(GQList,GIList,Table_ExternalData_17[[#This Row],[item_key]],GTList,Table_ExternalData_17[[#Headers],[GRN]],GDList,"&lt;&gt;"&amp;0)</f>
        <v>0</v>
      </c>
      <c r="F378" s="10">
        <f>SUMIFS(GQList,GIList,Table_ExternalData_17[[#This Row],[item_key]],GTList,Table_ExternalData_17[[#Headers],[VSTR]],GDList,"&lt;&gt;"&amp;0)</f>
        <v>0</v>
      </c>
      <c r="G378" s="10">
        <f>SUMIFS(GQList,GIList,Table_ExternalData_17[[#This Row],[item_key]],GTList,Table_ExternalData_17[[#Headers],[SR]],GDList,"&lt;&gt;"&amp;0)</f>
        <v>0</v>
      </c>
      <c r="H378" s="10">
        <f>SUMIFS(GQList,GIList,Table_ExternalData_17[[#This Row],[item_key]],GTList,Table_ExternalData_17[[#Headers],[TR]],GDList,"&lt;&gt;"&amp;0)</f>
        <v>0</v>
      </c>
      <c r="I378" s="10">
        <f>SUMIFS(GQList,GIList,Table_ExternalData_17[[#This Row],[item_key]],GTList,Table_ExternalData_17[[#Headers],[RCA]],GDList,"&lt;&gt;"&amp;0)</f>
        <v>0</v>
      </c>
      <c r="J378" s="10">
        <f>SUM(Table_ExternalData_17[[#This Row],[GRN]]+Table_ExternalData_17[[#This Row],[VSTR]]+Table_ExternalData_17[[#This Row],[SR]]+Table_ExternalData_17[[#This Row],[TR]]+Table_ExternalData_17[[#This Row],[RCA]])</f>
        <v>0</v>
      </c>
      <c r="K378" s="10">
        <f>SUMIFS(IsQList,IsIList,Table_ExternalData_17[[#This Row],[item_key]],IsITypeList,Table_ExternalData_17[[#Headers],[R/P]],IsDList,"&lt;&gt;"&amp;0)</f>
        <v>0</v>
      </c>
      <c r="L378" s="10">
        <f>SUMIFS(IsQList,IsIList,Table_ExternalData_17[[#This Row],[item_key]],IsITypeList,Table_ExternalData_17[[#Headers],[CST]],IsDList,"&lt;&gt;"&amp;0)</f>
        <v>0</v>
      </c>
      <c r="M378" s="10">
        <f>SUMIFS(IsQList,IsIList,Table_ExternalData_15[[#This Row],[item_key]],IsITypeList,Table_ExternalData_17[[#Headers],[S/I]],IsDList,"&lt;&gt;"&amp;0)</f>
        <v>10</v>
      </c>
      <c r="N378" s="10">
        <f>SUMIFS(IsQList,IsIList,Table_ExternalData_15[[#This Row],[item_key]],IsITypeList,Table_ExternalData_17[[#Headers],[VST]],IsDList,"&lt;&gt;"&amp;0)</f>
        <v>0</v>
      </c>
      <c r="O378" s="10">
        <f>ABS(SUMIFS(IsQList,IsIList,Table_ExternalData_17[[#This Row],[item_key]],IsITypeList,Table_ExternalData_17[[#Headers],[RTN]],IsDList,"&lt;&gt;"&amp;0))</f>
        <v>0</v>
      </c>
      <c r="P378" s="10">
        <f>SUM(Table_ExternalData_17[[#This Row],[R/P]:[RTN]])</f>
        <v>10</v>
      </c>
      <c r="Q378" s="10">
        <f>SUM((Table_ExternalData_17[[#This Row],[Opening]]+Table_ExternalData_17[[#This Row],[Total Receipt]])-ABS(Table_ExternalData_17[[#This Row],[Total Issue]]))</f>
        <v>154</v>
      </c>
    </row>
    <row r="379" spans="1:17">
      <c r="A379" s="1" t="s">
        <v>1012</v>
      </c>
      <c r="B379" s="1" t="s">
        <v>2775</v>
      </c>
      <c r="C379" s="1" t="s">
        <v>2776</v>
      </c>
      <c r="D379" s="10">
        <f>SUMIFS(OPBQList,OPBIList,Table_ExternalData_17[[#This Row],[item_key]])+SUMIFS(GQList,GIList,Table_ExternalData_17[[#This Row],[item_key]],GDList,0)-ABS(SUMIFS(IsQList,IsIList,Table_ExternalData_17[[#This Row],[item_key]],IsDList,0))</f>
        <v>10</v>
      </c>
      <c r="E379" s="10">
        <f>SUMIFS(GQList,GIList,Table_ExternalData_17[[#This Row],[item_key]],GTList,Table_ExternalData_17[[#Headers],[GRN]],GDList,"&lt;&gt;"&amp;0)</f>
        <v>0</v>
      </c>
      <c r="F379" s="10">
        <f>SUMIFS(GQList,GIList,Table_ExternalData_17[[#This Row],[item_key]],GTList,Table_ExternalData_17[[#Headers],[VSTR]],GDList,"&lt;&gt;"&amp;0)</f>
        <v>0</v>
      </c>
      <c r="G379" s="10">
        <f>SUMIFS(GQList,GIList,Table_ExternalData_17[[#This Row],[item_key]],GTList,Table_ExternalData_17[[#Headers],[SR]],GDList,"&lt;&gt;"&amp;0)</f>
        <v>0</v>
      </c>
      <c r="H379" s="10">
        <f>SUMIFS(GQList,GIList,Table_ExternalData_17[[#This Row],[item_key]],GTList,Table_ExternalData_17[[#Headers],[TR]],GDList,"&lt;&gt;"&amp;0)</f>
        <v>0</v>
      </c>
      <c r="I379" s="10">
        <f>SUMIFS(GQList,GIList,Table_ExternalData_17[[#This Row],[item_key]],GTList,Table_ExternalData_17[[#Headers],[RCA]],GDList,"&lt;&gt;"&amp;0)</f>
        <v>0</v>
      </c>
      <c r="J379" s="10">
        <f>SUM(Table_ExternalData_17[[#This Row],[GRN]]+Table_ExternalData_17[[#This Row],[VSTR]]+Table_ExternalData_17[[#This Row],[SR]]+Table_ExternalData_17[[#This Row],[TR]]+Table_ExternalData_17[[#This Row],[RCA]])</f>
        <v>0</v>
      </c>
      <c r="K379" s="10">
        <f>SUMIFS(IsQList,IsIList,Table_ExternalData_17[[#This Row],[item_key]],IsITypeList,Table_ExternalData_17[[#Headers],[R/P]],IsDList,"&lt;&gt;"&amp;0)</f>
        <v>0</v>
      </c>
      <c r="L379" s="10">
        <f>SUMIFS(IsQList,IsIList,Table_ExternalData_17[[#This Row],[item_key]],IsITypeList,Table_ExternalData_17[[#Headers],[CST]],IsDList,"&lt;&gt;"&amp;0)</f>
        <v>0</v>
      </c>
      <c r="M379" s="10">
        <f>SUMIFS(IsQList,IsIList,Table_ExternalData_15[[#This Row],[item_key]],IsITypeList,Table_ExternalData_17[[#Headers],[S/I]],IsDList,"&lt;&gt;"&amp;0)</f>
        <v>0</v>
      </c>
      <c r="N379" s="10">
        <f>SUMIFS(IsQList,IsIList,Table_ExternalData_15[[#This Row],[item_key]],IsITypeList,Table_ExternalData_17[[#Headers],[VST]],IsDList,"&lt;&gt;"&amp;0)</f>
        <v>0</v>
      </c>
      <c r="O379" s="10">
        <f>ABS(SUMIFS(IsQList,IsIList,Table_ExternalData_17[[#This Row],[item_key]],IsITypeList,Table_ExternalData_17[[#Headers],[RTN]],IsDList,"&lt;&gt;"&amp;0))</f>
        <v>0</v>
      </c>
      <c r="P379" s="10">
        <f>SUM(Table_ExternalData_17[[#This Row],[R/P]:[RTN]])</f>
        <v>0</v>
      </c>
      <c r="Q379" s="10">
        <f>SUM((Table_ExternalData_17[[#This Row],[Opening]]+Table_ExternalData_17[[#This Row],[Total Receipt]])-ABS(Table_ExternalData_17[[#This Row],[Total Issue]]))</f>
        <v>10</v>
      </c>
    </row>
    <row r="380" spans="1:17">
      <c r="A380" s="1" t="s">
        <v>1013</v>
      </c>
      <c r="B380" s="1" t="s">
        <v>1498</v>
      </c>
      <c r="C380" s="1" t="s">
        <v>1499</v>
      </c>
      <c r="D380" s="10">
        <f>SUMIFS(OPBQList,OPBIList,Table_ExternalData_17[[#This Row],[item_key]])+SUMIFS(GQList,GIList,Table_ExternalData_17[[#This Row],[item_key]],GDList,0)-ABS(SUMIFS(IsQList,IsIList,Table_ExternalData_17[[#This Row],[item_key]],IsDList,0))</f>
        <v>190</v>
      </c>
      <c r="E380" s="10">
        <f>SUMIFS(GQList,GIList,Table_ExternalData_17[[#This Row],[item_key]],GTList,Table_ExternalData_17[[#Headers],[GRN]],GDList,"&lt;&gt;"&amp;0)</f>
        <v>0</v>
      </c>
      <c r="F380" s="10">
        <f>SUMIFS(GQList,GIList,Table_ExternalData_17[[#This Row],[item_key]],GTList,Table_ExternalData_17[[#Headers],[VSTR]],GDList,"&lt;&gt;"&amp;0)</f>
        <v>0</v>
      </c>
      <c r="G380" s="10">
        <f>SUMIFS(GQList,GIList,Table_ExternalData_17[[#This Row],[item_key]],GTList,Table_ExternalData_17[[#Headers],[SR]],GDList,"&lt;&gt;"&amp;0)</f>
        <v>0</v>
      </c>
      <c r="H380" s="10">
        <f>SUMIFS(GQList,GIList,Table_ExternalData_17[[#This Row],[item_key]],GTList,Table_ExternalData_17[[#Headers],[TR]],GDList,"&lt;&gt;"&amp;0)</f>
        <v>0</v>
      </c>
      <c r="I380" s="10">
        <f>SUMIFS(GQList,GIList,Table_ExternalData_17[[#This Row],[item_key]],GTList,Table_ExternalData_17[[#Headers],[RCA]],GDList,"&lt;&gt;"&amp;0)</f>
        <v>0</v>
      </c>
      <c r="J380" s="10">
        <f>SUM(Table_ExternalData_17[[#This Row],[GRN]]+Table_ExternalData_17[[#This Row],[VSTR]]+Table_ExternalData_17[[#This Row],[SR]]+Table_ExternalData_17[[#This Row],[TR]]+Table_ExternalData_17[[#This Row],[RCA]])</f>
        <v>0</v>
      </c>
      <c r="K380" s="10">
        <f>SUMIFS(IsQList,IsIList,Table_ExternalData_17[[#This Row],[item_key]],IsITypeList,Table_ExternalData_17[[#Headers],[R/P]],IsDList,"&lt;&gt;"&amp;0)</f>
        <v>0</v>
      </c>
      <c r="L380" s="10">
        <f>SUMIFS(IsQList,IsIList,Table_ExternalData_17[[#This Row],[item_key]],IsITypeList,Table_ExternalData_17[[#Headers],[CST]],IsDList,"&lt;&gt;"&amp;0)</f>
        <v>0</v>
      </c>
      <c r="M380" s="10">
        <f>SUMIFS(IsQList,IsIList,Table_ExternalData_15[[#This Row],[item_key]],IsITypeList,Table_ExternalData_17[[#Headers],[S/I]],IsDList,"&lt;&gt;"&amp;0)</f>
        <v>0</v>
      </c>
      <c r="N380" s="10">
        <f>SUMIFS(IsQList,IsIList,Table_ExternalData_15[[#This Row],[item_key]],IsITypeList,Table_ExternalData_17[[#Headers],[VST]],IsDList,"&lt;&gt;"&amp;0)</f>
        <v>0</v>
      </c>
      <c r="O380" s="10">
        <f>ABS(SUMIFS(IsQList,IsIList,Table_ExternalData_17[[#This Row],[item_key]],IsITypeList,Table_ExternalData_17[[#Headers],[RTN]],IsDList,"&lt;&gt;"&amp;0))</f>
        <v>0</v>
      </c>
      <c r="P380" s="10">
        <f>SUM(Table_ExternalData_17[[#This Row],[R/P]:[RTN]])</f>
        <v>0</v>
      </c>
      <c r="Q380" s="10">
        <f>SUM((Table_ExternalData_17[[#This Row],[Opening]]+Table_ExternalData_17[[#This Row],[Total Receipt]])-ABS(Table_ExternalData_17[[#This Row],[Total Issue]]))</f>
        <v>190</v>
      </c>
    </row>
    <row r="381" spans="1:17">
      <c r="A381" s="1" t="s">
        <v>1014</v>
      </c>
      <c r="B381" s="1" t="s">
        <v>1500</v>
      </c>
      <c r="C381" s="1" t="s">
        <v>1501</v>
      </c>
      <c r="D381" s="10">
        <f>SUMIFS(OPBQList,OPBIList,Table_ExternalData_17[[#This Row],[item_key]])+SUMIFS(GQList,GIList,Table_ExternalData_17[[#This Row],[item_key]],GDList,0)-ABS(SUMIFS(IsQList,IsIList,Table_ExternalData_17[[#This Row],[item_key]],IsDList,0))</f>
        <v>378</v>
      </c>
      <c r="E381" s="10">
        <f>SUMIFS(GQList,GIList,Table_ExternalData_17[[#This Row],[item_key]],GTList,Table_ExternalData_17[[#Headers],[GRN]],GDList,"&lt;&gt;"&amp;0)</f>
        <v>0</v>
      </c>
      <c r="F381" s="10">
        <f>SUMIFS(GQList,GIList,Table_ExternalData_17[[#This Row],[item_key]],GTList,Table_ExternalData_17[[#Headers],[VSTR]],GDList,"&lt;&gt;"&amp;0)</f>
        <v>0</v>
      </c>
      <c r="G381" s="10">
        <f>SUMIFS(GQList,GIList,Table_ExternalData_17[[#This Row],[item_key]],GTList,Table_ExternalData_17[[#Headers],[SR]],GDList,"&lt;&gt;"&amp;0)</f>
        <v>0</v>
      </c>
      <c r="H381" s="10">
        <f>SUMIFS(GQList,GIList,Table_ExternalData_17[[#This Row],[item_key]],GTList,Table_ExternalData_17[[#Headers],[TR]],GDList,"&lt;&gt;"&amp;0)</f>
        <v>0</v>
      </c>
      <c r="I381" s="10">
        <f>SUMIFS(GQList,GIList,Table_ExternalData_17[[#This Row],[item_key]],GTList,Table_ExternalData_17[[#Headers],[RCA]],GDList,"&lt;&gt;"&amp;0)</f>
        <v>0</v>
      </c>
      <c r="J381" s="10">
        <f>SUM(Table_ExternalData_17[[#This Row],[GRN]]+Table_ExternalData_17[[#This Row],[VSTR]]+Table_ExternalData_17[[#This Row],[SR]]+Table_ExternalData_17[[#This Row],[TR]]+Table_ExternalData_17[[#This Row],[RCA]])</f>
        <v>0</v>
      </c>
      <c r="K381" s="10">
        <f>SUMIFS(IsQList,IsIList,Table_ExternalData_17[[#This Row],[item_key]],IsITypeList,Table_ExternalData_17[[#Headers],[R/P]],IsDList,"&lt;&gt;"&amp;0)</f>
        <v>0</v>
      </c>
      <c r="L381" s="10">
        <f>SUMIFS(IsQList,IsIList,Table_ExternalData_17[[#This Row],[item_key]],IsITypeList,Table_ExternalData_17[[#Headers],[CST]],IsDList,"&lt;&gt;"&amp;0)</f>
        <v>0</v>
      </c>
      <c r="M381" s="10">
        <f>SUMIFS(IsQList,IsIList,Table_ExternalData_15[[#This Row],[item_key]],IsITypeList,Table_ExternalData_17[[#Headers],[S/I]],IsDList,"&lt;&gt;"&amp;0)</f>
        <v>6</v>
      </c>
      <c r="N381" s="10">
        <f>SUMIFS(IsQList,IsIList,Table_ExternalData_15[[#This Row],[item_key]],IsITypeList,Table_ExternalData_17[[#Headers],[VST]],IsDList,"&lt;&gt;"&amp;0)</f>
        <v>0</v>
      </c>
      <c r="O381" s="10">
        <f>ABS(SUMIFS(IsQList,IsIList,Table_ExternalData_17[[#This Row],[item_key]],IsITypeList,Table_ExternalData_17[[#Headers],[RTN]],IsDList,"&lt;&gt;"&amp;0))</f>
        <v>0</v>
      </c>
      <c r="P381" s="10">
        <f>SUM(Table_ExternalData_17[[#This Row],[R/P]:[RTN]])</f>
        <v>6</v>
      </c>
      <c r="Q381" s="10">
        <f>SUM((Table_ExternalData_17[[#This Row],[Opening]]+Table_ExternalData_17[[#This Row],[Total Receipt]])-ABS(Table_ExternalData_17[[#This Row],[Total Issue]]))</f>
        <v>372</v>
      </c>
    </row>
    <row r="382" spans="1:17">
      <c r="A382" s="1" t="s">
        <v>1015</v>
      </c>
      <c r="B382" s="1" t="s">
        <v>1502</v>
      </c>
      <c r="C382" s="1" t="s">
        <v>1503</v>
      </c>
      <c r="D382" s="10">
        <f>SUMIFS(OPBQList,OPBIList,Table_ExternalData_17[[#This Row],[item_key]])+SUMIFS(GQList,GIList,Table_ExternalData_17[[#This Row],[item_key]],GDList,0)-ABS(SUMIFS(IsQList,IsIList,Table_ExternalData_17[[#This Row],[item_key]],IsDList,0))</f>
        <v>91</v>
      </c>
      <c r="E382" s="10">
        <f>SUMIFS(GQList,GIList,Table_ExternalData_17[[#This Row],[item_key]],GTList,Table_ExternalData_17[[#Headers],[GRN]],GDList,"&lt;&gt;"&amp;0)</f>
        <v>0</v>
      </c>
      <c r="F382" s="10">
        <f>SUMIFS(GQList,GIList,Table_ExternalData_17[[#This Row],[item_key]],GTList,Table_ExternalData_17[[#Headers],[VSTR]],GDList,"&lt;&gt;"&amp;0)</f>
        <v>0</v>
      </c>
      <c r="G382" s="10">
        <f>SUMIFS(GQList,GIList,Table_ExternalData_17[[#This Row],[item_key]],GTList,Table_ExternalData_17[[#Headers],[SR]],GDList,"&lt;&gt;"&amp;0)</f>
        <v>0</v>
      </c>
      <c r="H382" s="10">
        <f>SUMIFS(GQList,GIList,Table_ExternalData_17[[#This Row],[item_key]],GTList,Table_ExternalData_17[[#Headers],[TR]],GDList,"&lt;&gt;"&amp;0)</f>
        <v>0</v>
      </c>
      <c r="I382" s="10">
        <f>SUMIFS(GQList,GIList,Table_ExternalData_17[[#This Row],[item_key]],GTList,Table_ExternalData_17[[#Headers],[RCA]],GDList,"&lt;&gt;"&amp;0)</f>
        <v>0</v>
      </c>
      <c r="J382" s="10">
        <f>SUM(Table_ExternalData_17[[#This Row],[GRN]]+Table_ExternalData_17[[#This Row],[VSTR]]+Table_ExternalData_17[[#This Row],[SR]]+Table_ExternalData_17[[#This Row],[TR]]+Table_ExternalData_17[[#This Row],[RCA]])</f>
        <v>0</v>
      </c>
      <c r="K382" s="10">
        <f>SUMIFS(IsQList,IsIList,Table_ExternalData_17[[#This Row],[item_key]],IsITypeList,Table_ExternalData_17[[#Headers],[R/P]],IsDList,"&lt;&gt;"&amp;0)</f>
        <v>0</v>
      </c>
      <c r="L382" s="10">
        <f>SUMIFS(IsQList,IsIList,Table_ExternalData_17[[#This Row],[item_key]],IsITypeList,Table_ExternalData_17[[#Headers],[CST]],IsDList,"&lt;&gt;"&amp;0)</f>
        <v>0</v>
      </c>
      <c r="M382" s="10">
        <f>SUMIFS(IsQList,IsIList,Table_ExternalData_15[[#This Row],[item_key]],IsITypeList,Table_ExternalData_17[[#Headers],[S/I]],IsDList,"&lt;&gt;"&amp;0)</f>
        <v>6</v>
      </c>
      <c r="N382" s="10">
        <f>SUMIFS(IsQList,IsIList,Table_ExternalData_15[[#This Row],[item_key]],IsITypeList,Table_ExternalData_17[[#Headers],[VST]],IsDList,"&lt;&gt;"&amp;0)</f>
        <v>0</v>
      </c>
      <c r="O382" s="10">
        <f>ABS(SUMIFS(IsQList,IsIList,Table_ExternalData_17[[#This Row],[item_key]],IsITypeList,Table_ExternalData_17[[#Headers],[RTN]],IsDList,"&lt;&gt;"&amp;0))</f>
        <v>0</v>
      </c>
      <c r="P382" s="10">
        <f>SUM(Table_ExternalData_17[[#This Row],[R/P]:[RTN]])</f>
        <v>6</v>
      </c>
      <c r="Q382" s="10">
        <f>SUM((Table_ExternalData_17[[#This Row],[Opening]]+Table_ExternalData_17[[#This Row],[Total Receipt]])-ABS(Table_ExternalData_17[[#This Row],[Total Issue]]))</f>
        <v>85</v>
      </c>
    </row>
    <row r="383" spans="1:17">
      <c r="A383" s="1" t="s">
        <v>2175</v>
      </c>
      <c r="B383" s="1" t="s">
        <v>2777</v>
      </c>
      <c r="C383" s="1" t="s">
        <v>2502</v>
      </c>
      <c r="D383" s="10">
        <f>SUMIFS(OPBQList,OPBIList,Table_ExternalData_17[[#This Row],[item_key]])+SUMIFS(GQList,GIList,Table_ExternalData_17[[#This Row],[item_key]],GDList,0)-ABS(SUMIFS(IsQList,IsIList,Table_ExternalData_17[[#This Row],[item_key]],IsDList,0))</f>
        <v>616</v>
      </c>
      <c r="E383" s="10">
        <f>SUMIFS(GQList,GIList,Table_ExternalData_17[[#This Row],[item_key]],GTList,Table_ExternalData_17[[#Headers],[GRN]],GDList,"&lt;&gt;"&amp;0)</f>
        <v>0</v>
      </c>
      <c r="F383" s="10">
        <f>SUMIFS(GQList,GIList,Table_ExternalData_17[[#This Row],[item_key]],GTList,Table_ExternalData_17[[#Headers],[VSTR]],GDList,"&lt;&gt;"&amp;0)</f>
        <v>0</v>
      </c>
      <c r="G383" s="10">
        <f>SUMIFS(GQList,GIList,Table_ExternalData_17[[#This Row],[item_key]],GTList,Table_ExternalData_17[[#Headers],[SR]],GDList,"&lt;&gt;"&amp;0)</f>
        <v>0</v>
      </c>
      <c r="H383" s="10">
        <f>SUMIFS(GQList,GIList,Table_ExternalData_17[[#This Row],[item_key]],GTList,Table_ExternalData_17[[#Headers],[TR]],GDList,"&lt;&gt;"&amp;0)</f>
        <v>0</v>
      </c>
      <c r="I383" s="10">
        <f>SUMIFS(GQList,GIList,Table_ExternalData_17[[#This Row],[item_key]],GTList,Table_ExternalData_17[[#Headers],[RCA]],GDList,"&lt;&gt;"&amp;0)</f>
        <v>0</v>
      </c>
      <c r="J383" s="10">
        <f>SUM(Table_ExternalData_17[[#This Row],[GRN]]+Table_ExternalData_17[[#This Row],[VSTR]]+Table_ExternalData_17[[#This Row],[SR]]+Table_ExternalData_17[[#This Row],[TR]]+Table_ExternalData_17[[#This Row],[RCA]])</f>
        <v>0</v>
      </c>
      <c r="K383" s="10">
        <f>SUMIFS(IsQList,IsIList,Table_ExternalData_17[[#This Row],[item_key]],IsITypeList,Table_ExternalData_17[[#Headers],[R/P]],IsDList,"&lt;&gt;"&amp;0)</f>
        <v>0</v>
      </c>
      <c r="L383" s="10">
        <f>SUMIFS(IsQList,IsIList,Table_ExternalData_17[[#This Row],[item_key]],IsITypeList,Table_ExternalData_17[[#Headers],[CST]],IsDList,"&lt;&gt;"&amp;0)</f>
        <v>0</v>
      </c>
      <c r="M383" s="10">
        <f>SUMIFS(IsQList,IsIList,Table_ExternalData_15[[#This Row],[item_key]],IsITypeList,Table_ExternalData_17[[#Headers],[S/I]],IsDList,"&lt;&gt;"&amp;0)</f>
        <v>7</v>
      </c>
      <c r="N383" s="10">
        <f>SUMIFS(IsQList,IsIList,Table_ExternalData_15[[#This Row],[item_key]],IsITypeList,Table_ExternalData_17[[#Headers],[VST]],IsDList,"&lt;&gt;"&amp;0)</f>
        <v>0</v>
      </c>
      <c r="O383" s="10">
        <f>ABS(SUMIFS(IsQList,IsIList,Table_ExternalData_17[[#This Row],[item_key]],IsITypeList,Table_ExternalData_17[[#Headers],[RTN]],IsDList,"&lt;&gt;"&amp;0))</f>
        <v>0</v>
      </c>
      <c r="P383" s="10">
        <f>SUM(Table_ExternalData_17[[#This Row],[R/P]:[RTN]])</f>
        <v>7</v>
      </c>
      <c r="Q383" s="10">
        <f>SUM((Table_ExternalData_17[[#This Row],[Opening]]+Table_ExternalData_17[[#This Row],[Total Receipt]])-ABS(Table_ExternalData_17[[#This Row],[Total Issue]]))</f>
        <v>609</v>
      </c>
    </row>
    <row r="384" spans="1:17">
      <c r="A384" s="1" t="s">
        <v>1021</v>
      </c>
      <c r="B384" s="1" t="s">
        <v>1504</v>
      </c>
      <c r="C384" s="1" t="s">
        <v>1505</v>
      </c>
      <c r="D384" s="10">
        <f>SUMIFS(OPBQList,OPBIList,Table_ExternalData_17[[#This Row],[item_key]])+SUMIFS(GQList,GIList,Table_ExternalData_17[[#This Row],[item_key]],GDList,0)-ABS(SUMIFS(IsQList,IsIList,Table_ExternalData_17[[#This Row],[item_key]],IsDList,0))</f>
        <v>391</v>
      </c>
      <c r="E384" s="10">
        <f>SUMIFS(GQList,GIList,Table_ExternalData_17[[#This Row],[item_key]],GTList,Table_ExternalData_17[[#Headers],[GRN]],GDList,"&lt;&gt;"&amp;0)</f>
        <v>0</v>
      </c>
      <c r="F384" s="10">
        <f>SUMIFS(GQList,GIList,Table_ExternalData_17[[#This Row],[item_key]],GTList,Table_ExternalData_17[[#Headers],[VSTR]],GDList,"&lt;&gt;"&amp;0)</f>
        <v>0</v>
      </c>
      <c r="G384" s="10">
        <f>SUMIFS(GQList,GIList,Table_ExternalData_17[[#This Row],[item_key]],GTList,Table_ExternalData_17[[#Headers],[SR]],GDList,"&lt;&gt;"&amp;0)</f>
        <v>0</v>
      </c>
      <c r="H384" s="10">
        <f>SUMIFS(GQList,GIList,Table_ExternalData_17[[#This Row],[item_key]],GTList,Table_ExternalData_17[[#Headers],[TR]],GDList,"&lt;&gt;"&amp;0)</f>
        <v>0</v>
      </c>
      <c r="I384" s="10">
        <f>SUMIFS(GQList,GIList,Table_ExternalData_17[[#This Row],[item_key]],GTList,Table_ExternalData_17[[#Headers],[RCA]],GDList,"&lt;&gt;"&amp;0)</f>
        <v>0</v>
      </c>
      <c r="J384" s="10">
        <f>SUM(Table_ExternalData_17[[#This Row],[GRN]]+Table_ExternalData_17[[#This Row],[VSTR]]+Table_ExternalData_17[[#This Row],[SR]]+Table_ExternalData_17[[#This Row],[TR]]+Table_ExternalData_17[[#This Row],[RCA]])</f>
        <v>0</v>
      </c>
      <c r="K384" s="10">
        <f>SUMIFS(IsQList,IsIList,Table_ExternalData_17[[#This Row],[item_key]],IsITypeList,Table_ExternalData_17[[#Headers],[R/P]],IsDList,"&lt;&gt;"&amp;0)</f>
        <v>0</v>
      </c>
      <c r="L384" s="10">
        <f>SUMIFS(IsQList,IsIList,Table_ExternalData_17[[#This Row],[item_key]],IsITypeList,Table_ExternalData_17[[#Headers],[CST]],IsDList,"&lt;&gt;"&amp;0)</f>
        <v>0</v>
      </c>
      <c r="M384" s="10">
        <f>SUMIFS(IsQList,IsIList,Table_ExternalData_15[[#This Row],[item_key]],IsITypeList,Table_ExternalData_17[[#Headers],[S/I]],IsDList,"&lt;&gt;"&amp;0)</f>
        <v>48</v>
      </c>
      <c r="N384" s="10">
        <f>SUMIFS(IsQList,IsIList,Table_ExternalData_15[[#This Row],[item_key]],IsITypeList,Table_ExternalData_17[[#Headers],[VST]],IsDList,"&lt;&gt;"&amp;0)</f>
        <v>0</v>
      </c>
      <c r="O384" s="10">
        <f>ABS(SUMIFS(IsQList,IsIList,Table_ExternalData_17[[#This Row],[item_key]],IsITypeList,Table_ExternalData_17[[#Headers],[RTN]],IsDList,"&lt;&gt;"&amp;0))</f>
        <v>0</v>
      </c>
      <c r="P384" s="10">
        <f>SUM(Table_ExternalData_17[[#This Row],[R/P]:[RTN]])</f>
        <v>48</v>
      </c>
      <c r="Q384" s="10">
        <f>SUM((Table_ExternalData_17[[#This Row],[Opening]]+Table_ExternalData_17[[#This Row],[Total Receipt]])-ABS(Table_ExternalData_17[[#This Row],[Total Issue]]))</f>
        <v>343</v>
      </c>
    </row>
    <row r="385" spans="1:17">
      <c r="A385" s="1" t="s">
        <v>2177</v>
      </c>
      <c r="B385" s="1" t="s">
        <v>2778</v>
      </c>
      <c r="C385" s="1" t="s">
        <v>2779</v>
      </c>
      <c r="D385" s="10">
        <f>SUMIFS(OPBQList,OPBIList,Table_ExternalData_17[[#This Row],[item_key]])+SUMIFS(GQList,GIList,Table_ExternalData_17[[#This Row],[item_key]],GDList,0)-ABS(SUMIFS(IsQList,IsIList,Table_ExternalData_17[[#This Row],[item_key]],IsDList,0))</f>
        <v>43</v>
      </c>
      <c r="E385" s="10">
        <f>SUMIFS(GQList,GIList,Table_ExternalData_17[[#This Row],[item_key]],GTList,Table_ExternalData_17[[#Headers],[GRN]],GDList,"&lt;&gt;"&amp;0)</f>
        <v>0</v>
      </c>
      <c r="F385" s="10">
        <f>SUMIFS(GQList,GIList,Table_ExternalData_17[[#This Row],[item_key]],GTList,Table_ExternalData_17[[#Headers],[VSTR]],GDList,"&lt;&gt;"&amp;0)</f>
        <v>0</v>
      </c>
      <c r="G385" s="10">
        <f>SUMIFS(GQList,GIList,Table_ExternalData_17[[#This Row],[item_key]],GTList,Table_ExternalData_17[[#Headers],[SR]],GDList,"&lt;&gt;"&amp;0)</f>
        <v>0</v>
      </c>
      <c r="H385" s="10">
        <f>SUMIFS(GQList,GIList,Table_ExternalData_17[[#This Row],[item_key]],GTList,Table_ExternalData_17[[#Headers],[TR]],GDList,"&lt;&gt;"&amp;0)</f>
        <v>0</v>
      </c>
      <c r="I385" s="10">
        <f>SUMIFS(GQList,GIList,Table_ExternalData_17[[#This Row],[item_key]],GTList,Table_ExternalData_17[[#Headers],[RCA]],GDList,"&lt;&gt;"&amp;0)</f>
        <v>0</v>
      </c>
      <c r="J385" s="10">
        <f>SUM(Table_ExternalData_17[[#This Row],[GRN]]+Table_ExternalData_17[[#This Row],[VSTR]]+Table_ExternalData_17[[#This Row],[SR]]+Table_ExternalData_17[[#This Row],[TR]]+Table_ExternalData_17[[#This Row],[RCA]])</f>
        <v>0</v>
      </c>
      <c r="K385" s="10">
        <f>SUMIFS(IsQList,IsIList,Table_ExternalData_17[[#This Row],[item_key]],IsITypeList,Table_ExternalData_17[[#Headers],[R/P]],IsDList,"&lt;&gt;"&amp;0)</f>
        <v>0</v>
      </c>
      <c r="L385" s="10">
        <f>SUMIFS(IsQList,IsIList,Table_ExternalData_17[[#This Row],[item_key]],IsITypeList,Table_ExternalData_17[[#Headers],[CST]],IsDList,"&lt;&gt;"&amp;0)</f>
        <v>0</v>
      </c>
      <c r="M385" s="10">
        <f>SUMIFS(IsQList,IsIList,Table_ExternalData_15[[#This Row],[item_key]],IsITypeList,Table_ExternalData_17[[#Headers],[S/I]],IsDList,"&lt;&gt;"&amp;0)</f>
        <v>8</v>
      </c>
      <c r="N385" s="10">
        <f>SUMIFS(IsQList,IsIList,Table_ExternalData_15[[#This Row],[item_key]],IsITypeList,Table_ExternalData_17[[#Headers],[VST]],IsDList,"&lt;&gt;"&amp;0)</f>
        <v>0</v>
      </c>
      <c r="O385" s="10">
        <f>ABS(SUMIFS(IsQList,IsIList,Table_ExternalData_17[[#This Row],[item_key]],IsITypeList,Table_ExternalData_17[[#Headers],[RTN]],IsDList,"&lt;&gt;"&amp;0))</f>
        <v>0</v>
      </c>
      <c r="P385" s="10">
        <f>SUM(Table_ExternalData_17[[#This Row],[R/P]:[RTN]])</f>
        <v>8</v>
      </c>
      <c r="Q385" s="10">
        <f>SUM((Table_ExternalData_17[[#This Row],[Opening]]+Table_ExternalData_17[[#This Row],[Total Receipt]])-ABS(Table_ExternalData_17[[#This Row],[Total Issue]]))</f>
        <v>35</v>
      </c>
    </row>
    <row r="386" spans="1:17">
      <c r="A386" s="1" t="s">
        <v>2178</v>
      </c>
      <c r="B386" s="1" t="s">
        <v>2780</v>
      </c>
      <c r="C386" s="1" t="s">
        <v>2781</v>
      </c>
      <c r="D386" s="10">
        <f>SUMIFS(OPBQList,OPBIList,Table_ExternalData_17[[#This Row],[item_key]])+SUMIFS(GQList,GIList,Table_ExternalData_17[[#This Row],[item_key]],GDList,0)-ABS(SUMIFS(IsQList,IsIList,Table_ExternalData_17[[#This Row],[item_key]],IsDList,0))</f>
        <v>2222</v>
      </c>
      <c r="E386" s="10">
        <f>SUMIFS(GQList,GIList,Table_ExternalData_17[[#This Row],[item_key]],GTList,Table_ExternalData_17[[#Headers],[GRN]],GDList,"&lt;&gt;"&amp;0)</f>
        <v>0</v>
      </c>
      <c r="F386" s="10">
        <f>SUMIFS(GQList,GIList,Table_ExternalData_17[[#This Row],[item_key]],GTList,Table_ExternalData_17[[#Headers],[VSTR]],GDList,"&lt;&gt;"&amp;0)</f>
        <v>0</v>
      </c>
      <c r="G386" s="10">
        <f>SUMIFS(GQList,GIList,Table_ExternalData_17[[#This Row],[item_key]],GTList,Table_ExternalData_17[[#Headers],[SR]],GDList,"&lt;&gt;"&amp;0)</f>
        <v>0</v>
      </c>
      <c r="H386" s="10">
        <f>SUMIFS(GQList,GIList,Table_ExternalData_17[[#This Row],[item_key]],GTList,Table_ExternalData_17[[#Headers],[TR]],GDList,"&lt;&gt;"&amp;0)</f>
        <v>0</v>
      </c>
      <c r="I386" s="10">
        <f>SUMIFS(GQList,GIList,Table_ExternalData_17[[#This Row],[item_key]],GTList,Table_ExternalData_17[[#Headers],[RCA]],GDList,"&lt;&gt;"&amp;0)</f>
        <v>0</v>
      </c>
      <c r="J386" s="10">
        <f>SUM(Table_ExternalData_17[[#This Row],[GRN]]+Table_ExternalData_17[[#This Row],[VSTR]]+Table_ExternalData_17[[#This Row],[SR]]+Table_ExternalData_17[[#This Row],[TR]]+Table_ExternalData_17[[#This Row],[RCA]])</f>
        <v>0</v>
      </c>
      <c r="K386" s="10">
        <f>SUMIFS(IsQList,IsIList,Table_ExternalData_17[[#This Row],[item_key]],IsITypeList,Table_ExternalData_17[[#Headers],[R/P]],IsDList,"&lt;&gt;"&amp;0)</f>
        <v>0</v>
      </c>
      <c r="L386" s="10">
        <f>SUMIFS(IsQList,IsIList,Table_ExternalData_17[[#This Row],[item_key]],IsITypeList,Table_ExternalData_17[[#Headers],[CST]],IsDList,"&lt;&gt;"&amp;0)</f>
        <v>0</v>
      </c>
      <c r="M386" s="10">
        <f>SUMIFS(IsQList,IsIList,Table_ExternalData_15[[#This Row],[item_key]],IsITypeList,Table_ExternalData_17[[#Headers],[S/I]],IsDList,"&lt;&gt;"&amp;0)</f>
        <v>38</v>
      </c>
      <c r="N386" s="10">
        <f>SUMIFS(IsQList,IsIList,Table_ExternalData_15[[#This Row],[item_key]],IsITypeList,Table_ExternalData_17[[#Headers],[VST]],IsDList,"&lt;&gt;"&amp;0)</f>
        <v>0</v>
      </c>
      <c r="O386" s="10">
        <f>ABS(SUMIFS(IsQList,IsIList,Table_ExternalData_17[[#This Row],[item_key]],IsITypeList,Table_ExternalData_17[[#Headers],[RTN]],IsDList,"&lt;&gt;"&amp;0))</f>
        <v>0</v>
      </c>
      <c r="P386" s="10">
        <f>SUM(Table_ExternalData_17[[#This Row],[R/P]:[RTN]])</f>
        <v>38</v>
      </c>
      <c r="Q386" s="10">
        <f>SUM((Table_ExternalData_17[[#This Row],[Opening]]+Table_ExternalData_17[[#This Row],[Total Receipt]])-ABS(Table_ExternalData_17[[#This Row],[Total Issue]]))</f>
        <v>2184</v>
      </c>
    </row>
    <row r="387" spans="1:17">
      <c r="A387" s="1" t="s">
        <v>2180</v>
      </c>
      <c r="B387" s="1" t="s">
        <v>2782</v>
      </c>
      <c r="C387" s="1" t="s">
        <v>2783</v>
      </c>
      <c r="D387" s="10">
        <f>SUMIFS(OPBQList,OPBIList,Table_ExternalData_17[[#This Row],[item_key]])+SUMIFS(GQList,GIList,Table_ExternalData_17[[#This Row],[item_key]],GDList,0)-ABS(SUMIFS(IsQList,IsIList,Table_ExternalData_17[[#This Row],[item_key]],IsDList,0))</f>
        <v>87</v>
      </c>
      <c r="E387" s="10">
        <f>SUMIFS(GQList,GIList,Table_ExternalData_17[[#This Row],[item_key]],GTList,Table_ExternalData_17[[#Headers],[GRN]],GDList,"&lt;&gt;"&amp;0)</f>
        <v>0</v>
      </c>
      <c r="F387" s="10">
        <f>SUMIFS(GQList,GIList,Table_ExternalData_17[[#This Row],[item_key]],GTList,Table_ExternalData_17[[#Headers],[VSTR]],GDList,"&lt;&gt;"&amp;0)</f>
        <v>0</v>
      </c>
      <c r="G387" s="10">
        <f>SUMIFS(GQList,GIList,Table_ExternalData_17[[#This Row],[item_key]],GTList,Table_ExternalData_17[[#Headers],[SR]],GDList,"&lt;&gt;"&amp;0)</f>
        <v>0</v>
      </c>
      <c r="H387" s="10">
        <f>SUMIFS(GQList,GIList,Table_ExternalData_17[[#This Row],[item_key]],GTList,Table_ExternalData_17[[#Headers],[TR]],GDList,"&lt;&gt;"&amp;0)</f>
        <v>0</v>
      </c>
      <c r="I387" s="10">
        <f>SUMIFS(GQList,GIList,Table_ExternalData_17[[#This Row],[item_key]],GTList,Table_ExternalData_17[[#Headers],[RCA]],GDList,"&lt;&gt;"&amp;0)</f>
        <v>0</v>
      </c>
      <c r="J387" s="10">
        <f>SUM(Table_ExternalData_17[[#This Row],[GRN]]+Table_ExternalData_17[[#This Row],[VSTR]]+Table_ExternalData_17[[#This Row],[SR]]+Table_ExternalData_17[[#This Row],[TR]]+Table_ExternalData_17[[#This Row],[RCA]])</f>
        <v>0</v>
      </c>
      <c r="K387" s="10">
        <f>SUMIFS(IsQList,IsIList,Table_ExternalData_17[[#This Row],[item_key]],IsITypeList,Table_ExternalData_17[[#Headers],[R/P]],IsDList,"&lt;&gt;"&amp;0)</f>
        <v>0</v>
      </c>
      <c r="L387" s="10">
        <f>SUMIFS(IsQList,IsIList,Table_ExternalData_17[[#This Row],[item_key]],IsITypeList,Table_ExternalData_17[[#Headers],[CST]],IsDList,"&lt;&gt;"&amp;0)</f>
        <v>0</v>
      </c>
      <c r="M387" s="10">
        <f>SUMIFS(IsQList,IsIList,Table_ExternalData_15[[#This Row],[item_key]],IsITypeList,Table_ExternalData_17[[#Headers],[S/I]],IsDList,"&lt;&gt;"&amp;0)</f>
        <v>26</v>
      </c>
      <c r="N387" s="10">
        <f>SUMIFS(IsQList,IsIList,Table_ExternalData_15[[#This Row],[item_key]],IsITypeList,Table_ExternalData_17[[#Headers],[VST]],IsDList,"&lt;&gt;"&amp;0)</f>
        <v>0</v>
      </c>
      <c r="O387" s="10">
        <f>ABS(SUMIFS(IsQList,IsIList,Table_ExternalData_17[[#This Row],[item_key]],IsITypeList,Table_ExternalData_17[[#Headers],[RTN]],IsDList,"&lt;&gt;"&amp;0))</f>
        <v>0</v>
      </c>
      <c r="P387" s="10">
        <f>SUM(Table_ExternalData_17[[#This Row],[R/P]:[RTN]])</f>
        <v>26</v>
      </c>
      <c r="Q387" s="10">
        <f>SUM((Table_ExternalData_17[[#This Row],[Opening]]+Table_ExternalData_17[[#This Row],[Total Receipt]])-ABS(Table_ExternalData_17[[#This Row],[Total Issue]]))</f>
        <v>61</v>
      </c>
    </row>
    <row r="388" spans="1:17">
      <c r="A388" s="1" t="s">
        <v>2182</v>
      </c>
      <c r="B388" s="1" t="s">
        <v>2784</v>
      </c>
      <c r="C388" s="1" t="s">
        <v>2785</v>
      </c>
      <c r="D388" s="10">
        <f>SUMIFS(OPBQList,OPBIList,Table_ExternalData_17[[#This Row],[item_key]])+SUMIFS(GQList,GIList,Table_ExternalData_17[[#This Row],[item_key]],GDList,0)-ABS(SUMIFS(IsQList,IsIList,Table_ExternalData_17[[#This Row],[item_key]],IsDList,0))</f>
        <v>503</v>
      </c>
      <c r="E388" s="10">
        <f>SUMIFS(GQList,GIList,Table_ExternalData_17[[#This Row],[item_key]],GTList,Table_ExternalData_17[[#Headers],[GRN]],GDList,"&lt;&gt;"&amp;0)</f>
        <v>0</v>
      </c>
      <c r="F388" s="10">
        <f>SUMIFS(GQList,GIList,Table_ExternalData_17[[#This Row],[item_key]],GTList,Table_ExternalData_17[[#Headers],[VSTR]],GDList,"&lt;&gt;"&amp;0)</f>
        <v>0</v>
      </c>
      <c r="G388" s="10">
        <f>SUMIFS(GQList,GIList,Table_ExternalData_17[[#This Row],[item_key]],GTList,Table_ExternalData_17[[#Headers],[SR]],GDList,"&lt;&gt;"&amp;0)</f>
        <v>0</v>
      </c>
      <c r="H388" s="10">
        <f>SUMIFS(GQList,GIList,Table_ExternalData_17[[#This Row],[item_key]],GTList,Table_ExternalData_17[[#Headers],[TR]],GDList,"&lt;&gt;"&amp;0)</f>
        <v>0</v>
      </c>
      <c r="I388" s="10">
        <f>SUMIFS(GQList,GIList,Table_ExternalData_17[[#This Row],[item_key]],GTList,Table_ExternalData_17[[#Headers],[RCA]],GDList,"&lt;&gt;"&amp;0)</f>
        <v>0</v>
      </c>
      <c r="J388" s="10">
        <f>SUM(Table_ExternalData_17[[#This Row],[GRN]]+Table_ExternalData_17[[#This Row],[VSTR]]+Table_ExternalData_17[[#This Row],[SR]]+Table_ExternalData_17[[#This Row],[TR]]+Table_ExternalData_17[[#This Row],[RCA]])</f>
        <v>0</v>
      </c>
      <c r="K388" s="10">
        <f>SUMIFS(IsQList,IsIList,Table_ExternalData_17[[#This Row],[item_key]],IsITypeList,Table_ExternalData_17[[#Headers],[R/P]],IsDList,"&lt;&gt;"&amp;0)</f>
        <v>0</v>
      </c>
      <c r="L388" s="10">
        <f>SUMIFS(IsQList,IsIList,Table_ExternalData_17[[#This Row],[item_key]],IsITypeList,Table_ExternalData_17[[#Headers],[CST]],IsDList,"&lt;&gt;"&amp;0)</f>
        <v>0</v>
      </c>
      <c r="M388" s="10">
        <f>SUMIFS(IsQList,IsIList,Table_ExternalData_15[[#This Row],[item_key]],IsITypeList,Table_ExternalData_17[[#Headers],[S/I]],IsDList,"&lt;&gt;"&amp;0)</f>
        <v>5</v>
      </c>
      <c r="N388" s="10">
        <f>SUMIFS(IsQList,IsIList,Table_ExternalData_15[[#This Row],[item_key]],IsITypeList,Table_ExternalData_17[[#Headers],[VST]],IsDList,"&lt;&gt;"&amp;0)</f>
        <v>0</v>
      </c>
      <c r="O388" s="10">
        <f>ABS(SUMIFS(IsQList,IsIList,Table_ExternalData_17[[#This Row],[item_key]],IsITypeList,Table_ExternalData_17[[#Headers],[RTN]],IsDList,"&lt;&gt;"&amp;0))</f>
        <v>0</v>
      </c>
      <c r="P388" s="10">
        <f>SUM(Table_ExternalData_17[[#This Row],[R/P]:[RTN]])</f>
        <v>5</v>
      </c>
      <c r="Q388" s="10">
        <f>SUM((Table_ExternalData_17[[#This Row],[Opening]]+Table_ExternalData_17[[#This Row],[Total Receipt]])-ABS(Table_ExternalData_17[[#This Row],[Total Issue]]))</f>
        <v>498</v>
      </c>
    </row>
    <row r="389" spans="1:17">
      <c r="A389" s="1" t="s">
        <v>2188</v>
      </c>
      <c r="B389" s="1" t="s">
        <v>2786</v>
      </c>
      <c r="C389" s="1" t="s">
        <v>2787</v>
      </c>
      <c r="D389" s="10">
        <f>SUMIFS(OPBQList,OPBIList,Table_ExternalData_17[[#This Row],[item_key]])+SUMIFS(GQList,GIList,Table_ExternalData_17[[#This Row],[item_key]],GDList,0)-ABS(SUMIFS(IsQList,IsIList,Table_ExternalData_17[[#This Row],[item_key]],IsDList,0))</f>
        <v>118</v>
      </c>
      <c r="E389" s="10">
        <f>SUMIFS(GQList,GIList,Table_ExternalData_17[[#This Row],[item_key]],GTList,Table_ExternalData_17[[#Headers],[GRN]],GDList,"&lt;&gt;"&amp;0)</f>
        <v>0</v>
      </c>
      <c r="F389" s="10">
        <f>SUMIFS(GQList,GIList,Table_ExternalData_17[[#This Row],[item_key]],GTList,Table_ExternalData_17[[#Headers],[VSTR]],GDList,"&lt;&gt;"&amp;0)</f>
        <v>0</v>
      </c>
      <c r="G389" s="10">
        <f>SUMIFS(GQList,GIList,Table_ExternalData_17[[#This Row],[item_key]],GTList,Table_ExternalData_17[[#Headers],[SR]],GDList,"&lt;&gt;"&amp;0)</f>
        <v>0</v>
      </c>
      <c r="H389" s="10">
        <f>SUMIFS(GQList,GIList,Table_ExternalData_17[[#This Row],[item_key]],GTList,Table_ExternalData_17[[#Headers],[TR]],GDList,"&lt;&gt;"&amp;0)</f>
        <v>0</v>
      </c>
      <c r="I389" s="10">
        <f>SUMIFS(GQList,GIList,Table_ExternalData_17[[#This Row],[item_key]],GTList,Table_ExternalData_17[[#Headers],[RCA]],GDList,"&lt;&gt;"&amp;0)</f>
        <v>0</v>
      </c>
      <c r="J389" s="10">
        <f>SUM(Table_ExternalData_17[[#This Row],[GRN]]+Table_ExternalData_17[[#This Row],[VSTR]]+Table_ExternalData_17[[#This Row],[SR]]+Table_ExternalData_17[[#This Row],[TR]]+Table_ExternalData_17[[#This Row],[RCA]])</f>
        <v>0</v>
      </c>
      <c r="K389" s="10">
        <f>SUMIFS(IsQList,IsIList,Table_ExternalData_17[[#This Row],[item_key]],IsITypeList,Table_ExternalData_17[[#Headers],[R/P]],IsDList,"&lt;&gt;"&amp;0)</f>
        <v>0</v>
      </c>
      <c r="L389" s="10">
        <f>SUMIFS(IsQList,IsIList,Table_ExternalData_17[[#This Row],[item_key]],IsITypeList,Table_ExternalData_17[[#Headers],[CST]],IsDList,"&lt;&gt;"&amp;0)</f>
        <v>0</v>
      </c>
      <c r="M389" s="10">
        <f>SUMIFS(IsQList,IsIList,Table_ExternalData_15[[#This Row],[item_key]],IsITypeList,Table_ExternalData_17[[#Headers],[S/I]],IsDList,"&lt;&gt;"&amp;0)</f>
        <v>5</v>
      </c>
      <c r="N389" s="10">
        <f>SUMIFS(IsQList,IsIList,Table_ExternalData_15[[#This Row],[item_key]],IsITypeList,Table_ExternalData_17[[#Headers],[VST]],IsDList,"&lt;&gt;"&amp;0)</f>
        <v>0</v>
      </c>
      <c r="O389" s="10">
        <f>ABS(SUMIFS(IsQList,IsIList,Table_ExternalData_17[[#This Row],[item_key]],IsITypeList,Table_ExternalData_17[[#Headers],[RTN]],IsDList,"&lt;&gt;"&amp;0))</f>
        <v>0</v>
      </c>
      <c r="P389" s="10">
        <f>SUM(Table_ExternalData_17[[#This Row],[R/P]:[RTN]])</f>
        <v>5</v>
      </c>
      <c r="Q389" s="10">
        <f>SUM((Table_ExternalData_17[[#This Row],[Opening]]+Table_ExternalData_17[[#This Row],[Total Receipt]])-ABS(Table_ExternalData_17[[#This Row],[Total Issue]]))</f>
        <v>113</v>
      </c>
    </row>
    <row r="390" spans="1:17">
      <c r="A390" s="1" t="s">
        <v>1024</v>
      </c>
      <c r="B390" s="1" t="s">
        <v>2788</v>
      </c>
      <c r="C390" s="1" t="s">
        <v>1573</v>
      </c>
      <c r="D390" s="10">
        <f>SUMIFS(OPBQList,OPBIList,Table_ExternalData_17[[#This Row],[item_key]])+SUMIFS(GQList,GIList,Table_ExternalData_17[[#This Row],[item_key]],GDList,0)-ABS(SUMIFS(IsQList,IsIList,Table_ExternalData_17[[#This Row],[item_key]],IsDList,0))</f>
        <v>59</v>
      </c>
      <c r="E390" s="10">
        <f>SUMIFS(GQList,GIList,Table_ExternalData_17[[#This Row],[item_key]],GTList,Table_ExternalData_17[[#Headers],[GRN]],GDList,"&lt;&gt;"&amp;0)</f>
        <v>0</v>
      </c>
      <c r="F390" s="10">
        <f>SUMIFS(GQList,GIList,Table_ExternalData_17[[#This Row],[item_key]],GTList,Table_ExternalData_17[[#Headers],[VSTR]],GDList,"&lt;&gt;"&amp;0)</f>
        <v>0</v>
      </c>
      <c r="G390" s="10">
        <f>SUMIFS(GQList,GIList,Table_ExternalData_17[[#This Row],[item_key]],GTList,Table_ExternalData_17[[#Headers],[SR]],GDList,"&lt;&gt;"&amp;0)</f>
        <v>0</v>
      </c>
      <c r="H390" s="10">
        <f>SUMIFS(GQList,GIList,Table_ExternalData_17[[#This Row],[item_key]],GTList,Table_ExternalData_17[[#Headers],[TR]],GDList,"&lt;&gt;"&amp;0)</f>
        <v>0</v>
      </c>
      <c r="I390" s="10">
        <f>SUMIFS(GQList,GIList,Table_ExternalData_17[[#This Row],[item_key]],GTList,Table_ExternalData_17[[#Headers],[RCA]],GDList,"&lt;&gt;"&amp;0)</f>
        <v>0</v>
      </c>
      <c r="J390" s="10">
        <f>SUM(Table_ExternalData_17[[#This Row],[GRN]]+Table_ExternalData_17[[#This Row],[VSTR]]+Table_ExternalData_17[[#This Row],[SR]]+Table_ExternalData_17[[#This Row],[TR]]+Table_ExternalData_17[[#This Row],[RCA]])</f>
        <v>0</v>
      </c>
      <c r="K390" s="10">
        <f>SUMIFS(IsQList,IsIList,Table_ExternalData_17[[#This Row],[item_key]],IsITypeList,Table_ExternalData_17[[#Headers],[R/P]],IsDList,"&lt;&gt;"&amp;0)</f>
        <v>0</v>
      </c>
      <c r="L390" s="10">
        <f>SUMIFS(IsQList,IsIList,Table_ExternalData_17[[#This Row],[item_key]],IsITypeList,Table_ExternalData_17[[#Headers],[CST]],IsDList,"&lt;&gt;"&amp;0)</f>
        <v>0</v>
      </c>
      <c r="M390" s="10">
        <f>SUMIFS(IsQList,IsIList,Table_ExternalData_15[[#This Row],[item_key]],IsITypeList,Table_ExternalData_17[[#Headers],[S/I]],IsDList,"&lt;&gt;"&amp;0)</f>
        <v>2</v>
      </c>
      <c r="N390" s="10">
        <f>SUMIFS(IsQList,IsIList,Table_ExternalData_15[[#This Row],[item_key]],IsITypeList,Table_ExternalData_17[[#Headers],[VST]],IsDList,"&lt;&gt;"&amp;0)</f>
        <v>0</v>
      </c>
      <c r="O390" s="10">
        <f>ABS(SUMIFS(IsQList,IsIList,Table_ExternalData_17[[#This Row],[item_key]],IsITypeList,Table_ExternalData_17[[#Headers],[RTN]],IsDList,"&lt;&gt;"&amp;0))</f>
        <v>0</v>
      </c>
      <c r="P390" s="10">
        <f>SUM(Table_ExternalData_17[[#This Row],[R/P]:[RTN]])</f>
        <v>2</v>
      </c>
      <c r="Q390" s="10">
        <f>SUM((Table_ExternalData_17[[#This Row],[Opening]]+Table_ExternalData_17[[#This Row],[Total Receipt]])-ABS(Table_ExternalData_17[[#This Row],[Total Issue]]))</f>
        <v>57</v>
      </c>
    </row>
    <row r="391" spans="1:17">
      <c r="A391" s="1" t="s">
        <v>1025</v>
      </c>
      <c r="B391" s="1" t="s">
        <v>1506</v>
      </c>
      <c r="C391" s="1" t="s">
        <v>1507</v>
      </c>
      <c r="D391" s="10">
        <f>SUMIFS(OPBQList,OPBIList,Table_ExternalData_17[[#This Row],[item_key]])+SUMIFS(GQList,GIList,Table_ExternalData_17[[#This Row],[item_key]],GDList,0)-ABS(SUMIFS(IsQList,IsIList,Table_ExternalData_17[[#This Row],[item_key]],IsDList,0))</f>
        <v>110</v>
      </c>
      <c r="E391" s="10">
        <f>SUMIFS(GQList,GIList,Table_ExternalData_17[[#This Row],[item_key]],GTList,Table_ExternalData_17[[#Headers],[GRN]],GDList,"&lt;&gt;"&amp;0)</f>
        <v>0</v>
      </c>
      <c r="F391" s="10">
        <f>SUMIFS(GQList,GIList,Table_ExternalData_17[[#This Row],[item_key]],GTList,Table_ExternalData_17[[#Headers],[VSTR]],GDList,"&lt;&gt;"&amp;0)</f>
        <v>0</v>
      </c>
      <c r="G391" s="10">
        <f>SUMIFS(GQList,GIList,Table_ExternalData_17[[#This Row],[item_key]],GTList,Table_ExternalData_17[[#Headers],[SR]],GDList,"&lt;&gt;"&amp;0)</f>
        <v>0</v>
      </c>
      <c r="H391" s="10">
        <f>SUMIFS(GQList,GIList,Table_ExternalData_17[[#This Row],[item_key]],GTList,Table_ExternalData_17[[#Headers],[TR]],GDList,"&lt;&gt;"&amp;0)</f>
        <v>0</v>
      </c>
      <c r="I391" s="10">
        <f>SUMIFS(GQList,GIList,Table_ExternalData_17[[#This Row],[item_key]],GTList,Table_ExternalData_17[[#Headers],[RCA]],GDList,"&lt;&gt;"&amp;0)</f>
        <v>0</v>
      </c>
      <c r="J391" s="10">
        <f>SUM(Table_ExternalData_17[[#This Row],[GRN]]+Table_ExternalData_17[[#This Row],[VSTR]]+Table_ExternalData_17[[#This Row],[SR]]+Table_ExternalData_17[[#This Row],[TR]]+Table_ExternalData_17[[#This Row],[RCA]])</f>
        <v>0</v>
      </c>
      <c r="K391" s="10">
        <f>SUMIFS(IsQList,IsIList,Table_ExternalData_17[[#This Row],[item_key]],IsITypeList,Table_ExternalData_17[[#Headers],[R/P]],IsDList,"&lt;&gt;"&amp;0)</f>
        <v>0</v>
      </c>
      <c r="L391" s="10">
        <f>SUMIFS(IsQList,IsIList,Table_ExternalData_17[[#This Row],[item_key]],IsITypeList,Table_ExternalData_17[[#Headers],[CST]],IsDList,"&lt;&gt;"&amp;0)</f>
        <v>0</v>
      </c>
      <c r="M391" s="10">
        <f>SUMIFS(IsQList,IsIList,Table_ExternalData_15[[#This Row],[item_key]],IsITypeList,Table_ExternalData_17[[#Headers],[S/I]],IsDList,"&lt;&gt;"&amp;0)</f>
        <v>0</v>
      </c>
      <c r="N391" s="10">
        <f>SUMIFS(IsQList,IsIList,Table_ExternalData_15[[#This Row],[item_key]],IsITypeList,Table_ExternalData_17[[#Headers],[VST]],IsDList,"&lt;&gt;"&amp;0)</f>
        <v>0</v>
      </c>
      <c r="O391" s="10">
        <f>ABS(SUMIFS(IsQList,IsIList,Table_ExternalData_17[[#This Row],[item_key]],IsITypeList,Table_ExternalData_17[[#Headers],[RTN]],IsDList,"&lt;&gt;"&amp;0))</f>
        <v>0</v>
      </c>
      <c r="P391" s="10">
        <f>SUM(Table_ExternalData_17[[#This Row],[R/P]:[RTN]])</f>
        <v>0</v>
      </c>
      <c r="Q391" s="10">
        <f>SUM((Table_ExternalData_17[[#This Row],[Opening]]+Table_ExternalData_17[[#This Row],[Total Receipt]])-ABS(Table_ExternalData_17[[#This Row],[Total Issue]]))</f>
        <v>110</v>
      </c>
    </row>
    <row r="392" spans="1:17">
      <c r="A392" s="1" t="s">
        <v>1026</v>
      </c>
      <c r="B392" s="1" t="s">
        <v>2789</v>
      </c>
      <c r="C392" s="1" t="s">
        <v>2790</v>
      </c>
      <c r="D392" s="10">
        <f>SUMIFS(OPBQList,OPBIList,Table_ExternalData_17[[#This Row],[item_key]])+SUMIFS(GQList,GIList,Table_ExternalData_17[[#This Row],[item_key]],GDList,0)-ABS(SUMIFS(IsQList,IsIList,Table_ExternalData_17[[#This Row],[item_key]],IsDList,0))</f>
        <v>1957</v>
      </c>
      <c r="E392" s="10">
        <f>SUMIFS(GQList,GIList,Table_ExternalData_17[[#This Row],[item_key]],GTList,Table_ExternalData_17[[#Headers],[GRN]],GDList,"&lt;&gt;"&amp;0)</f>
        <v>0</v>
      </c>
      <c r="F392" s="10">
        <f>SUMIFS(GQList,GIList,Table_ExternalData_17[[#This Row],[item_key]],GTList,Table_ExternalData_17[[#Headers],[VSTR]],GDList,"&lt;&gt;"&amp;0)</f>
        <v>0</v>
      </c>
      <c r="G392" s="10">
        <f>SUMIFS(GQList,GIList,Table_ExternalData_17[[#This Row],[item_key]],GTList,Table_ExternalData_17[[#Headers],[SR]],GDList,"&lt;&gt;"&amp;0)</f>
        <v>0</v>
      </c>
      <c r="H392" s="10">
        <f>SUMIFS(GQList,GIList,Table_ExternalData_17[[#This Row],[item_key]],GTList,Table_ExternalData_17[[#Headers],[TR]],GDList,"&lt;&gt;"&amp;0)</f>
        <v>0</v>
      </c>
      <c r="I392" s="10">
        <f>SUMIFS(GQList,GIList,Table_ExternalData_17[[#This Row],[item_key]],GTList,Table_ExternalData_17[[#Headers],[RCA]],GDList,"&lt;&gt;"&amp;0)</f>
        <v>0</v>
      </c>
      <c r="J392" s="10">
        <f>SUM(Table_ExternalData_17[[#This Row],[GRN]]+Table_ExternalData_17[[#This Row],[VSTR]]+Table_ExternalData_17[[#This Row],[SR]]+Table_ExternalData_17[[#This Row],[TR]]+Table_ExternalData_17[[#This Row],[RCA]])</f>
        <v>0</v>
      </c>
      <c r="K392" s="10">
        <f>SUMIFS(IsQList,IsIList,Table_ExternalData_17[[#This Row],[item_key]],IsITypeList,Table_ExternalData_17[[#Headers],[R/P]],IsDList,"&lt;&gt;"&amp;0)</f>
        <v>0</v>
      </c>
      <c r="L392" s="10">
        <f>SUMIFS(IsQList,IsIList,Table_ExternalData_17[[#This Row],[item_key]],IsITypeList,Table_ExternalData_17[[#Headers],[CST]],IsDList,"&lt;&gt;"&amp;0)</f>
        <v>0</v>
      </c>
      <c r="M392" s="10">
        <f>SUMIFS(IsQList,IsIList,Table_ExternalData_15[[#This Row],[item_key]],IsITypeList,Table_ExternalData_17[[#Headers],[S/I]],IsDList,"&lt;&gt;"&amp;0)</f>
        <v>48</v>
      </c>
      <c r="N392" s="10">
        <f>SUMIFS(IsQList,IsIList,Table_ExternalData_15[[#This Row],[item_key]],IsITypeList,Table_ExternalData_17[[#Headers],[VST]],IsDList,"&lt;&gt;"&amp;0)</f>
        <v>0</v>
      </c>
      <c r="O392" s="10">
        <f>ABS(SUMIFS(IsQList,IsIList,Table_ExternalData_17[[#This Row],[item_key]],IsITypeList,Table_ExternalData_17[[#Headers],[RTN]],IsDList,"&lt;&gt;"&amp;0))</f>
        <v>0</v>
      </c>
      <c r="P392" s="10">
        <f>SUM(Table_ExternalData_17[[#This Row],[R/P]:[RTN]])</f>
        <v>48</v>
      </c>
      <c r="Q392" s="10">
        <f>SUM((Table_ExternalData_17[[#This Row],[Opening]]+Table_ExternalData_17[[#This Row],[Total Receipt]])-ABS(Table_ExternalData_17[[#This Row],[Total Issue]]))</f>
        <v>1909</v>
      </c>
    </row>
    <row r="393" spans="1:17">
      <c r="A393" s="1" t="s">
        <v>2191</v>
      </c>
      <c r="B393" s="1" t="s">
        <v>2791</v>
      </c>
      <c r="C393" s="1" t="s">
        <v>2792</v>
      </c>
      <c r="D393" s="10">
        <f>SUMIFS(OPBQList,OPBIList,Table_ExternalData_17[[#This Row],[item_key]])+SUMIFS(GQList,GIList,Table_ExternalData_17[[#This Row],[item_key]],GDList,0)-ABS(SUMIFS(IsQList,IsIList,Table_ExternalData_17[[#This Row],[item_key]],IsDList,0))</f>
        <v>652</v>
      </c>
      <c r="E393" s="10">
        <f>SUMIFS(GQList,GIList,Table_ExternalData_17[[#This Row],[item_key]],GTList,Table_ExternalData_17[[#Headers],[GRN]],GDList,"&lt;&gt;"&amp;0)</f>
        <v>0</v>
      </c>
      <c r="F393" s="10">
        <f>SUMIFS(GQList,GIList,Table_ExternalData_17[[#This Row],[item_key]],GTList,Table_ExternalData_17[[#Headers],[VSTR]],GDList,"&lt;&gt;"&amp;0)</f>
        <v>0</v>
      </c>
      <c r="G393" s="10">
        <f>SUMIFS(GQList,GIList,Table_ExternalData_17[[#This Row],[item_key]],GTList,Table_ExternalData_17[[#Headers],[SR]],GDList,"&lt;&gt;"&amp;0)</f>
        <v>0</v>
      </c>
      <c r="H393" s="10">
        <f>SUMIFS(GQList,GIList,Table_ExternalData_17[[#This Row],[item_key]],GTList,Table_ExternalData_17[[#Headers],[TR]],GDList,"&lt;&gt;"&amp;0)</f>
        <v>0</v>
      </c>
      <c r="I393" s="10">
        <f>SUMIFS(GQList,GIList,Table_ExternalData_17[[#This Row],[item_key]],GTList,Table_ExternalData_17[[#Headers],[RCA]],GDList,"&lt;&gt;"&amp;0)</f>
        <v>0</v>
      </c>
      <c r="J393" s="10">
        <f>SUM(Table_ExternalData_17[[#This Row],[GRN]]+Table_ExternalData_17[[#This Row],[VSTR]]+Table_ExternalData_17[[#This Row],[SR]]+Table_ExternalData_17[[#This Row],[TR]]+Table_ExternalData_17[[#This Row],[RCA]])</f>
        <v>0</v>
      </c>
      <c r="K393" s="10">
        <f>SUMIFS(IsQList,IsIList,Table_ExternalData_17[[#This Row],[item_key]],IsITypeList,Table_ExternalData_17[[#Headers],[R/P]],IsDList,"&lt;&gt;"&amp;0)</f>
        <v>0</v>
      </c>
      <c r="L393" s="10">
        <f>SUMIFS(IsQList,IsIList,Table_ExternalData_17[[#This Row],[item_key]],IsITypeList,Table_ExternalData_17[[#Headers],[CST]],IsDList,"&lt;&gt;"&amp;0)</f>
        <v>0</v>
      </c>
      <c r="M393" s="10">
        <f>SUMIFS(IsQList,IsIList,Table_ExternalData_15[[#This Row],[item_key]],IsITypeList,Table_ExternalData_17[[#Headers],[S/I]],IsDList,"&lt;&gt;"&amp;0)</f>
        <v>14</v>
      </c>
      <c r="N393" s="10">
        <f>SUMIFS(IsQList,IsIList,Table_ExternalData_15[[#This Row],[item_key]],IsITypeList,Table_ExternalData_17[[#Headers],[VST]],IsDList,"&lt;&gt;"&amp;0)</f>
        <v>0</v>
      </c>
      <c r="O393" s="10">
        <f>ABS(SUMIFS(IsQList,IsIList,Table_ExternalData_17[[#This Row],[item_key]],IsITypeList,Table_ExternalData_17[[#Headers],[RTN]],IsDList,"&lt;&gt;"&amp;0))</f>
        <v>0</v>
      </c>
      <c r="P393" s="10">
        <f>SUM(Table_ExternalData_17[[#This Row],[R/P]:[RTN]])</f>
        <v>14</v>
      </c>
      <c r="Q393" s="10">
        <f>SUM((Table_ExternalData_17[[#This Row],[Opening]]+Table_ExternalData_17[[#This Row],[Total Receipt]])-ABS(Table_ExternalData_17[[#This Row],[Total Issue]]))</f>
        <v>638</v>
      </c>
    </row>
    <row r="394" spans="1:17">
      <c r="A394" s="1" t="s">
        <v>1028</v>
      </c>
      <c r="B394" s="1" t="s">
        <v>2362</v>
      </c>
      <c r="C394" s="1" t="s">
        <v>2363</v>
      </c>
      <c r="D39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394" s="10">
        <f>SUMIFS(GQList,GIList,Table_ExternalData_17[[#This Row],[item_key]],GTList,Table_ExternalData_17[[#Headers],[GRN]],GDList,"&lt;&gt;"&amp;0)</f>
        <v>10</v>
      </c>
      <c r="F394" s="10">
        <f>SUMIFS(GQList,GIList,Table_ExternalData_17[[#This Row],[item_key]],GTList,Table_ExternalData_17[[#Headers],[VSTR]],GDList,"&lt;&gt;"&amp;0)</f>
        <v>0</v>
      </c>
      <c r="G394" s="10">
        <f>SUMIFS(GQList,GIList,Table_ExternalData_17[[#This Row],[item_key]],GTList,Table_ExternalData_17[[#Headers],[SR]],GDList,"&lt;&gt;"&amp;0)</f>
        <v>0</v>
      </c>
      <c r="H394" s="10">
        <f>SUMIFS(GQList,GIList,Table_ExternalData_17[[#This Row],[item_key]],GTList,Table_ExternalData_17[[#Headers],[TR]],GDList,"&lt;&gt;"&amp;0)</f>
        <v>0</v>
      </c>
      <c r="I394" s="10">
        <f>SUMIFS(GQList,GIList,Table_ExternalData_17[[#This Row],[item_key]],GTList,Table_ExternalData_17[[#Headers],[RCA]],GDList,"&lt;&gt;"&amp;0)</f>
        <v>0</v>
      </c>
      <c r="J394" s="10">
        <f>SUM(Table_ExternalData_17[[#This Row],[GRN]]+Table_ExternalData_17[[#This Row],[VSTR]]+Table_ExternalData_17[[#This Row],[SR]]+Table_ExternalData_17[[#This Row],[TR]]+Table_ExternalData_17[[#This Row],[RCA]])</f>
        <v>10</v>
      </c>
      <c r="K394" s="10">
        <f>SUMIFS(IsQList,IsIList,Table_ExternalData_17[[#This Row],[item_key]],IsITypeList,Table_ExternalData_17[[#Headers],[R/P]],IsDList,"&lt;&gt;"&amp;0)</f>
        <v>0</v>
      </c>
      <c r="L394" s="10">
        <f>SUMIFS(IsQList,IsIList,Table_ExternalData_17[[#This Row],[item_key]],IsITypeList,Table_ExternalData_17[[#Headers],[CST]],IsDList,"&lt;&gt;"&amp;0)</f>
        <v>0</v>
      </c>
      <c r="M394" s="10">
        <f>SUMIFS(IsQList,IsIList,Table_ExternalData_15[[#This Row],[item_key]],IsITypeList,Table_ExternalData_17[[#Headers],[S/I]],IsDList,"&lt;&gt;"&amp;0)</f>
        <v>14</v>
      </c>
      <c r="N394" s="10">
        <f>SUMIFS(IsQList,IsIList,Table_ExternalData_15[[#This Row],[item_key]],IsITypeList,Table_ExternalData_17[[#Headers],[VST]],IsDList,"&lt;&gt;"&amp;0)</f>
        <v>0</v>
      </c>
      <c r="O394" s="10">
        <f>ABS(SUMIFS(IsQList,IsIList,Table_ExternalData_17[[#This Row],[item_key]],IsITypeList,Table_ExternalData_17[[#Headers],[RTN]],IsDList,"&lt;&gt;"&amp;0))</f>
        <v>0</v>
      </c>
      <c r="P394" s="10">
        <f>SUM(Table_ExternalData_17[[#This Row],[R/P]:[RTN]])</f>
        <v>14</v>
      </c>
      <c r="Q394" s="10">
        <f>SUM((Table_ExternalData_17[[#This Row],[Opening]]+Table_ExternalData_17[[#This Row],[Total Receipt]])-ABS(Table_ExternalData_17[[#This Row],[Total Issue]]))</f>
        <v>-4</v>
      </c>
    </row>
    <row r="395" spans="1:17">
      <c r="A395" s="1" t="s">
        <v>1029</v>
      </c>
      <c r="B395" s="1" t="s">
        <v>2364</v>
      </c>
      <c r="C395" s="1" t="s">
        <v>2365</v>
      </c>
      <c r="D395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395" s="10">
        <f>SUMIFS(GQList,GIList,Table_ExternalData_17[[#This Row],[item_key]],GTList,Table_ExternalData_17[[#Headers],[GRN]],GDList,"&lt;&gt;"&amp;0)</f>
        <v>1</v>
      </c>
      <c r="F395" s="10">
        <f>SUMIFS(GQList,GIList,Table_ExternalData_17[[#This Row],[item_key]],GTList,Table_ExternalData_17[[#Headers],[VSTR]],GDList,"&lt;&gt;"&amp;0)</f>
        <v>0</v>
      </c>
      <c r="G395" s="10">
        <f>SUMIFS(GQList,GIList,Table_ExternalData_17[[#This Row],[item_key]],GTList,Table_ExternalData_17[[#Headers],[SR]],GDList,"&lt;&gt;"&amp;0)</f>
        <v>0</v>
      </c>
      <c r="H395" s="10">
        <f>SUMIFS(GQList,GIList,Table_ExternalData_17[[#This Row],[item_key]],GTList,Table_ExternalData_17[[#Headers],[TR]],GDList,"&lt;&gt;"&amp;0)</f>
        <v>0</v>
      </c>
      <c r="I395" s="10">
        <f>SUMIFS(GQList,GIList,Table_ExternalData_17[[#This Row],[item_key]],GTList,Table_ExternalData_17[[#Headers],[RCA]],GDList,"&lt;&gt;"&amp;0)</f>
        <v>0</v>
      </c>
      <c r="J395" s="10">
        <f>SUM(Table_ExternalData_17[[#This Row],[GRN]]+Table_ExternalData_17[[#This Row],[VSTR]]+Table_ExternalData_17[[#This Row],[SR]]+Table_ExternalData_17[[#This Row],[TR]]+Table_ExternalData_17[[#This Row],[RCA]])</f>
        <v>1</v>
      </c>
      <c r="K395" s="10">
        <f>SUMIFS(IsQList,IsIList,Table_ExternalData_17[[#This Row],[item_key]],IsITypeList,Table_ExternalData_17[[#Headers],[R/P]],IsDList,"&lt;&gt;"&amp;0)</f>
        <v>0</v>
      </c>
      <c r="L395" s="10">
        <f>SUMIFS(IsQList,IsIList,Table_ExternalData_17[[#This Row],[item_key]],IsITypeList,Table_ExternalData_17[[#Headers],[CST]],IsDList,"&lt;&gt;"&amp;0)</f>
        <v>0</v>
      </c>
      <c r="M395" s="10">
        <f>SUMIFS(IsQList,IsIList,Table_ExternalData_15[[#This Row],[item_key]],IsITypeList,Table_ExternalData_17[[#Headers],[S/I]],IsDList,"&lt;&gt;"&amp;0)</f>
        <v>14</v>
      </c>
      <c r="N395" s="10">
        <f>SUMIFS(IsQList,IsIList,Table_ExternalData_15[[#This Row],[item_key]],IsITypeList,Table_ExternalData_17[[#Headers],[VST]],IsDList,"&lt;&gt;"&amp;0)</f>
        <v>0</v>
      </c>
      <c r="O395" s="10">
        <f>ABS(SUMIFS(IsQList,IsIList,Table_ExternalData_17[[#This Row],[item_key]],IsITypeList,Table_ExternalData_17[[#Headers],[RTN]],IsDList,"&lt;&gt;"&amp;0))</f>
        <v>0</v>
      </c>
      <c r="P395" s="10">
        <f>SUM(Table_ExternalData_17[[#This Row],[R/P]:[RTN]])</f>
        <v>14</v>
      </c>
      <c r="Q395" s="10">
        <f>SUM((Table_ExternalData_17[[#This Row],[Opening]]+Table_ExternalData_17[[#This Row],[Total Receipt]])-ABS(Table_ExternalData_17[[#This Row],[Total Issue]]))</f>
        <v>-9</v>
      </c>
    </row>
    <row r="396" spans="1:17">
      <c r="A396" s="1" t="s">
        <v>1030</v>
      </c>
      <c r="B396" s="1" t="s">
        <v>1508</v>
      </c>
      <c r="C396" s="1" t="s">
        <v>1509</v>
      </c>
      <c r="D396" s="10">
        <f>SUMIFS(OPBQList,OPBIList,Table_ExternalData_17[[#This Row],[item_key]])+SUMIFS(GQList,GIList,Table_ExternalData_17[[#This Row],[item_key]],GDList,0)-ABS(SUMIFS(IsQList,IsIList,Table_ExternalData_17[[#This Row],[item_key]],IsDList,0))</f>
        <v>712</v>
      </c>
      <c r="E396" s="10">
        <f>SUMIFS(GQList,GIList,Table_ExternalData_17[[#This Row],[item_key]],GTList,Table_ExternalData_17[[#Headers],[GRN]],GDList,"&lt;&gt;"&amp;0)</f>
        <v>0</v>
      </c>
      <c r="F396" s="10">
        <f>SUMIFS(GQList,GIList,Table_ExternalData_17[[#This Row],[item_key]],GTList,Table_ExternalData_17[[#Headers],[VSTR]],GDList,"&lt;&gt;"&amp;0)</f>
        <v>0</v>
      </c>
      <c r="G396" s="10">
        <f>SUMIFS(GQList,GIList,Table_ExternalData_17[[#This Row],[item_key]],GTList,Table_ExternalData_17[[#Headers],[SR]],GDList,"&lt;&gt;"&amp;0)</f>
        <v>0</v>
      </c>
      <c r="H396" s="10">
        <f>SUMIFS(GQList,GIList,Table_ExternalData_17[[#This Row],[item_key]],GTList,Table_ExternalData_17[[#Headers],[TR]],GDList,"&lt;&gt;"&amp;0)</f>
        <v>0</v>
      </c>
      <c r="I396" s="10">
        <f>SUMIFS(GQList,GIList,Table_ExternalData_17[[#This Row],[item_key]],GTList,Table_ExternalData_17[[#Headers],[RCA]],GDList,"&lt;&gt;"&amp;0)</f>
        <v>0</v>
      </c>
      <c r="J396" s="10">
        <f>SUM(Table_ExternalData_17[[#This Row],[GRN]]+Table_ExternalData_17[[#This Row],[VSTR]]+Table_ExternalData_17[[#This Row],[SR]]+Table_ExternalData_17[[#This Row],[TR]]+Table_ExternalData_17[[#This Row],[RCA]])</f>
        <v>0</v>
      </c>
      <c r="K396" s="10">
        <f>SUMIFS(IsQList,IsIList,Table_ExternalData_17[[#This Row],[item_key]],IsITypeList,Table_ExternalData_17[[#Headers],[R/P]],IsDList,"&lt;&gt;"&amp;0)</f>
        <v>0</v>
      </c>
      <c r="L396" s="10">
        <f>SUMIFS(IsQList,IsIList,Table_ExternalData_17[[#This Row],[item_key]],IsITypeList,Table_ExternalData_17[[#Headers],[CST]],IsDList,"&lt;&gt;"&amp;0)</f>
        <v>0</v>
      </c>
      <c r="M396" s="10">
        <f>SUMIFS(IsQList,IsIList,Table_ExternalData_15[[#This Row],[item_key]],IsITypeList,Table_ExternalData_17[[#Headers],[S/I]],IsDList,"&lt;&gt;"&amp;0)</f>
        <v>26784</v>
      </c>
      <c r="N396" s="10">
        <f>SUMIFS(IsQList,IsIList,Table_ExternalData_15[[#This Row],[item_key]],IsITypeList,Table_ExternalData_17[[#Headers],[VST]],IsDList,"&lt;&gt;"&amp;0)</f>
        <v>0</v>
      </c>
      <c r="O396" s="10">
        <f>ABS(SUMIFS(IsQList,IsIList,Table_ExternalData_17[[#This Row],[item_key]],IsITypeList,Table_ExternalData_17[[#Headers],[RTN]],IsDList,"&lt;&gt;"&amp;0))</f>
        <v>0</v>
      </c>
      <c r="P396" s="10">
        <f>SUM(Table_ExternalData_17[[#This Row],[R/P]:[RTN]])</f>
        <v>26784</v>
      </c>
      <c r="Q396" s="10">
        <f>SUM((Table_ExternalData_17[[#This Row],[Opening]]+Table_ExternalData_17[[#This Row],[Total Receipt]])-ABS(Table_ExternalData_17[[#This Row],[Total Issue]]))</f>
        <v>-26072</v>
      </c>
    </row>
    <row r="397" spans="1:17">
      <c r="A397" s="1" t="s">
        <v>1031</v>
      </c>
      <c r="B397" s="1" t="s">
        <v>2793</v>
      </c>
      <c r="C397" s="1" t="s">
        <v>2794</v>
      </c>
      <c r="D397" s="10">
        <f>SUMIFS(OPBQList,OPBIList,Table_ExternalData_17[[#This Row],[item_key]])+SUMIFS(GQList,GIList,Table_ExternalData_17[[#This Row],[item_key]],GDList,0)-ABS(SUMIFS(IsQList,IsIList,Table_ExternalData_17[[#This Row],[item_key]],IsDList,0))</f>
        <v>612</v>
      </c>
      <c r="E397" s="10">
        <f>SUMIFS(GQList,GIList,Table_ExternalData_17[[#This Row],[item_key]],GTList,Table_ExternalData_17[[#Headers],[GRN]],GDList,"&lt;&gt;"&amp;0)</f>
        <v>0</v>
      </c>
      <c r="F397" s="10">
        <f>SUMIFS(GQList,GIList,Table_ExternalData_17[[#This Row],[item_key]],GTList,Table_ExternalData_17[[#Headers],[VSTR]],GDList,"&lt;&gt;"&amp;0)</f>
        <v>0</v>
      </c>
      <c r="G397" s="10">
        <f>SUMIFS(GQList,GIList,Table_ExternalData_17[[#This Row],[item_key]],GTList,Table_ExternalData_17[[#Headers],[SR]],GDList,"&lt;&gt;"&amp;0)</f>
        <v>0</v>
      </c>
      <c r="H397" s="10">
        <f>SUMIFS(GQList,GIList,Table_ExternalData_17[[#This Row],[item_key]],GTList,Table_ExternalData_17[[#Headers],[TR]],GDList,"&lt;&gt;"&amp;0)</f>
        <v>0</v>
      </c>
      <c r="I397" s="10">
        <f>SUMIFS(GQList,GIList,Table_ExternalData_17[[#This Row],[item_key]],GTList,Table_ExternalData_17[[#Headers],[RCA]],GDList,"&lt;&gt;"&amp;0)</f>
        <v>0</v>
      </c>
      <c r="J397" s="10">
        <f>SUM(Table_ExternalData_17[[#This Row],[GRN]]+Table_ExternalData_17[[#This Row],[VSTR]]+Table_ExternalData_17[[#This Row],[SR]]+Table_ExternalData_17[[#This Row],[TR]]+Table_ExternalData_17[[#This Row],[RCA]])</f>
        <v>0</v>
      </c>
      <c r="K397" s="10">
        <f>SUMIFS(IsQList,IsIList,Table_ExternalData_17[[#This Row],[item_key]],IsITypeList,Table_ExternalData_17[[#Headers],[R/P]],IsDList,"&lt;&gt;"&amp;0)</f>
        <v>0</v>
      </c>
      <c r="L397" s="10">
        <f>SUMIFS(IsQList,IsIList,Table_ExternalData_17[[#This Row],[item_key]],IsITypeList,Table_ExternalData_17[[#Headers],[CST]],IsDList,"&lt;&gt;"&amp;0)</f>
        <v>0</v>
      </c>
      <c r="M397" s="10">
        <f>SUMIFS(IsQList,IsIList,Table_ExternalData_15[[#This Row],[item_key]],IsITypeList,Table_ExternalData_17[[#Headers],[S/I]],IsDList,"&lt;&gt;"&amp;0)</f>
        <v>27324</v>
      </c>
      <c r="N397" s="10">
        <f>SUMIFS(IsQList,IsIList,Table_ExternalData_15[[#This Row],[item_key]],IsITypeList,Table_ExternalData_17[[#Headers],[VST]],IsDList,"&lt;&gt;"&amp;0)</f>
        <v>0</v>
      </c>
      <c r="O397" s="10">
        <f>ABS(SUMIFS(IsQList,IsIList,Table_ExternalData_17[[#This Row],[item_key]],IsITypeList,Table_ExternalData_17[[#Headers],[RTN]],IsDList,"&lt;&gt;"&amp;0))</f>
        <v>0</v>
      </c>
      <c r="P397" s="10">
        <f>SUM(Table_ExternalData_17[[#This Row],[R/P]:[RTN]])</f>
        <v>27324</v>
      </c>
      <c r="Q397" s="10">
        <f>SUM((Table_ExternalData_17[[#This Row],[Opening]]+Table_ExternalData_17[[#This Row],[Total Receipt]])-ABS(Table_ExternalData_17[[#This Row],[Total Issue]]))</f>
        <v>-26712</v>
      </c>
    </row>
    <row r="398" spans="1:17">
      <c r="A398" s="1" t="s">
        <v>1032</v>
      </c>
      <c r="B398" s="1" t="s">
        <v>2795</v>
      </c>
      <c r="C398" s="1" t="s">
        <v>2796</v>
      </c>
      <c r="D398" s="10">
        <f>SUMIFS(OPBQList,OPBIList,Table_ExternalData_17[[#This Row],[item_key]])+SUMIFS(GQList,GIList,Table_ExternalData_17[[#This Row],[item_key]],GDList,0)-ABS(SUMIFS(IsQList,IsIList,Table_ExternalData_17[[#This Row],[item_key]],IsDList,0))</f>
        <v>211</v>
      </c>
      <c r="E398" s="10">
        <f>SUMIFS(GQList,GIList,Table_ExternalData_17[[#This Row],[item_key]],GTList,Table_ExternalData_17[[#Headers],[GRN]],GDList,"&lt;&gt;"&amp;0)</f>
        <v>0</v>
      </c>
      <c r="F398" s="10">
        <f>SUMIFS(GQList,GIList,Table_ExternalData_17[[#This Row],[item_key]],GTList,Table_ExternalData_17[[#Headers],[VSTR]],GDList,"&lt;&gt;"&amp;0)</f>
        <v>0</v>
      </c>
      <c r="G398" s="10">
        <f>SUMIFS(GQList,GIList,Table_ExternalData_17[[#This Row],[item_key]],GTList,Table_ExternalData_17[[#Headers],[SR]],GDList,"&lt;&gt;"&amp;0)</f>
        <v>0</v>
      </c>
      <c r="H398" s="10">
        <f>SUMIFS(GQList,GIList,Table_ExternalData_17[[#This Row],[item_key]],GTList,Table_ExternalData_17[[#Headers],[TR]],GDList,"&lt;&gt;"&amp;0)</f>
        <v>0</v>
      </c>
      <c r="I398" s="10">
        <f>SUMIFS(GQList,GIList,Table_ExternalData_17[[#This Row],[item_key]],GTList,Table_ExternalData_17[[#Headers],[RCA]],GDList,"&lt;&gt;"&amp;0)</f>
        <v>0</v>
      </c>
      <c r="J398" s="10">
        <f>SUM(Table_ExternalData_17[[#This Row],[GRN]]+Table_ExternalData_17[[#This Row],[VSTR]]+Table_ExternalData_17[[#This Row],[SR]]+Table_ExternalData_17[[#This Row],[TR]]+Table_ExternalData_17[[#This Row],[RCA]])</f>
        <v>0</v>
      </c>
      <c r="K398" s="10">
        <f>SUMIFS(IsQList,IsIList,Table_ExternalData_17[[#This Row],[item_key]],IsITypeList,Table_ExternalData_17[[#Headers],[R/P]],IsDList,"&lt;&gt;"&amp;0)</f>
        <v>0</v>
      </c>
      <c r="L398" s="10">
        <f>SUMIFS(IsQList,IsIList,Table_ExternalData_17[[#This Row],[item_key]],IsITypeList,Table_ExternalData_17[[#Headers],[CST]],IsDList,"&lt;&gt;"&amp;0)</f>
        <v>0</v>
      </c>
      <c r="M398" s="10">
        <f>SUMIFS(IsQList,IsIList,Table_ExternalData_15[[#This Row],[item_key]],IsITypeList,Table_ExternalData_17[[#Headers],[S/I]],IsDList,"&lt;&gt;"&amp;0)</f>
        <v>6660</v>
      </c>
      <c r="N398" s="10">
        <f>SUMIFS(IsQList,IsIList,Table_ExternalData_15[[#This Row],[item_key]],IsITypeList,Table_ExternalData_17[[#Headers],[VST]],IsDList,"&lt;&gt;"&amp;0)</f>
        <v>0</v>
      </c>
      <c r="O398" s="10">
        <f>ABS(SUMIFS(IsQList,IsIList,Table_ExternalData_17[[#This Row],[item_key]],IsITypeList,Table_ExternalData_17[[#Headers],[RTN]],IsDList,"&lt;&gt;"&amp;0))</f>
        <v>0</v>
      </c>
      <c r="P398" s="10">
        <f>SUM(Table_ExternalData_17[[#This Row],[R/P]:[RTN]])</f>
        <v>6660</v>
      </c>
      <c r="Q398" s="10">
        <f>SUM((Table_ExternalData_17[[#This Row],[Opening]]+Table_ExternalData_17[[#This Row],[Total Receipt]])-ABS(Table_ExternalData_17[[#This Row],[Total Issue]]))</f>
        <v>-6449</v>
      </c>
    </row>
    <row r="399" spans="1:17">
      <c r="A399" s="1" t="s">
        <v>2213</v>
      </c>
      <c r="B399" s="1" t="s">
        <v>2797</v>
      </c>
      <c r="C399" s="1" t="s">
        <v>2798</v>
      </c>
      <c r="D399" s="10">
        <f>SUMIFS(OPBQList,OPBIList,Table_ExternalData_17[[#This Row],[item_key]])+SUMIFS(GQList,GIList,Table_ExternalData_17[[#This Row],[item_key]],GDList,0)-ABS(SUMIFS(IsQList,IsIList,Table_ExternalData_17[[#This Row],[item_key]],IsDList,0))</f>
        <v>421</v>
      </c>
      <c r="E399" s="10">
        <f>SUMIFS(GQList,GIList,Table_ExternalData_17[[#This Row],[item_key]],GTList,Table_ExternalData_17[[#Headers],[GRN]],GDList,"&lt;&gt;"&amp;0)</f>
        <v>0</v>
      </c>
      <c r="F399" s="10">
        <f>SUMIFS(GQList,GIList,Table_ExternalData_17[[#This Row],[item_key]],GTList,Table_ExternalData_17[[#Headers],[VSTR]],GDList,"&lt;&gt;"&amp;0)</f>
        <v>0</v>
      </c>
      <c r="G399" s="10">
        <f>SUMIFS(GQList,GIList,Table_ExternalData_17[[#This Row],[item_key]],GTList,Table_ExternalData_17[[#Headers],[SR]],GDList,"&lt;&gt;"&amp;0)</f>
        <v>0</v>
      </c>
      <c r="H399" s="10">
        <f>SUMIFS(GQList,GIList,Table_ExternalData_17[[#This Row],[item_key]],GTList,Table_ExternalData_17[[#Headers],[TR]],GDList,"&lt;&gt;"&amp;0)</f>
        <v>0</v>
      </c>
      <c r="I399" s="10">
        <f>SUMIFS(GQList,GIList,Table_ExternalData_17[[#This Row],[item_key]],GTList,Table_ExternalData_17[[#Headers],[RCA]],GDList,"&lt;&gt;"&amp;0)</f>
        <v>0</v>
      </c>
      <c r="J399" s="10">
        <f>SUM(Table_ExternalData_17[[#This Row],[GRN]]+Table_ExternalData_17[[#This Row],[VSTR]]+Table_ExternalData_17[[#This Row],[SR]]+Table_ExternalData_17[[#This Row],[TR]]+Table_ExternalData_17[[#This Row],[RCA]])</f>
        <v>0</v>
      </c>
      <c r="K399" s="10">
        <f>SUMIFS(IsQList,IsIList,Table_ExternalData_17[[#This Row],[item_key]],IsITypeList,Table_ExternalData_17[[#Headers],[R/P]],IsDList,"&lt;&gt;"&amp;0)</f>
        <v>0</v>
      </c>
      <c r="L399" s="10">
        <f>SUMIFS(IsQList,IsIList,Table_ExternalData_17[[#This Row],[item_key]],IsITypeList,Table_ExternalData_17[[#Headers],[CST]],IsDList,"&lt;&gt;"&amp;0)</f>
        <v>0</v>
      </c>
      <c r="M399" s="10">
        <f>SUMIFS(IsQList,IsIList,Table_ExternalData_15[[#This Row],[item_key]],IsITypeList,Table_ExternalData_17[[#Headers],[S/I]],IsDList,"&lt;&gt;"&amp;0)</f>
        <v>0</v>
      </c>
      <c r="N399" s="10">
        <f>SUMIFS(IsQList,IsIList,Table_ExternalData_15[[#This Row],[item_key]],IsITypeList,Table_ExternalData_17[[#Headers],[VST]],IsDList,"&lt;&gt;"&amp;0)</f>
        <v>0</v>
      </c>
      <c r="O399" s="10">
        <f>ABS(SUMIFS(IsQList,IsIList,Table_ExternalData_17[[#This Row],[item_key]],IsITypeList,Table_ExternalData_17[[#Headers],[RTN]],IsDList,"&lt;&gt;"&amp;0))</f>
        <v>0</v>
      </c>
      <c r="P399" s="10">
        <f>SUM(Table_ExternalData_17[[#This Row],[R/P]:[RTN]])</f>
        <v>0</v>
      </c>
      <c r="Q399" s="10">
        <f>SUM((Table_ExternalData_17[[#This Row],[Opening]]+Table_ExternalData_17[[#This Row],[Total Receipt]])-ABS(Table_ExternalData_17[[#This Row],[Total Issue]]))</f>
        <v>421</v>
      </c>
    </row>
    <row r="400" spans="1:17">
      <c r="A400" s="1" t="s">
        <v>1034</v>
      </c>
      <c r="B400" s="1" t="s">
        <v>1510</v>
      </c>
      <c r="C400" s="1" t="s">
        <v>1511</v>
      </c>
      <c r="D400" s="10">
        <f>SUMIFS(OPBQList,OPBIList,Table_ExternalData_17[[#This Row],[item_key]])+SUMIFS(GQList,GIList,Table_ExternalData_17[[#This Row],[item_key]],GDList,0)-ABS(SUMIFS(IsQList,IsIList,Table_ExternalData_17[[#This Row],[item_key]],IsDList,0))</f>
        <v>4268</v>
      </c>
      <c r="E400" s="10">
        <f>SUMIFS(GQList,GIList,Table_ExternalData_17[[#This Row],[item_key]],GTList,Table_ExternalData_17[[#Headers],[GRN]],GDList,"&lt;&gt;"&amp;0)</f>
        <v>0</v>
      </c>
      <c r="F400" s="10">
        <f>SUMIFS(GQList,GIList,Table_ExternalData_17[[#This Row],[item_key]],GTList,Table_ExternalData_17[[#Headers],[VSTR]],GDList,"&lt;&gt;"&amp;0)</f>
        <v>0</v>
      </c>
      <c r="G400" s="10">
        <f>SUMIFS(GQList,GIList,Table_ExternalData_17[[#This Row],[item_key]],GTList,Table_ExternalData_17[[#Headers],[SR]],GDList,"&lt;&gt;"&amp;0)</f>
        <v>0</v>
      </c>
      <c r="H400" s="10">
        <f>SUMIFS(GQList,GIList,Table_ExternalData_17[[#This Row],[item_key]],GTList,Table_ExternalData_17[[#Headers],[TR]],GDList,"&lt;&gt;"&amp;0)</f>
        <v>0</v>
      </c>
      <c r="I400" s="10">
        <f>SUMIFS(GQList,GIList,Table_ExternalData_17[[#This Row],[item_key]],GTList,Table_ExternalData_17[[#Headers],[RCA]],GDList,"&lt;&gt;"&amp;0)</f>
        <v>0</v>
      </c>
      <c r="J400" s="10">
        <f>SUM(Table_ExternalData_17[[#This Row],[GRN]]+Table_ExternalData_17[[#This Row],[VSTR]]+Table_ExternalData_17[[#This Row],[SR]]+Table_ExternalData_17[[#This Row],[TR]]+Table_ExternalData_17[[#This Row],[RCA]])</f>
        <v>0</v>
      </c>
      <c r="K400" s="10">
        <f>SUMIFS(IsQList,IsIList,Table_ExternalData_17[[#This Row],[item_key]],IsITypeList,Table_ExternalData_17[[#Headers],[R/P]],IsDList,"&lt;&gt;"&amp;0)</f>
        <v>0</v>
      </c>
      <c r="L400" s="10">
        <f>SUMIFS(IsQList,IsIList,Table_ExternalData_17[[#This Row],[item_key]],IsITypeList,Table_ExternalData_17[[#Headers],[CST]],IsDList,"&lt;&gt;"&amp;0)</f>
        <v>0</v>
      </c>
      <c r="M400" s="10">
        <f>SUMIFS(IsQList,IsIList,Table_ExternalData_15[[#This Row],[item_key]],IsITypeList,Table_ExternalData_17[[#Headers],[S/I]],IsDList,"&lt;&gt;"&amp;0)</f>
        <v>0</v>
      </c>
      <c r="N400" s="10">
        <f>SUMIFS(IsQList,IsIList,Table_ExternalData_15[[#This Row],[item_key]],IsITypeList,Table_ExternalData_17[[#Headers],[VST]],IsDList,"&lt;&gt;"&amp;0)</f>
        <v>0</v>
      </c>
      <c r="O400" s="10">
        <f>ABS(SUMIFS(IsQList,IsIList,Table_ExternalData_17[[#This Row],[item_key]],IsITypeList,Table_ExternalData_17[[#Headers],[RTN]],IsDList,"&lt;&gt;"&amp;0))</f>
        <v>0</v>
      </c>
      <c r="P400" s="10">
        <f>SUM(Table_ExternalData_17[[#This Row],[R/P]:[RTN]])</f>
        <v>0</v>
      </c>
      <c r="Q400" s="10">
        <f>SUM((Table_ExternalData_17[[#This Row],[Opening]]+Table_ExternalData_17[[#This Row],[Total Receipt]])-ABS(Table_ExternalData_17[[#This Row],[Total Issue]]))</f>
        <v>4268</v>
      </c>
    </row>
    <row r="401" spans="1:17">
      <c r="A401" s="1" t="s">
        <v>1038</v>
      </c>
      <c r="B401" s="1" t="s">
        <v>2799</v>
      </c>
      <c r="C401" s="1" t="s">
        <v>2800</v>
      </c>
      <c r="D401" s="10">
        <f>SUMIFS(OPBQList,OPBIList,Table_ExternalData_17[[#This Row],[item_key]])+SUMIFS(GQList,GIList,Table_ExternalData_17[[#This Row],[item_key]],GDList,0)-ABS(SUMIFS(IsQList,IsIList,Table_ExternalData_17[[#This Row],[item_key]],IsDList,0))</f>
        <v>90</v>
      </c>
      <c r="E401" s="10">
        <f>SUMIFS(GQList,GIList,Table_ExternalData_17[[#This Row],[item_key]],GTList,Table_ExternalData_17[[#Headers],[GRN]],GDList,"&lt;&gt;"&amp;0)</f>
        <v>0</v>
      </c>
      <c r="F401" s="10">
        <f>SUMIFS(GQList,GIList,Table_ExternalData_17[[#This Row],[item_key]],GTList,Table_ExternalData_17[[#Headers],[VSTR]],GDList,"&lt;&gt;"&amp;0)</f>
        <v>0</v>
      </c>
      <c r="G401" s="10">
        <f>SUMIFS(GQList,GIList,Table_ExternalData_17[[#This Row],[item_key]],GTList,Table_ExternalData_17[[#Headers],[SR]],GDList,"&lt;&gt;"&amp;0)</f>
        <v>0</v>
      </c>
      <c r="H401" s="10">
        <f>SUMIFS(GQList,GIList,Table_ExternalData_17[[#This Row],[item_key]],GTList,Table_ExternalData_17[[#Headers],[TR]],GDList,"&lt;&gt;"&amp;0)</f>
        <v>0</v>
      </c>
      <c r="I401" s="10">
        <f>SUMIFS(GQList,GIList,Table_ExternalData_17[[#This Row],[item_key]],GTList,Table_ExternalData_17[[#Headers],[RCA]],GDList,"&lt;&gt;"&amp;0)</f>
        <v>0</v>
      </c>
      <c r="J401" s="10">
        <f>SUM(Table_ExternalData_17[[#This Row],[GRN]]+Table_ExternalData_17[[#This Row],[VSTR]]+Table_ExternalData_17[[#This Row],[SR]]+Table_ExternalData_17[[#This Row],[TR]]+Table_ExternalData_17[[#This Row],[RCA]])</f>
        <v>0</v>
      </c>
      <c r="K401" s="10">
        <f>SUMIFS(IsQList,IsIList,Table_ExternalData_17[[#This Row],[item_key]],IsITypeList,Table_ExternalData_17[[#Headers],[R/P]],IsDList,"&lt;&gt;"&amp;0)</f>
        <v>0</v>
      </c>
      <c r="L401" s="10">
        <f>SUMIFS(IsQList,IsIList,Table_ExternalData_17[[#This Row],[item_key]],IsITypeList,Table_ExternalData_17[[#Headers],[CST]],IsDList,"&lt;&gt;"&amp;0)</f>
        <v>0</v>
      </c>
      <c r="M401" s="10">
        <f>SUMIFS(IsQList,IsIList,Table_ExternalData_15[[#This Row],[item_key]],IsITypeList,Table_ExternalData_17[[#Headers],[S/I]],IsDList,"&lt;&gt;"&amp;0)</f>
        <v>0</v>
      </c>
      <c r="N401" s="10">
        <f>SUMIFS(IsQList,IsIList,Table_ExternalData_15[[#This Row],[item_key]],IsITypeList,Table_ExternalData_17[[#Headers],[VST]],IsDList,"&lt;&gt;"&amp;0)</f>
        <v>0</v>
      </c>
      <c r="O401" s="10">
        <f>ABS(SUMIFS(IsQList,IsIList,Table_ExternalData_17[[#This Row],[item_key]],IsITypeList,Table_ExternalData_17[[#Headers],[RTN]],IsDList,"&lt;&gt;"&amp;0))</f>
        <v>0</v>
      </c>
      <c r="P401" s="10">
        <f>SUM(Table_ExternalData_17[[#This Row],[R/P]:[RTN]])</f>
        <v>0</v>
      </c>
      <c r="Q401" s="10">
        <f>SUM((Table_ExternalData_17[[#This Row],[Opening]]+Table_ExternalData_17[[#This Row],[Total Receipt]])-ABS(Table_ExternalData_17[[#This Row],[Total Issue]]))</f>
        <v>90</v>
      </c>
    </row>
    <row r="402" spans="1:17">
      <c r="A402" s="1" t="s">
        <v>1044</v>
      </c>
      <c r="B402" s="1" t="s">
        <v>1512</v>
      </c>
      <c r="C402" s="1" t="s">
        <v>1513</v>
      </c>
      <c r="D402" s="10">
        <f>SUMIFS(OPBQList,OPBIList,Table_ExternalData_17[[#This Row],[item_key]])+SUMIFS(GQList,GIList,Table_ExternalData_17[[#This Row],[item_key]],GDList,0)-ABS(SUMIFS(IsQList,IsIList,Table_ExternalData_17[[#This Row],[item_key]],IsDList,0))</f>
        <v>39</v>
      </c>
      <c r="E402" s="10">
        <f>SUMIFS(GQList,GIList,Table_ExternalData_17[[#This Row],[item_key]],GTList,Table_ExternalData_17[[#Headers],[GRN]],GDList,"&lt;&gt;"&amp;0)</f>
        <v>0</v>
      </c>
      <c r="F402" s="10">
        <f>SUMIFS(GQList,GIList,Table_ExternalData_17[[#This Row],[item_key]],GTList,Table_ExternalData_17[[#Headers],[VSTR]],GDList,"&lt;&gt;"&amp;0)</f>
        <v>0</v>
      </c>
      <c r="G402" s="10">
        <f>SUMIFS(GQList,GIList,Table_ExternalData_17[[#This Row],[item_key]],GTList,Table_ExternalData_17[[#Headers],[SR]],GDList,"&lt;&gt;"&amp;0)</f>
        <v>0</v>
      </c>
      <c r="H402" s="10">
        <f>SUMIFS(GQList,GIList,Table_ExternalData_17[[#This Row],[item_key]],GTList,Table_ExternalData_17[[#Headers],[TR]],GDList,"&lt;&gt;"&amp;0)</f>
        <v>0</v>
      </c>
      <c r="I402" s="10">
        <f>SUMIFS(GQList,GIList,Table_ExternalData_17[[#This Row],[item_key]],GTList,Table_ExternalData_17[[#Headers],[RCA]],GDList,"&lt;&gt;"&amp;0)</f>
        <v>0</v>
      </c>
      <c r="J402" s="10">
        <f>SUM(Table_ExternalData_17[[#This Row],[GRN]]+Table_ExternalData_17[[#This Row],[VSTR]]+Table_ExternalData_17[[#This Row],[SR]]+Table_ExternalData_17[[#This Row],[TR]]+Table_ExternalData_17[[#This Row],[RCA]])</f>
        <v>0</v>
      </c>
      <c r="K402" s="10">
        <f>SUMIFS(IsQList,IsIList,Table_ExternalData_17[[#This Row],[item_key]],IsITypeList,Table_ExternalData_17[[#Headers],[R/P]],IsDList,"&lt;&gt;"&amp;0)</f>
        <v>0</v>
      </c>
      <c r="L402" s="10">
        <f>SUMIFS(IsQList,IsIList,Table_ExternalData_17[[#This Row],[item_key]],IsITypeList,Table_ExternalData_17[[#Headers],[CST]],IsDList,"&lt;&gt;"&amp;0)</f>
        <v>0</v>
      </c>
      <c r="M402" s="10">
        <f>SUMIFS(IsQList,IsIList,Table_ExternalData_15[[#This Row],[item_key]],IsITypeList,Table_ExternalData_17[[#Headers],[S/I]],IsDList,"&lt;&gt;"&amp;0)</f>
        <v>0</v>
      </c>
      <c r="N402" s="10">
        <f>SUMIFS(IsQList,IsIList,Table_ExternalData_15[[#This Row],[item_key]],IsITypeList,Table_ExternalData_17[[#Headers],[VST]],IsDList,"&lt;&gt;"&amp;0)</f>
        <v>0</v>
      </c>
      <c r="O402" s="10">
        <f>ABS(SUMIFS(IsQList,IsIList,Table_ExternalData_17[[#This Row],[item_key]],IsITypeList,Table_ExternalData_17[[#Headers],[RTN]],IsDList,"&lt;&gt;"&amp;0))</f>
        <v>0</v>
      </c>
      <c r="P402" s="10">
        <f>SUM(Table_ExternalData_17[[#This Row],[R/P]:[RTN]])</f>
        <v>0</v>
      </c>
      <c r="Q402" s="10">
        <f>SUM((Table_ExternalData_17[[#This Row],[Opening]]+Table_ExternalData_17[[#This Row],[Total Receipt]])-ABS(Table_ExternalData_17[[#This Row],[Total Issue]]))</f>
        <v>39</v>
      </c>
    </row>
    <row r="403" spans="1:17">
      <c r="A403" s="1" t="s">
        <v>1047</v>
      </c>
      <c r="B403" s="1" t="s">
        <v>2801</v>
      </c>
      <c r="C403" s="1" t="s">
        <v>2802</v>
      </c>
      <c r="D403" s="10">
        <f>SUMIFS(OPBQList,OPBIList,Table_ExternalData_17[[#This Row],[item_key]])+SUMIFS(GQList,GIList,Table_ExternalData_17[[#This Row],[item_key]],GDList,0)-ABS(SUMIFS(IsQList,IsIList,Table_ExternalData_17[[#This Row],[item_key]],IsDList,0))</f>
        <v>301</v>
      </c>
      <c r="E403" s="10">
        <f>SUMIFS(GQList,GIList,Table_ExternalData_17[[#This Row],[item_key]],GTList,Table_ExternalData_17[[#Headers],[GRN]],GDList,"&lt;&gt;"&amp;0)</f>
        <v>0</v>
      </c>
      <c r="F403" s="10">
        <f>SUMIFS(GQList,GIList,Table_ExternalData_17[[#This Row],[item_key]],GTList,Table_ExternalData_17[[#Headers],[VSTR]],GDList,"&lt;&gt;"&amp;0)</f>
        <v>0</v>
      </c>
      <c r="G403" s="10">
        <f>SUMIFS(GQList,GIList,Table_ExternalData_17[[#This Row],[item_key]],GTList,Table_ExternalData_17[[#Headers],[SR]],GDList,"&lt;&gt;"&amp;0)</f>
        <v>0</v>
      </c>
      <c r="H403" s="10">
        <f>SUMIFS(GQList,GIList,Table_ExternalData_17[[#This Row],[item_key]],GTList,Table_ExternalData_17[[#Headers],[TR]],GDList,"&lt;&gt;"&amp;0)</f>
        <v>0</v>
      </c>
      <c r="I403" s="10">
        <f>SUMIFS(GQList,GIList,Table_ExternalData_17[[#This Row],[item_key]],GTList,Table_ExternalData_17[[#Headers],[RCA]],GDList,"&lt;&gt;"&amp;0)</f>
        <v>0</v>
      </c>
      <c r="J403" s="10">
        <f>SUM(Table_ExternalData_17[[#This Row],[GRN]]+Table_ExternalData_17[[#This Row],[VSTR]]+Table_ExternalData_17[[#This Row],[SR]]+Table_ExternalData_17[[#This Row],[TR]]+Table_ExternalData_17[[#This Row],[RCA]])</f>
        <v>0</v>
      </c>
      <c r="K403" s="10">
        <f>SUMIFS(IsQList,IsIList,Table_ExternalData_17[[#This Row],[item_key]],IsITypeList,Table_ExternalData_17[[#Headers],[R/P]],IsDList,"&lt;&gt;"&amp;0)</f>
        <v>0</v>
      </c>
      <c r="L403" s="10">
        <f>SUMIFS(IsQList,IsIList,Table_ExternalData_17[[#This Row],[item_key]],IsITypeList,Table_ExternalData_17[[#Headers],[CST]],IsDList,"&lt;&gt;"&amp;0)</f>
        <v>0</v>
      </c>
      <c r="M403" s="10">
        <f>SUMIFS(IsQList,IsIList,Table_ExternalData_15[[#This Row],[item_key]],IsITypeList,Table_ExternalData_17[[#Headers],[S/I]],IsDList,"&lt;&gt;"&amp;0)</f>
        <v>0</v>
      </c>
      <c r="N403" s="10">
        <f>SUMIFS(IsQList,IsIList,Table_ExternalData_15[[#This Row],[item_key]],IsITypeList,Table_ExternalData_17[[#Headers],[VST]],IsDList,"&lt;&gt;"&amp;0)</f>
        <v>0</v>
      </c>
      <c r="O403" s="10">
        <f>ABS(SUMIFS(IsQList,IsIList,Table_ExternalData_17[[#This Row],[item_key]],IsITypeList,Table_ExternalData_17[[#Headers],[RTN]],IsDList,"&lt;&gt;"&amp;0))</f>
        <v>0</v>
      </c>
      <c r="P403" s="10">
        <f>SUM(Table_ExternalData_17[[#This Row],[R/P]:[RTN]])</f>
        <v>0</v>
      </c>
      <c r="Q403" s="10">
        <f>SUM((Table_ExternalData_17[[#This Row],[Opening]]+Table_ExternalData_17[[#This Row],[Total Receipt]])-ABS(Table_ExternalData_17[[#This Row],[Total Issue]]))</f>
        <v>301</v>
      </c>
    </row>
    <row r="404" spans="1:17">
      <c r="A404" s="1" t="s">
        <v>1048</v>
      </c>
      <c r="B404" s="1" t="s">
        <v>1514</v>
      </c>
      <c r="C404" s="1" t="s">
        <v>1515</v>
      </c>
      <c r="D404" s="10">
        <f>SUMIFS(OPBQList,OPBIList,Table_ExternalData_17[[#This Row],[item_key]])+SUMIFS(GQList,GIList,Table_ExternalData_17[[#This Row],[item_key]],GDList,0)-ABS(SUMIFS(IsQList,IsIList,Table_ExternalData_17[[#This Row],[item_key]],IsDList,0))</f>
        <v>68</v>
      </c>
      <c r="E404" s="10">
        <f>SUMIFS(GQList,GIList,Table_ExternalData_17[[#This Row],[item_key]],GTList,Table_ExternalData_17[[#Headers],[GRN]],GDList,"&lt;&gt;"&amp;0)</f>
        <v>0</v>
      </c>
      <c r="F404" s="10">
        <f>SUMIFS(GQList,GIList,Table_ExternalData_17[[#This Row],[item_key]],GTList,Table_ExternalData_17[[#Headers],[VSTR]],GDList,"&lt;&gt;"&amp;0)</f>
        <v>0</v>
      </c>
      <c r="G404" s="10">
        <f>SUMIFS(GQList,GIList,Table_ExternalData_17[[#This Row],[item_key]],GTList,Table_ExternalData_17[[#Headers],[SR]],GDList,"&lt;&gt;"&amp;0)</f>
        <v>0</v>
      </c>
      <c r="H404" s="10">
        <f>SUMIFS(GQList,GIList,Table_ExternalData_17[[#This Row],[item_key]],GTList,Table_ExternalData_17[[#Headers],[TR]],GDList,"&lt;&gt;"&amp;0)</f>
        <v>0</v>
      </c>
      <c r="I404" s="10">
        <f>SUMIFS(GQList,GIList,Table_ExternalData_17[[#This Row],[item_key]],GTList,Table_ExternalData_17[[#Headers],[RCA]],GDList,"&lt;&gt;"&amp;0)</f>
        <v>0</v>
      </c>
      <c r="J404" s="10">
        <f>SUM(Table_ExternalData_17[[#This Row],[GRN]]+Table_ExternalData_17[[#This Row],[VSTR]]+Table_ExternalData_17[[#This Row],[SR]]+Table_ExternalData_17[[#This Row],[TR]]+Table_ExternalData_17[[#This Row],[RCA]])</f>
        <v>0</v>
      </c>
      <c r="K404" s="10">
        <f>SUMIFS(IsQList,IsIList,Table_ExternalData_17[[#This Row],[item_key]],IsITypeList,Table_ExternalData_17[[#Headers],[R/P]],IsDList,"&lt;&gt;"&amp;0)</f>
        <v>0</v>
      </c>
      <c r="L404" s="10">
        <f>SUMIFS(IsQList,IsIList,Table_ExternalData_17[[#This Row],[item_key]],IsITypeList,Table_ExternalData_17[[#Headers],[CST]],IsDList,"&lt;&gt;"&amp;0)</f>
        <v>0</v>
      </c>
      <c r="M404" s="10">
        <f>SUMIFS(IsQList,IsIList,Table_ExternalData_15[[#This Row],[item_key]],IsITypeList,Table_ExternalData_17[[#Headers],[S/I]],IsDList,"&lt;&gt;"&amp;0)</f>
        <v>0</v>
      </c>
      <c r="N404" s="10">
        <f>SUMIFS(IsQList,IsIList,Table_ExternalData_15[[#This Row],[item_key]],IsITypeList,Table_ExternalData_17[[#Headers],[VST]],IsDList,"&lt;&gt;"&amp;0)</f>
        <v>0</v>
      </c>
      <c r="O404" s="10">
        <f>ABS(SUMIFS(IsQList,IsIList,Table_ExternalData_17[[#This Row],[item_key]],IsITypeList,Table_ExternalData_17[[#Headers],[RTN]],IsDList,"&lt;&gt;"&amp;0))</f>
        <v>0</v>
      </c>
      <c r="P404" s="10">
        <f>SUM(Table_ExternalData_17[[#This Row],[R/P]:[RTN]])</f>
        <v>0</v>
      </c>
      <c r="Q404" s="10">
        <f>SUM((Table_ExternalData_17[[#This Row],[Opening]]+Table_ExternalData_17[[#This Row],[Total Receipt]])-ABS(Table_ExternalData_17[[#This Row],[Total Issue]]))</f>
        <v>68</v>
      </c>
    </row>
    <row r="405" spans="1:17">
      <c r="A405" s="1" t="s">
        <v>1050</v>
      </c>
      <c r="B405" s="1" t="s">
        <v>1516</v>
      </c>
      <c r="C405" s="1" t="s">
        <v>1517</v>
      </c>
      <c r="D405" s="10">
        <f>SUMIFS(OPBQList,OPBIList,Table_ExternalData_17[[#This Row],[item_key]])+SUMIFS(GQList,GIList,Table_ExternalData_17[[#This Row],[item_key]],GDList,0)-ABS(SUMIFS(IsQList,IsIList,Table_ExternalData_17[[#This Row],[item_key]],IsDList,0))</f>
        <v>7</v>
      </c>
      <c r="E405" s="10">
        <f>SUMIFS(GQList,GIList,Table_ExternalData_17[[#This Row],[item_key]],GTList,Table_ExternalData_17[[#Headers],[GRN]],GDList,"&lt;&gt;"&amp;0)</f>
        <v>0</v>
      </c>
      <c r="F405" s="10">
        <f>SUMIFS(GQList,GIList,Table_ExternalData_17[[#This Row],[item_key]],GTList,Table_ExternalData_17[[#Headers],[VSTR]],GDList,"&lt;&gt;"&amp;0)</f>
        <v>0</v>
      </c>
      <c r="G405" s="10">
        <f>SUMIFS(GQList,GIList,Table_ExternalData_17[[#This Row],[item_key]],GTList,Table_ExternalData_17[[#Headers],[SR]],GDList,"&lt;&gt;"&amp;0)</f>
        <v>0</v>
      </c>
      <c r="H405" s="10">
        <f>SUMIFS(GQList,GIList,Table_ExternalData_17[[#This Row],[item_key]],GTList,Table_ExternalData_17[[#Headers],[TR]],GDList,"&lt;&gt;"&amp;0)</f>
        <v>0</v>
      </c>
      <c r="I405" s="10">
        <f>SUMIFS(GQList,GIList,Table_ExternalData_17[[#This Row],[item_key]],GTList,Table_ExternalData_17[[#Headers],[RCA]],GDList,"&lt;&gt;"&amp;0)</f>
        <v>0</v>
      </c>
      <c r="J405" s="10">
        <f>SUM(Table_ExternalData_17[[#This Row],[GRN]]+Table_ExternalData_17[[#This Row],[VSTR]]+Table_ExternalData_17[[#This Row],[SR]]+Table_ExternalData_17[[#This Row],[TR]]+Table_ExternalData_17[[#This Row],[RCA]])</f>
        <v>0</v>
      </c>
      <c r="K405" s="10">
        <f>SUMIFS(IsQList,IsIList,Table_ExternalData_17[[#This Row],[item_key]],IsITypeList,Table_ExternalData_17[[#Headers],[R/P]],IsDList,"&lt;&gt;"&amp;0)</f>
        <v>0</v>
      </c>
      <c r="L405" s="10">
        <f>SUMIFS(IsQList,IsIList,Table_ExternalData_17[[#This Row],[item_key]],IsITypeList,Table_ExternalData_17[[#Headers],[CST]],IsDList,"&lt;&gt;"&amp;0)</f>
        <v>0</v>
      </c>
      <c r="M405" s="10">
        <f>SUMIFS(IsQList,IsIList,Table_ExternalData_15[[#This Row],[item_key]],IsITypeList,Table_ExternalData_17[[#Headers],[S/I]],IsDList,"&lt;&gt;"&amp;0)</f>
        <v>0</v>
      </c>
      <c r="N405" s="10">
        <f>SUMIFS(IsQList,IsIList,Table_ExternalData_15[[#This Row],[item_key]],IsITypeList,Table_ExternalData_17[[#Headers],[VST]],IsDList,"&lt;&gt;"&amp;0)</f>
        <v>0</v>
      </c>
      <c r="O405" s="10">
        <f>ABS(SUMIFS(IsQList,IsIList,Table_ExternalData_17[[#This Row],[item_key]],IsITypeList,Table_ExternalData_17[[#Headers],[RTN]],IsDList,"&lt;&gt;"&amp;0))</f>
        <v>0</v>
      </c>
      <c r="P405" s="10">
        <f>SUM(Table_ExternalData_17[[#This Row],[R/P]:[RTN]])</f>
        <v>0</v>
      </c>
      <c r="Q405" s="10">
        <f>SUM((Table_ExternalData_17[[#This Row],[Opening]]+Table_ExternalData_17[[#This Row],[Total Receipt]])-ABS(Table_ExternalData_17[[#This Row],[Total Issue]]))</f>
        <v>7</v>
      </c>
    </row>
    <row r="406" spans="1:17">
      <c r="A406" s="1" t="s">
        <v>1051</v>
      </c>
      <c r="B406" s="1" t="s">
        <v>1518</v>
      </c>
      <c r="C406" s="1" t="s">
        <v>1393</v>
      </c>
      <c r="D406" s="10">
        <f>SUMIFS(OPBQList,OPBIList,Table_ExternalData_17[[#This Row],[item_key]])+SUMIFS(GQList,GIList,Table_ExternalData_17[[#This Row],[item_key]],GDList,0)-ABS(SUMIFS(IsQList,IsIList,Table_ExternalData_17[[#This Row],[item_key]],IsDList,0))</f>
        <v>58</v>
      </c>
      <c r="E406" s="10">
        <f>SUMIFS(GQList,GIList,Table_ExternalData_17[[#This Row],[item_key]],GTList,Table_ExternalData_17[[#Headers],[GRN]],GDList,"&lt;&gt;"&amp;0)</f>
        <v>0</v>
      </c>
      <c r="F406" s="10">
        <f>SUMIFS(GQList,GIList,Table_ExternalData_17[[#This Row],[item_key]],GTList,Table_ExternalData_17[[#Headers],[VSTR]],GDList,"&lt;&gt;"&amp;0)</f>
        <v>0</v>
      </c>
      <c r="G406" s="10">
        <f>SUMIFS(GQList,GIList,Table_ExternalData_17[[#This Row],[item_key]],GTList,Table_ExternalData_17[[#Headers],[SR]],GDList,"&lt;&gt;"&amp;0)</f>
        <v>0</v>
      </c>
      <c r="H406" s="10">
        <f>SUMIFS(GQList,GIList,Table_ExternalData_17[[#This Row],[item_key]],GTList,Table_ExternalData_17[[#Headers],[TR]],GDList,"&lt;&gt;"&amp;0)</f>
        <v>0</v>
      </c>
      <c r="I406" s="10">
        <f>SUMIFS(GQList,GIList,Table_ExternalData_17[[#This Row],[item_key]],GTList,Table_ExternalData_17[[#Headers],[RCA]],GDList,"&lt;&gt;"&amp;0)</f>
        <v>0</v>
      </c>
      <c r="J406" s="10">
        <f>SUM(Table_ExternalData_17[[#This Row],[GRN]]+Table_ExternalData_17[[#This Row],[VSTR]]+Table_ExternalData_17[[#This Row],[SR]]+Table_ExternalData_17[[#This Row],[TR]]+Table_ExternalData_17[[#This Row],[RCA]])</f>
        <v>0</v>
      </c>
      <c r="K406" s="10">
        <f>SUMIFS(IsQList,IsIList,Table_ExternalData_17[[#This Row],[item_key]],IsITypeList,Table_ExternalData_17[[#Headers],[R/P]],IsDList,"&lt;&gt;"&amp;0)</f>
        <v>0</v>
      </c>
      <c r="L406" s="10">
        <f>SUMIFS(IsQList,IsIList,Table_ExternalData_17[[#This Row],[item_key]],IsITypeList,Table_ExternalData_17[[#Headers],[CST]],IsDList,"&lt;&gt;"&amp;0)</f>
        <v>0</v>
      </c>
      <c r="M406" s="10">
        <f>SUMIFS(IsQList,IsIList,Table_ExternalData_15[[#This Row],[item_key]],IsITypeList,Table_ExternalData_17[[#Headers],[S/I]],IsDList,"&lt;&gt;"&amp;0)</f>
        <v>0</v>
      </c>
      <c r="N406" s="10">
        <f>SUMIFS(IsQList,IsIList,Table_ExternalData_15[[#This Row],[item_key]],IsITypeList,Table_ExternalData_17[[#Headers],[VST]],IsDList,"&lt;&gt;"&amp;0)</f>
        <v>0</v>
      </c>
      <c r="O406" s="10">
        <f>ABS(SUMIFS(IsQList,IsIList,Table_ExternalData_17[[#This Row],[item_key]],IsITypeList,Table_ExternalData_17[[#Headers],[RTN]],IsDList,"&lt;&gt;"&amp;0))</f>
        <v>0</v>
      </c>
      <c r="P406" s="10">
        <f>SUM(Table_ExternalData_17[[#This Row],[R/P]:[RTN]])</f>
        <v>0</v>
      </c>
      <c r="Q406" s="10">
        <f>SUM((Table_ExternalData_17[[#This Row],[Opening]]+Table_ExternalData_17[[#This Row],[Total Receipt]])-ABS(Table_ExternalData_17[[#This Row],[Total Issue]]))</f>
        <v>58</v>
      </c>
    </row>
    <row r="407" spans="1:17">
      <c r="A407" s="1" t="s">
        <v>1052</v>
      </c>
      <c r="B407" s="1" t="s">
        <v>1519</v>
      </c>
      <c r="C407" s="1" t="s">
        <v>1520</v>
      </c>
      <c r="D407" s="10">
        <f>SUMIFS(OPBQList,OPBIList,Table_ExternalData_17[[#This Row],[item_key]])+SUMIFS(GQList,GIList,Table_ExternalData_17[[#This Row],[item_key]],GDList,0)-ABS(SUMIFS(IsQList,IsIList,Table_ExternalData_17[[#This Row],[item_key]],IsDList,0))</f>
        <v>7</v>
      </c>
      <c r="E407" s="10">
        <f>SUMIFS(GQList,GIList,Table_ExternalData_17[[#This Row],[item_key]],GTList,Table_ExternalData_17[[#Headers],[GRN]],GDList,"&lt;&gt;"&amp;0)</f>
        <v>0</v>
      </c>
      <c r="F407" s="10">
        <f>SUMIFS(GQList,GIList,Table_ExternalData_17[[#This Row],[item_key]],GTList,Table_ExternalData_17[[#Headers],[VSTR]],GDList,"&lt;&gt;"&amp;0)</f>
        <v>0</v>
      </c>
      <c r="G407" s="10">
        <f>SUMIFS(GQList,GIList,Table_ExternalData_17[[#This Row],[item_key]],GTList,Table_ExternalData_17[[#Headers],[SR]],GDList,"&lt;&gt;"&amp;0)</f>
        <v>0</v>
      </c>
      <c r="H407" s="10">
        <f>SUMIFS(GQList,GIList,Table_ExternalData_17[[#This Row],[item_key]],GTList,Table_ExternalData_17[[#Headers],[TR]],GDList,"&lt;&gt;"&amp;0)</f>
        <v>0</v>
      </c>
      <c r="I407" s="10">
        <f>SUMIFS(GQList,GIList,Table_ExternalData_17[[#This Row],[item_key]],GTList,Table_ExternalData_17[[#Headers],[RCA]],GDList,"&lt;&gt;"&amp;0)</f>
        <v>0</v>
      </c>
      <c r="J407" s="10">
        <f>SUM(Table_ExternalData_17[[#This Row],[GRN]]+Table_ExternalData_17[[#This Row],[VSTR]]+Table_ExternalData_17[[#This Row],[SR]]+Table_ExternalData_17[[#This Row],[TR]]+Table_ExternalData_17[[#This Row],[RCA]])</f>
        <v>0</v>
      </c>
      <c r="K407" s="10">
        <f>SUMIFS(IsQList,IsIList,Table_ExternalData_17[[#This Row],[item_key]],IsITypeList,Table_ExternalData_17[[#Headers],[R/P]],IsDList,"&lt;&gt;"&amp;0)</f>
        <v>0</v>
      </c>
      <c r="L407" s="10">
        <f>SUMIFS(IsQList,IsIList,Table_ExternalData_17[[#This Row],[item_key]],IsITypeList,Table_ExternalData_17[[#Headers],[CST]],IsDList,"&lt;&gt;"&amp;0)</f>
        <v>0</v>
      </c>
      <c r="M407" s="10">
        <f>SUMIFS(IsQList,IsIList,Table_ExternalData_15[[#This Row],[item_key]],IsITypeList,Table_ExternalData_17[[#Headers],[S/I]],IsDList,"&lt;&gt;"&amp;0)</f>
        <v>0</v>
      </c>
      <c r="N407" s="10">
        <f>SUMIFS(IsQList,IsIList,Table_ExternalData_15[[#This Row],[item_key]],IsITypeList,Table_ExternalData_17[[#Headers],[VST]],IsDList,"&lt;&gt;"&amp;0)</f>
        <v>0</v>
      </c>
      <c r="O407" s="10">
        <f>ABS(SUMIFS(IsQList,IsIList,Table_ExternalData_17[[#This Row],[item_key]],IsITypeList,Table_ExternalData_17[[#Headers],[RTN]],IsDList,"&lt;&gt;"&amp;0))</f>
        <v>0</v>
      </c>
      <c r="P407" s="10">
        <f>SUM(Table_ExternalData_17[[#This Row],[R/P]:[RTN]])</f>
        <v>0</v>
      </c>
      <c r="Q407" s="10">
        <f>SUM((Table_ExternalData_17[[#This Row],[Opening]]+Table_ExternalData_17[[#This Row],[Total Receipt]])-ABS(Table_ExternalData_17[[#This Row],[Total Issue]]))</f>
        <v>7</v>
      </c>
    </row>
    <row r="408" spans="1:17">
      <c r="A408" s="1" t="s">
        <v>1053</v>
      </c>
      <c r="B408" s="1" t="s">
        <v>1521</v>
      </c>
      <c r="C408" s="1" t="s">
        <v>1522</v>
      </c>
      <c r="D408" s="10">
        <f>SUMIFS(OPBQList,OPBIList,Table_ExternalData_17[[#This Row],[item_key]])+SUMIFS(GQList,GIList,Table_ExternalData_17[[#This Row],[item_key]],GDList,0)-ABS(SUMIFS(IsQList,IsIList,Table_ExternalData_17[[#This Row],[item_key]],IsDList,0))</f>
        <v>126</v>
      </c>
      <c r="E408" s="10">
        <f>SUMIFS(GQList,GIList,Table_ExternalData_17[[#This Row],[item_key]],GTList,Table_ExternalData_17[[#Headers],[GRN]],GDList,"&lt;&gt;"&amp;0)</f>
        <v>0</v>
      </c>
      <c r="F408" s="10">
        <f>SUMIFS(GQList,GIList,Table_ExternalData_17[[#This Row],[item_key]],GTList,Table_ExternalData_17[[#Headers],[VSTR]],GDList,"&lt;&gt;"&amp;0)</f>
        <v>0</v>
      </c>
      <c r="G408" s="10">
        <f>SUMIFS(GQList,GIList,Table_ExternalData_17[[#This Row],[item_key]],GTList,Table_ExternalData_17[[#Headers],[SR]],GDList,"&lt;&gt;"&amp;0)</f>
        <v>0</v>
      </c>
      <c r="H408" s="10">
        <f>SUMIFS(GQList,GIList,Table_ExternalData_17[[#This Row],[item_key]],GTList,Table_ExternalData_17[[#Headers],[TR]],GDList,"&lt;&gt;"&amp;0)</f>
        <v>0</v>
      </c>
      <c r="I408" s="10">
        <f>SUMIFS(GQList,GIList,Table_ExternalData_17[[#This Row],[item_key]],GTList,Table_ExternalData_17[[#Headers],[RCA]],GDList,"&lt;&gt;"&amp;0)</f>
        <v>0</v>
      </c>
      <c r="J408" s="10">
        <f>SUM(Table_ExternalData_17[[#This Row],[GRN]]+Table_ExternalData_17[[#This Row],[VSTR]]+Table_ExternalData_17[[#This Row],[SR]]+Table_ExternalData_17[[#This Row],[TR]]+Table_ExternalData_17[[#This Row],[RCA]])</f>
        <v>0</v>
      </c>
      <c r="K408" s="10">
        <f>SUMIFS(IsQList,IsIList,Table_ExternalData_17[[#This Row],[item_key]],IsITypeList,Table_ExternalData_17[[#Headers],[R/P]],IsDList,"&lt;&gt;"&amp;0)</f>
        <v>0</v>
      </c>
      <c r="L408" s="10">
        <f>SUMIFS(IsQList,IsIList,Table_ExternalData_17[[#This Row],[item_key]],IsITypeList,Table_ExternalData_17[[#Headers],[CST]],IsDList,"&lt;&gt;"&amp;0)</f>
        <v>0</v>
      </c>
      <c r="M408" s="10">
        <f>SUMIFS(IsQList,IsIList,Table_ExternalData_15[[#This Row],[item_key]],IsITypeList,Table_ExternalData_17[[#Headers],[S/I]],IsDList,"&lt;&gt;"&amp;0)</f>
        <v>0</v>
      </c>
      <c r="N408" s="10">
        <f>SUMIFS(IsQList,IsIList,Table_ExternalData_15[[#This Row],[item_key]],IsITypeList,Table_ExternalData_17[[#Headers],[VST]],IsDList,"&lt;&gt;"&amp;0)</f>
        <v>0</v>
      </c>
      <c r="O408" s="10">
        <f>ABS(SUMIFS(IsQList,IsIList,Table_ExternalData_17[[#This Row],[item_key]],IsITypeList,Table_ExternalData_17[[#Headers],[RTN]],IsDList,"&lt;&gt;"&amp;0))</f>
        <v>0</v>
      </c>
      <c r="P408" s="10">
        <f>SUM(Table_ExternalData_17[[#This Row],[R/P]:[RTN]])</f>
        <v>0</v>
      </c>
      <c r="Q408" s="10">
        <f>SUM((Table_ExternalData_17[[#This Row],[Opening]]+Table_ExternalData_17[[#This Row],[Total Receipt]])-ABS(Table_ExternalData_17[[#This Row],[Total Issue]]))</f>
        <v>126</v>
      </c>
    </row>
    <row r="409" spans="1:17">
      <c r="A409" s="1" t="s">
        <v>1058</v>
      </c>
      <c r="B409" s="1" t="s">
        <v>1523</v>
      </c>
      <c r="C409" s="1" t="s">
        <v>1524</v>
      </c>
      <c r="D409" s="10">
        <f>SUMIFS(OPBQList,OPBIList,Table_ExternalData_17[[#This Row],[item_key]])+SUMIFS(GQList,GIList,Table_ExternalData_17[[#This Row],[item_key]],GDList,0)-ABS(SUMIFS(IsQList,IsIList,Table_ExternalData_17[[#This Row],[item_key]],IsDList,0))</f>
        <v>833</v>
      </c>
      <c r="E409" s="10">
        <f>SUMIFS(GQList,GIList,Table_ExternalData_17[[#This Row],[item_key]],GTList,Table_ExternalData_17[[#Headers],[GRN]],GDList,"&lt;&gt;"&amp;0)</f>
        <v>0</v>
      </c>
      <c r="F409" s="10">
        <f>SUMIFS(GQList,GIList,Table_ExternalData_17[[#This Row],[item_key]],GTList,Table_ExternalData_17[[#Headers],[VSTR]],GDList,"&lt;&gt;"&amp;0)</f>
        <v>0</v>
      </c>
      <c r="G409" s="10">
        <f>SUMIFS(GQList,GIList,Table_ExternalData_17[[#This Row],[item_key]],GTList,Table_ExternalData_17[[#Headers],[SR]],GDList,"&lt;&gt;"&amp;0)</f>
        <v>0</v>
      </c>
      <c r="H409" s="10">
        <f>SUMIFS(GQList,GIList,Table_ExternalData_17[[#This Row],[item_key]],GTList,Table_ExternalData_17[[#Headers],[TR]],GDList,"&lt;&gt;"&amp;0)</f>
        <v>0</v>
      </c>
      <c r="I409" s="10">
        <f>SUMIFS(GQList,GIList,Table_ExternalData_17[[#This Row],[item_key]],GTList,Table_ExternalData_17[[#Headers],[RCA]],GDList,"&lt;&gt;"&amp;0)</f>
        <v>0</v>
      </c>
      <c r="J409" s="10">
        <f>SUM(Table_ExternalData_17[[#This Row],[GRN]]+Table_ExternalData_17[[#This Row],[VSTR]]+Table_ExternalData_17[[#This Row],[SR]]+Table_ExternalData_17[[#This Row],[TR]]+Table_ExternalData_17[[#This Row],[RCA]])</f>
        <v>0</v>
      </c>
      <c r="K409" s="10">
        <f>SUMIFS(IsQList,IsIList,Table_ExternalData_17[[#This Row],[item_key]],IsITypeList,Table_ExternalData_17[[#Headers],[R/P]],IsDList,"&lt;&gt;"&amp;0)</f>
        <v>0</v>
      </c>
      <c r="L409" s="10">
        <f>SUMIFS(IsQList,IsIList,Table_ExternalData_17[[#This Row],[item_key]],IsITypeList,Table_ExternalData_17[[#Headers],[CST]],IsDList,"&lt;&gt;"&amp;0)</f>
        <v>0</v>
      </c>
      <c r="M409" s="10">
        <f>SUMIFS(IsQList,IsIList,Table_ExternalData_15[[#This Row],[item_key]],IsITypeList,Table_ExternalData_17[[#Headers],[S/I]],IsDList,"&lt;&gt;"&amp;0)</f>
        <v>0</v>
      </c>
      <c r="N409" s="10">
        <f>SUMIFS(IsQList,IsIList,Table_ExternalData_15[[#This Row],[item_key]],IsITypeList,Table_ExternalData_17[[#Headers],[VST]],IsDList,"&lt;&gt;"&amp;0)</f>
        <v>0</v>
      </c>
      <c r="O409" s="10">
        <f>ABS(SUMIFS(IsQList,IsIList,Table_ExternalData_17[[#This Row],[item_key]],IsITypeList,Table_ExternalData_17[[#Headers],[RTN]],IsDList,"&lt;&gt;"&amp;0))</f>
        <v>0</v>
      </c>
      <c r="P409" s="10">
        <f>SUM(Table_ExternalData_17[[#This Row],[R/P]:[RTN]])</f>
        <v>0</v>
      </c>
      <c r="Q409" s="10">
        <f>SUM((Table_ExternalData_17[[#This Row],[Opening]]+Table_ExternalData_17[[#This Row],[Total Receipt]])-ABS(Table_ExternalData_17[[#This Row],[Total Issue]]))</f>
        <v>833</v>
      </c>
    </row>
    <row r="410" spans="1:17">
      <c r="A410" s="1" t="s">
        <v>1059</v>
      </c>
      <c r="B410" s="1" t="s">
        <v>1525</v>
      </c>
      <c r="C410" s="1" t="s">
        <v>1524</v>
      </c>
      <c r="D410" s="10">
        <f>SUMIFS(OPBQList,OPBIList,Table_ExternalData_17[[#This Row],[item_key]])+SUMIFS(GQList,GIList,Table_ExternalData_17[[#This Row],[item_key]],GDList,0)-ABS(SUMIFS(IsQList,IsIList,Table_ExternalData_17[[#This Row],[item_key]],IsDList,0))</f>
        <v>350</v>
      </c>
      <c r="E410" s="10">
        <f>SUMIFS(GQList,GIList,Table_ExternalData_17[[#This Row],[item_key]],GTList,Table_ExternalData_17[[#Headers],[GRN]],GDList,"&lt;&gt;"&amp;0)</f>
        <v>0</v>
      </c>
      <c r="F410" s="10">
        <f>SUMIFS(GQList,GIList,Table_ExternalData_17[[#This Row],[item_key]],GTList,Table_ExternalData_17[[#Headers],[VSTR]],GDList,"&lt;&gt;"&amp;0)</f>
        <v>0</v>
      </c>
      <c r="G410" s="10">
        <f>SUMIFS(GQList,GIList,Table_ExternalData_17[[#This Row],[item_key]],GTList,Table_ExternalData_17[[#Headers],[SR]],GDList,"&lt;&gt;"&amp;0)</f>
        <v>0</v>
      </c>
      <c r="H410" s="10">
        <f>SUMIFS(GQList,GIList,Table_ExternalData_17[[#This Row],[item_key]],GTList,Table_ExternalData_17[[#Headers],[TR]],GDList,"&lt;&gt;"&amp;0)</f>
        <v>0</v>
      </c>
      <c r="I410" s="10">
        <f>SUMIFS(GQList,GIList,Table_ExternalData_17[[#This Row],[item_key]],GTList,Table_ExternalData_17[[#Headers],[RCA]],GDList,"&lt;&gt;"&amp;0)</f>
        <v>0</v>
      </c>
      <c r="J410" s="10">
        <f>SUM(Table_ExternalData_17[[#This Row],[GRN]]+Table_ExternalData_17[[#This Row],[VSTR]]+Table_ExternalData_17[[#This Row],[SR]]+Table_ExternalData_17[[#This Row],[TR]]+Table_ExternalData_17[[#This Row],[RCA]])</f>
        <v>0</v>
      </c>
      <c r="K410" s="10">
        <f>SUMIFS(IsQList,IsIList,Table_ExternalData_17[[#This Row],[item_key]],IsITypeList,Table_ExternalData_17[[#Headers],[R/P]],IsDList,"&lt;&gt;"&amp;0)</f>
        <v>0</v>
      </c>
      <c r="L410" s="10">
        <f>SUMIFS(IsQList,IsIList,Table_ExternalData_17[[#This Row],[item_key]],IsITypeList,Table_ExternalData_17[[#Headers],[CST]],IsDList,"&lt;&gt;"&amp;0)</f>
        <v>0</v>
      </c>
      <c r="M410" s="10">
        <f>SUMIFS(IsQList,IsIList,Table_ExternalData_15[[#This Row],[item_key]],IsITypeList,Table_ExternalData_17[[#Headers],[S/I]],IsDList,"&lt;&gt;"&amp;0)</f>
        <v>0</v>
      </c>
      <c r="N410" s="10">
        <f>SUMIFS(IsQList,IsIList,Table_ExternalData_15[[#This Row],[item_key]],IsITypeList,Table_ExternalData_17[[#Headers],[VST]],IsDList,"&lt;&gt;"&amp;0)</f>
        <v>0</v>
      </c>
      <c r="O410" s="10">
        <f>ABS(SUMIFS(IsQList,IsIList,Table_ExternalData_17[[#This Row],[item_key]],IsITypeList,Table_ExternalData_17[[#Headers],[RTN]],IsDList,"&lt;&gt;"&amp;0))</f>
        <v>0</v>
      </c>
      <c r="P410" s="10">
        <f>SUM(Table_ExternalData_17[[#This Row],[R/P]:[RTN]])</f>
        <v>0</v>
      </c>
      <c r="Q410" s="10">
        <f>SUM((Table_ExternalData_17[[#This Row],[Opening]]+Table_ExternalData_17[[#This Row],[Total Receipt]])-ABS(Table_ExternalData_17[[#This Row],[Total Issue]]))</f>
        <v>350</v>
      </c>
    </row>
    <row r="411" spans="1:17">
      <c r="A411" s="1" t="s">
        <v>3</v>
      </c>
      <c r="B411" s="1" t="s">
        <v>12</v>
      </c>
      <c r="C411" s="1" t="s">
        <v>13</v>
      </c>
      <c r="D411" s="10">
        <f>SUMIFS(OPBQList,OPBIList,Table_ExternalData_17[[#This Row],[item_key]])+SUMIFS(GQList,GIList,Table_ExternalData_17[[#This Row],[item_key]],GDList,0)-ABS(SUMIFS(IsQList,IsIList,Table_ExternalData_17[[#This Row],[item_key]],IsDList,0))</f>
        <v>36</v>
      </c>
      <c r="E411" s="10">
        <f>SUMIFS(GQList,GIList,Table_ExternalData_17[[#This Row],[item_key]],GTList,Table_ExternalData_17[[#Headers],[GRN]],GDList,"&lt;&gt;"&amp;0)</f>
        <v>0</v>
      </c>
      <c r="F411" s="10">
        <f>SUMIFS(GQList,GIList,Table_ExternalData_17[[#This Row],[item_key]],GTList,Table_ExternalData_17[[#Headers],[VSTR]],GDList,"&lt;&gt;"&amp;0)</f>
        <v>0</v>
      </c>
      <c r="G411" s="10">
        <f>SUMIFS(GQList,GIList,Table_ExternalData_17[[#This Row],[item_key]],GTList,Table_ExternalData_17[[#Headers],[SR]],GDList,"&lt;&gt;"&amp;0)</f>
        <v>0</v>
      </c>
      <c r="H411" s="10">
        <f>SUMIFS(GQList,GIList,Table_ExternalData_17[[#This Row],[item_key]],GTList,Table_ExternalData_17[[#Headers],[TR]],GDList,"&lt;&gt;"&amp;0)</f>
        <v>0</v>
      </c>
      <c r="I411" s="10">
        <f>SUMIFS(GQList,GIList,Table_ExternalData_17[[#This Row],[item_key]],GTList,Table_ExternalData_17[[#Headers],[RCA]],GDList,"&lt;&gt;"&amp;0)</f>
        <v>0</v>
      </c>
      <c r="J411" s="10">
        <f>SUM(Table_ExternalData_17[[#This Row],[GRN]]+Table_ExternalData_17[[#This Row],[VSTR]]+Table_ExternalData_17[[#This Row],[SR]]+Table_ExternalData_17[[#This Row],[TR]]+Table_ExternalData_17[[#This Row],[RCA]])</f>
        <v>0</v>
      </c>
      <c r="K411" s="10">
        <f>SUMIFS(IsQList,IsIList,Table_ExternalData_17[[#This Row],[item_key]],IsITypeList,Table_ExternalData_17[[#Headers],[R/P]],IsDList,"&lt;&gt;"&amp;0)</f>
        <v>0</v>
      </c>
      <c r="L411" s="10">
        <f>SUMIFS(IsQList,IsIList,Table_ExternalData_17[[#This Row],[item_key]],IsITypeList,Table_ExternalData_17[[#Headers],[CST]],IsDList,"&lt;&gt;"&amp;0)</f>
        <v>0</v>
      </c>
      <c r="M411" s="10">
        <f>SUMIFS(IsQList,IsIList,Table_ExternalData_15[[#This Row],[item_key]],IsITypeList,Table_ExternalData_17[[#Headers],[S/I]],IsDList,"&lt;&gt;"&amp;0)</f>
        <v>0</v>
      </c>
      <c r="N411" s="10">
        <f>SUMIFS(IsQList,IsIList,Table_ExternalData_15[[#This Row],[item_key]],IsITypeList,Table_ExternalData_17[[#Headers],[VST]],IsDList,"&lt;&gt;"&amp;0)</f>
        <v>0</v>
      </c>
      <c r="O411" s="10">
        <f>ABS(SUMIFS(IsQList,IsIList,Table_ExternalData_17[[#This Row],[item_key]],IsITypeList,Table_ExternalData_17[[#Headers],[RTN]],IsDList,"&lt;&gt;"&amp;0))</f>
        <v>0</v>
      </c>
      <c r="P411" s="10">
        <f>SUM(Table_ExternalData_17[[#This Row],[R/P]:[RTN]])</f>
        <v>0</v>
      </c>
      <c r="Q411" s="10">
        <f>SUM((Table_ExternalData_17[[#This Row],[Opening]]+Table_ExternalData_17[[#This Row],[Total Receipt]])-ABS(Table_ExternalData_17[[#This Row],[Total Issue]]))</f>
        <v>36</v>
      </c>
    </row>
    <row r="412" spans="1:17">
      <c r="A412" s="1" t="s">
        <v>1063</v>
      </c>
      <c r="B412" s="1" t="s">
        <v>1528</v>
      </c>
      <c r="C412" s="1" t="s">
        <v>1529</v>
      </c>
      <c r="D412" s="10">
        <f>SUMIFS(OPBQList,OPBIList,Table_ExternalData_17[[#This Row],[item_key]])+SUMIFS(GQList,GIList,Table_ExternalData_17[[#This Row],[item_key]],GDList,0)-ABS(SUMIFS(IsQList,IsIList,Table_ExternalData_17[[#This Row],[item_key]],IsDList,0))</f>
        <v>121</v>
      </c>
      <c r="E412" s="10">
        <f>SUMIFS(GQList,GIList,Table_ExternalData_17[[#This Row],[item_key]],GTList,Table_ExternalData_17[[#Headers],[GRN]],GDList,"&lt;&gt;"&amp;0)</f>
        <v>0</v>
      </c>
      <c r="F412" s="10">
        <f>SUMIFS(GQList,GIList,Table_ExternalData_17[[#This Row],[item_key]],GTList,Table_ExternalData_17[[#Headers],[VSTR]],GDList,"&lt;&gt;"&amp;0)</f>
        <v>0</v>
      </c>
      <c r="G412" s="10">
        <f>SUMIFS(GQList,GIList,Table_ExternalData_17[[#This Row],[item_key]],GTList,Table_ExternalData_17[[#Headers],[SR]],GDList,"&lt;&gt;"&amp;0)</f>
        <v>0</v>
      </c>
      <c r="H412" s="10">
        <f>SUMIFS(GQList,GIList,Table_ExternalData_17[[#This Row],[item_key]],GTList,Table_ExternalData_17[[#Headers],[TR]],GDList,"&lt;&gt;"&amp;0)</f>
        <v>0</v>
      </c>
      <c r="I412" s="10">
        <f>SUMIFS(GQList,GIList,Table_ExternalData_17[[#This Row],[item_key]],GTList,Table_ExternalData_17[[#Headers],[RCA]],GDList,"&lt;&gt;"&amp;0)</f>
        <v>0</v>
      </c>
      <c r="J412" s="10">
        <f>SUM(Table_ExternalData_17[[#This Row],[GRN]]+Table_ExternalData_17[[#This Row],[VSTR]]+Table_ExternalData_17[[#This Row],[SR]]+Table_ExternalData_17[[#This Row],[TR]]+Table_ExternalData_17[[#This Row],[RCA]])</f>
        <v>0</v>
      </c>
      <c r="K412" s="10">
        <f>SUMIFS(IsQList,IsIList,Table_ExternalData_17[[#This Row],[item_key]],IsITypeList,Table_ExternalData_17[[#Headers],[R/P]],IsDList,"&lt;&gt;"&amp;0)</f>
        <v>0</v>
      </c>
      <c r="L412" s="10">
        <f>SUMIFS(IsQList,IsIList,Table_ExternalData_17[[#This Row],[item_key]],IsITypeList,Table_ExternalData_17[[#Headers],[CST]],IsDList,"&lt;&gt;"&amp;0)</f>
        <v>0</v>
      </c>
      <c r="M412" s="10">
        <f>SUMIFS(IsQList,IsIList,Table_ExternalData_15[[#This Row],[item_key]],IsITypeList,Table_ExternalData_17[[#Headers],[S/I]],IsDList,"&lt;&gt;"&amp;0)</f>
        <v>0</v>
      </c>
      <c r="N412" s="10">
        <f>SUMIFS(IsQList,IsIList,Table_ExternalData_15[[#This Row],[item_key]],IsITypeList,Table_ExternalData_17[[#Headers],[VST]],IsDList,"&lt;&gt;"&amp;0)</f>
        <v>0</v>
      </c>
      <c r="O412" s="10">
        <f>ABS(SUMIFS(IsQList,IsIList,Table_ExternalData_17[[#This Row],[item_key]],IsITypeList,Table_ExternalData_17[[#Headers],[RTN]],IsDList,"&lt;&gt;"&amp;0))</f>
        <v>0</v>
      </c>
      <c r="P412" s="10">
        <f>SUM(Table_ExternalData_17[[#This Row],[R/P]:[RTN]])</f>
        <v>0</v>
      </c>
      <c r="Q412" s="10">
        <f>SUM((Table_ExternalData_17[[#This Row],[Opening]]+Table_ExternalData_17[[#This Row],[Total Receipt]])-ABS(Table_ExternalData_17[[#This Row],[Total Issue]]))</f>
        <v>121</v>
      </c>
    </row>
    <row r="413" spans="1:17">
      <c r="A413" s="1" t="s">
        <v>84</v>
      </c>
      <c r="B413" s="1" t="s">
        <v>88</v>
      </c>
      <c r="C413" s="1" t="s">
        <v>89</v>
      </c>
      <c r="D413" s="10">
        <f>SUMIFS(OPBQList,OPBIList,Table_ExternalData_17[[#This Row],[item_key]])+SUMIFS(GQList,GIList,Table_ExternalData_17[[#This Row],[item_key]],GDList,0)-ABS(SUMIFS(IsQList,IsIList,Table_ExternalData_17[[#This Row],[item_key]],IsDList,0))</f>
        <v>25</v>
      </c>
      <c r="E413" s="10">
        <f>SUMIFS(GQList,GIList,Table_ExternalData_17[[#This Row],[item_key]],GTList,Table_ExternalData_17[[#Headers],[GRN]],GDList,"&lt;&gt;"&amp;0)</f>
        <v>0</v>
      </c>
      <c r="F413" s="10">
        <f>SUMIFS(GQList,GIList,Table_ExternalData_17[[#This Row],[item_key]],GTList,Table_ExternalData_17[[#Headers],[VSTR]],GDList,"&lt;&gt;"&amp;0)</f>
        <v>0</v>
      </c>
      <c r="G413" s="10">
        <f>SUMIFS(GQList,GIList,Table_ExternalData_17[[#This Row],[item_key]],GTList,Table_ExternalData_17[[#Headers],[SR]],GDList,"&lt;&gt;"&amp;0)</f>
        <v>0</v>
      </c>
      <c r="H413" s="10">
        <f>SUMIFS(GQList,GIList,Table_ExternalData_17[[#This Row],[item_key]],GTList,Table_ExternalData_17[[#Headers],[TR]],GDList,"&lt;&gt;"&amp;0)</f>
        <v>0</v>
      </c>
      <c r="I413" s="10">
        <f>SUMIFS(GQList,GIList,Table_ExternalData_17[[#This Row],[item_key]],GTList,Table_ExternalData_17[[#Headers],[RCA]],GDList,"&lt;&gt;"&amp;0)</f>
        <v>0</v>
      </c>
      <c r="J413" s="10">
        <f>SUM(Table_ExternalData_17[[#This Row],[GRN]]+Table_ExternalData_17[[#This Row],[VSTR]]+Table_ExternalData_17[[#This Row],[SR]]+Table_ExternalData_17[[#This Row],[TR]]+Table_ExternalData_17[[#This Row],[RCA]])</f>
        <v>0</v>
      </c>
      <c r="K413" s="10">
        <f>SUMIFS(IsQList,IsIList,Table_ExternalData_17[[#This Row],[item_key]],IsITypeList,Table_ExternalData_17[[#Headers],[R/P]],IsDList,"&lt;&gt;"&amp;0)</f>
        <v>0</v>
      </c>
      <c r="L413" s="10">
        <f>SUMIFS(IsQList,IsIList,Table_ExternalData_17[[#This Row],[item_key]],IsITypeList,Table_ExternalData_17[[#Headers],[CST]],IsDList,"&lt;&gt;"&amp;0)</f>
        <v>0</v>
      </c>
      <c r="M413" s="10">
        <f>SUMIFS(IsQList,IsIList,Table_ExternalData_15[[#This Row],[item_key]],IsITypeList,Table_ExternalData_17[[#Headers],[S/I]],IsDList,"&lt;&gt;"&amp;0)</f>
        <v>0</v>
      </c>
      <c r="N413" s="10">
        <f>SUMIFS(IsQList,IsIList,Table_ExternalData_15[[#This Row],[item_key]],IsITypeList,Table_ExternalData_17[[#Headers],[VST]],IsDList,"&lt;&gt;"&amp;0)</f>
        <v>0</v>
      </c>
      <c r="O413" s="10">
        <f>ABS(SUMIFS(IsQList,IsIList,Table_ExternalData_17[[#This Row],[item_key]],IsITypeList,Table_ExternalData_17[[#Headers],[RTN]],IsDList,"&lt;&gt;"&amp;0))</f>
        <v>0</v>
      </c>
      <c r="P413" s="10">
        <f>SUM(Table_ExternalData_17[[#This Row],[R/P]:[RTN]])</f>
        <v>0</v>
      </c>
      <c r="Q413" s="10">
        <f>SUM((Table_ExternalData_17[[#This Row],[Opening]]+Table_ExternalData_17[[#This Row],[Total Receipt]])-ABS(Table_ExternalData_17[[#This Row],[Total Issue]]))</f>
        <v>25</v>
      </c>
    </row>
    <row r="414" spans="1:17">
      <c r="A414" s="1" t="s">
        <v>1064</v>
      </c>
      <c r="B414" s="1" t="s">
        <v>1530</v>
      </c>
      <c r="C414" s="1" t="s">
        <v>1531</v>
      </c>
      <c r="D414" s="10">
        <f>SUMIFS(OPBQList,OPBIList,Table_ExternalData_17[[#This Row],[item_key]])+SUMIFS(GQList,GIList,Table_ExternalData_17[[#This Row],[item_key]],GDList,0)-ABS(SUMIFS(IsQList,IsIList,Table_ExternalData_17[[#This Row],[item_key]],IsDList,0))</f>
        <v>246</v>
      </c>
      <c r="E414" s="10">
        <f>SUMIFS(GQList,GIList,Table_ExternalData_17[[#This Row],[item_key]],GTList,Table_ExternalData_17[[#Headers],[GRN]],GDList,"&lt;&gt;"&amp;0)</f>
        <v>0</v>
      </c>
      <c r="F414" s="10">
        <f>SUMIFS(GQList,GIList,Table_ExternalData_17[[#This Row],[item_key]],GTList,Table_ExternalData_17[[#Headers],[VSTR]],GDList,"&lt;&gt;"&amp;0)</f>
        <v>0</v>
      </c>
      <c r="G414" s="10">
        <f>SUMIFS(GQList,GIList,Table_ExternalData_17[[#This Row],[item_key]],GTList,Table_ExternalData_17[[#Headers],[SR]],GDList,"&lt;&gt;"&amp;0)</f>
        <v>0</v>
      </c>
      <c r="H414" s="10">
        <f>SUMIFS(GQList,GIList,Table_ExternalData_17[[#This Row],[item_key]],GTList,Table_ExternalData_17[[#Headers],[TR]],GDList,"&lt;&gt;"&amp;0)</f>
        <v>0</v>
      </c>
      <c r="I414" s="10">
        <f>SUMIFS(GQList,GIList,Table_ExternalData_17[[#This Row],[item_key]],GTList,Table_ExternalData_17[[#Headers],[RCA]],GDList,"&lt;&gt;"&amp;0)</f>
        <v>0</v>
      </c>
      <c r="J414" s="10">
        <f>SUM(Table_ExternalData_17[[#This Row],[GRN]]+Table_ExternalData_17[[#This Row],[VSTR]]+Table_ExternalData_17[[#This Row],[SR]]+Table_ExternalData_17[[#This Row],[TR]]+Table_ExternalData_17[[#This Row],[RCA]])</f>
        <v>0</v>
      </c>
      <c r="K414" s="10">
        <f>SUMIFS(IsQList,IsIList,Table_ExternalData_17[[#This Row],[item_key]],IsITypeList,Table_ExternalData_17[[#Headers],[R/P]],IsDList,"&lt;&gt;"&amp;0)</f>
        <v>0</v>
      </c>
      <c r="L414" s="10">
        <f>SUMIFS(IsQList,IsIList,Table_ExternalData_17[[#This Row],[item_key]],IsITypeList,Table_ExternalData_17[[#Headers],[CST]],IsDList,"&lt;&gt;"&amp;0)</f>
        <v>0</v>
      </c>
      <c r="M414" s="10">
        <f>SUMIFS(IsQList,IsIList,Table_ExternalData_15[[#This Row],[item_key]],IsITypeList,Table_ExternalData_17[[#Headers],[S/I]],IsDList,"&lt;&gt;"&amp;0)</f>
        <v>0</v>
      </c>
      <c r="N414" s="10">
        <f>SUMIFS(IsQList,IsIList,Table_ExternalData_15[[#This Row],[item_key]],IsITypeList,Table_ExternalData_17[[#Headers],[VST]],IsDList,"&lt;&gt;"&amp;0)</f>
        <v>0</v>
      </c>
      <c r="O414" s="10">
        <f>ABS(SUMIFS(IsQList,IsIList,Table_ExternalData_17[[#This Row],[item_key]],IsITypeList,Table_ExternalData_17[[#Headers],[RTN]],IsDList,"&lt;&gt;"&amp;0))</f>
        <v>0</v>
      </c>
      <c r="P414" s="10">
        <f>SUM(Table_ExternalData_17[[#This Row],[R/P]:[RTN]])</f>
        <v>0</v>
      </c>
      <c r="Q414" s="10">
        <f>SUM((Table_ExternalData_17[[#This Row],[Opening]]+Table_ExternalData_17[[#This Row],[Total Receipt]])-ABS(Table_ExternalData_17[[#This Row],[Total Issue]]))</f>
        <v>246</v>
      </c>
    </row>
    <row r="415" spans="1:17">
      <c r="A415" s="1" t="s">
        <v>1066</v>
      </c>
      <c r="B415" s="1" t="s">
        <v>1532</v>
      </c>
      <c r="C415" s="1" t="s">
        <v>1533</v>
      </c>
      <c r="D415" s="10">
        <f>SUMIFS(OPBQList,OPBIList,Table_ExternalData_17[[#This Row],[item_key]])+SUMIFS(GQList,GIList,Table_ExternalData_17[[#This Row],[item_key]],GDList,0)-ABS(SUMIFS(IsQList,IsIList,Table_ExternalData_17[[#This Row],[item_key]],IsDList,0))</f>
        <v>63</v>
      </c>
      <c r="E415" s="10">
        <f>SUMIFS(GQList,GIList,Table_ExternalData_17[[#This Row],[item_key]],GTList,Table_ExternalData_17[[#Headers],[GRN]],GDList,"&lt;&gt;"&amp;0)</f>
        <v>0</v>
      </c>
      <c r="F415" s="10">
        <f>SUMIFS(GQList,GIList,Table_ExternalData_17[[#This Row],[item_key]],GTList,Table_ExternalData_17[[#Headers],[VSTR]],GDList,"&lt;&gt;"&amp;0)</f>
        <v>0</v>
      </c>
      <c r="G415" s="10">
        <f>SUMIFS(GQList,GIList,Table_ExternalData_17[[#This Row],[item_key]],GTList,Table_ExternalData_17[[#Headers],[SR]],GDList,"&lt;&gt;"&amp;0)</f>
        <v>0</v>
      </c>
      <c r="H415" s="10">
        <f>SUMIFS(GQList,GIList,Table_ExternalData_17[[#This Row],[item_key]],GTList,Table_ExternalData_17[[#Headers],[TR]],GDList,"&lt;&gt;"&amp;0)</f>
        <v>0</v>
      </c>
      <c r="I415" s="10">
        <f>SUMIFS(GQList,GIList,Table_ExternalData_17[[#This Row],[item_key]],GTList,Table_ExternalData_17[[#Headers],[RCA]],GDList,"&lt;&gt;"&amp;0)</f>
        <v>0</v>
      </c>
      <c r="J415" s="10">
        <f>SUM(Table_ExternalData_17[[#This Row],[GRN]]+Table_ExternalData_17[[#This Row],[VSTR]]+Table_ExternalData_17[[#This Row],[SR]]+Table_ExternalData_17[[#This Row],[TR]]+Table_ExternalData_17[[#This Row],[RCA]])</f>
        <v>0</v>
      </c>
      <c r="K415" s="10">
        <f>SUMIFS(IsQList,IsIList,Table_ExternalData_17[[#This Row],[item_key]],IsITypeList,Table_ExternalData_17[[#Headers],[R/P]],IsDList,"&lt;&gt;"&amp;0)</f>
        <v>0</v>
      </c>
      <c r="L415" s="10">
        <f>SUMIFS(IsQList,IsIList,Table_ExternalData_17[[#This Row],[item_key]],IsITypeList,Table_ExternalData_17[[#Headers],[CST]],IsDList,"&lt;&gt;"&amp;0)</f>
        <v>0</v>
      </c>
      <c r="M415" s="10">
        <f>SUMIFS(IsQList,IsIList,Table_ExternalData_15[[#This Row],[item_key]],IsITypeList,Table_ExternalData_17[[#Headers],[S/I]],IsDList,"&lt;&gt;"&amp;0)</f>
        <v>0</v>
      </c>
      <c r="N415" s="10">
        <f>SUMIFS(IsQList,IsIList,Table_ExternalData_15[[#This Row],[item_key]],IsITypeList,Table_ExternalData_17[[#Headers],[VST]],IsDList,"&lt;&gt;"&amp;0)</f>
        <v>0</v>
      </c>
      <c r="O415" s="10">
        <f>ABS(SUMIFS(IsQList,IsIList,Table_ExternalData_17[[#This Row],[item_key]],IsITypeList,Table_ExternalData_17[[#Headers],[RTN]],IsDList,"&lt;&gt;"&amp;0))</f>
        <v>0</v>
      </c>
      <c r="P415" s="10">
        <f>SUM(Table_ExternalData_17[[#This Row],[R/P]:[RTN]])</f>
        <v>0</v>
      </c>
      <c r="Q415" s="10">
        <f>SUM((Table_ExternalData_17[[#This Row],[Opening]]+Table_ExternalData_17[[#This Row],[Total Receipt]])-ABS(Table_ExternalData_17[[#This Row],[Total Issue]]))</f>
        <v>63</v>
      </c>
    </row>
    <row r="416" spans="1:17">
      <c r="A416" s="1" t="s">
        <v>1067</v>
      </c>
      <c r="B416" s="1" t="s">
        <v>1534</v>
      </c>
      <c r="C416" s="1" t="s">
        <v>1535</v>
      </c>
      <c r="D416" s="10">
        <f>SUMIFS(OPBQList,OPBIList,Table_ExternalData_17[[#This Row],[item_key]])+SUMIFS(GQList,GIList,Table_ExternalData_17[[#This Row],[item_key]],GDList,0)-ABS(SUMIFS(IsQList,IsIList,Table_ExternalData_17[[#This Row],[item_key]],IsDList,0))</f>
        <v>27</v>
      </c>
      <c r="E416" s="10">
        <f>SUMIFS(GQList,GIList,Table_ExternalData_17[[#This Row],[item_key]],GTList,Table_ExternalData_17[[#Headers],[GRN]],GDList,"&lt;&gt;"&amp;0)</f>
        <v>0</v>
      </c>
      <c r="F416" s="10">
        <f>SUMIFS(GQList,GIList,Table_ExternalData_17[[#This Row],[item_key]],GTList,Table_ExternalData_17[[#Headers],[VSTR]],GDList,"&lt;&gt;"&amp;0)</f>
        <v>0</v>
      </c>
      <c r="G416" s="10">
        <f>SUMIFS(GQList,GIList,Table_ExternalData_17[[#This Row],[item_key]],GTList,Table_ExternalData_17[[#Headers],[SR]],GDList,"&lt;&gt;"&amp;0)</f>
        <v>0</v>
      </c>
      <c r="H416" s="10">
        <f>SUMIFS(GQList,GIList,Table_ExternalData_17[[#This Row],[item_key]],GTList,Table_ExternalData_17[[#Headers],[TR]],GDList,"&lt;&gt;"&amp;0)</f>
        <v>0</v>
      </c>
      <c r="I416" s="10">
        <f>SUMIFS(GQList,GIList,Table_ExternalData_17[[#This Row],[item_key]],GTList,Table_ExternalData_17[[#Headers],[RCA]],GDList,"&lt;&gt;"&amp;0)</f>
        <v>0</v>
      </c>
      <c r="J416" s="10">
        <f>SUM(Table_ExternalData_17[[#This Row],[GRN]]+Table_ExternalData_17[[#This Row],[VSTR]]+Table_ExternalData_17[[#This Row],[SR]]+Table_ExternalData_17[[#This Row],[TR]]+Table_ExternalData_17[[#This Row],[RCA]])</f>
        <v>0</v>
      </c>
      <c r="K416" s="10">
        <f>SUMIFS(IsQList,IsIList,Table_ExternalData_17[[#This Row],[item_key]],IsITypeList,Table_ExternalData_17[[#Headers],[R/P]],IsDList,"&lt;&gt;"&amp;0)</f>
        <v>0</v>
      </c>
      <c r="L416" s="10">
        <f>SUMIFS(IsQList,IsIList,Table_ExternalData_17[[#This Row],[item_key]],IsITypeList,Table_ExternalData_17[[#Headers],[CST]],IsDList,"&lt;&gt;"&amp;0)</f>
        <v>0</v>
      </c>
      <c r="M416" s="10">
        <f>SUMIFS(IsQList,IsIList,Table_ExternalData_15[[#This Row],[item_key]],IsITypeList,Table_ExternalData_17[[#Headers],[S/I]],IsDList,"&lt;&gt;"&amp;0)</f>
        <v>0</v>
      </c>
      <c r="N416" s="10">
        <f>SUMIFS(IsQList,IsIList,Table_ExternalData_15[[#This Row],[item_key]],IsITypeList,Table_ExternalData_17[[#Headers],[VST]],IsDList,"&lt;&gt;"&amp;0)</f>
        <v>0</v>
      </c>
      <c r="O416" s="10">
        <f>ABS(SUMIFS(IsQList,IsIList,Table_ExternalData_17[[#This Row],[item_key]],IsITypeList,Table_ExternalData_17[[#Headers],[RTN]],IsDList,"&lt;&gt;"&amp;0))</f>
        <v>0</v>
      </c>
      <c r="P416" s="10">
        <f>SUM(Table_ExternalData_17[[#This Row],[R/P]:[RTN]])</f>
        <v>0</v>
      </c>
      <c r="Q416" s="10">
        <f>SUM((Table_ExternalData_17[[#This Row],[Opening]]+Table_ExternalData_17[[#This Row],[Total Receipt]])-ABS(Table_ExternalData_17[[#This Row],[Total Issue]]))</f>
        <v>27</v>
      </c>
    </row>
    <row r="417" spans="1:17">
      <c r="A417" s="1" t="s">
        <v>1068</v>
      </c>
      <c r="B417" s="1" t="s">
        <v>1536</v>
      </c>
      <c r="C417" s="1" t="s">
        <v>1537</v>
      </c>
      <c r="D417" s="10">
        <f>SUMIFS(OPBQList,OPBIList,Table_ExternalData_17[[#This Row],[item_key]])+SUMIFS(GQList,GIList,Table_ExternalData_17[[#This Row],[item_key]],GDList,0)-ABS(SUMIFS(IsQList,IsIList,Table_ExternalData_17[[#This Row],[item_key]],IsDList,0))</f>
        <v>199</v>
      </c>
      <c r="E417" s="10">
        <f>SUMIFS(GQList,GIList,Table_ExternalData_17[[#This Row],[item_key]],GTList,Table_ExternalData_17[[#Headers],[GRN]],GDList,"&lt;&gt;"&amp;0)</f>
        <v>0</v>
      </c>
      <c r="F417" s="10">
        <f>SUMIFS(GQList,GIList,Table_ExternalData_17[[#This Row],[item_key]],GTList,Table_ExternalData_17[[#Headers],[VSTR]],GDList,"&lt;&gt;"&amp;0)</f>
        <v>0</v>
      </c>
      <c r="G417" s="10">
        <f>SUMIFS(GQList,GIList,Table_ExternalData_17[[#This Row],[item_key]],GTList,Table_ExternalData_17[[#Headers],[SR]],GDList,"&lt;&gt;"&amp;0)</f>
        <v>0</v>
      </c>
      <c r="H417" s="10">
        <f>SUMIFS(GQList,GIList,Table_ExternalData_17[[#This Row],[item_key]],GTList,Table_ExternalData_17[[#Headers],[TR]],GDList,"&lt;&gt;"&amp;0)</f>
        <v>0</v>
      </c>
      <c r="I417" s="10">
        <f>SUMIFS(GQList,GIList,Table_ExternalData_17[[#This Row],[item_key]],GTList,Table_ExternalData_17[[#Headers],[RCA]],GDList,"&lt;&gt;"&amp;0)</f>
        <v>0</v>
      </c>
      <c r="J417" s="10">
        <f>SUM(Table_ExternalData_17[[#This Row],[GRN]]+Table_ExternalData_17[[#This Row],[VSTR]]+Table_ExternalData_17[[#This Row],[SR]]+Table_ExternalData_17[[#This Row],[TR]]+Table_ExternalData_17[[#This Row],[RCA]])</f>
        <v>0</v>
      </c>
      <c r="K417" s="10">
        <f>SUMIFS(IsQList,IsIList,Table_ExternalData_17[[#This Row],[item_key]],IsITypeList,Table_ExternalData_17[[#Headers],[R/P]],IsDList,"&lt;&gt;"&amp;0)</f>
        <v>0</v>
      </c>
      <c r="L417" s="10">
        <f>SUMIFS(IsQList,IsIList,Table_ExternalData_17[[#This Row],[item_key]],IsITypeList,Table_ExternalData_17[[#Headers],[CST]],IsDList,"&lt;&gt;"&amp;0)</f>
        <v>0</v>
      </c>
      <c r="M417" s="10">
        <f>SUMIFS(IsQList,IsIList,Table_ExternalData_15[[#This Row],[item_key]],IsITypeList,Table_ExternalData_17[[#Headers],[S/I]],IsDList,"&lt;&gt;"&amp;0)</f>
        <v>0</v>
      </c>
      <c r="N417" s="10">
        <f>SUMIFS(IsQList,IsIList,Table_ExternalData_15[[#This Row],[item_key]],IsITypeList,Table_ExternalData_17[[#Headers],[VST]],IsDList,"&lt;&gt;"&amp;0)</f>
        <v>0</v>
      </c>
      <c r="O417" s="10">
        <f>ABS(SUMIFS(IsQList,IsIList,Table_ExternalData_17[[#This Row],[item_key]],IsITypeList,Table_ExternalData_17[[#Headers],[RTN]],IsDList,"&lt;&gt;"&amp;0))</f>
        <v>0</v>
      </c>
      <c r="P417" s="10">
        <f>SUM(Table_ExternalData_17[[#This Row],[R/P]:[RTN]])</f>
        <v>0</v>
      </c>
      <c r="Q417" s="10">
        <f>SUM((Table_ExternalData_17[[#This Row],[Opening]]+Table_ExternalData_17[[#This Row],[Total Receipt]])-ABS(Table_ExternalData_17[[#This Row],[Total Issue]]))</f>
        <v>199</v>
      </c>
    </row>
    <row r="418" spans="1:17">
      <c r="A418" s="1" t="s">
        <v>1069</v>
      </c>
      <c r="B418" s="1" t="s">
        <v>1538</v>
      </c>
      <c r="C418" s="1" t="s">
        <v>1539</v>
      </c>
      <c r="D418" s="10">
        <f>SUMIFS(OPBQList,OPBIList,Table_ExternalData_17[[#This Row],[item_key]])+SUMIFS(GQList,GIList,Table_ExternalData_17[[#This Row],[item_key]],GDList,0)-ABS(SUMIFS(IsQList,IsIList,Table_ExternalData_17[[#This Row],[item_key]],IsDList,0))</f>
        <v>60</v>
      </c>
      <c r="E418" s="10">
        <f>SUMIFS(GQList,GIList,Table_ExternalData_17[[#This Row],[item_key]],GTList,Table_ExternalData_17[[#Headers],[GRN]],GDList,"&lt;&gt;"&amp;0)</f>
        <v>0</v>
      </c>
      <c r="F418" s="10">
        <f>SUMIFS(GQList,GIList,Table_ExternalData_17[[#This Row],[item_key]],GTList,Table_ExternalData_17[[#Headers],[VSTR]],GDList,"&lt;&gt;"&amp;0)</f>
        <v>0</v>
      </c>
      <c r="G418" s="10">
        <f>SUMIFS(GQList,GIList,Table_ExternalData_17[[#This Row],[item_key]],GTList,Table_ExternalData_17[[#Headers],[SR]],GDList,"&lt;&gt;"&amp;0)</f>
        <v>0</v>
      </c>
      <c r="H418" s="10">
        <f>SUMIFS(GQList,GIList,Table_ExternalData_17[[#This Row],[item_key]],GTList,Table_ExternalData_17[[#Headers],[TR]],GDList,"&lt;&gt;"&amp;0)</f>
        <v>0</v>
      </c>
      <c r="I418" s="10">
        <f>SUMIFS(GQList,GIList,Table_ExternalData_17[[#This Row],[item_key]],GTList,Table_ExternalData_17[[#Headers],[RCA]],GDList,"&lt;&gt;"&amp;0)</f>
        <v>0</v>
      </c>
      <c r="J418" s="10">
        <f>SUM(Table_ExternalData_17[[#This Row],[GRN]]+Table_ExternalData_17[[#This Row],[VSTR]]+Table_ExternalData_17[[#This Row],[SR]]+Table_ExternalData_17[[#This Row],[TR]]+Table_ExternalData_17[[#This Row],[RCA]])</f>
        <v>0</v>
      </c>
      <c r="K418" s="10">
        <f>SUMIFS(IsQList,IsIList,Table_ExternalData_17[[#This Row],[item_key]],IsITypeList,Table_ExternalData_17[[#Headers],[R/P]],IsDList,"&lt;&gt;"&amp;0)</f>
        <v>0</v>
      </c>
      <c r="L418" s="10">
        <f>SUMIFS(IsQList,IsIList,Table_ExternalData_17[[#This Row],[item_key]],IsITypeList,Table_ExternalData_17[[#Headers],[CST]],IsDList,"&lt;&gt;"&amp;0)</f>
        <v>0</v>
      </c>
      <c r="M418" s="10">
        <f>SUMIFS(IsQList,IsIList,Table_ExternalData_15[[#This Row],[item_key]],IsITypeList,Table_ExternalData_17[[#Headers],[S/I]],IsDList,"&lt;&gt;"&amp;0)</f>
        <v>0</v>
      </c>
      <c r="N418" s="10">
        <f>SUMIFS(IsQList,IsIList,Table_ExternalData_15[[#This Row],[item_key]],IsITypeList,Table_ExternalData_17[[#Headers],[VST]],IsDList,"&lt;&gt;"&amp;0)</f>
        <v>0</v>
      </c>
      <c r="O418" s="10">
        <f>ABS(SUMIFS(IsQList,IsIList,Table_ExternalData_17[[#This Row],[item_key]],IsITypeList,Table_ExternalData_17[[#Headers],[RTN]],IsDList,"&lt;&gt;"&amp;0))</f>
        <v>0</v>
      </c>
      <c r="P418" s="10">
        <f>SUM(Table_ExternalData_17[[#This Row],[R/P]:[RTN]])</f>
        <v>0</v>
      </c>
      <c r="Q418" s="10">
        <f>SUM((Table_ExternalData_17[[#This Row],[Opening]]+Table_ExternalData_17[[#This Row],[Total Receipt]])-ABS(Table_ExternalData_17[[#This Row],[Total Issue]]))</f>
        <v>60</v>
      </c>
    </row>
    <row r="419" spans="1:17">
      <c r="A419" s="1" t="s">
        <v>1070</v>
      </c>
      <c r="B419" s="1" t="s">
        <v>1540</v>
      </c>
      <c r="C419" s="1" t="s">
        <v>1226</v>
      </c>
      <c r="D419" s="10">
        <f>SUMIFS(OPBQList,OPBIList,Table_ExternalData_17[[#This Row],[item_key]])+SUMIFS(GQList,GIList,Table_ExternalData_17[[#This Row],[item_key]],GDList,0)-ABS(SUMIFS(IsQList,IsIList,Table_ExternalData_17[[#This Row],[item_key]],IsDList,0))</f>
        <v>224</v>
      </c>
      <c r="E419" s="10">
        <f>SUMIFS(GQList,GIList,Table_ExternalData_17[[#This Row],[item_key]],GTList,Table_ExternalData_17[[#Headers],[GRN]],GDList,"&lt;&gt;"&amp;0)</f>
        <v>0</v>
      </c>
      <c r="F419" s="10">
        <f>SUMIFS(GQList,GIList,Table_ExternalData_17[[#This Row],[item_key]],GTList,Table_ExternalData_17[[#Headers],[VSTR]],GDList,"&lt;&gt;"&amp;0)</f>
        <v>0</v>
      </c>
      <c r="G419" s="10">
        <f>SUMIFS(GQList,GIList,Table_ExternalData_17[[#This Row],[item_key]],GTList,Table_ExternalData_17[[#Headers],[SR]],GDList,"&lt;&gt;"&amp;0)</f>
        <v>0</v>
      </c>
      <c r="H419" s="10">
        <f>SUMIFS(GQList,GIList,Table_ExternalData_17[[#This Row],[item_key]],GTList,Table_ExternalData_17[[#Headers],[TR]],GDList,"&lt;&gt;"&amp;0)</f>
        <v>0</v>
      </c>
      <c r="I419" s="10">
        <f>SUMIFS(GQList,GIList,Table_ExternalData_17[[#This Row],[item_key]],GTList,Table_ExternalData_17[[#Headers],[RCA]],GDList,"&lt;&gt;"&amp;0)</f>
        <v>0</v>
      </c>
      <c r="J419" s="10">
        <f>SUM(Table_ExternalData_17[[#This Row],[GRN]]+Table_ExternalData_17[[#This Row],[VSTR]]+Table_ExternalData_17[[#This Row],[SR]]+Table_ExternalData_17[[#This Row],[TR]]+Table_ExternalData_17[[#This Row],[RCA]])</f>
        <v>0</v>
      </c>
      <c r="K419" s="10">
        <f>SUMIFS(IsQList,IsIList,Table_ExternalData_17[[#This Row],[item_key]],IsITypeList,Table_ExternalData_17[[#Headers],[R/P]],IsDList,"&lt;&gt;"&amp;0)</f>
        <v>0</v>
      </c>
      <c r="L419" s="10">
        <f>SUMIFS(IsQList,IsIList,Table_ExternalData_17[[#This Row],[item_key]],IsITypeList,Table_ExternalData_17[[#Headers],[CST]],IsDList,"&lt;&gt;"&amp;0)</f>
        <v>0</v>
      </c>
      <c r="M419" s="10">
        <f>SUMIFS(IsQList,IsIList,Table_ExternalData_15[[#This Row],[item_key]],IsITypeList,Table_ExternalData_17[[#Headers],[S/I]],IsDList,"&lt;&gt;"&amp;0)</f>
        <v>0</v>
      </c>
      <c r="N419" s="10">
        <f>SUMIFS(IsQList,IsIList,Table_ExternalData_15[[#This Row],[item_key]],IsITypeList,Table_ExternalData_17[[#Headers],[VST]],IsDList,"&lt;&gt;"&amp;0)</f>
        <v>0</v>
      </c>
      <c r="O419" s="10">
        <f>ABS(SUMIFS(IsQList,IsIList,Table_ExternalData_17[[#This Row],[item_key]],IsITypeList,Table_ExternalData_17[[#Headers],[RTN]],IsDList,"&lt;&gt;"&amp;0))</f>
        <v>0</v>
      </c>
      <c r="P419" s="10">
        <f>SUM(Table_ExternalData_17[[#This Row],[R/P]:[RTN]])</f>
        <v>0</v>
      </c>
      <c r="Q419" s="10">
        <f>SUM((Table_ExternalData_17[[#This Row],[Opening]]+Table_ExternalData_17[[#This Row],[Total Receipt]])-ABS(Table_ExternalData_17[[#This Row],[Total Issue]]))</f>
        <v>224</v>
      </c>
    </row>
    <row r="420" spans="1:17">
      <c r="A420" s="1" t="s">
        <v>85</v>
      </c>
      <c r="B420" s="1" t="s">
        <v>90</v>
      </c>
      <c r="C420" s="1" t="s">
        <v>91</v>
      </c>
      <c r="D420" s="10">
        <f>SUMIFS(OPBQList,OPBIList,Table_ExternalData_17[[#This Row],[item_key]])+SUMIFS(GQList,GIList,Table_ExternalData_17[[#This Row],[item_key]],GDList,0)-ABS(SUMIFS(IsQList,IsIList,Table_ExternalData_17[[#This Row],[item_key]],IsDList,0))</f>
        <v>123</v>
      </c>
      <c r="E420" s="10">
        <f>SUMIFS(GQList,GIList,Table_ExternalData_17[[#This Row],[item_key]],GTList,Table_ExternalData_17[[#Headers],[GRN]],GDList,"&lt;&gt;"&amp;0)</f>
        <v>0</v>
      </c>
      <c r="F420" s="10">
        <f>SUMIFS(GQList,GIList,Table_ExternalData_17[[#This Row],[item_key]],GTList,Table_ExternalData_17[[#Headers],[VSTR]],GDList,"&lt;&gt;"&amp;0)</f>
        <v>0</v>
      </c>
      <c r="G420" s="10">
        <f>SUMIFS(GQList,GIList,Table_ExternalData_17[[#This Row],[item_key]],GTList,Table_ExternalData_17[[#Headers],[SR]],GDList,"&lt;&gt;"&amp;0)</f>
        <v>0</v>
      </c>
      <c r="H420" s="10">
        <f>SUMIFS(GQList,GIList,Table_ExternalData_17[[#This Row],[item_key]],GTList,Table_ExternalData_17[[#Headers],[TR]],GDList,"&lt;&gt;"&amp;0)</f>
        <v>0</v>
      </c>
      <c r="I420" s="10">
        <f>SUMIFS(GQList,GIList,Table_ExternalData_17[[#This Row],[item_key]],GTList,Table_ExternalData_17[[#Headers],[RCA]],GDList,"&lt;&gt;"&amp;0)</f>
        <v>0</v>
      </c>
      <c r="J420" s="10">
        <f>SUM(Table_ExternalData_17[[#This Row],[GRN]]+Table_ExternalData_17[[#This Row],[VSTR]]+Table_ExternalData_17[[#This Row],[SR]]+Table_ExternalData_17[[#This Row],[TR]]+Table_ExternalData_17[[#This Row],[RCA]])</f>
        <v>0</v>
      </c>
      <c r="K420" s="10">
        <f>SUMIFS(IsQList,IsIList,Table_ExternalData_17[[#This Row],[item_key]],IsITypeList,Table_ExternalData_17[[#Headers],[R/P]],IsDList,"&lt;&gt;"&amp;0)</f>
        <v>0</v>
      </c>
      <c r="L420" s="10">
        <f>SUMIFS(IsQList,IsIList,Table_ExternalData_17[[#This Row],[item_key]],IsITypeList,Table_ExternalData_17[[#Headers],[CST]],IsDList,"&lt;&gt;"&amp;0)</f>
        <v>0</v>
      </c>
      <c r="M420" s="10">
        <f>SUMIFS(IsQList,IsIList,Table_ExternalData_15[[#This Row],[item_key]],IsITypeList,Table_ExternalData_17[[#Headers],[S/I]],IsDList,"&lt;&gt;"&amp;0)</f>
        <v>0</v>
      </c>
      <c r="N420" s="10">
        <f>SUMIFS(IsQList,IsIList,Table_ExternalData_15[[#This Row],[item_key]],IsITypeList,Table_ExternalData_17[[#Headers],[VST]],IsDList,"&lt;&gt;"&amp;0)</f>
        <v>0</v>
      </c>
      <c r="O420" s="10">
        <f>ABS(SUMIFS(IsQList,IsIList,Table_ExternalData_17[[#This Row],[item_key]],IsITypeList,Table_ExternalData_17[[#Headers],[RTN]],IsDList,"&lt;&gt;"&amp;0))</f>
        <v>0</v>
      </c>
      <c r="P420" s="10">
        <f>SUM(Table_ExternalData_17[[#This Row],[R/P]:[RTN]])</f>
        <v>0</v>
      </c>
      <c r="Q420" s="10">
        <f>SUM((Table_ExternalData_17[[#This Row],[Opening]]+Table_ExternalData_17[[#This Row],[Total Receipt]])-ABS(Table_ExternalData_17[[#This Row],[Total Issue]]))</f>
        <v>123</v>
      </c>
    </row>
    <row r="421" spans="1:17">
      <c r="A421" s="1" t="s">
        <v>1072</v>
      </c>
      <c r="B421" s="1" t="s">
        <v>1541</v>
      </c>
      <c r="C421" s="1" t="s">
        <v>1542</v>
      </c>
      <c r="D421" s="10">
        <f>SUMIFS(OPBQList,OPBIList,Table_ExternalData_17[[#This Row],[item_key]])+SUMIFS(GQList,GIList,Table_ExternalData_17[[#This Row],[item_key]],GDList,0)-ABS(SUMIFS(IsQList,IsIList,Table_ExternalData_17[[#This Row],[item_key]],IsDList,0))</f>
        <v>215</v>
      </c>
      <c r="E421" s="10">
        <f>SUMIFS(GQList,GIList,Table_ExternalData_17[[#This Row],[item_key]],GTList,Table_ExternalData_17[[#Headers],[GRN]],GDList,"&lt;&gt;"&amp;0)</f>
        <v>0</v>
      </c>
      <c r="F421" s="10">
        <f>SUMIFS(GQList,GIList,Table_ExternalData_17[[#This Row],[item_key]],GTList,Table_ExternalData_17[[#Headers],[VSTR]],GDList,"&lt;&gt;"&amp;0)</f>
        <v>0</v>
      </c>
      <c r="G421" s="10">
        <f>SUMIFS(GQList,GIList,Table_ExternalData_17[[#This Row],[item_key]],GTList,Table_ExternalData_17[[#Headers],[SR]],GDList,"&lt;&gt;"&amp;0)</f>
        <v>0</v>
      </c>
      <c r="H421" s="10">
        <f>SUMIFS(GQList,GIList,Table_ExternalData_17[[#This Row],[item_key]],GTList,Table_ExternalData_17[[#Headers],[TR]],GDList,"&lt;&gt;"&amp;0)</f>
        <v>0</v>
      </c>
      <c r="I421" s="10">
        <f>SUMIFS(GQList,GIList,Table_ExternalData_17[[#This Row],[item_key]],GTList,Table_ExternalData_17[[#Headers],[RCA]],GDList,"&lt;&gt;"&amp;0)</f>
        <v>0</v>
      </c>
      <c r="J421" s="10">
        <f>SUM(Table_ExternalData_17[[#This Row],[GRN]]+Table_ExternalData_17[[#This Row],[VSTR]]+Table_ExternalData_17[[#This Row],[SR]]+Table_ExternalData_17[[#This Row],[TR]]+Table_ExternalData_17[[#This Row],[RCA]])</f>
        <v>0</v>
      </c>
      <c r="K421" s="10">
        <f>SUMIFS(IsQList,IsIList,Table_ExternalData_17[[#This Row],[item_key]],IsITypeList,Table_ExternalData_17[[#Headers],[R/P]],IsDList,"&lt;&gt;"&amp;0)</f>
        <v>0</v>
      </c>
      <c r="L421" s="10">
        <f>SUMIFS(IsQList,IsIList,Table_ExternalData_17[[#This Row],[item_key]],IsITypeList,Table_ExternalData_17[[#Headers],[CST]],IsDList,"&lt;&gt;"&amp;0)</f>
        <v>0</v>
      </c>
      <c r="M421" s="10">
        <f>SUMIFS(IsQList,IsIList,Table_ExternalData_15[[#This Row],[item_key]],IsITypeList,Table_ExternalData_17[[#Headers],[S/I]],IsDList,"&lt;&gt;"&amp;0)</f>
        <v>0</v>
      </c>
      <c r="N421" s="10">
        <f>SUMIFS(IsQList,IsIList,Table_ExternalData_15[[#This Row],[item_key]],IsITypeList,Table_ExternalData_17[[#Headers],[VST]],IsDList,"&lt;&gt;"&amp;0)</f>
        <v>0</v>
      </c>
      <c r="O421" s="10">
        <f>ABS(SUMIFS(IsQList,IsIList,Table_ExternalData_17[[#This Row],[item_key]],IsITypeList,Table_ExternalData_17[[#Headers],[RTN]],IsDList,"&lt;&gt;"&amp;0))</f>
        <v>0</v>
      </c>
      <c r="P421" s="10">
        <f>SUM(Table_ExternalData_17[[#This Row],[R/P]:[RTN]])</f>
        <v>0</v>
      </c>
      <c r="Q421" s="10">
        <f>SUM((Table_ExternalData_17[[#This Row],[Opening]]+Table_ExternalData_17[[#This Row],[Total Receipt]])-ABS(Table_ExternalData_17[[#This Row],[Total Issue]]))</f>
        <v>215</v>
      </c>
    </row>
    <row r="422" spans="1:17">
      <c r="A422" s="1" t="s">
        <v>1074</v>
      </c>
      <c r="B422" s="1" t="s">
        <v>1543</v>
      </c>
      <c r="C422" s="1" t="s">
        <v>1265</v>
      </c>
      <c r="D422" s="10">
        <f>SUMIFS(OPBQList,OPBIList,Table_ExternalData_17[[#This Row],[item_key]])+SUMIFS(GQList,GIList,Table_ExternalData_17[[#This Row],[item_key]],GDList,0)-ABS(SUMIFS(IsQList,IsIList,Table_ExternalData_17[[#This Row],[item_key]],IsDList,0))</f>
        <v>127</v>
      </c>
      <c r="E422" s="10">
        <f>SUMIFS(GQList,GIList,Table_ExternalData_17[[#This Row],[item_key]],GTList,Table_ExternalData_17[[#Headers],[GRN]],GDList,"&lt;&gt;"&amp;0)</f>
        <v>0</v>
      </c>
      <c r="F422" s="10">
        <f>SUMIFS(GQList,GIList,Table_ExternalData_17[[#This Row],[item_key]],GTList,Table_ExternalData_17[[#Headers],[VSTR]],GDList,"&lt;&gt;"&amp;0)</f>
        <v>0</v>
      </c>
      <c r="G422" s="10">
        <f>SUMIFS(GQList,GIList,Table_ExternalData_17[[#This Row],[item_key]],GTList,Table_ExternalData_17[[#Headers],[SR]],GDList,"&lt;&gt;"&amp;0)</f>
        <v>0</v>
      </c>
      <c r="H422" s="10">
        <f>SUMIFS(GQList,GIList,Table_ExternalData_17[[#This Row],[item_key]],GTList,Table_ExternalData_17[[#Headers],[TR]],GDList,"&lt;&gt;"&amp;0)</f>
        <v>0</v>
      </c>
      <c r="I422" s="10">
        <f>SUMIFS(GQList,GIList,Table_ExternalData_17[[#This Row],[item_key]],GTList,Table_ExternalData_17[[#Headers],[RCA]],GDList,"&lt;&gt;"&amp;0)</f>
        <v>0</v>
      </c>
      <c r="J422" s="10">
        <f>SUM(Table_ExternalData_17[[#This Row],[GRN]]+Table_ExternalData_17[[#This Row],[VSTR]]+Table_ExternalData_17[[#This Row],[SR]]+Table_ExternalData_17[[#This Row],[TR]]+Table_ExternalData_17[[#This Row],[RCA]])</f>
        <v>0</v>
      </c>
      <c r="K422" s="10">
        <f>SUMIFS(IsQList,IsIList,Table_ExternalData_17[[#This Row],[item_key]],IsITypeList,Table_ExternalData_17[[#Headers],[R/P]],IsDList,"&lt;&gt;"&amp;0)</f>
        <v>0</v>
      </c>
      <c r="L422" s="10">
        <f>SUMIFS(IsQList,IsIList,Table_ExternalData_17[[#This Row],[item_key]],IsITypeList,Table_ExternalData_17[[#Headers],[CST]],IsDList,"&lt;&gt;"&amp;0)</f>
        <v>0</v>
      </c>
      <c r="M422" s="10">
        <f>SUMIFS(IsQList,IsIList,Table_ExternalData_15[[#This Row],[item_key]],IsITypeList,Table_ExternalData_17[[#Headers],[S/I]],IsDList,"&lt;&gt;"&amp;0)</f>
        <v>0</v>
      </c>
      <c r="N422" s="10">
        <f>SUMIFS(IsQList,IsIList,Table_ExternalData_15[[#This Row],[item_key]],IsITypeList,Table_ExternalData_17[[#Headers],[VST]],IsDList,"&lt;&gt;"&amp;0)</f>
        <v>0</v>
      </c>
      <c r="O422" s="10">
        <f>ABS(SUMIFS(IsQList,IsIList,Table_ExternalData_17[[#This Row],[item_key]],IsITypeList,Table_ExternalData_17[[#Headers],[RTN]],IsDList,"&lt;&gt;"&amp;0))</f>
        <v>0</v>
      </c>
      <c r="P422" s="10">
        <f>SUM(Table_ExternalData_17[[#This Row],[R/P]:[RTN]])</f>
        <v>0</v>
      </c>
      <c r="Q422" s="10">
        <f>SUM((Table_ExternalData_17[[#This Row],[Opening]]+Table_ExternalData_17[[#This Row],[Total Receipt]])-ABS(Table_ExternalData_17[[#This Row],[Total Issue]]))</f>
        <v>127</v>
      </c>
    </row>
    <row r="423" spans="1:17">
      <c r="A423" s="1" t="s">
        <v>1075</v>
      </c>
      <c r="B423" s="1" t="s">
        <v>1544</v>
      </c>
      <c r="C423" s="1" t="s">
        <v>1545</v>
      </c>
      <c r="D423" s="10">
        <f>SUMIFS(OPBQList,OPBIList,Table_ExternalData_17[[#This Row],[item_key]])+SUMIFS(GQList,GIList,Table_ExternalData_17[[#This Row],[item_key]],GDList,0)-ABS(SUMIFS(IsQList,IsIList,Table_ExternalData_17[[#This Row],[item_key]],IsDList,0))</f>
        <v>218</v>
      </c>
      <c r="E423" s="10">
        <f>SUMIFS(GQList,GIList,Table_ExternalData_17[[#This Row],[item_key]],GTList,Table_ExternalData_17[[#Headers],[GRN]],GDList,"&lt;&gt;"&amp;0)</f>
        <v>0</v>
      </c>
      <c r="F423" s="10">
        <f>SUMIFS(GQList,GIList,Table_ExternalData_17[[#This Row],[item_key]],GTList,Table_ExternalData_17[[#Headers],[VSTR]],GDList,"&lt;&gt;"&amp;0)</f>
        <v>0</v>
      </c>
      <c r="G423" s="10">
        <f>SUMIFS(GQList,GIList,Table_ExternalData_17[[#This Row],[item_key]],GTList,Table_ExternalData_17[[#Headers],[SR]],GDList,"&lt;&gt;"&amp;0)</f>
        <v>0</v>
      </c>
      <c r="H423" s="10">
        <f>SUMIFS(GQList,GIList,Table_ExternalData_17[[#This Row],[item_key]],GTList,Table_ExternalData_17[[#Headers],[TR]],GDList,"&lt;&gt;"&amp;0)</f>
        <v>0</v>
      </c>
      <c r="I423" s="10">
        <f>SUMIFS(GQList,GIList,Table_ExternalData_17[[#This Row],[item_key]],GTList,Table_ExternalData_17[[#Headers],[RCA]],GDList,"&lt;&gt;"&amp;0)</f>
        <v>0</v>
      </c>
      <c r="J423" s="10">
        <f>SUM(Table_ExternalData_17[[#This Row],[GRN]]+Table_ExternalData_17[[#This Row],[VSTR]]+Table_ExternalData_17[[#This Row],[SR]]+Table_ExternalData_17[[#This Row],[TR]]+Table_ExternalData_17[[#This Row],[RCA]])</f>
        <v>0</v>
      </c>
      <c r="K423" s="10">
        <f>SUMIFS(IsQList,IsIList,Table_ExternalData_17[[#This Row],[item_key]],IsITypeList,Table_ExternalData_17[[#Headers],[R/P]],IsDList,"&lt;&gt;"&amp;0)</f>
        <v>0</v>
      </c>
      <c r="L423" s="10">
        <f>SUMIFS(IsQList,IsIList,Table_ExternalData_17[[#This Row],[item_key]],IsITypeList,Table_ExternalData_17[[#Headers],[CST]],IsDList,"&lt;&gt;"&amp;0)</f>
        <v>0</v>
      </c>
      <c r="M423" s="10">
        <f>SUMIFS(IsQList,IsIList,Table_ExternalData_15[[#This Row],[item_key]],IsITypeList,Table_ExternalData_17[[#Headers],[S/I]],IsDList,"&lt;&gt;"&amp;0)</f>
        <v>0</v>
      </c>
      <c r="N423" s="10">
        <f>SUMIFS(IsQList,IsIList,Table_ExternalData_15[[#This Row],[item_key]],IsITypeList,Table_ExternalData_17[[#Headers],[VST]],IsDList,"&lt;&gt;"&amp;0)</f>
        <v>0</v>
      </c>
      <c r="O423" s="10">
        <f>ABS(SUMIFS(IsQList,IsIList,Table_ExternalData_17[[#This Row],[item_key]],IsITypeList,Table_ExternalData_17[[#Headers],[RTN]],IsDList,"&lt;&gt;"&amp;0))</f>
        <v>0</v>
      </c>
      <c r="P423" s="10">
        <f>SUM(Table_ExternalData_17[[#This Row],[R/P]:[RTN]])</f>
        <v>0</v>
      </c>
      <c r="Q423" s="10">
        <f>SUM((Table_ExternalData_17[[#This Row],[Opening]]+Table_ExternalData_17[[#This Row],[Total Receipt]])-ABS(Table_ExternalData_17[[#This Row],[Total Issue]]))</f>
        <v>218</v>
      </c>
    </row>
    <row r="424" spans="1:17">
      <c r="A424" s="1" t="s">
        <v>1076</v>
      </c>
      <c r="B424" s="1" t="s">
        <v>1546</v>
      </c>
      <c r="C424" s="1" t="s">
        <v>1547</v>
      </c>
      <c r="D424" s="10">
        <f>SUMIFS(OPBQList,OPBIList,Table_ExternalData_17[[#This Row],[item_key]])+SUMIFS(GQList,GIList,Table_ExternalData_17[[#This Row],[item_key]],GDList,0)-ABS(SUMIFS(IsQList,IsIList,Table_ExternalData_17[[#This Row],[item_key]],IsDList,0))</f>
        <v>179</v>
      </c>
      <c r="E424" s="10">
        <f>SUMIFS(GQList,GIList,Table_ExternalData_17[[#This Row],[item_key]],GTList,Table_ExternalData_17[[#Headers],[GRN]],GDList,"&lt;&gt;"&amp;0)</f>
        <v>0</v>
      </c>
      <c r="F424" s="10">
        <f>SUMIFS(GQList,GIList,Table_ExternalData_17[[#This Row],[item_key]],GTList,Table_ExternalData_17[[#Headers],[VSTR]],GDList,"&lt;&gt;"&amp;0)</f>
        <v>0</v>
      </c>
      <c r="G424" s="10">
        <f>SUMIFS(GQList,GIList,Table_ExternalData_17[[#This Row],[item_key]],GTList,Table_ExternalData_17[[#Headers],[SR]],GDList,"&lt;&gt;"&amp;0)</f>
        <v>0</v>
      </c>
      <c r="H424" s="10">
        <f>SUMIFS(GQList,GIList,Table_ExternalData_17[[#This Row],[item_key]],GTList,Table_ExternalData_17[[#Headers],[TR]],GDList,"&lt;&gt;"&amp;0)</f>
        <v>0</v>
      </c>
      <c r="I424" s="10">
        <f>SUMIFS(GQList,GIList,Table_ExternalData_17[[#This Row],[item_key]],GTList,Table_ExternalData_17[[#Headers],[RCA]],GDList,"&lt;&gt;"&amp;0)</f>
        <v>0</v>
      </c>
      <c r="J424" s="10">
        <f>SUM(Table_ExternalData_17[[#This Row],[GRN]]+Table_ExternalData_17[[#This Row],[VSTR]]+Table_ExternalData_17[[#This Row],[SR]]+Table_ExternalData_17[[#This Row],[TR]]+Table_ExternalData_17[[#This Row],[RCA]])</f>
        <v>0</v>
      </c>
      <c r="K424" s="10">
        <f>SUMIFS(IsQList,IsIList,Table_ExternalData_17[[#This Row],[item_key]],IsITypeList,Table_ExternalData_17[[#Headers],[R/P]],IsDList,"&lt;&gt;"&amp;0)</f>
        <v>0</v>
      </c>
      <c r="L424" s="10">
        <f>SUMIFS(IsQList,IsIList,Table_ExternalData_17[[#This Row],[item_key]],IsITypeList,Table_ExternalData_17[[#Headers],[CST]],IsDList,"&lt;&gt;"&amp;0)</f>
        <v>0</v>
      </c>
      <c r="M424" s="10">
        <f>SUMIFS(IsQList,IsIList,Table_ExternalData_15[[#This Row],[item_key]],IsITypeList,Table_ExternalData_17[[#Headers],[S/I]],IsDList,"&lt;&gt;"&amp;0)</f>
        <v>0</v>
      </c>
      <c r="N424" s="10">
        <f>SUMIFS(IsQList,IsIList,Table_ExternalData_15[[#This Row],[item_key]],IsITypeList,Table_ExternalData_17[[#Headers],[VST]],IsDList,"&lt;&gt;"&amp;0)</f>
        <v>0</v>
      </c>
      <c r="O424" s="10">
        <f>ABS(SUMIFS(IsQList,IsIList,Table_ExternalData_17[[#This Row],[item_key]],IsITypeList,Table_ExternalData_17[[#Headers],[RTN]],IsDList,"&lt;&gt;"&amp;0))</f>
        <v>0</v>
      </c>
      <c r="P424" s="10">
        <f>SUM(Table_ExternalData_17[[#This Row],[R/P]:[RTN]])</f>
        <v>0</v>
      </c>
      <c r="Q424" s="10">
        <f>SUM((Table_ExternalData_17[[#This Row],[Opening]]+Table_ExternalData_17[[#This Row],[Total Receipt]])-ABS(Table_ExternalData_17[[#This Row],[Total Issue]]))</f>
        <v>179</v>
      </c>
    </row>
    <row r="425" spans="1:17">
      <c r="A425" s="1" t="s">
        <v>1079</v>
      </c>
      <c r="B425" s="1" t="s">
        <v>1548</v>
      </c>
      <c r="C425" s="1" t="s">
        <v>1549</v>
      </c>
      <c r="D425" s="10">
        <f>SUMIFS(OPBQList,OPBIList,Table_ExternalData_17[[#This Row],[item_key]])+SUMIFS(GQList,GIList,Table_ExternalData_17[[#This Row],[item_key]],GDList,0)-ABS(SUMIFS(IsQList,IsIList,Table_ExternalData_17[[#This Row],[item_key]],IsDList,0))</f>
        <v>1980</v>
      </c>
      <c r="E425" s="10">
        <f>SUMIFS(GQList,GIList,Table_ExternalData_17[[#This Row],[item_key]],GTList,Table_ExternalData_17[[#Headers],[GRN]],GDList,"&lt;&gt;"&amp;0)</f>
        <v>0</v>
      </c>
      <c r="F425" s="10">
        <f>SUMIFS(GQList,GIList,Table_ExternalData_17[[#This Row],[item_key]],GTList,Table_ExternalData_17[[#Headers],[VSTR]],GDList,"&lt;&gt;"&amp;0)</f>
        <v>0</v>
      </c>
      <c r="G425" s="10">
        <f>SUMIFS(GQList,GIList,Table_ExternalData_17[[#This Row],[item_key]],GTList,Table_ExternalData_17[[#Headers],[SR]],GDList,"&lt;&gt;"&amp;0)</f>
        <v>0</v>
      </c>
      <c r="H425" s="10">
        <f>SUMIFS(GQList,GIList,Table_ExternalData_17[[#This Row],[item_key]],GTList,Table_ExternalData_17[[#Headers],[TR]],GDList,"&lt;&gt;"&amp;0)</f>
        <v>0</v>
      </c>
      <c r="I425" s="10">
        <f>SUMIFS(GQList,GIList,Table_ExternalData_17[[#This Row],[item_key]],GTList,Table_ExternalData_17[[#Headers],[RCA]],GDList,"&lt;&gt;"&amp;0)</f>
        <v>0</v>
      </c>
      <c r="J425" s="10">
        <f>SUM(Table_ExternalData_17[[#This Row],[GRN]]+Table_ExternalData_17[[#This Row],[VSTR]]+Table_ExternalData_17[[#This Row],[SR]]+Table_ExternalData_17[[#This Row],[TR]]+Table_ExternalData_17[[#This Row],[RCA]])</f>
        <v>0</v>
      </c>
      <c r="K425" s="10">
        <f>SUMIFS(IsQList,IsIList,Table_ExternalData_17[[#This Row],[item_key]],IsITypeList,Table_ExternalData_17[[#Headers],[R/P]],IsDList,"&lt;&gt;"&amp;0)</f>
        <v>0</v>
      </c>
      <c r="L425" s="10">
        <f>SUMIFS(IsQList,IsIList,Table_ExternalData_17[[#This Row],[item_key]],IsITypeList,Table_ExternalData_17[[#Headers],[CST]],IsDList,"&lt;&gt;"&amp;0)</f>
        <v>0</v>
      </c>
      <c r="M425" s="10">
        <f>SUMIFS(IsQList,IsIList,Table_ExternalData_15[[#This Row],[item_key]],IsITypeList,Table_ExternalData_17[[#Headers],[S/I]],IsDList,"&lt;&gt;"&amp;0)</f>
        <v>0</v>
      </c>
      <c r="N425" s="10">
        <f>SUMIFS(IsQList,IsIList,Table_ExternalData_15[[#This Row],[item_key]],IsITypeList,Table_ExternalData_17[[#Headers],[VST]],IsDList,"&lt;&gt;"&amp;0)</f>
        <v>0</v>
      </c>
      <c r="O425" s="10">
        <f>ABS(SUMIFS(IsQList,IsIList,Table_ExternalData_17[[#This Row],[item_key]],IsITypeList,Table_ExternalData_17[[#Headers],[RTN]],IsDList,"&lt;&gt;"&amp;0))</f>
        <v>0</v>
      </c>
      <c r="P425" s="10">
        <f>SUM(Table_ExternalData_17[[#This Row],[R/P]:[RTN]])</f>
        <v>0</v>
      </c>
      <c r="Q425" s="10">
        <f>SUM((Table_ExternalData_17[[#This Row],[Opening]]+Table_ExternalData_17[[#This Row],[Total Receipt]])-ABS(Table_ExternalData_17[[#This Row],[Total Issue]]))</f>
        <v>1980</v>
      </c>
    </row>
    <row r="426" spans="1:17">
      <c r="A426" s="1" t="s">
        <v>1080</v>
      </c>
      <c r="B426" s="1" t="s">
        <v>1550</v>
      </c>
      <c r="C426" s="1" t="s">
        <v>1551</v>
      </c>
      <c r="D426" s="10">
        <f>SUMIFS(OPBQList,OPBIList,Table_ExternalData_17[[#This Row],[item_key]])+SUMIFS(GQList,GIList,Table_ExternalData_17[[#This Row],[item_key]],GDList,0)-ABS(SUMIFS(IsQList,IsIList,Table_ExternalData_17[[#This Row],[item_key]],IsDList,0))</f>
        <v>180</v>
      </c>
      <c r="E426" s="10">
        <f>SUMIFS(GQList,GIList,Table_ExternalData_17[[#This Row],[item_key]],GTList,Table_ExternalData_17[[#Headers],[GRN]],GDList,"&lt;&gt;"&amp;0)</f>
        <v>0</v>
      </c>
      <c r="F426" s="10">
        <f>SUMIFS(GQList,GIList,Table_ExternalData_17[[#This Row],[item_key]],GTList,Table_ExternalData_17[[#Headers],[VSTR]],GDList,"&lt;&gt;"&amp;0)</f>
        <v>0</v>
      </c>
      <c r="G426" s="10">
        <f>SUMIFS(GQList,GIList,Table_ExternalData_17[[#This Row],[item_key]],GTList,Table_ExternalData_17[[#Headers],[SR]],GDList,"&lt;&gt;"&amp;0)</f>
        <v>0</v>
      </c>
      <c r="H426" s="10">
        <f>SUMIFS(GQList,GIList,Table_ExternalData_17[[#This Row],[item_key]],GTList,Table_ExternalData_17[[#Headers],[TR]],GDList,"&lt;&gt;"&amp;0)</f>
        <v>0</v>
      </c>
      <c r="I426" s="10">
        <f>SUMIFS(GQList,GIList,Table_ExternalData_17[[#This Row],[item_key]],GTList,Table_ExternalData_17[[#Headers],[RCA]],GDList,"&lt;&gt;"&amp;0)</f>
        <v>0</v>
      </c>
      <c r="J426" s="10">
        <f>SUM(Table_ExternalData_17[[#This Row],[GRN]]+Table_ExternalData_17[[#This Row],[VSTR]]+Table_ExternalData_17[[#This Row],[SR]]+Table_ExternalData_17[[#This Row],[TR]]+Table_ExternalData_17[[#This Row],[RCA]])</f>
        <v>0</v>
      </c>
      <c r="K426" s="10">
        <f>SUMIFS(IsQList,IsIList,Table_ExternalData_17[[#This Row],[item_key]],IsITypeList,Table_ExternalData_17[[#Headers],[R/P]],IsDList,"&lt;&gt;"&amp;0)</f>
        <v>0</v>
      </c>
      <c r="L426" s="10">
        <f>SUMIFS(IsQList,IsIList,Table_ExternalData_17[[#This Row],[item_key]],IsITypeList,Table_ExternalData_17[[#Headers],[CST]],IsDList,"&lt;&gt;"&amp;0)</f>
        <v>0</v>
      </c>
      <c r="M426" s="10">
        <f>SUMIFS(IsQList,IsIList,Table_ExternalData_15[[#This Row],[item_key]],IsITypeList,Table_ExternalData_17[[#Headers],[S/I]],IsDList,"&lt;&gt;"&amp;0)</f>
        <v>0</v>
      </c>
      <c r="N426" s="10">
        <f>SUMIFS(IsQList,IsIList,Table_ExternalData_15[[#This Row],[item_key]],IsITypeList,Table_ExternalData_17[[#Headers],[VST]],IsDList,"&lt;&gt;"&amp;0)</f>
        <v>0</v>
      </c>
      <c r="O426" s="10">
        <f>ABS(SUMIFS(IsQList,IsIList,Table_ExternalData_17[[#This Row],[item_key]],IsITypeList,Table_ExternalData_17[[#Headers],[RTN]],IsDList,"&lt;&gt;"&amp;0))</f>
        <v>0</v>
      </c>
      <c r="P426" s="10">
        <f>SUM(Table_ExternalData_17[[#This Row],[R/P]:[RTN]])</f>
        <v>0</v>
      </c>
      <c r="Q426" s="10">
        <f>SUM((Table_ExternalData_17[[#This Row],[Opening]]+Table_ExternalData_17[[#This Row],[Total Receipt]])-ABS(Table_ExternalData_17[[#This Row],[Total Issue]]))</f>
        <v>180</v>
      </c>
    </row>
    <row r="427" spans="1:17">
      <c r="A427" s="1" t="s">
        <v>1081</v>
      </c>
      <c r="B427" s="1" t="s">
        <v>1552</v>
      </c>
      <c r="C427" s="1" t="s">
        <v>1553</v>
      </c>
      <c r="D427" s="10">
        <f>SUMIFS(OPBQList,OPBIList,Table_ExternalData_17[[#This Row],[item_key]])+SUMIFS(GQList,GIList,Table_ExternalData_17[[#This Row],[item_key]],GDList,0)-ABS(SUMIFS(IsQList,IsIList,Table_ExternalData_17[[#This Row],[item_key]],IsDList,0))</f>
        <v>46</v>
      </c>
      <c r="E427" s="10">
        <f>SUMIFS(GQList,GIList,Table_ExternalData_17[[#This Row],[item_key]],GTList,Table_ExternalData_17[[#Headers],[GRN]],GDList,"&lt;&gt;"&amp;0)</f>
        <v>0</v>
      </c>
      <c r="F427" s="10">
        <f>SUMIFS(GQList,GIList,Table_ExternalData_17[[#This Row],[item_key]],GTList,Table_ExternalData_17[[#Headers],[VSTR]],GDList,"&lt;&gt;"&amp;0)</f>
        <v>0</v>
      </c>
      <c r="G427" s="10">
        <f>SUMIFS(GQList,GIList,Table_ExternalData_17[[#This Row],[item_key]],GTList,Table_ExternalData_17[[#Headers],[SR]],GDList,"&lt;&gt;"&amp;0)</f>
        <v>0</v>
      </c>
      <c r="H427" s="10">
        <f>SUMIFS(GQList,GIList,Table_ExternalData_17[[#This Row],[item_key]],GTList,Table_ExternalData_17[[#Headers],[TR]],GDList,"&lt;&gt;"&amp;0)</f>
        <v>0</v>
      </c>
      <c r="I427" s="10">
        <f>SUMIFS(GQList,GIList,Table_ExternalData_17[[#This Row],[item_key]],GTList,Table_ExternalData_17[[#Headers],[RCA]],GDList,"&lt;&gt;"&amp;0)</f>
        <v>0</v>
      </c>
      <c r="J427" s="10">
        <f>SUM(Table_ExternalData_17[[#This Row],[GRN]]+Table_ExternalData_17[[#This Row],[VSTR]]+Table_ExternalData_17[[#This Row],[SR]]+Table_ExternalData_17[[#This Row],[TR]]+Table_ExternalData_17[[#This Row],[RCA]])</f>
        <v>0</v>
      </c>
      <c r="K427" s="10">
        <f>SUMIFS(IsQList,IsIList,Table_ExternalData_17[[#This Row],[item_key]],IsITypeList,Table_ExternalData_17[[#Headers],[R/P]],IsDList,"&lt;&gt;"&amp;0)</f>
        <v>0</v>
      </c>
      <c r="L427" s="10">
        <f>SUMIFS(IsQList,IsIList,Table_ExternalData_17[[#This Row],[item_key]],IsITypeList,Table_ExternalData_17[[#Headers],[CST]],IsDList,"&lt;&gt;"&amp;0)</f>
        <v>0</v>
      </c>
      <c r="M427" s="10">
        <f>SUMIFS(IsQList,IsIList,Table_ExternalData_15[[#This Row],[item_key]],IsITypeList,Table_ExternalData_17[[#Headers],[S/I]],IsDList,"&lt;&gt;"&amp;0)</f>
        <v>0</v>
      </c>
      <c r="N427" s="10">
        <f>SUMIFS(IsQList,IsIList,Table_ExternalData_15[[#This Row],[item_key]],IsITypeList,Table_ExternalData_17[[#Headers],[VST]],IsDList,"&lt;&gt;"&amp;0)</f>
        <v>0</v>
      </c>
      <c r="O427" s="10">
        <f>ABS(SUMIFS(IsQList,IsIList,Table_ExternalData_17[[#This Row],[item_key]],IsITypeList,Table_ExternalData_17[[#Headers],[RTN]],IsDList,"&lt;&gt;"&amp;0))</f>
        <v>0</v>
      </c>
      <c r="P427" s="10">
        <f>SUM(Table_ExternalData_17[[#This Row],[R/P]:[RTN]])</f>
        <v>0</v>
      </c>
      <c r="Q427" s="10">
        <f>SUM((Table_ExternalData_17[[#This Row],[Opening]]+Table_ExternalData_17[[#This Row],[Total Receipt]])-ABS(Table_ExternalData_17[[#This Row],[Total Issue]]))</f>
        <v>46</v>
      </c>
    </row>
    <row r="428" spans="1:17">
      <c r="A428" s="1" t="s">
        <v>1083</v>
      </c>
      <c r="B428" s="1" t="s">
        <v>1554</v>
      </c>
      <c r="C428" s="1" t="s">
        <v>1424</v>
      </c>
      <c r="D428" s="10">
        <f>SUMIFS(OPBQList,OPBIList,Table_ExternalData_17[[#This Row],[item_key]])+SUMIFS(GQList,GIList,Table_ExternalData_17[[#This Row],[item_key]],GDList,0)-ABS(SUMIFS(IsQList,IsIList,Table_ExternalData_17[[#This Row],[item_key]],IsDList,0))</f>
        <v>5</v>
      </c>
      <c r="E428" s="10">
        <f>SUMIFS(GQList,GIList,Table_ExternalData_17[[#This Row],[item_key]],GTList,Table_ExternalData_17[[#Headers],[GRN]],GDList,"&lt;&gt;"&amp;0)</f>
        <v>0</v>
      </c>
      <c r="F428" s="10">
        <f>SUMIFS(GQList,GIList,Table_ExternalData_17[[#This Row],[item_key]],GTList,Table_ExternalData_17[[#Headers],[VSTR]],GDList,"&lt;&gt;"&amp;0)</f>
        <v>0</v>
      </c>
      <c r="G428" s="10">
        <f>SUMIFS(GQList,GIList,Table_ExternalData_17[[#This Row],[item_key]],GTList,Table_ExternalData_17[[#Headers],[SR]],GDList,"&lt;&gt;"&amp;0)</f>
        <v>0</v>
      </c>
      <c r="H428" s="10">
        <f>SUMIFS(GQList,GIList,Table_ExternalData_17[[#This Row],[item_key]],GTList,Table_ExternalData_17[[#Headers],[TR]],GDList,"&lt;&gt;"&amp;0)</f>
        <v>0</v>
      </c>
      <c r="I428" s="10">
        <f>SUMIFS(GQList,GIList,Table_ExternalData_17[[#This Row],[item_key]],GTList,Table_ExternalData_17[[#Headers],[RCA]],GDList,"&lt;&gt;"&amp;0)</f>
        <v>0</v>
      </c>
      <c r="J428" s="10">
        <f>SUM(Table_ExternalData_17[[#This Row],[GRN]]+Table_ExternalData_17[[#This Row],[VSTR]]+Table_ExternalData_17[[#This Row],[SR]]+Table_ExternalData_17[[#This Row],[TR]]+Table_ExternalData_17[[#This Row],[RCA]])</f>
        <v>0</v>
      </c>
      <c r="K428" s="10">
        <f>SUMIFS(IsQList,IsIList,Table_ExternalData_17[[#This Row],[item_key]],IsITypeList,Table_ExternalData_17[[#Headers],[R/P]],IsDList,"&lt;&gt;"&amp;0)</f>
        <v>0</v>
      </c>
      <c r="L428" s="10">
        <f>SUMIFS(IsQList,IsIList,Table_ExternalData_17[[#This Row],[item_key]],IsITypeList,Table_ExternalData_17[[#Headers],[CST]],IsDList,"&lt;&gt;"&amp;0)</f>
        <v>0</v>
      </c>
      <c r="M428" s="10">
        <f>SUMIFS(IsQList,IsIList,Table_ExternalData_15[[#This Row],[item_key]],IsITypeList,Table_ExternalData_17[[#Headers],[S/I]],IsDList,"&lt;&gt;"&amp;0)</f>
        <v>0</v>
      </c>
      <c r="N428" s="10">
        <f>SUMIFS(IsQList,IsIList,Table_ExternalData_15[[#This Row],[item_key]],IsITypeList,Table_ExternalData_17[[#Headers],[VST]],IsDList,"&lt;&gt;"&amp;0)</f>
        <v>0</v>
      </c>
      <c r="O428" s="10">
        <f>ABS(SUMIFS(IsQList,IsIList,Table_ExternalData_17[[#This Row],[item_key]],IsITypeList,Table_ExternalData_17[[#Headers],[RTN]],IsDList,"&lt;&gt;"&amp;0))</f>
        <v>0</v>
      </c>
      <c r="P428" s="10">
        <f>SUM(Table_ExternalData_17[[#This Row],[R/P]:[RTN]])</f>
        <v>0</v>
      </c>
      <c r="Q428" s="10">
        <f>SUM((Table_ExternalData_17[[#This Row],[Opening]]+Table_ExternalData_17[[#This Row],[Total Receipt]])-ABS(Table_ExternalData_17[[#This Row],[Total Issue]]))</f>
        <v>5</v>
      </c>
    </row>
    <row r="429" spans="1:17">
      <c r="A429" s="1" t="s">
        <v>1084</v>
      </c>
      <c r="B429" s="1" t="s">
        <v>2803</v>
      </c>
      <c r="C429" s="1" t="s">
        <v>2804</v>
      </c>
      <c r="D429" s="10">
        <f>SUMIFS(OPBQList,OPBIList,Table_ExternalData_17[[#This Row],[item_key]])+SUMIFS(GQList,GIList,Table_ExternalData_17[[#This Row],[item_key]],GDList,0)-ABS(SUMIFS(IsQList,IsIList,Table_ExternalData_17[[#This Row],[item_key]],IsDList,0))</f>
        <v>12</v>
      </c>
      <c r="E429" s="10">
        <f>SUMIFS(GQList,GIList,Table_ExternalData_17[[#This Row],[item_key]],GTList,Table_ExternalData_17[[#Headers],[GRN]],GDList,"&lt;&gt;"&amp;0)</f>
        <v>0</v>
      </c>
      <c r="F429" s="10">
        <f>SUMIFS(GQList,GIList,Table_ExternalData_17[[#This Row],[item_key]],GTList,Table_ExternalData_17[[#Headers],[VSTR]],GDList,"&lt;&gt;"&amp;0)</f>
        <v>0</v>
      </c>
      <c r="G429" s="10">
        <f>SUMIFS(GQList,GIList,Table_ExternalData_17[[#This Row],[item_key]],GTList,Table_ExternalData_17[[#Headers],[SR]],GDList,"&lt;&gt;"&amp;0)</f>
        <v>0</v>
      </c>
      <c r="H429" s="10">
        <f>SUMIFS(GQList,GIList,Table_ExternalData_17[[#This Row],[item_key]],GTList,Table_ExternalData_17[[#Headers],[TR]],GDList,"&lt;&gt;"&amp;0)</f>
        <v>0</v>
      </c>
      <c r="I429" s="10">
        <f>SUMIFS(GQList,GIList,Table_ExternalData_17[[#This Row],[item_key]],GTList,Table_ExternalData_17[[#Headers],[RCA]],GDList,"&lt;&gt;"&amp;0)</f>
        <v>0</v>
      </c>
      <c r="J429" s="10">
        <f>SUM(Table_ExternalData_17[[#This Row],[GRN]]+Table_ExternalData_17[[#This Row],[VSTR]]+Table_ExternalData_17[[#This Row],[SR]]+Table_ExternalData_17[[#This Row],[TR]]+Table_ExternalData_17[[#This Row],[RCA]])</f>
        <v>0</v>
      </c>
      <c r="K429" s="10">
        <f>SUMIFS(IsQList,IsIList,Table_ExternalData_17[[#This Row],[item_key]],IsITypeList,Table_ExternalData_17[[#Headers],[R/P]],IsDList,"&lt;&gt;"&amp;0)</f>
        <v>0</v>
      </c>
      <c r="L429" s="10">
        <f>SUMIFS(IsQList,IsIList,Table_ExternalData_17[[#This Row],[item_key]],IsITypeList,Table_ExternalData_17[[#Headers],[CST]],IsDList,"&lt;&gt;"&amp;0)</f>
        <v>0</v>
      </c>
      <c r="M429" s="10">
        <f>SUMIFS(IsQList,IsIList,Table_ExternalData_15[[#This Row],[item_key]],IsITypeList,Table_ExternalData_17[[#Headers],[S/I]],IsDList,"&lt;&gt;"&amp;0)</f>
        <v>0</v>
      </c>
      <c r="N429" s="10">
        <f>SUMIFS(IsQList,IsIList,Table_ExternalData_15[[#This Row],[item_key]],IsITypeList,Table_ExternalData_17[[#Headers],[VST]],IsDList,"&lt;&gt;"&amp;0)</f>
        <v>0</v>
      </c>
      <c r="O429" s="10">
        <f>ABS(SUMIFS(IsQList,IsIList,Table_ExternalData_17[[#This Row],[item_key]],IsITypeList,Table_ExternalData_17[[#Headers],[RTN]],IsDList,"&lt;&gt;"&amp;0))</f>
        <v>0</v>
      </c>
      <c r="P429" s="10">
        <f>SUM(Table_ExternalData_17[[#This Row],[R/P]:[RTN]])</f>
        <v>0</v>
      </c>
      <c r="Q429" s="10">
        <f>SUM((Table_ExternalData_17[[#This Row],[Opening]]+Table_ExternalData_17[[#This Row],[Total Receipt]])-ABS(Table_ExternalData_17[[#This Row],[Total Issue]]))</f>
        <v>12</v>
      </c>
    </row>
    <row r="430" spans="1:17">
      <c r="A430" s="1" t="s">
        <v>1092</v>
      </c>
      <c r="B430" s="1" t="s">
        <v>1555</v>
      </c>
      <c r="C430" s="1" t="s">
        <v>1556</v>
      </c>
      <c r="D430" s="10">
        <f>SUMIFS(OPBQList,OPBIList,Table_ExternalData_17[[#This Row],[item_key]])+SUMIFS(GQList,GIList,Table_ExternalData_17[[#This Row],[item_key]],GDList,0)-ABS(SUMIFS(IsQList,IsIList,Table_ExternalData_17[[#This Row],[item_key]],IsDList,0))</f>
        <v>59</v>
      </c>
      <c r="E430" s="10">
        <f>SUMIFS(GQList,GIList,Table_ExternalData_17[[#This Row],[item_key]],GTList,Table_ExternalData_17[[#Headers],[GRN]],GDList,"&lt;&gt;"&amp;0)</f>
        <v>0</v>
      </c>
      <c r="F430" s="10">
        <f>SUMIFS(GQList,GIList,Table_ExternalData_17[[#This Row],[item_key]],GTList,Table_ExternalData_17[[#Headers],[VSTR]],GDList,"&lt;&gt;"&amp;0)</f>
        <v>0</v>
      </c>
      <c r="G430" s="10">
        <f>SUMIFS(GQList,GIList,Table_ExternalData_17[[#This Row],[item_key]],GTList,Table_ExternalData_17[[#Headers],[SR]],GDList,"&lt;&gt;"&amp;0)</f>
        <v>0</v>
      </c>
      <c r="H430" s="10">
        <f>SUMIFS(GQList,GIList,Table_ExternalData_17[[#This Row],[item_key]],GTList,Table_ExternalData_17[[#Headers],[TR]],GDList,"&lt;&gt;"&amp;0)</f>
        <v>0</v>
      </c>
      <c r="I430" s="10">
        <f>SUMIFS(GQList,GIList,Table_ExternalData_17[[#This Row],[item_key]],GTList,Table_ExternalData_17[[#Headers],[RCA]],GDList,"&lt;&gt;"&amp;0)</f>
        <v>0</v>
      </c>
      <c r="J430" s="10">
        <f>SUM(Table_ExternalData_17[[#This Row],[GRN]]+Table_ExternalData_17[[#This Row],[VSTR]]+Table_ExternalData_17[[#This Row],[SR]]+Table_ExternalData_17[[#This Row],[TR]]+Table_ExternalData_17[[#This Row],[RCA]])</f>
        <v>0</v>
      </c>
      <c r="K430" s="10">
        <f>SUMIFS(IsQList,IsIList,Table_ExternalData_17[[#This Row],[item_key]],IsITypeList,Table_ExternalData_17[[#Headers],[R/P]],IsDList,"&lt;&gt;"&amp;0)</f>
        <v>0</v>
      </c>
      <c r="L430" s="10">
        <f>SUMIFS(IsQList,IsIList,Table_ExternalData_17[[#This Row],[item_key]],IsITypeList,Table_ExternalData_17[[#Headers],[CST]],IsDList,"&lt;&gt;"&amp;0)</f>
        <v>0</v>
      </c>
      <c r="M430" s="10">
        <f>SUMIFS(IsQList,IsIList,Table_ExternalData_15[[#This Row],[item_key]],IsITypeList,Table_ExternalData_17[[#Headers],[S/I]],IsDList,"&lt;&gt;"&amp;0)</f>
        <v>0</v>
      </c>
      <c r="N430" s="10">
        <f>SUMIFS(IsQList,IsIList,Table_ExternalData_15[[#This Row],[item_key]],IsITypeList,Table_ExternalData_17[[#Headers],[VST]],IsDList,"&lt;&gt;"&amp;0)</f>
        <v>0</v>
      </c>
      <c r="O430" s="10">
        <f>ABS(SUMIFS(IsQList,IsIList,Table_ExternalData_17[[#This Row],[item_key]],IsITypeList,Table_ExternalData_17[[#Headers],[RTN]],IsDList,"&lt;&gt;"&amp;0))</f>
        <v>0</v>
      </c>
      <c r="P430" s="10">
        <f>SUM(Table_ExternalData_17[[#This Row],[R/P]:[RTN]])</f>
        <v>0</v>
      </c>
      <c r="Q430" s="10">
        <f>SUM((Table_ExternalData_17[[#This Row],[Opening]]+Table_ExternalData_17[[#This Row],[Total Receipt]])-ABS(Table_ExternalData_17[[#This Row],[Total Issue]]))</f>
        <v>59</v>
      </c>
    </row>
    <row r="431" spans="1:17">
      <c r="A431" s="1" t="s">
        <v>1094</v>
      </c>
      <c r="B431" s="1" t="s">
        <v>2805</v>
      </c>
      <c r="C431" s="1" t="s">
        <v>2806</v>
      </c>
      <c r="D431" s="10">
        <f>SUMIFS(OPBQList,OPBIList,Table_ExternalData_17[[#This Row],[item_key]])+SUMIFS(GQList,GIList,Table_ExternalData_17[[#This Row],[item_key]],GDList,0)-ABS(SUMIFS(IsQList,IsIList,Table_ExternalData_17[[#This Row],[item_key]],IsDList,0))</f>
        <v>11</v>
      </c>
      <c r="E431" s="10">
        <f>SUMIFS(GQList,GIList,Table_ExternalData_17[[#This Row],[item_key]],GTList,Table_ExternalData_17[[#Headers],[GRN]],GDList,"&lt;&gt;"&amp;0)</f>
        <v>0</v>
      </c>
      <c r="F431" s="10">
        <f>SUMIFS(GQList,GIList,Table_ExternalData_17[[#This Row],[item_key]],GTList,Table_ExternalData_17[[#Headers],[VSTR]],GDList,"&lt;&gt;"&amp;0)</f>
        <v>0</v>
      </c>
      <c r="G431" s="10">
        <f>SUMIFS(GQList,GIList,Table_ExternalData_17[[#This Row],[item_key]],GTList,Table_ExternalData_17[[#Headers],[SR]],GDList,"&lt;&gt;"&amp;0)</f>
        <v>0</v>
      </c>
      <c r="H431" s="10">
        <f>SUMIFS(GQList,GIList,Table_ExternalData_17[[#This Row],[item_key]],GTList,Table_ExternalData_17[[#Headers],[TR]],GDList,"&lt;&gt;"&amp;0)</f>
        <v>0</v>
      </c>
      <c r="I431" s="10">
        <f>SUMIFS(GQList,GIList,Table_ExternalData_17[[#This Row],[item_key]],GTList,Table_ExternalData_17[[#Headers],[RCA]],GDList,"&lt;&gt;"&amp;0)</f>
        <v>0</v>
      </c>
      <c r="J431" s="10">
        <f>SUM(Table_ExternalData_17[[#This Row],[GRN]]+Table_ExternalData_17[[#This Row],[VSTR]]+Table_ExternalData_17[[#This Row],[SR]]+Table_ExternalData_17[[#This Row],[TR]]+Table_ExternalData_17[[#This Row],[RCA]])</f>
        <v>0</v>
      </c>
      <c r="K431" s="10">
        <f>SUMIFS(IsQList,IsIList,Table_ExternalData_17[[#This Row],[item_key]],IsITypeList,Table_ExternalData_17[[#Headers],[R/P]],IsDList,"&lt;&gt;"&amp;0)</f>
        <v>0</v>
      </c>
      <c r="L431" s="10">
        <f>SUMIFS(IsQList,IsIList,Table_ExternalData_17[[#This Row],[item_key]],IsITypeList,Table_ExternalData_17[[#Headers],[CST]],IsDList,"&lt;&gt;"&amp;0)</f>
        <v>0</v>
      </c>
      <c r="M431" s="10">
        <f>SUMIFS(IsQList,IsIList,Table_ExternalData_15[[#This Row],[item_key]],IsITypeList,Table_ExternalData_17[[#Headers],[S/I]],IsDList,"&lt;&gt;"&amp;0)</f>
        <v>0</v>
      </c>
      <c r="N431" s="10">
        <f>SUMIFS(IsQList,IsIList,Table_ExternalData_15[[#This Row],[item_key]],IsITypeList,Table_ExternalData_17[[#Headers],[VST]],IsDList,"&lt;&gt;"&amp;0)</f>
        <v>0</v>
      </c>
      <c r="O431" s="10">
        <f>ABS(SUMIFS(IsQList,IsIList,Table_ExternalData_17[[#This Row],[item_key]],IsITypeList,Table_ExternalData_17[[#Headers],[RTN]],IsDList,"&lt;&gt;"&amp;0))</f>
        <v>0</v>
      </c>
      <c r="P431" s="10">
        <f>SUM(Table_ExternalData_17[[#This Row],[R/P]:[RTN]])</f>
        <v>0</v>
      </c>
      <c r="Q431" s="10">
        <f>SUM((Table_ExternalData_17[[#This Row],[Opening]]+Table_ExternalData_17[[#This Row],[Total Receipt]])-ABS(Table_ExternalData_17[[#This Row],[Total Issue]]))</f>
        <v>11</v>
      </c>
    </row>
    <row r="432" spans="1:17">
      <c r="A432" s="1" t="s">
        <v>1095</v>
      </c>
      <c r="B432" s="1" t="s">
        <v>1557</v>
      </c>
      <c r="C432" s="1" t="s">
        <v>1558</v>
      </c>
      <c r="D432" s="10">
        <f>SUMIFS(OPBQList,OPBIList,Table_ExternalData_17[[#This Row],[item_key]])+SUMIFS(GQList,GIList,Table_ExternalData_17[[#This Row],[item_key]],GDList,0)-ABS(SUMIFS(IsQList,IsIList,Table_ExternalData_17[[#This Row],[item_key]],IsDList,0))</f>
        <v>203</v>
      </c>
      <c r="E432" s="10">
        <f>SUMIFS(GQList,GIList,Table_ExternalData_17[[#This Row],[item_key]],GTList,Table_ExternalData_17[[#Headers],[GRN]],GDList,"&lt;&gt;"&amp;0)</f>
        <v>0</v>
      </c>
      <c r="F432" s="10">
        <f>SUMIFS(GQList,GIList,Table_ExternalData_17[[#This Row],[item_key]],GTList,Table_ExternalData_17[[#Headers],[VSTR]],GDList,"&lt;&gt;"&amp;0)</f>
        <v>0</v>
      </c>
      <c r="G432" s="10">
        <f>SUMIFS(GQList,GIList,Table_ExternalData_17[[#This Row],[item_key]],GTList,Table_ExternalData_17[[#Headers],[SR]],GDList,"&lt;&gt;"&amp;0)</f>
        <v>0</v>
      </c>
      <c r="H432" s="10">
        <f>SUMIFS(GQList,GIList,Table_ExternalData_17[[#This Row],[item_key]],GTList,Table_ExternalData_17[[#Headers],[TR]],GDList,"&lt;&gt;"&amp;0)</f>
        <v>0</v>
      </c>
      <c r="I432" s="10">
        <f>SUMIFS(GQList,GIList,Table_ExternalData_17[[#This Row],[item_key]],GTList,Table_ExternalData_17[[#Headers],[RCA]],GDList,"&lt;&gt;"&amp;0)</f>
        <v>0</v>
      </c>
      <c r="J432" s="10">
        <f>SUM(Table_ExternalData_17[[#This Row],[GRN]]+Table_ExternalData_17[[#This Row],[VSTR]]+Table_ExternalData_17[[#This Row],[SR]]+Table_ExternalData_17[[#This Row],[TR]]+Table_ExternalData_17[[#This Row],[RCA]])</f>
        <v>0</v>
      </c>
      <c r="K432" s="10">
        <f>SUMIFS(IsQList,IsIList,Table_ExternalData_17[[#This Row],[item_key]],IsITypeList,Table_ExternalData_17[[#Headers],[R/P]],IsDList,"&lt;&gt;"&amp;0)</f>
        <v>0</v>
      </c>
      <c r="L432" s="10">
        <f>SUMIFS(IsQList,IsIList,Table_ExternalData_17[[#This Row],[item_key]],IsITypeList,Table_ExternalData_17[[#Headers],[CST]],IsDList,"&lt;&gt;"&amp;0)</f>
        <v>0</v>
      </c>
      <c r="M432" s="10">
        <f>SUMIFS(IsQList,IsIList,Table_ExternalData_15[[#This Row],[item_key]],IsITypeList,Table_ExternalData_17[[#Headers],[S/I]],IsDList,"&lt;&gt;"&amp;0)</f>
        <v>0</v>
      </c>
      <c r="N432" s="10">
        <f>SUMIFS(IsQList,IsIList,Table_ExternalData_15[[#This Row],[item_key]],IsITypeList,Table_ExternalData_17[[#Headers],[VST]],IsDList,"&lt;&gt;"&amp;0)</f>
        <v>0</v>
      </c>
      <c r="O432" s="10">
        <f>ABS(SUMIFS(IsQList,IsIList,Table_ExternalData_17[[#This Row],[item_key]],IsITypeList,Table_ExternalData_17[[#Headers],[RTN]],IsDList,"&lt;&gt;"&amp;0))</f>
        <v>0</v>
      </c>
      <c r="P432" s="10">
        <f>SUM(Table_ExternalData_17[[#This Row],[R/P]:[RTN]])</f>
        <v>0</v>
      </c>
      <c r="Q432" s="10">
        <f>SUM((Table_ExternalData_17[[#This Row],[Opening]]+Table_ExternalData_17[[#This Row],[Total Receipt]])-ABS(Table_ExternalData_17[[#This Row],[Total Issue]]))</f>
        <v>203</v>
      </c>
    </row>
    <row r="433" spans="1:17">
      <c r="A433" s="1" t="s">
        <v>1096</v>
      </c>
      <c r="B433" s="1" t="s">
        <v>1527</v>
      </c>
      <c r="C433" s="1" t="s">
        <v>1612</v>
      </c>
      <c r="D433" s="10">
        <f>SUMIFS(OPBQList,OPBIList,Table_ExternalData_17[[#This Row],[item_key]])+SUMIFS(GQList,GIList,Table_ExternalData_17[[#This Row],[item_key]],GDList,0)-ABS(SUMIFS(IsQList,IsIList,Table_ExternalData_17[[#This Row],[item_key]],IsDList,0))</f>
        <v>91</v>
      </c>
      <c r="E433" s="10">
        <f>SUMIFS(GQList,GIList,Table_ExternalData_17[[#This Row],[item_key]],GTList,Table_ExternalData_17[[#Headers],[GRN]],GDList,"&lt;&gt;"&amp;0)</f>
        <v>0</v>
      </c>
      <c r="F433" s="10">
        <f>SUMIFS(GQList,GIList,Table_ExternalData_17[[#This Row],[item_key]],GTList,Table_ExternalData_17[[#Headers],[VSTR]],GDList,"&lt;&gt;"&amp;0)</f>
        <v>0</v>
      </c>
      <c r="G433" s="10">
        <f>SUMIFS(GQList,GIList,Table_ExternalData_17[[#This Row],[item_key]],GTList,Table_ExternalData_17[[#Headers],[SR]],GDList,"&lt;&gt;"&amp;0)</f>
        <v>0</v>
      </c>
      <c r="H433" s="10">
        <f>SUMIFS(GQList,GIList,Table_ExternalData_17[[#This Row],[item_key]],GTList,Table_ExternalData_17[[#Headers],[TR]],GDList,"&lt;&gt;"&amp;0)</f>
        <v>0</v>
      </c>
      <c r="I433" s="10">
        <f>SUMIFS(GQList,GIList,Table_ExternalData_17[[#This Row],[item_key]],GTList,Table_ExternalData_17[[#Headers],[RCA]],GDList,"&lt;&gt;"&amp;0)</f>
        <v>0</v>
      </c>
      <c r="J433" s="10">
        <f>SUM(Table_ExternalData_17[[#This Row],[GRN]]+Table_ExternalData_17[[#This Row],[VSTR]]+Table_ExternalData_17[[#This Row],[SR]]+Table_ExternalData_17[[#This Row],[TR]]+Table_ExternalData_17[[#This Row],[RCA]])</f>
        <v>0</v>
      </c>
      <c r="K433" s="10">
        <f>SUMIFS(IsQList,IsIList,Table_ExternalData_17[[#This Row],[item_key]],IsITypeList,Table_ExternalData_17[[#Headers],[R/P]],IsDList,"&lt;&gt;"&amp;0)</f>
        <v>0</v>
      </c>
      <c r="L433" s="10">
        <f>SUMIFS(IsQList,IsIList,Table_ExternalData_17[[#This Row],[item_key]],IsITypeList,Table_ExternalData_17[[#Headers],[CST]],IsDList,"&lt;&gt;"&amp;0)</f>
        <v>0</v>
      </c>
      <c r="M433" s="10">
        <f>SUMIFS(IsQList,IsIList,Table_ExternalData_15[[#This Row],[item_key]],IsITypeList,Table_ExternalData_17[[#Headers],[S/I]],IsDList,"&lt;&gt;"&amp;0)</f>
        <v>0</v>
      </c>
      <c r="N433" s="10">
        <f>SUMIFS(IsQList,IsIList,Table_ExternalData_15[[#This Row],[item_key]],IsITypeList,Table_ExternalData_17[[#Headers],[VST]],IsDList,"&lt;&gt;"&amp;0)</f>
        <v>0</v>
      </c>
      <c r="O433" s="10">
        <f>ABS(SUMIFS(IsQList,IsIList,Table_ExternalData_17[[#This Row],[item_key]],IsITypeList,Table_ExternalData_17[[#Headers],[RTN]],IsDList,"&lt;&gt;"&amp;0))</f>
        <v>0</v>
      </c>
      <c r="P433" s="10">
        <f>SUM(Table_ExternalData_17[[#This Row],[R/P]:[RTN]])</f>
        <v>0</v>
      </c>
      <c r="Q433" s="10">
        <f>SUM((Table_ExternalData_17[[#This Row],[Opening]]+Table_ExternalData_17[[#This Row],[Total Receipt]])-ABS(Table_ExternalData_17[[#This Row],[Total Issue]]))</f>
        <v>91</v>
      </c>
    </row>
    <row r="434" spans="1:17">
      <c r="A434" s="1" t="s">
        <v>1104</v>
      </c>
      <c r="B434" s="1" t="s">
        <v>87</v>
      </c>
      <c r="C434" s="1" t="s">
        <v>2807</v>
      </c>
      <c r="D434" s="10">
        <f>SUMIFS(OPBQList,OPBIList,Table_ExternalData_17[[#This Row],[item_key]])+SUMIFS(GQList,GIList,Table_ExternalData_17[[#This Row],[item_key]],GDList,0)-ABS(SUMIFS(IsQList,IsIList,Table_ExternalData_17[[#This Row],[item_key]],IsDList,0))</f>
        <v>10</v>
      </c>
      <c r="E434" s="10">
        <f>SUMIFS(GQList,GIList,Table_ExternalData_17[[#This Row],[item_key]],GTList,Table_ExternalData_17[[#Headers],[GRN]],GDList,"&lt;&gt;"&amp;0)</f>
        <v>0</v>
      </c>
      <c r="F434" s="10">
        <f>SUMIFS(GQList,GIList,Table_ExternalData_17[[#This Row],[item_key]],GTList,Table_ExternalData_17[[#Headers],[VSTR]],GDList,"&lt;&gt;"&amp;0)</f>
        <v>0</v>
      </c>
      <c r="G434" s="10">
        <f>SUMIFS(GQList,GIList,Table_ExternalData_17[[#This Row],[item_key]],GTList,Table_ExternalData_17[[#Headers],[SR]],GDList,"&lt;&gt;"&amp;0)</f>
        <v>0</v>
      </c>
      <c r="H434" s="10">
        <f>SUMIFS(GQList,GIList,Table_ExternalData_17[[#This Row],[item_key]],GTList,Table_ExternalData_17[[#Headers],[TR]],GDList,"&lt;&gt;"&amp;0)</f>
        <v>0</v>
      </c>
      <c r="I434" s="10">
        <f>SUMIFS(GQList,GIList,Table_ExternalData_17[[#This Row],[item_key]],GTList,Table_ExternalData_17[[#Headers],[RCA]],GDList,"&lt;&gt;"&amp;0)</f>
        <v>0</v>
      </c>
      <c r="J434" s="10">
        <f>SUM(Table_ExternalData_17[[#This Row],[GRN]]+Table_ExternalData_17[[#This Row],[VSTR]]+Table_ExternalData_17[[#This Row],[SR]]+Table_ExternalData_17[[#This Row],[TR]]+Table_ExternalData_17[[#This Row],[RCA]])</f>
        <v>0</v>
      </c>
      <c r="K434" s="10">
        <f>SUMIFS(IsQList,IsIList,Table_ExternalData_17[[#This Row],[item_key]],IsITypeList,Table_ExternalData_17[[#Headers],[R/P]],IsDList,"&lt;&gt;"&amp;0)</f>
        <v>0</v>
      </c>
      <c r="L434" s="10">
        <f>SUMIFS(IsQList,IsIList,Table_ExternalData_17[[#This Row],[item_key]],IsITypeList,Table_ExternalData_17[[#Headers],[CST]],IsDList,"&lt;&gt;"&amp;0)</f>
        <v>0</v>
      </c>
      <c r="M434" s="10">
        <f>SUMIFS(IsQList,IsIList,Table_ExternalData_15[[#This Row],[item_key]],IsITypeList,Table_ExternalData_17[[#Headers],[S/I]],IsDList,"&lt;&gt;"&amp;0)</f>
        <v>0</v>
      </c>
      <c r="N434" s="10">
        <f>SUMIFS(IsQList,IsIList,Table_ExternalData_15[[#This Row],[item_key]],IsITypeList,Table_ExternalData_17[[#Headers],[VST]],IsDList,"&lt;&gt;"&amp;0)</f>
        <v>0</v>
      </c>
      <c r="O434" s="10">
        <f>ABS(SUMIFS(IsQList,IsIList,Table_ExternalData_17[[#This Row],[item_key]],IsITypeList,Table_ExternalData_17[[#Headers],[RTN]],IsDList,"&lt;&gt;"&amp;0))</f>
        <v>0</v>
      </c>
      <c r="P434" s="10">
        <f>SUM(Table_ExternalData_17[[#This Row],[R/P]:[RTN]])</f>
        <v>0</v>
      </c>
      <c r="Q434" s="10">
        <f>SUM((Table_ExternalData_17[[#This Row],[Opening]]+Table_ExternalData_17[[#This Row],[Total Receipt]])-ABS(Table_ExternalData_17[[#This Row],[Total Issue]]))</f>
        <v>10</v>
      </c>
    </row>
    <row r="435" spans="1:17">
      <c r="A435" s="1" t="s">
        <v>2229</v>
      </c>
      <c r="B435" s="1" t="s">
        <v>2808</v>
      </c>
      <c r="C435" s="1" t="s">
        <v>2809</v>
      </c>
      <c r="D435" s="10">
        <f>SUMIFS(OPBQList,OPBIList,Table_ExternalData_17[[#This Row],[item_key]])+SUMIFS(GQList,GIList,Table_ExternalData_17[[#This Row],[item_key]],GDList,0)-ABS(SUMIFS(IsQList,IsIList,Table_ExternalData_17[[#This Row],[item_key]],IsDList,0))</f>
        <v>210</v>
      </c>
      <c r="E435" s="10">
        <f>SUMIFS(GQList,GIList,Table_ExternalData_17[[#This Row],[item_key]],GTList,Table_ExternalData_17[[#Headers],[GRN]],GDList,"&lt;&gt;"&amp;0)</f>
        <v>0</v>
      </c>
      <c r="F435" s="10">
        <f>SUMIFS(GQList,GIList,Table_ExternalData_17[[#This Row],[item_key]],GTList,Table_ExternalData_17[[#Headers],[VSTR]],GDList,"&lt;&gt;"&amp;0)</f>
        <v>0</v>
      </c>
      <c r="G435" s="10">
        <f>SUMIFS(GQList,GIList,Table_ExternalData_17[[#This Row],[item_key]],GTList,Table_ExternalData_17[[#Headers],[SR]],GDList,"&lt;&gt;"&amp;0)</f>
        <v>0</v>
      </c>
      <c r="H435" s="10">
        <f>SUMIFS(GQList,GIList,Table_ExternalData_17[[#This Row],[item_key]],GTList,Table_ExternalData_17[[#Headers],[TR]],GDList,"&lt;&gt;"&amp;0)</f>
        <v>0</v>
      </c>
      <c r="I435" s="10">
        <f>SUMIFS(GQList,GIList,Table_ExternalData_17[[#This Row],[item_key]],GTList,Table_ExternalData_17[[#Headers],[RCA]],GDList,"&lt;&gt;"&amp;0)</f>
        <v>0</v>
      </c>
      <c r="J435" s="10">
        <f>SUM(Table_ExternalData_17[[#This Row],[GRN]]+Table_ExternalData_17[[#This Row],[VSTR]]+Table_ExternalData_17[[#This Row],[SR]]+Table_ExternalData_17[[#This Row],[TR]]+Table_ExternalData_17[[#This Row],[RCA]])</f>
        <v>0</v>
      </c>
      <c r="K435" s="10">
        <f>SUMIFS(IsQList,IsIList,Table_ExternalData_17[[#This Row],[item_key]],IsITypeList,Table_ExternalData_17[[#Headers],[R/P]],IsDList,"&lt;&gt;"&amp;0)</f>
        <v>0</v>
      </c>
      <c r="L435" s="10">
        <f>SUMIFS(IsQList,IsIList,Table_ExternalData_17[[#This Row],[item_key]],IsITypeList,Table_ExternalData_17[[#Headers],[CST]],IsDList,"&lt;&gt;"&amp;0)</f>
        <v>0</v>
      </c>
      <c r="M435" s="10">
        <f>SUMIFS(IsQList,IsIList,Table_ExternalData_15[[#This Row],[item_key]],IsITypeList,Table_ExternalData_17[[#Headers],[S/I]],IsDList,"&lt;&gt;"&amp;0)</f>
        <v>0</v>
      </c>
      <c r="N435" s="10">
        <f>SUMIFS(IsQList,IsIList,Table_ExternalData_15[[#This Row],[item_key]],IsITypeList,Table_ExternalData_17[[#Headers],[VST]],IsDList,"&lt;&gt;"&amp;0)</f>
        <v>0</v>
      </c>
      <c r="O435" s="10">
        <f>ABS(SUMIFS(IsQList,IsIList,Table_ExternalData_17[[#This Row],[item_key]],IsITypeList,Table_ExternalData_17[[#Headers],[RTN]],IsDList,"&lt;&gt;"&amp;0))</f>
        <v>0</v>
      </c>
      <c r="P435" s="10">
        <f>SUM(Table_ExternalData_17[[#This Row],[R/P]:[RTN]])</f>
        <v>0</v>
      </c>
      <c r="Q435" s="10">
        <f>SUM((Table_ExternalData_17[[#This Row],[Opening]]+Table_ExternalData_17[[#This Row],[Total Receipt]])-ABS(Table_ExternalData_17[[#This Row],[Total Issue]]))</f>
        <v>210</v>
      </c>
    </row>
    <row r="436" spans="1:17">
      <c r="A436" s="1" t="s">
        <v>1112</v>
      </c>
      <c r="B436" s="1" t="s">
        <v>1559</v>
      </c>
      <c r="C436" s="1" t="s">
        <v>1560</v>
      </c>
      <c r="D436" s="10">
        <f>SUMIFS(OPBQList,OPBIList,Table_ExternalData_17[[#This Row],[item_key]])+SUMIFS(GQList,GIList,Table_ExternalData_17[[#This Row],[item_key]],GDList,0)-ABS(SUMIFS(IsQList,IsIList,Table_ExternalData_17[[#This Row],[item_key]],IsDList,0))</f>
        <v>101</v>
      </c>
      <c r="E436" s="10">
        <f>SUMIFS(GQList,GIList,Table_ExternalData_17[[#This Row],[item_key]],GTList,Table_ExternalData_17[[#Headers],[GRN]],GDList,"&lt;&gt;"&amp;0)</f>
        <v>0</v>
      </c>
      <c r="F436" s="10">
        <f>SUMIFS(GQList,GIList,Table_ExternalData_17[[#This Row],[item_key]],GTList,Table_ExternalData_17[[#Headers],[VSTR]],GDList,"&lt;&gt;"&amp;0)</f>
        <v>0</v>
      </c>
      <c r="G436" s="10">
        <f>SUMIFS(GQList,GIList,Table_ExternalData_17[[#This Row],[item_key]],GTList,Table_ExternalData_17[[#Headers],[SR]],GDList,"&lt;&gt;"&amp;0)</f>
        <v>0</v>
      </c>
      <c r="H436" s="10">
        <f>SUMIFS(GQList,GIList,Table_ExternalData_17[[#This Row],[item_key]],GTList,Table_ExternalData_17[[#Headers],[TR]],GDList,"&lt;&gt;"&amp;0)</f>
        <v>0</v>
      </c>
      <c r="I436" s="10">
        <f>SUMIFS(GQList,GIList,Table_ExternalData_17[[#This Row],[item_key]],GTList,Table_ExternalData_17[[#Headers],[RCA]],GDList,"&lt;&gt;"&amp;0)</f>
        <v>0</v>
      </c>
      <c r="J436" s="10">
        <f>SUM(Table_ExternalData_17[[#This Row],[GRN]]+Table_ExternalData_17[[#This Row],[VSTR]]+Table_ExternalData_17[[#This Row],[SR]]+Table_ExternalData_17[[#This Row],[TR]]+Table_ExternalData_17[[#This Row],[RCA]])</f>
        <v>0</v>
      </c>
      <c r="K436" s="10">
        <f>SUMIFS(IsQList,IsIList,Table_ExternalData_17[[#This Row],[item_key]],IsITypeList,Table_ExternalData_17[[#Headers],[R/P]],IsDList,"&lt;&gt;"&amp;0)</f>
        <v>0</v>
      </c>
      <c r="L436" s="10">
        <f>SUMIFS(IsQList,IsIList,Table_ExternalData_17[[#This Row],[item_key]],IsITypeList,Table_ExternalData_17[[#Headers],[CST]],IsDList,"&lt;&gt;"&amp;0)</f>
        <v>0</v>
      </c>
      <c r="M436" s="10">
        <f>SUMIFS(IsQList,IsIList,Table_ExternalData_15[[#This Row],[item_key]],IsITypeList,Table_ExternalData_17[[#Headers],[S/I]],IsDList,"&lt;&gt;"&amp;0)</f>
        <v>0</v>
      </c>
      <c r="N436" s="10">
        <f>SUMIFS(IsQList,IsIList,Table_ExternalData_15[[#This Row],[item_key]],IsITypeList,Table_ExternalData_17[[#Headers],[VST]],IsDList,"&lt;&gt;"&amp;0)</f>
        <v>0</v>
      </c>
      <c r="O436" s="10">
        <f>ABS(SUMIFS(IsQList,IsIList,Table_ExternalData_17[[#This Row],[item_key]],IsITypeList,Table_ExternalData_17[[#Headers],[RTN]],IsDList,"&lt;&gt;"&amp;0))</f>
        <v>0</v>
      </c>
      <c r="P436" s="10">
        <f>SUM(Table_ExternalData_17[[#This Row],[R/P]:[RTN]])</f>
        <v>0</v>
      </c>
      <c r="Q436" s="10">
        <f>SUM((Table_ExternalData_17[[#This Row],[Opening]]+Table_ExternalData_17[[#This Row],[Total Receipt]])-ABS(Table_ExternalData_17[[#This Row],[Total Issue]]))</f>
        <v>101</v>
      </c>
    </row>
    <row r="437" spans="1:17">
      <c r="A437" s="1" t="s">
        <v>1113</v>
      </c>
      <c r="B437" s="1" t="s">
        <v>1561</v>
      </c>
      <c r="C437" s="1" t="s">
        <v>1562</v>
      </c>
      <c r="D437" s="10">
        <f>SUMIFS(OPBQList,OPBIList,Table_ExternalData_17[[#This Row],[item_key]])+SUMIFS(GQList,GIList,Table_ExternalData_17[[#This Row],[item_key]],GDList,0)-ABS(SUMIFS(IsQList,IsIList,Table_ExternalData_17[[#This Row],[item_key]],IsDList,0))</f>
        <v>106</v>
      </c>
      <c r="E437" s="10">
        <f>SUMIFS(GQList,GIList,Table_ExternalData_17[[#This Row],[item_key]],GTList,Table_ExternalData_17[[#Headers],[GRN]],GDList,"&lt;&gt;"&amp;0)</f>
        <v>0</v>
      </c>
      <c r="F437" s="10">
        <f>SUMIFS(GQList,GIList,Table_ExternalData_17[[#This Row],[item_key]],GTList,Table_ExternalData_17[[#Headers],[VSTR]],GDList,"&lt;&gt;"&amp;0)</f>
        <v>0</v>
      </c>
      <c r="G437" s="10">
        <f>SUMIFS(GQList,GIList,Table_ExternalData_17[[#This Row],[item_key]],GTList,Table_ExternalData_17[[#Headers],[SR]],GDList,"&lt;&gt;"&amp;0)</f>
        <v>0</v>
      </c>
      <c r="H437" s="10">
        <f>SUMIFS(GQList,GIList,Table_ExternalData_17[[#This Row],[item_key]],GTList,Table_ExternalData_17[[#Headers],[TR]],GDList,"&lt;&gt;"&amp;0)</f>
        <v>0</v>
      </c>
      <c r="I437" s="10">
        <f>SUMIFS(GQList,GIList,Table_ExternalData_17[[#This Row],[item_key]],GTList,Table_ExternalData_17[[#Headers],[RCA]],GDList,"&lt;&gt;"&amp;0)</f>
        <v>0</v>
      </c>
      <c r="J437" s="10">
        <f>SUM(Table_ExternalData_17[[#This Row],[GRN]]+Table_ExternalData_17[[#This Row],[VSTR]]+Table_ExternalData_17[[#This Row],[SR]]+Table_ExternalData_17[[#This Row],[TR]]+Table_ExternalData_17[[#This Row],[RCA]])</f>
        <v>0</v>
      </c>
      <c r="K437" s="10">
        <f>SUMIFS(IsQList,IsIList,Table_ExternalData_17[[#This Row],[item_key]],IsITypeList,Table_ExternalData_17[[#Headers],[R/P]],IsDList,"&lt;&gt;"&amp;0)</f>
        <v>0</v>
      </c>
      <c r="L437" s="10">
        <f>SUMIFS(IsQList,IsIList,Table_ExternalData_17[[#This Row],[item_key]],IsITypeList,Table_ExternalData_17[[#Headers],[CST]],IsDList,"&lt;&gt;"&amp;0)</f>
        <v>0</v>
      </c>
      <c r="M437" s="10">
        <f>SUMIFS(IsQList,IsIList,Table_ExternalData_15[[#This Row],[item_key]],IsITypeList,Table_ExternalData_17[[#Headers],[S/I]],IsDList,"&lt;&gt;"&amp;0)</f>
        <v>0</v>
      </c>
      <c r="N437" s="10">
        <f>SUMIFS(IsQList,IsIList,Table_ExternalData_15[[#This Row],[item_key]],IsITypeList,Table_ExternalData_17[[#Headers],[VST]],IsDList,"&lt;&gt;"&amp;0)</f>
        <v>0</v>
      </c>
      <c r="O437" s="10">
        <f>ABS(SUMIFS(IsQList,IsIList,Table_ExternalData_17[[#This Row],[item_key]],IsITypeList,Table_ExternalData_17[[#Headers],[RTN]],IsDList,"&lt;&gt;"&amp;0))</f>
        <v>0</v>
      </c>
      <c r="P437" s="10">
        <f>SUM(Table_ExternalData_17[[#This Row],[R/P]:[RTN]])</f>
        <v>0</v>
      </c>
      <c r="Q437" s="10">
        <f>SUM((Table_ExternalData_17[[#This Row],[Opening]]+Table_ExternalData_17[[#This Row],[Total Receipt]])-ABS(Table_ExternalData_17[[#This Row],[Total Issue]]))</f>
        <v>106</v>
      </c>
    </row>
    <row r="438" spans="1:17">
      <c r="A438" s="1" t="s">
        <v>1114</v>
      </c>
      <c r="B438" s="1" t="s">
        <v>1563</v>
      </c>
      <c r="C438" s="1" t="s">
        <v>1564</v>
      </c>
      <c r="D438" s="10">
        <f>SUMIFS(OPBQList,OPBIList,Table_ExternalData_17[[#This Row],[item_key]])+SUMIFS(GQList,GIList,Table_ExternalData_17[[#This Row],[item_key]],GDList,0)-ABS(SUMIFS(IsQList,IsIList,Table_ExternalData_17[[#This Row],[item_key]],IsDList,0))</f>
        <v>902</v>
      </c>
      <c r="E438" s="10">
        <f>SUMIFS(GQList,GIList,Table_ExternalData_17[[#This Row],[item_key]],GTList,Table_ExternalData_17[[#Headers],[GRN]],GDList,"&lt;&gt;"&amp;0)</f>
        <v>0</v>
      </c>
      <c r="F438" s="10">
        <f>SUMIFS(GQList,GIList,Table_ExternalData_17[[#This Row],[item_key]],GTList,Table_ExternalData_17[[#Headers],[VSTR]],GDList,"&lt;&gt;"&amp;0)</f>
        <v>0</v>
      </c>
      <c r="G438" s="10">
        <f>SUMIFS(GQList,GIList,Table_ExternalData_17[[#This Row],[item_key]],GTList,Table_ExternalData_17[[#Headers],[SR]],GDList,"&lt;&gt;"&amp;0)</f>
        <v>0</v>
      </c>
      <c r="H438" s="10">
        <f>SUMIFS(GQList,GIList,Table_ExternalData_17[[#This Row],[item_key]],GTList,Table_ExternalData_17[[#Headers],[TR]],GDList,"&lt;&gt;"&amp;0)</f>
        <v>0</v>
      </c>
      <c r="I438" s="10">
        <f>SUMIFS(GQList,GIList,Table_ExternalData_17[[#This Row],[item_key]],GTList,Table_ExternalData_17[[#Headers],[RCA]],GDList,"&lt;&gt;"&amp;0)</f>
        <v>0</v>
      </c>
      <c r="J438" s="10">
        <f>SUM(Table_ExternalData_17[[#This Row],[GRN]]+Table_ExternalData_17[[#This Row],[VSTR]]+Table_ExternalData_17[[#This Row],[SR]]+Table_ExternalData_17[[#This Row],[TR]]+Table_ExternalData_17[[#This Row],[RCA]])</f>
        <v>0</v>
      </c>
      <c r="K438" s="10">
        <f>SUMIFS(IsQList,IsIList,Table_ExternalData_17[[#This Row],[item_key]],IsITypeList,Table_ExternalData_17[[#Headers],[R/P]],IsDList,"&lt;&gt;"&amp;0)</f>
        <v>0</v>
      </c>
      <c r="L438" s="10">
        <f>SUMIFS(IsQList,IsIList,Table_ExternalData_17[[#This Row],[item_key]],IsITypeList,Table_ExternalData_17[[#Headers],[CST]],IsDList,"&lt;&gt;"&amp;0)</f>
        <v>0</v>
      </c>
      <c r="M438" s="10">
        <f>SUMIFS(IsQList,IsIList,Table_ExternalData_15[[#This Row],[item_key]],IsITypeList,Table_ExternalData_17[[#Headers],[S/I]],IsDList,"&lt;&gt;"&amp;0)</f>
        <v>0</v>
      </c>
      <c r="N438" s="10">
        <f>SUMIFS(IsQList,IsIList,Table_ExternalData_15[[#This Row],[item_key]],IsITypeList,Table_ExternalData_17[[#Headers],[VST]],IsDList,"&lt;&gt;"&amp;0)</f>
        <v>0</v>
      </c>
      <c r="O438" s="10">
        <f>ABS(SUMIFS(IsQList,IsIList,Table_ExternalData_17[[#This Row],[item_key]],IsITypeList,Table_ExternalData_17[[#Headers],[RTN]],IsDList,"&lt;&gt;"&amp;0))</f>
        <v>0</v>
      </c>
      <c r="P438" s="10">
        <f>SUM(Table_ExternalData_17[[#This Row],[R/P]:[RTN]])</f>
        <v>0</v>
      </c>
      <c r="Q438" s="10">
        <f>SUM((Table_ExternalData_17[[#This Row],[Opening]]+Table_ExternalData_17[[#This Row],[Total Receipt]])-ABS(Table_ExternalData_17[[#This Row],[Total Issue]]))</f>
        <v>902</v>
      </c>
    </row>
    <row r="439" spans="1:17">
      <c r="A439" s="1" t="s">
        <v>2230</v>
      </c>
      <c r="B439" s="1" t="s">
        <v>2810</v>
      </c>
      <c r="C439" s="1" t="s">
        <v>2811</v>
      </c>
      <c r="D439" s="10">
        <f>SUMIFS(OPBQList,OPBIList,Table_ExternalData_17[[#This Row],[item_key]])+SUMIFS(GQList,GIList,Table_ExternalData_17[[#This Row],[item_key]],GDList,0)-ABS(SUMIFS(IsQList,IsIList,Table_ExternalData_17[[#This Row],[item_key]],IsDList,0))</f>
        <v>163</v>
      </c>
      <c r="E439" s="10">
        <f>SUMIFS(GQList,GIList,Table_ExternalData_17[[#This Row],[item_key]],GTList,Table_ExternalData_17[[#Headers],[GRN]],GDList,"&lt;&gt;"&amp;0)</f>
        <v>0</v>
      </c>
      <c r="F439" s="10">
        <f>SUMIFS(GQList,GIList,Table_ExternalData_17[[#This Row],[item_key]],GTList,Table_ExternalData_17[[#Headers],[VSTR]],GDList,"&lt;&gt;"&amp;0)</f>
        <v>0</v>
      </c>
      <c r="G439" s="10">
        <f>SUMIFS(GQList,GIList,Table_ExternalData_17[[#This Row],[item_key]],GTList,Table_ExternalData_17[[#Headers],[SR]],GDList,"&lt;&gt;"&amp;0)</f>
        <v>0</v>
      </c>
      <c r="H439" s="10">
        <f>SUMIFS(GQList,GIList,Table_ExternalData_17[[#This Row],[item_key]],GTList,Table_ExternalData_17[[#Headers],[TR]],GDList,"&lt;&gt;"&amp;0)</f>
        <v>0</v>
      </c>
      <c r="I439" s="10">
        <f>SUMIFS(GQList,GIList,Table_ExternalData_17[[#This Row],[item_key]],GTList,Table_ExternalData_17[[#Headers],[RCA]],GDList,"&lt;&gt;"&amp;0)</f>
        <v>0</v>
      </c>
      <c r="J439" s="10">
        <f>SUM(Table_ExternalData_17[[#This Row],[GRN]]+Table_ExternalData_17[[#This Row],[VSTR]]+Table_ExternalData_17[[#This Row],[SR]]+Table_ExternalData_17[[#This Row],[TR]]+Table_ExternalData_17[[#This Row],[RCA]])</f>
        <v>0</v>
      </c>
      <c r="K439" s="10">
        <f>SUMIFS(IsQList,IsIList,Table_ExternalData_17[[#This Row],[item_key]],IsITypeList,Table_ExternalData_17[[#Headers],[R/P]],IsDList,"&lt;&gt;"&amp;0)</f>
        <v>0</v>
      </c>
      <c r="L439" s="10">
        <f>SUMIFS(IsQList,IsIList,Table_ExternalData_17[[#This Row],[item_key]],IsITypeList,Table_ExternalData_17[[#Headers],[CST]],IsDList,"&lt;&gt;"&amp;0)</f>
        <v>0</v>
      </c>
      <c r="M439" s="10">
        <f>SUMIFS(IsQList,IsIList,Table_ExternalData_15[[#This Row],[item_key]],IsITypeList,Table_ExternalData_17[[#Headers],[S/I]],IsDList,"&lt;&gt;"&amp;0)</f>
        <v>0</v>
      </c>
      <c r="N439" s="10">
        <f>SUMIFS(IsQList,IsIList,Table_ExternalData_15[[#This Row],[item_key]],IsITypeList,Table_ExternalData_17[[#Headers],[VST]],IsDList,"&lt;&gt;"&amp;0)</f>
        <v>0</v>
      </c>
      <c r="O439" s="10">
        <f>ABS(SUMIFS(IsQList,IsIList,Table_ExternalData_17[[#This Row],[item_key]],IsITypeList,Table_ExternalData_17[[#Headers],[RTN]],IsDList,"&lt;&gt;"&amp;0))</f>
        <v>0</v>
      </c>
      <c r="P439" s="10">
        <f>SUM(Table_ExternalData_17[[#This Row],[R/P]:[RTN]])</f>
        <v>0</v>
      </c>
      <c r="Q439" s="10">
        <f>SUM((Table_ExternalData_17[[#This Row],[Opening]]+Table_ExternalData_17[[#This Row],[Total Receipt]])-ABS(Table_ExternalData_17[[#This Row],[Total Issue]]))</f>
        <v>163</v>
      </c>
    </row>
    <row r="440" spans="1:17">
      <c r="A440" s="1" t="s">
        <v>2231</v>
      </c>
      <c r="B440" s="1" t="s">
        <v>2812</v>
      </c>
      <c r="C440" s="1" t="s">
        <v>2813</v>
      </c>
      <c r="D440" s="10">
        <f>SUMIFS(OPBQList,OPBIList,Table_ExternalData_17[[#This Row],[item_key]])+SUMIFS(GQList,GIList,Table_ExternalData_17[[#This Row],[item_key]],GDList,0)-ABS(SUMIFS(IsQList,IsIList,Table_ExternalData_17[[#This Row],[item_key]],IsDList,0))</f>
        <v>239</v>
      </c>
      <c r="E440" s="10">
        <f>SUMIFS(GQList,GIList,Table_ExternalData_17[[#This Row],[item_key]],GTList,Table_ExternalData_17[[#Headers],[GRN]],GDList,"&lt;&gt;"&amp;0)</f>
        <v>0</v>
      </c>
      <c r="F440" s="10">
        <f>SUMIFS(GQList,GIList,Table_ExternalData_17[[#This Row],[item_key]],GTList,Table_ExternalData_17[[#Headers],[VSTR]],GDList,"&lt;&gt;"&amp;0)</f>
        <v>0</v>
      </c>
      <c r="G440" s="10">
        <f>SUMIFS(GQList,GIList,Table_ExternalData_17[[#This Row],[item_key]],GTList,Table_ExternalData_17[[#Headers],[SR]],GDList,"&lt;&gt;"&amp;0)</f>
        <v>0</v>
      </c>
      <c r="H440" s="10">
        <f>SUMIFS(GQList,GIList,Table_ExternalData_17[[#This Row],[item_key]],GTList,Table_ExternalData_17[[#Headers],[TR]],GDList,"&lt;&gt;"&amp;0)</f>
        <v>0</v>
      </c>
      <c r="I440" s="10">
        <f>SUMIFS(GQList,GIList,Table_ExternalData_17[[#This Row],[item_key]],GTList,Table_ExternalData_17[[#Headers],[RCA]],GDList,"&lt;&gt;"&amp;0)</f>
        <v>0</v>
      </c>
      <c r="J440" s="10">
        <f>SUM(Table_ExternalData_17[[#This Row],[GRN]]+Table_ExternalData_17[[#This Row],[VSTR]]+Table_ExternalData_17[[#This Row],[SR]]+Table_ExternalData_17[[#This Row],[TR]]+Table_ExternalData_17[[#This Row],[RCA]])</f>
        <v>0</v>
      </c>
      <c r="K440" s="10">
        <f>SUMIFS(IsQList,IsIList,Table_ExternalData_17[[#This Row],[item_key]],IsITypeList,Table_ExternalData_17[[#Headers],[R/P]],IsDList,"&lt;&gt;"&amp;0)</f>
        <v>0</v>
      </c>
      <c r="L440" s="10">
        <f>SUMIFS(IsQList,IsIList,Table_ExternalData_17[[#This Row],[item_key]],IsITypeList,Table_ExternalData_17[[#Headers],[CST]],IsDList,"&lt;&gt;"&amp;0)</f>
        <v>0</v>
      </c>
      <c r="M440" s="10">
        <f>SUMIFS(IsQList,IsIList,Table_ExternalData_15[[#This Row],[item_key]],IsITypeList,Table_ExternalData_17[[#Headers],[S/I]],IsDList,"&lt;&gt;"&amp;0)</f>
        <v>0</v>
      </c>
      <c r="N440" s="10">
        <f>SUMIFS(IsQList,IsIList,Table_ExternalData_15[[#This Row],[item_key]],IsITypeList,Table_ExternalData_17[[#Headers],[VST]],IsDList,"&lt;&gt;"&amp;0)</f>
        <v>0</v>
      </c>
      <c r="O440" s="10">
        <f>ABS(SUMIFS(IsQList,IsIList,Table_ExternalData_17[[#This Row],[item_key]],IsITypeList,Table_ExternalData_17[[#Headers],[RTN]],IsDList,"&lt;&gt;"&amp;0))</f>
        <v>0</v>
      </c>
      <c r="P440" s="10">
        <f>SUM(Table_ExternalData_17[[#This Row],[R/P]:[RTN]])</f>
        <v>0</v>
      </c>
      <c r="Q440" s="10">
        <f>SUM((Table_ExternalData_17[[#This Row],[Opening]]+Table_ExternalData_17[[#This Row],[Total Receipt]])-ABS(Table_ExternalData_17[[#This Row],[Total Issue]]))</f>
        <v>239</v>
      </c>
    </row>
    <row r="441" spans="1:17">
      <c r="A441" s="1" t="s">
        <v>2232</v>
      </c>
      <c r="B441" s="1" t="s">
        <v>2814</v>
      </c>
      <c r="C441" s="1" t="s">
        <v>2815</v>
      </c>
      <c r="D441" s="10">
        <f>SUMIFS(OPBQList,OPBIList,Table_ExternalData_17[[#This Row],[item_key]])+SUMIFS(GQList,GIList,Table_ExternalData_17[[#This Row],[item_key]],GDList,0)-ABS(SUMIFS(IsQList,IsIList,Table_ExternalData_17[[#This Row],[item_key]],IsDList,0))</f>
        <v>168</v>
      </c>
      <c r="E441" s="10">
        <f>SUMIFS(GQList,GIList,Table_ExternalData_17[[#This Row],[item_key]],GTList,Table_ExternalData_17[[#Headers],[GRN]],GDList,"&lt;&gt;"&amp;0)</f>
        <v>0</v>
      </c>
      <c r="F441" s="10">
        <f>SUMIFS(GQList,GIList,Table_ExternalData_17[[#This Row],[item_key]],GTList,Table_ExternalData_17[[#Headers],[VSTR]],GDList,"&lt;&gt;"&amp;0)</f>
        <v>0</v>
      </c>
      <c r="G441" s="10">
        <f>SUMIFS(GQList,GIList,Table_ExternalData_17[[#This Row],[item_key]],GTList,Table_ExternalData_17[[#Headers],[SR]],GDList,"&lt;&gt;"&amp;0)</f>
        <v>0</v>
      </c>
      <c r="H441" s="10">
        <f>SUMIFS(GQList,GIList,Table_ExternalData_17[[#This Row],[item_key]],GTList,Table_ExternalData_17[[#Headers],[TR]],GDList,"&lt;&gt;"&amp;0)</f>
        <v>0</v>
      </c>
      <c r="I441" s="10">
        <f>SUMIFS(GQList,GIList,Table_ExternalData_17[[#This Row],[item_key]],GTList,Table_ExternalData_17[[#Headers],[RCA]],GDList,"&lt;&gt;"&amp;0)</f>
        <v>0</v>
      </c>
      <c r="J441" s="10">
        <f>SUM(Table_ExternalData_17[[#This Row],[GRN]]+Table_ExternalData_17[[#This Row],[VSTR]]+Table_ExternalData_17[[#This Row],[SR]]+Table_ExternalData_17[[#This Row],[TR]]+Table_ExternalData_17[[#This Row],[RCA]])</f>
        <v>0</v>
      </c>
      <c r="K441" s="10">
        <f>SUMIFS(IsQList,IsIList,Table_ExternalData_17[[#This Row],[item_key]],IsITypeList,Table_ExternalData_17[[#Headers],[R/P]],IsDList,"&lt;&gt;"&amp;0)</f>
        <v>0</v>
      </c>
      <c r="L441" s="10">
        <f>SUMIFS(IsQList,IsIList,Table_ExternalData_17[[#This Row],[item_key]],IsITypeList,Table_ExternalData_17[[#Headers],[CST]],IsDList,"&lt;&gt;"&amp;0)</f>
        <v>0</v>
      </c>
      <c r="M441" s="10">
        <f>SUMIFS(IsQList,IsIList,Table_ExternalData_15[[#This Row],[item_key]],IsITypeList,Table_ExternalData_17[[#Headers],[S/I]],IsDList,"&lt;&gt;"&amp;0)</f>
        <v>0</v>
      </c>
      <c r="N441" s="10">
        <f>SUMIFS(IsQList,IsIList,Table_ExternalData_15[[#This Row],[item_key]],IsITypeList,Table_ExternalData_17[[#Headers],[VST]],IsDList,"&lt;&gt;"&amp;0)</f>
        <v>0</v>
      </c>
      <c r="O441" s="10">
        <f>ABS(SUMIFS(IsQList,IsIList,Table_ExternalData_17[[#This Row],[item_key]],IsITypeList,Table_ExternalData_17[[#Headers],[RTN]],IsDList,"&lt;&gt;"&amp;0))</f>
        <v>0</v>
      </c>
      <c r="P441" s="10">
        <f>SUM(Table_ExternalData_17[[#This Row],[R/P]:[RTN]])</f>
        <v>0</v>
      </c>
      <c r="Q441" s="10">
        <f>SUM((Table_ExternalData_17[[#This Row],[Opening]]+Table_ExternalData_17[[#This Row],[Total Receipt]])-ABS(Table_ExternalData_17[[#This Row],[Total Issue]]))</f>
        <v>168</v>
      </c>
    </row>
    <row r="442" spans="1:17">
      <c r="A442" s="1" t="s">
        <v>2233</v>
      </c>
      <c r="B442" s="1" t="s">
        <v>2816</v>
      </c>
      <c r="C442" s="1" t="s">
        <v>2536</v>
      </c>
      <c r="D442" s="10">
        <f>SUMIFS(OPBQList,OPBIList,Table_ExternalData_17[[#This Row],[item_key]])+SUMIFS(GQList,GIList,Table_ExternalData_17[[#This Row],[item_key]],GDList,0)-ABS(SUMIFS(IsQList,IsIList,Table_ExternalData_17[[#This Row],[item_key]],IsDList,0))</f>
        <v>374</v>
      </c>
      <c r="E442" s="10">
        <f>SUMIFS(GQList,GIList,Table_ExternalData_17[[#This Row],[item_key]],GTList,Table_ExternalData_17[[#Headers],[GRN]],GDList,"&lt;&gt;"&amp;0)</f>
        <v>0</v>
      </c>
      <c r="F442" s="10">
        <f>SUMIFS(GQList,GIList,Table_ExternalData_17[[#This Row],[item_key]],GTList,Table_ExternalData_17[[#Headers],[VSTR]],GDList,"&lt;&gt;"&amp;0)</f>
        <v>0</v>
      </c>
      <c r="G442" s="10">
        <f>SUMIFS(GQList,GIList,Table_ExternalData_17[[#This Row],[item_key]],GTList,Table_ExternalData_17[[#Headers],[SR]],GDList,"&lt;&gt;"&amp;0)</f>
        <v>0</v>
      </c>
      <c r="H442" s="10">
        <f>SUMIFS(GQList,GIList,Table_ExternalData_17[[#This Row],[item_key]],GTList,Table_ExternalData_17[[#Headers],[TR]],GDList,"&lt;&gt;"&amp;0)</f>
        <v>0</v>
      </c>
      <c r="I442" s="10">
        <f>SUMIFS(GQList,GIList,Table_ExternalData_17[[#This Row],[item_key]],GTList,Table_ExternalData_17[[#Headers],[RCA]],GDList,"&lt;&gt;"&amp;0)</f>
        <v>0</v>
      </c>
      <c r="J442" s="10">
        <f>SUM(Table_ExternalData_17[[#This Row],[GRN]]+Table_ExternalData_17[[#This Row],[VSTR]]+Table_ExternalData_17[[#This Row],[SR]]+Table_ExternalData_17[[#This Row],[TR]]+Table_ExternalData_17[[#This Row],[RCA]])</f>
        <v>0</v>
      </c>
      <c r="K442" s="10">
        <f>SUMIFS(IsQList,IsIList,Table_ExternalData_17[[#This Row],[item_key]],IsITypeList,Table_ExternalData_17[[#Headers],[R/P]],IsDList,"&lt;&gt;"&amp;0)</f>
        <v>0</v>
      </c>
      <c r="L442" s="10">
        <f>SUMIFS(IsQList,IsIList,Table_ExternalData_17[[#This Row],[item_key]],IsITypeList,Table_ExternalData_17[[#Headers],[CST]],IsDList,"&lt;&gt;"&amp;0)</f>
        <v>0</v>
      </c>
      <c r="M442" s="10">
        <f>SUMIFS(IsQList,IsIList,Table_ExternalData_15[[#This Row],[item_key]],IsITypeList,Table_ExternalData_17[[#Headers],[S/I]],IsDList,"&lt;&gt;"&amp;0)</f>
        <v>0</v>
      </c>
      <c r="N442" s="10">
        <f>SUMIFS(IsQList,IsIList,Table_ExternalData_15[[#This Row],[item_key]],IsITypeList,Table_ExternalData_17[[#Headers],[VST]],IsDList,"&lt;&gt;"&amp;0)</f>
        <v>0</v>
      </c>
      <c r="O442" s="10">
        <f>ABS(SUMIFS(IsQList,IsIList,Table_ExternalData_17[[#This Row],[item_key]],IsITypeList,Table_ExternalData_17[[#Headers],[RTN]],IsDList,"&lt;&gt;"&amp;0))</f>
        <v>0</v>
      </c>
      <c r="P442" s="10">
        <f>SUM(Table_ExternalData_17[[#This Row],[R/P]:[RTN]])</f>
        <v>0</v>
      </c>
      <c r="Q442" s="10">
        <f>SUM((Table_ExternalData_17[[#This Row],[Opening]]+Table_ExternalData_17[[#This Row],[Total Receipt]])-ABS(Table_ExternalData_17[[#This Row],[Total Issue]]))</f>
        <v>374</v>
      </c>
    </row>
    <row r="443" spans="1:17">
      <c r="A443" s="1" t="s">
        <v>1115</v>
      </c>
      <c r="B443" s="1" t="s">
        <v>2817</v>
      </c>
      <c r="C443" s="1" t="s">
        <v>2818</v>
      </c>
      <c r="D443" s="10">
        <f>SUMIFS(OPBQList,OPBIList,Table_ExternalData_17[[#This Row],[item_key]])+SUMIFS(GQList,GIList,Table_ExternalData_17[[#This Row],[item_key]],GDList,0)-ABS(SUMIFS(IsQList,IsIList,Table_ExternalData_17[[#This Row],[item_key]],IsDList,0))</f>
        <v>1550</v>
      </c>
      <c r="E443" s="10">
        <f>SUMIFS(GQList,GIList,Table_ExternalData_17[[#This Row],[item_key]],GTList,Table_ExternalData_17[[#Headers],[GRN]],GDList,"&lt;&gt;"&amp;0)</f>
        <v>0</v>
      </c>
      <c r="F443" s="10">
        <f>SUMIFS(GQList,GIList,Table_ExternalData_17[[#This Row],[item_key]],GTList,Table_ExternalData_17[[#Headers],[VSTR]],GDList,"&lt;&gt;"&amp;0)</f>
        <v>0</v>
      </c>
      <c r="G443" s="10">
        <f>SUMIFS(GQList,GIList,Table_ExternalData_17[[#This Row],[item_key]],GTList,Table_ExternalData_17[[#Headers],[SR]],GDList,"&lt;&gt;"&amp;0)</f>
        <v>0</v>
      </c>
      <c r="H443" s="10">
        <f>SUMIFS(GQList,GIList,Table_ExternalData_17[[#This Row],[item_key]],GTList,Table_ExternalData_17[[#Headers],[TR]],GDList,"&lt;&gt;"&amp;0)</f>
        <v>0</v>
      </c>
      <c r="I443" s="10">
        <f>SUMIFS(GQList,GIList,Table_ExternalData_17[[#This Row],[item_key]],GTList,Table_ExternalData_17[[#Headers],[RCA]],GDList,"&lt;&gt;"&amp;0)</f>
        <v>0</v>
      </c>
      <c r="J443" s="10">
        <f>SUM(Table_ExternalData_17[[#This Row],[GRN]]+Table_ExternalData_17[[#This Row],[VSTR]]+Table_ExternalData_17[[#This Row],[SR]]+Table_ExternalData_17[[#This Row],[TR]]+Table_ExternalData_17[[#This Row],[RCA]])</f>
        <v>0</v>
      </c>
      <c r="K443" s="10">
        <f>SUMIFS(IsQList,IsIList,Table_ExternalData_17[[#This Row],[item_key]],IsITypeList,Table_ExternalData_17[[#Headers],[R/P]],IsDList,"&lt;&gt;"&amp;0)</f>
        <v>0</v>
      </c>
      <c r="L443" s="10">
        <f>SUMIFS(IsQList,IsIList,Table_ExternalData_17[[#This Row],[item_key]],IsITypeList,Table_ExternalData_17[[#Headers],[CST]],IsDList,"&lt;&gt;"&amp;0)</f>
        <v>0</v>
      </c>
      <c r="M443" s="10">
        <f>SUMIFS(IsQList,IsIList,Table_ExternalData_15[[#This Row],[item_key]],IsITypeList,Table_ExternalData_17[[#Headers],[S/I]],IsDList,"&lt;&gt;"&amp;0)</f>
        <v>0</v>
      </c>
      <c r="N443" s="10">
        <f>SUMIFS(IsQList,IsIList,Table_ExternalData_15[[#This Row],[item_key]],IsITypeList,Table_ExternalData_17[[#Headers],[VST]],IsDList,"&lt;&gt;"&amp;0)</f>
        <v>0</v>
      </c>
      <c r="O443" s="10">
        <f>ABS(SUMIFS(IsQList,IsIList,Table_ExternalData_17[[#This Row],[item_key]],IsITypeList,Table_ExternalData_17[[#Headers],[RTN]],IsDList,"&lt;&gt;"&amp;0))</f>
        <v>0</v>
      </c>
      <c r="P443" s="10">
        <f>SUM(Table_ExternalData_17[[#This Row],[R/P]:[RTN]])</f>
        <v>0</v>
      </c>
      <c r="Q443" s="10">
        <f>SUM((Table_ExternalData_17[[#This Row],[Opening]]+Table_ExternalData_17[[#This Row],[Total Receipt]])-ABS(Table_ExternalData_17[[#This Row],[Total Issue]]))</f>
        <v>1550</v>
      </c>
    </row>
    <row r="444" spans="1:17">
      <c r="A444" s="1" t="s">
        <v>2237</v>
      </c>
      <c r="B444" s="1" t="s">
        <v>2819</v>
      </c>
      <c r="C444" s="1" t="s">
        <v>1526</v>
      </c>
      <c r="D444" s="10">
        <f>SUMIFS(OPBQList,OPBIList,Table_ExternalData_17[[#This Row],[item_key]])+SUMIFS(GQList,GIList,Table_ExternalData_17[[#This Row],[item_key]],GDList,0)-ABS(SUMIFS(IsQList,IsIList,Table_ExternalData_17[[#This Row],[item_key]],IsDList,0))</f>
        <v>253</v>
      </c>
      <c r="E444" s="10">
        <f>SUMIFS(GQList,GIList,Table_ExternalData_17[[#This Row],[item_key]],GTList,Table_ExternalData_17[[#Headers],[GRN]],GDList,"&lt;&gt;"&amp;0)</f>
        <v>0</v>
      </c>
      <c r="F444" s="10">
        <f>SUMIFS(GQList,GIList,Table_ExternalData_17[[#This Row],[item_key]],GTList,Table_ExternalData_17[[#Headers],[VSTR]],GDList,"&lt;&gt;"&amp;0)</f>
        <v>0</v>
      </c>
      <c r="G444" s="10">
        <f>SUMIFS(GQList,GIList,Table_ExternalData_17[[#This Row],[item_key]],GTList,Table_ExternalData_17[[#Headers],[SR]],GDList,"&lt;&gt;"&amp;0)</f>
        <v>0</v>
      </c>
      <c r="H444" s="10">
        <f>SUMIFS(GQList,GIList,Table_ExternalData_17[[#This Row],[item_key]],GTList,Table_ExternalData_17[[#Headers],[TR]],GDList,"&lt;&gt;"&amp;0)</f>
        <v>0</v>
      </c>
      <c r="I444" s="10">
        <f>SUMIFS(GQList,GIList,Table_ExternalData_17[[#This Row],[item_key]],GTList,Table_ExternalData_17[[#Headers],[RCA]],GDList,"&lt;&gt;"&amp;0)</f>
        <v>0</v>
      </c>
      <c r="J444" s="10">
        <f>SUM(Table_ExternalData_17[[#This Row],[GRN]]+Table_ExternalData_17[[#This Row],[VSTR]]+Table_ExternalData_17[[#This Row],[SR]]+Table_ExternalData_17[[#This Row],[TR]]+Table_ExternalData_17[[#This Row],[RCA]])</f>
        <v>0</v>
      </c>
      <c r="K444" s="10">
        <f>SUMIFS(IsQList,IsIList,Table_ExternalData_17[[#This Row],[item_key]],IsITypeList,Table_ExternalData_17[[#Headers],[R/P]],IsDList,"&lt;&gt;"&amp;0)</f>
        <v>0</v>
      </c>
      <c r="L444" s="10">
        <f>SUMIFS(IsQList,IsIList,Table_ExternalData_17[[#This Row],[item_key]],IsITypeList,Table_ExternalData_17[[#Headers],[CST]],IsDList,"&lt;&gt;"&amp;0)</f>
        <v>0</v>
      </c>
      <c r="M444" s="10">
        <f>SUMIFS(IsQList,IsIList,Table_ExternalData_15[[#This Row],[item_key]],IsITypeList,Table_ExternalData_17[[#Headers],[S/I]],IsDList,"&lt;&gt;"&amp;0)</f>
        <v>0</v>
      </c>
      <c r="N444" s="10">
        <f>SUMIFS(IsQList,IsIList,Table_ExternalData_15[[#This Row],[item_key]],IsITypeList,Table_ExternalData_17[[#Headers],[VST]],IsDList,"&lt;&gt;"&amp;0)</f>
        <v>0</v>
      </c>
      <c r="O444" s="10">
        <f>ABS(SUMIFS(IsQList,IsIList,Table_ExternalData_17[[#This Row],[item_key]],IsITypeList,Table_ExternalData_17[[#Headers],[RTN]],IsDList,"&lt;&gt;"&amp;0))</f>
        <v>0</v>
      </c>
      <c r="P444" s="10">
        <f>SUM(Table_ExternalData_17[[#This Row],[R/P]:[RTN]])</f>
        <v>0</v>
      </c>
      <c r="Q444" s="10">
        <f>SUM((Table_ExternalData_17[[#This Row],[Opening]]+Table_ExternalData_17[[#This Row],[Total Receipt]])-ABS(Table_ExternalData_17[[#This Row],[Total Issue]]))</f>
        <v>253</v>
      </c>
    </row>
    <row r="445" spans="1:17">
      <c r="A445" s="1" t="s">
        <v>1116</v>
      </c>
      <c r="B445" s="1" t="s">
        <v>2820</v>
      </c>
      <c r="C445" s="1" t="s">
        <v>2821</v>
      </c>
      <c r="D445" s="10">
        <f>SUMIFS(OPBQList,OPBIList,Table_ExternalData_17[[#This Row],[item_key]])+SUMIFS(GQList,GIList,Table_ExternalData_17[[#This Row],[item_key]],GDList,0)-ABS(SUMIFS(IsQList,IsIList,Table_ExternalData_17[[#This Row],[item_key]],IsDList,0))</f>
        <v>79</v>
      </c>
      <c r="E445" s="10">
        <f>SUMIFS(GQList,GIList,Table_ExternalData_17[[#This Row],[item_key]],GTList,Table_ExternalData_17[[#Headers],[GRN]],GDList,"&lt;&gt;"&amp;0)</f>
        <v>0</v>
      </c>
      <c r="F445" s="10">
        <f>SUMIFS(GQList,GIList,Table_ExternalData_17[[#This Row],[item_key]],GTList,Table_ExternalData_17[[#Headers],[VSTR]],GDList,"&lt;&gt;"&amp;0)</f>
        <v>0</v>
      </c>
      <c r="G445" s="10">
        <f>SUMIFS(GQList,GIList,Table_ExternalData_17[[#This Row],[item_key]],GTList,Table_ExternalData_17[[#Headers],[SR]],GDList,"&lt;&gt;"&amp;0)</f>
        <v>0</v>
      </c>
      <c r="H445" s="10">
        <f>SUMIFS(GQList,GIList,Table_ExternalData_17[[#This Row],[item_key]],GTList,Table_ExternalData_17[[#Headers],[TR]],GDList,"&lt;&gt;"&amp;0)</f>
        <v>0</v>
      </c>
      <c r="I445" s="10">
        <f>SUMIFS(GQList,GIList,Table_ExternalData_17[[#This Row],[item_key]],GTList,Table_ExternalData_17[[#Headers],[RCA]],GDList,"&lt;&gt;"&amp;0)</f>
        <v>0</v>
      </c>
      <c r="J445" s="10">
        <f>SUM(Table_ExternalData_17[[#This Row],[GRN]]+Table_ExternalData_17[[#This Row],[VSTR]]+Table_ExternalData_17[[#This Row],[SR]]+Table_ExternalData_17[[#This Row],[TR]]+Table_ExternalData_17[[#This Row],[RCA]])</f>
        <v>0</v>
      </c>
      <c r="K445" s="10">
        <f>SUMIFS(IsQList,IsIList,Table_ExternalData_17[[#This Row],[item_key]],IsITypeList,Table_ExternalData_17[[#Headers],[R/P]],IsDList,"&lt;&gt;"&amp;0)</f>
        <v>0</v>
      </c>
      <c r="L445" s="10">
        <f>SUMIFS(IsQList,IsIList,Table_ExternalData_17[[#This Row],[item_key]],IsITypeList,Table_ExternalData_17[[#Headers],[CST]],IsDList,"&lt;&gt;"&amp;0)</f>
        <v>0</v>
      </c>
      <c r="M445" s="10">
        <f>SUMIFS(IsQList,IsIList,Table_ExternalData_15[[#This Row],[item_key]],IsITypeList,Table_ExternalData_17[[#Headers],[S/I]],IsDList,"&lt;&gt;"&amp;0)</f>
        <v>0</v>
      </c>
      <c r="N445" s="10">
        <f>SUMIFS(IsQList,IsIList,Table_ExternalData_15[[#This Row],[item_key]],IsITypeList,Table_ExternalData_17[[#Headers],[VST]],IsDList,"&lt;&gt;"&amp;0)</f>
        <v>0</v>
      </c>
      <c r="O445" s="10">
        <f>ABS(SUMIFS(IsQList,IsIList,Table_ExternalData_17[[#This Row],[item_key]],IsITypeList,Table_ExternalData_17[[#Headers],[RTN]],IsDList,"&lt;&gt;"&amp;0))</f>
        <v>0</v>
      </c>
      <c r="P445" s="10">
        <f>SUM(Table_ExternalData_17[[#This Row],[R/P]:[RTN]])</f>
        <v>0</v>
      </c>
      <c r="Q445" s="10">
        <f>SUM((Table_ExternalData_17[[#This Row],[Opening]]+Table_ExternalData_17[[#This Row],[Total Receipt]])-ABS(Table_ExternalData_17[[#This Row],[Total Issue]]))</f>
        <v>79</v>
      </c>
    </row>
    <row r="446" spans="1:17">
      <c r="A446" s="1" t="s">
        <v>2238</v>
      </c>
      <c r="B446" s="1" t="s">
        <v>2822</v>
      </c>
      <c r="C446" s="1" t="s">
        <v>2823</v>
      </c>
      <c r="D446" s="10">
        <f>SUMIFS(OPBQList,OPBIList,Table_ExternalData_17[[#This Row],[item_key]])+SUMIFS(GQList,GIList,Table_ExternalData_17[[#This Row],[item_key]],GDList,0)-ABS(SUMIFS(IsQList,IsIList,Table_ExternalData_17[[#This Row],[item_key]],IsDList,0))</f>
        <v>48</v>
      </c>
      <c r="E446" s="10">
        <f>SUMIFS(GQList,GIList,Table_ExternalData_17[[#This Row],[item_key]],GTList,Table_ExternalData_17[[#Headers],[GRN]],GDList,"&lt;&gt;"&amp;0)</f>
        <v>0</v>
      </c>
      <c r="F446" s="10">
        <f>SUMIFS(GQList,GIList,Table_ExternalData_17[[#This Row],[item_key]],GTList,Table_ExternalData_17[[#Headers],[VSTR]],GDList,"&lt;&gt;"&amp;0)</f>
        <v>0</v>
      </c>
      <c r="G446" s="10">
        <f>SUMIFS(GQList,GIList,Table_ExternalData_17[[#This Row],[item_key]],GTList,Table_ExternalData_17[[#Headers],[SR]],GDList,"&lt;&gt;"&amp;0)</f>
        <v>0</v>
      </c>
      <c r="H446" s="10">
        <f>SUMIFS(GQList,GIList,Table_ExternalData_17[[#This Row],[item_key]],GTList,Table_ExternalData_17[[#Headers],[TR]],GDList,"&lt;&gt;"&amp;0)</f>
        <v>0</v>
      </c>
      <c r="I446" s="10">
        <f>SUMIFS(GQList,GIList,Table_ExternalData_17[[#This Row],[item_key]],GTList,Table_ExternalData_17[[#Headers],[RCA]],GDList,"&lt;&gt;"&amp;0)</f>
        <v>0</v>
      </c>
      <c r="J446" s="10">
        <f>SUM(Table_ExternalData_17[[#This Row],[GRN]]+Table_ExternalData_17[[#This Row],[VSTR]]+Table_ExternalData_17[[#This Row],[SR]]+Table_ExternalData_17[[#This Row],[TR]]+Table_ExternalData_17[[#This Row],[RCA]])</f>
        <v>0</v>
      </c>
      <c r="K446" s="10">
        <f>SUMIFS(IsQList,IsIList,Table_ExternalData_17[[#This Row],[item_key]],IsITypeList,Table_ExternalData_17[[#Headers],[R/P]],IsDList,"&lt;&gt;"&amp;0)</f>
        <v>0</v>
      </c>
      <c r="L446" s="10">
        <f>SUMIFS(IsQList,IsIList,Table_ExternalData_17[[#This Row],[item_key]],IsITypeList,Table_ExternalData_17[[#Headers],[CST]],IsDList,"&lt;&gt;"&amp;0)</f>
        <v>0</v>
      </c>
      <c r="M446" s="10">
        <f>SUMIFS(IsQList,IsIList,Table_ExternalData_15[[#This Row],[item_key]],IsITypeList,Table_ExternalData_17[[#Headers],[S/I]],IsDList,"&lt;&gt;"&amp;0)</f>
        <v>0</v>
      </c>
      <c r="N446" s="10">
        <f>SUMIFS(IsQList,IsIList,Table_ExternalData_15[[#This Row],[item_key]],IsITypeList,Table_ExternalData_17[[#Headers],[VST]],IsDList,"&lt;&gt;"&amp;0)</f>
        <v>0</v>
      </c>
      <c r="O446" s="10">
        <f>ABS(SUMIFS(IsQList,IsIList,Table_ExternalData_17[[#This Row],[item_key]],IsITypeList,Table_ExternalData_17[[#Headers],[RTN]],IsDList,"&lt;&gt;"&amp;0))</f>
        <v>0</v>
      </c>
      <c r="P446" s="10">
        <f>SUM(Table_ExternalData_17[[#This Row],[R/P]:[RTN]])</f>
        <v>0</v>
      </c>
      <c r="Q446" s="10">
        <f>SUM((Table_ExternalData_17[[#This Row],[Opening]]+Table_ExternalData_17[[#This Row],[Total Receipt]])-ABS(Table_ExternalData_17[[#This Row],[Total Issue]]))</f>
        <v>48</v>
      </c>
    </row>
    <row r="447" spans="1:17">
      <c r="A447" s="1" t="s">
        <v>2244</v>
      </c>
      <c r="B447" s="1" t="s">
        <v>2824</v>
      </c>
      <c r="C447" s="1" t="s">
        <v>2825</v>
      </c>
      <c r="D44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47" s="10">
        <f>SUMIFS(GQList,GIList,Table_ExternalData_17[[#This Row],[item_key]],GTList,Table_ExternalData_17[[#Headers],[GRN]],GDList,"&lt;&gt;"&amp;0)</f>
        <v>0</v>
      </c>
      <c r="F447" s="10">
        <f>SUMIFS(GQList,GIList,Table_ExternalData_17[[#This Row],[item_key]],GTList,Table_ExternalData_17[[#Headers],[VSTR]],GDList,"&lt;&gt;"&amp;0)</f>
        <v>0</v>
      </c>
      <c r="G447" s="10">
        <f>SUMIFS(GQList,GIList,Table_ExternalData_17[[#This Row],[item_key]],GTList,Table_ExternalData_17[[#Headers],[SR]],GDList,"&lt;&gt;"&amp;0)</f>
        <v>0</v>
      </c>
      <c r="H447" s="10">
        <f>SUMIFS(GQList,GIList,Table_ExternalData_17[[#This Row],[item_key]],GTList,Table_ExternalData_17[[#Headers],[TR]],GDList,"&lt;&gt;"&amp;0)</f>
        <v>0</v>
      </c>
      <c r="I447" s="10">
        <f>SUMIFS(GQList,GIList,Table_ExternalData_17[[#This Row],[item_key]],GTList,Table_ExternalData_17[[#Headers],[RCA]],GDList,"&lt;&gt;"&amp;0)</f>
        <v>0</v>
      </c>
      <c r="J447" s="10">
        <f>SUM(Table_ExternalData_17[[#This Row],[GRN]]+Table_ExternalData_17[[#This Row],[VSTR]]+Table_ExternalData_17[[#This Row],[SR]]+Table_ExternalData_17[[#This Row],[TR]]+Table_ExternalData_17[[#This Row],[RCA]])</f>
        <v>0</v>
      </c>
      <c r="K447" s="10">
        <f>SUMIFS(IsQList,IsIList,Table_ExternalData_17[[#This Row],[item_key]],IsITypeList,Table_ExternalData_17[[#Headers],[R/P]],IsDList,"&lt;&gt;"&amp;0)</f>
        <v>0</v>
      </c>
      <c r="L447" s="10">
        <f>SUMIFS(IsQList,IsIList,Table_ExternalData_17[[#This Row],[item_key]],IsITypeList,Table_ExternalData_17[[#Headers],[CST]],IsDList,"&lt;&gt;"&amp;0)</f>
        <v>0</v>
      </c>
      <c r="M447" s="10">
        <f>SUMIFS(IsQList,IsIList,Table_ExternalData_15[[#This Row],[item_key]],IsITypeList,Table_ExternalData_17[[#Headers],[S/I]],IsDList,"&lt;&gt;"&amp;0)</f>
        <v>0</v>
      </c>
      <c r="N447" s="10">
        <f>SUMIFS(IsQList,IsIList,Table_ExternalData_15[[#This Row],[item_key]],IsITypeList,Table_ExternalData_17[[#Headers],[VST]],IsDList,"&lt;&gt;"&amp;0)</f>
        <v>0</v>
      </c>
      <c r="O447" s="10">
        <f>ABS(SUMIFS(IsQList,IsIList,Table_ExternalData_17[[#This Row],[item_key]],IsITypeList,Table_ExternalData_17[[#Headers],[RTN]],IsDList,"&lt;&gt;"&amp;0))</f>
        <v>0</v>
      </c>
      <c r="P447" s="10">
        <f>SUM(Table_ExternalData_17[[#This Row],[R/P]:[RTN]])</f>
        <v>0</v>
      </c>
      <c r="Q447" s="10">
        <f>SUM((Table_ExternalData_17[[#This Row],[Opening]]+Table_ExternalData_17[[#This Row],[Total Receipt]])-ABS(Table_ExternalData_17[[#This Row],[Total Issue]]))</f>
        <v>0</v>
      </c>
    </row>
    <row r="448" spans="1:17">
      <c r="A448" s="1" t="s">
        <v>1119</v>
      </c>
      <c r="B448" s="1" t="s">
        <v>2826</v>
      </c>
      <c r="C448" s="1" t="s">
        <v>2827</v>
      </c>
      <c r="D448" s="10">
        <f>SUMIFS(OPBQList,OPBIList,Table_ExternalData_17[[#This Row],[item_key]])+SUMIFS(GQList,GIList,Table_ExternalData_17[[#This Row],[item_key]],GDList,0)-ABS(SUMIFS(IsQList,IsIList,Table_ExternalData_17[[#This Row],[item_key]],IsDList,0))</f>
        <v>137</v>
      </c>
      <c r="E448" s="10">
        <f>SUMIFS(GQList,GIList,Table_ExternalData_17[[#This Row],[item_key]],GTList,Table_ExternalData_17[[#Headers],[GRN]],GDList,"&lt;&gt;"&amp;0)</f>
        <v>0</v>
      </c>
      <c r="F448" s="10">
        <f>SUMIFS(GQList,GIList,Table_ExternalData_17[[#This Row],[item_key]],GTList,Table_ExternalData_17[[#Headers],[VSTR]],GDList,"&lt;&gt;"&amp;0)</f>
        <v>0</v>
      </c>
      <c r="G448" s="10">
        <f>SUMIFS(GQList,GIList,Table_ExternalData_17[[#This Row],[item_key]],GTList,Table_ExternalData_17[[#Headers],[SR]],GDList,"&lt;&gt;"&amp;0)</f>
        <v>0</v>
      </c>
      <c r="H448" s="10">
        <f>SUMIFS(GQList,GIList,Table_ExternalData_17[[#This Row],[item_key]],GTList,Table_ExternalData_17[[#Headers],[TR]],GDList,"&lt;&gt;"&amp;0)</f>
        <v>0</v>
      </c>
      <c r="I448" s="10">
        <f>SUMIFS(GQList,GIList,Table_ExternalData_17[[#This Row],[item_key]],GTList,Table_ExternalData_17[[#Headers],[RCA]],GDList,"&lt;&gt;"&amp;0)</f>
        <v>0</v>
      </c>
      <c r="J448" s="10">
        <f>SUM(Table_ExternalData_17[[#This Row],[GRN]]+Table_ExternalData_17[[#This Row],[VSTR]]+Table_ExternalData_17[[#This Row],[SR]]+Table_ExternalData_17[[#This Row],[TR]]+Table_ExternalData_17[[#This Row],[RCA]])</f>
        <v>0</v>
      </c>
      <c r="K448" s="10">
        <f>SUMIFS(IsQList,IsIList,Table_ExternalData_17[[#This Row],[item_key]],IsITypeList,Table_ExternalData_17[[#Headers],[R/P]],IsDList,"&lt;&gt;"&amp;0)</f>
        <v>0</v>
      </c>
      <c r="L448" s="10">
        <f>SUMIFS(IsQList,IsIList,Table_ExternalData_17[[#This Row],[item_key]],IsITypeList,Table_ExternalData_17[[#Headers],[CST]],IsDList,"&lt;&gt;"&amp;0)</f>
        <v>0</v>
      </c>
      <c r="M448" s="10">
        <f>SUMIFS(IsQList,IsIList,Table_ExternalData_15[[#This Row],[item_key]],IsITypeList,Table_ExternalData_17[[#Headers],[S/I]],IsDList,"&lt;&gt;"&amp;0)</f>
        <v>0</v>
      </c>
      <c r="N448" s="10">
        <f>SUMIFS(IsQList,IsIList,Table_ExternalData_15[[#This Row],[item_key]],IsITypeList,Table_ExternalData_17[[#Headers],[VST]],IsDList,"&lt;&gt;"&amp;0)</f>
        <v>0</v>
      </c>
      <c r="O448" s="10">
        <f>ABS(SUMIFS(IsQList,IsIList,Table_ExternalData_17[[#This Row],[item_key]],IsITypeList,Table_ExternalData_17[[#Headers],[RTN]],IsDList,"&lt;&gt;"&amp;0))</f>
        <v>0</v>
      </c>
      <c r="P448" s="10">
        <f>SUM(Table_ExternalData_17[[#This Row],[R/P]:[RTN]])</f>
        <v>0</v>
      </c>
      <c r="Q448" s="10">
        <f>SUM((Table_ExternalData_17[[#This Row],[Opening]]+Table_ExternalData_17[[#This Row],[Total Receipt]])-ABS(Table_ExternalData_17[[#This Row],[Total Issue]]))</f>
        <v>137</v>
      </c>
    </row>
    <row r="449" spans="1:17">
      <c r="A449" s="1" t="s">
        <v>1123</v>
      </c>
      <c r="B449" s="1" t="s">
        <v>1565</v>
      </c>
      <c r="C449" s="1" t="s">
        <v>1566</v>
      </c>
      <c r="D449" s="10">
        <f>SUMIFS(OPBQList,OPBIList,Table_ExternalData_17[[#This Row],[item_key]])+SUMIFS(GQList,GIList,Table_ExternalData_17[[#This Row],[item_key]],GDList,0)-ABS(SUMIFS(IsQList,IsIList,Table_ExternalData_17[[#This Row],[item_key]],IsDList,0))</f>
        <v>30</v>
      </c>
      <c r="E449" s="10">
        <f>SUMIFS(GQList,GIList,Table_ExternalData_17[[#This Row],[item_key]],GTList,Table_ExternalData_17[[#Headers],[GRN]],GDList,"&lt;&gt;"&amp;0)</f>
        <v>0</v>
      </c>
      <c r="F449" s="10">
        <f>SUMIFS(GQList,GIList,Table_ExternalData_17[[#This Row],[item_key]],GTList,Table_ExternalData_17[[#Headers],[VSTR]],GDList,"&lt;&gt;"&amp;0)</f>
        <v>0</v>
      </c>
      <c r="G449" s="10">
        <f>SUMIFS(GQList,GIList,Table_ExternalData_17[[#This Row],[item_key]],GTList,Table_ExternalData_17[[#Headers],[SR]],GDList,"&lt;&gt;"&amp;0)</f>
        <v>0</v>
      </c>
      <c r="H449" s="10">
        <f>SUMIFS(GQList,GIList,Table_ExternalData_17[[#This Row],[item_key]],GTList,Table_ExternalData_17[[#Headers],[TR]],GDList,"&lt;&gt;"&amp;0)</f>
        <v>0</v>
      </c>
      <c r="I449" s="10">
        <f>SUMIFS(GQList,GIList,Table_ExternalData_17[[#This Row],[item_key]],GTList,Table_ExternalData_17[[#Headers],[RCA]],GDList,"&lt;&gt;"&amp;0)</f>
        <v>0</v>
      </c>
      <c r="J449" s="10">
        <f>SUM(Table_ExternalData_17[[#This Row],[GRN]]+Table_ExternalData_17[[#This Row],[VSTR]]+Table_ExternalData_17[[#This Row],[SR]]+Table_ExternalData_17[[#This Row],[TR]]+Table_ExternalData_17[[#This Row],[RCA]])</f>
        <v>0</v>
      </c>
      <c r="K449" s="10">
        <f>SUMIFS(IsQList,IsIList,Table_ExternalData_17[[#This Row],[item_key]],IsITypeList,Table_ExternalData_17[[#Headers],[R/P]],IsDList,"&lt;&gt;"&amp;0)</f>
        <v>0</v>
      </c>
      <c r="L449" s="10">
        <f>SUMIFS(IsQList,IsIList,Table_ExternalData_17[[#This Row],[item_key]],IsITypeList,Table_ExternalData_17[[#Headers],[CST]],IsDList,"&lt;&gt;"&amp;0)</f>
        <v>0</v>
      </c>
      <c r="M449" s="10">
        <f>SUMIFS(IsQList,IsIList,Table_ExternalData_15[[#This Row],[item_key]],IsITypeList,Table_ExternalData_17[[#Headers],[S/I]],IsDList,"&lt;&gt;"&amp;0)</f>
        <v>0</v>
      </c>
      <c r="N449" s="10">
        <f>SUMIFS(IsQList,IsIList,Table_ExternalData_15[[#This Row],[item_key]],IsITypeList,Table_ExternalData_17[[#Headers],[VST]],IsDList,"&lt;&gt;"&amp;0)</f>
        <v>0</v>
      </c>
      <c r="O449" s="10">
        <f>ABS(SUMIFS(IsQList,IsIList,Table_ExternalData_17[[#This Row],[item_key]],IsITypeList,Table_ExternalData_17[[#Headers],[RTN]],IsDList,"&lt;&gt;"&amp;0))</f>
        <v>0</v>
      </c>
      <c r="P449" s="10">
        <f>SUM(Table_ExternalData_17[[#This Row],[R/P]:[RTN]])</f>
        <v>0</v>
      </c>
      <c r="Q449" s="10">
        <f>SUM((Table_ExternalData_17[[#This Row],[Opening]]+Table_ExternalData_17[[#This Row],[Total Receipt]])-ABS(Table_ExternalData_17[[#This Row],[Total Issue]]))</f>
        <v>30</v>
      </c>
    </row>
    <row r="450" spans="1:17">
      <c r="A450" s="1" t="s">
        <v>2254</v>
      </c>
      <c r="B450" s="1" t="s">
        <v>2828</v>
      </c>
      <c r="C450" s="1" t="s">
        <v>2829</v>
      </c>
      <c r="D450" s="10">
        <f>SUMIFS(OPBQList,OPBIList,Table_ExternalData_17[[#This Row],[item_key]])+SUMIFS(GQList,GIList,Table_ExternalData_17[[#This Row],[item_key]],GDList,0)-ABS(SUMIFS(IsQList,IsIList,Table_ExternalData_17[[#This Row],[item_key]],IsDList,0))</f>
        <v>2955</v>
      </c>
      <c r="E450" s="10">
        <f>SUMIFS(GQList,GIList,Table_ExternalData_17[[#This Row],[item_key]],GTList,Table_ExternalData_17[[#Headers],[GRN]],GDList,"&lt;&gt;"&amp;0)</f>
        <v>2000</v>
      </c>
      <c r="F450" s="10">
        <f>SUMIFS(GQList,GIList,Table_ExternalData_17[[#This Row],[item_key]],GTList,Table_ExternalData_17[[#Headers],[VSTR]],GDList,"&lt;&gt;"&amp;0)</f>
        <v>0</v>
      </c>
      <c r="G450" s="10">
        <f>SUMIFS(GQList,GIList,Table_ExternalData_17[[#This Row],[item_key]],GTList,Table_ExternalData_17[[#Headers],[SR]],GDList,"&lt;&gt;"&amp;0)</f>
        <v>0</v>
      </c>
      <c r="H450" s="10">
        <f>SUMIFS(GQList,GIList,Table_ExternalData_17[[#This Row],[item_key]],GTList,Table_ExternalData_17[[#Headers],[TR]],GDList,"&lt;&gt;"&amp;0)</f>
        <v>0</v>
      </c>
      <c r="I450" s="10">
        <f>SUMIFS(GQList,GIList,Table_ExternalData_17[[#This Row],[item_key]],GTList,Table_ExternalData_17[[#Headers],[RCA]],GDList,"&lt;&gt;"&amp;0)</f>
        <v>0</v>
      </c>
      <c r="J450" s="10">
        <f>SUM(Table_ExternalData_17[[#This Row],[GRN]]+Table_ExternalData_17[[#This Row],[VSTR]]+Table_ExternalData_17[[#This Row],[SR]]+Table_ExternalData_17[[#This Row],[TR]]+Table_ExternalData_17[[#This Row],[RCA]])</f>
        <v>2000</v>
      </c>
      <c r="K450" s="10">
        <f>SUMIFS(IsQList,IsIList,Table_ExternalData_17[[#This Row],[item_key]],IsITypeList,Table_ExternalData_17[[#Headers],[R/P]],IsDList,"&lt;&gt;"&amp;0)</f>
        <v>0</v>
      </c>
      <c r="L450" s="10">
        <f>SUMIFS(IsQList,IsIList,Table_ExternalData_17[[#This Row],[item_key]],IsITypeList,Table_ExternalData_17[[#Headers],[CST]],IsDList,"&lt;&gt;"&amp;0)</f>
        <v>0</v>
      </c>
      <c r="M450" s="10">
        <f>SUMIFS(IsQList,IsIList,Table_ExternalData_15[[#This Row],[item_key]],IsITypeList,Table_ExternalData_17[[#Headers],[S/I]],IsDList,"&lt;&gt;"&amp;0)</f>
        <v>0</v>
      </c>
      <c r="N450" s="10">
        <f>SUMIFS(IsQList,IsIList,Table_ExternalData_15[[#This Row],[item_key]],IsITypeList,Table_ExternalData_17[[#Headers],[VST]],IsDList,"&lt;&gt;"&amp;0)</f>
        <v>0</v>
      </c>
      <c r="O450" s="10">
        <f>ABS(SUMIFS(IsQList,IsIList,Table_ExternalData_17[[#This Row],[item_key]],IsITypeList,Table_ExternalData_17[[#Headers],[RTN]],IsDList,"&lt;&gt;"&amp;0))</f>
        <v>0</v>
      </c>
      <c r="P450" s="10">
        <f>SUM(Table_ExternalData_17[[#This Row],[R/P]:[RTN]])</f>
        <v>0</v>
      </c>
      <c r="Q450" s="10">
        <f>SUM((Table_ExternalData_17[[#This Row],[Opening]]+Table_ExternalData_17[[#This Row],[Total Receipt]])-ABS(Table_ExternalData_17[[#This Row],[Total Issue]]))</f>
        <v>4955</v>
      </c>
    </row>
    <row r="451" spans="1:17">
      <c r="A451" s="1" t="s">
        <v>2283</v>
      </c>
      <c r="B451" s="1" t="s">
        <v>2830</v>
      </c>
      <c r="C451" s="1" t="s">
        <v>2831</v>
      </c>
      <c r="D451" s="10">
        <f>SUMIFS(OPBQList,OPBIList,Table_ExternalData_17[[#This Row],[item_key]])+SUMIFS(GQList,GIList,Table_ExternalData_17[[#This Row],[item_key]],GDList,0)-ABS(SUMIFS(IsQList,IsIList,Table_ExternalData_17[[#This Row],[item_key]],IsDList,0))</f>
        <v>1147</v>
      </c>
      <c r="E451" s="10">
        <f>SUMIFS(GQList,GIList,Table_ExternalData_17[[#This Row],[item_key]],GTList,Table_ExternalData_17[[#Headers],[GRN]],GDList,"&lt;&gt;"&amp;0)</f>
        <v>0</v>
      </c>
      <c r="F451" s="10">
        <f>SUMIFS(GQList,GIList,Table_ExternalData_17[[#This Row],[item_key]],GTList,Table_ExternalData_17[[#Headers],[VSTR]],GDList,"&lt;&gt;"&amp;0)</f>
        <v>0</v>
      </c>
      <c r="G451" s="10">
        <f>SUMIFS(GQList,GIList,Table_ExternalData_17[[#This Row],[item_key]],GTList,Table_ExternalData_17[[#Headers],[SR]],GDList,"&lt;&gt;"&amp;0)</f>
        <v>0</v>
      </c>
      <c r="H451" s="10">
        <f>SUMIFS(GQList,GIList,Table_ExternalData_17[[#This Row],[item_key]],GTList,Table_ExternalData_17[[#Headers],[TR]],GDList,"&lt;&gt;"&amp;0)</f>
        <v>0</v>
      </c>
      <c r="I451" s="10">
        <f>SUMIFS(GQList,GIList,Table_ExternalData_17[[#This Row],[item_key]],GTList,Table_ExternalData_17[[#Headers],[RCA]],GDList,"&lt;&gt;"&amp;0)</f>
        <v>0</v>
      </c>
      <c r="J451" s="10">
        <f>SUM(Table_ExternalData_17[[#This Row],[GRN]]+Table_ExternalData_17[[#This Row],[VSTR]]+Table_ExternalData_17[[#This Row],[SR]]+Table_ExternalData_17[[#This Row],[TR]]+Table_ExternalData_17[[#This Row],[RCA]])</f>
        <v>0</v>
      </c>
      <c r="K451" s="10">
        <f>SUMIFS(IsQList,IsIList,Table_ExternalData_17[[#This Row],[item_key]],IsITypeList,Table_ExternalData_17[[#Headers],[R/P]],IsDList,"&lt;&gt;"&amp;0)</f>
        <v>0</v>
      </c>
      <c r="L451" s="10">
        <f>SUMIFS(IsQList,IsIList,Table_ExternalData_17[[#This Row],[item_key]],IsITypeList,Table_ExternalData_17[[#Headers],[CST]],IsDList,"&lt;&gt;"&amp;0)</f>
        <v>0</v>
      </c>
      <c r="M451" s="10">
        <f>SUMIFS(IsQList,IsIList,Table_ExternalData_15[[#This Row],[item_key]],IsITypeList,Table_ExternalData_17[[#Headers],[S/I]],IsDList,"&lt;&gt;"&amp;0)</f>
        <v>0</v>
      </c>
      <c r="N451" s="10">
        <f>SUMIFS(IsQList,IsIList,Table_ExternalData_15[[#This Row],[item_key]],IsITypeList,Table_ExternalData_17[[#Headers],[VST]],IsDList,"&lt;&gt;"&amp;0)</f>
        <v>0</v>
      </c>
      <c r="O451" s="10">
        <f>ABS(SUMIFS(IsQList,IsIList,Table_ExternalData_17[[#This Row],[item_key]],IsITypeList,Table_ExternalData_17[[#Headers],[RTN]],IsDList,"&lt;&gt;"&amp;0))</f>
        <v>0</v>
      </c>
      <c r="P451" s="10">
        <f>SUM(Table_ExternalData_17[[#This Row],[R/P]:[RTN]])</f>
        <v>0</v>
      </c>
      <c r="Q451" s="10">
        <f>SUM((Table_ExternalData_17[[#This Row],[Opening]]+Table_ExternalData_17[[#This Row],[Total Receipt]])-ABS(Table_ExternalData_17[[#This Row],[Total Issue]]))</f>
        <v>1147</v>
      </c>
    </row>
    <row r="452" spans="1:17">
      <c r="A452" s="1" t="s">
        <v>2286</v>
      </c>
      <c r="B452" s="1" t="s">
        <v>2832</v>
      </c>
      <c r="C452" s="1" t="s">
        <v>2833</v>
      </c>
      <c r="D452" s="10">
        <f>SUMIFS(OPBQList,OPBIList,Table_ExternalData_17[[#This Row],[item_key]])+SUMIFS(GQList,GIList,Table_ExternalData_17[[#This Row],[item_key]],GDList,0)-ABS(SUMIFS(IsQList,IsIList,Table_ExternalData_17[[#This Row],[item_key]],IsDList,0))</f>
        <v>5433</v>
      </c>
      <c r="E452" s="10">
        <f>SUMIFS(GQList,GIList,Table_ExternalData_17[[#This Row],[item_key]],GTList,Table_ExternalData_17[[#Headers],[GRN]],GDList,"&lt;&gt;"&amp;0)</f>
        <v>0</v>
      </c>
      <c r="F452" s="10">
        <f>SUMIFS(GQList,GIList,Table_ExternalData_17[[#This Row],[item_key]],GTList,Table_ExternalData_17[[#Headers],[VSTR]],GDList,"&lt;&gt;"&amp;0)</f>
        <v>0</v>
      </c>
      <c r="G452" s="10">
        <f>SUMIFS(GQList,GIList,Table_ExternalData_17[[#This Row],[item_key]],GTList,Table_ExternalData_17[[#Headers],[SR]],GDList,"&lt;&gt;"&amp;0)</f>
        <v>0</v>
      </c>
      <c r="H452" s="10">
        <f>SUMIFS(GQList,GIList,Table_ExternalData_17[[#This Row],[item_key]],GTList,Table_ExternalData_17[[#Headers],[TR]],GDList,"&lt;&gt;"&amp;0)</f>
        <v>0</v>
      </c>
      <c r="I452" s="10">
        <f>SUMIFS(GQList,GIList,Table_ExternalData_17[[#This Row],[item_key]],GTList,Table_ExternalData_17[[#Headers],[RCA]],GDList,"&lt;&gt;"&amp;0)</f>
        <v>0</v>
      </c>
      <c r="J452" s="10">
        <f>SUM(Table_ExternalData_17[[#This Row],[GRN]]+Table_ExternalData_17[[#This Row],[VSTR]]+Table_ExternalData_17[[#This Row],[SR]]+Table_ExternalData_17[[#This Row],[TR]]+Table_ExternalData_17[[#This Row],[RCA]])</f>
        <v>0</v>
      </c>
      <c r="K452" s="10">
        <f>SUMIFS(IsQList,IsIList,Table_ExternalData_17[[#This Row],[item_key]],IsITypeList,Table_ExternalData_17[[#Headers],[R/P]],IsDList,"&lt;&gt;"&amp;0)</f>
        <v>0</v>
      </c>
      <c r="L452" s="10">
        <f>SUMIFS(IsQList,IsIList,Table_ExternalData_17[[#This Row],[item_key]],IsITypeList,Table_ExternalData_17[[#Headers],[CST]],IsDList,"&lt;&gt;"&amp;0)</f>
        <v>0</v>
      </c>
      <c r="M452" s="10">
        <f>SUMIFS(IsQList,IsIList,Table_ExternalData_15[[#This Row],[item_key]],IsITypeList,Table_ExternalData_17[[#Headers],[S/I]],IsDList,"&lt;&gt;"&amp;0)</f>
        <v>0</v>
      </c>
      <c r="N452" s="10">
        <f>SUMIFS(IsQList,IsIList,Table_ExternalData_15[[#This Row],[item_key]],IsITypeList,Table_ExternalData_17[[#Headers],[VST]],IsDList,"&lt;&gt;"&amp;0)</f>
        <v>0</v>
      </c>
      <c r="O452" s="10">
        <f>ABS(SUMIFS(IsQList,IsIList,Table_ExternalData_17[[#This Row],[item_key]],IsITypeList,Table_ExternalData_17[[#Headers],[RTN]],IsDList,"&lt;&gt;"&amp;0))</f>
        <v>0</v>
      </c>
      <c r="P452" s="10">
        <f>SUM(Table_ExternalData_17[[#This Row],[R/P]:[RTN]])</f>
        <v>0</v>
      </c>
      <c r="Q452" s="10">
        <f>SUM((Table_ExternalData_17[[#This Row],[Opening]]+Table_ExternalData_17[[#This Row],[Total Receipt]])-ABS(Table_ExternalData_17[[#This Row],[Total Issue]]))</f>
        <v>5433</v>
      </c>
    </row>
    <row r="453" spans="1:17">
      <c r="A453" s="1" t="s">
        <v>1124</v>
      </c>
      <c r="B453" s="1" t="s">
        <v>2834</v>
      </c>
      <c r="C453" s="1" t="s">
        <v>2835</v>
      </c>
      <c r="D453" s="10">
        <f>SUMIFS(OPBQList,OPBIList,Table_ExternalData_17[[#This Row],[item_key]])+SUMIFS(GQList,GIList,Table_ExternalData_17[[#This Row],[item_key]],GDList,0)-ABS(SUMIFS(IsQList,IsIList,Table_ExternalData_17[[#This Row],[item_key]],IsDList,0))</f>
        <v>743</v>
      </c>
      <c r="E453" s="10">
        <f>SUMIFS(GQList,GIList,Table_ExternalData_17[[#This Row],[item_key]],GTList,Table_ExternalData_17[[#Headers],[GRN]],GDList,"&lt;&gt;"&amp;0)</f>
        <v>0</v>
      </c>
      <c r="F453" s="10">
        <f>SUMIFS(GQList,GIList,Table_ExternalData_17[[#This Row],[item_key]],GTList,Table_ExternalData_17[[#Headers],[VSTR]],GDList,"&lt;&gt;"&amp;0)</f>
        <v>0</v>
      </c>
      <c r="G453" s="10">
        <f>SUMIFS(GQList,GIList,Table_ExternalData_17[[#This Row],[item_key]],GTList,Table_ExternalData_17[[#Headers],[SR]],GDList,"&lt;&gt;"&amp;0)</f>
        <v>0</v>
      </c>
      <c r="H453" s="10">
        <f>SUMIFS(GQList,GIList,Table_ExternalData_17[[#This Row],[item_key]],GTList,Table_ExternalData_17[[#Headers],[TR]],GDList,"&lt;&gt;"&amp;0)</f>
        <v>0</v>
      </c>
      <c r="I453" s="10">
        <f>SUMIFS(GQList,GIList,Table_ExternalData_17[[#This Row],[item_key]],GTList,Table_ExternalData_17[[#Headers],[RCA]],GDList,"&lt;&gt;"&amp;0)</f>
        <v>0</v>
      </c>
      <c r="J453" s="10">
        <f>SUM(Table_ExternalData_17[[#This Row],[GRN]]+Table_ExternalData_17[[#This Row],[VSTR]]+Table_ExternalData_17[[#This Row],[SR]]+Table_ExternalData_17[[#This Row],[TR]]+Table_ExternalData_17[[#This Row],[RCA]])</f>
        <v>0</v>
      </c>
      <c r="K453" s="10">
        <f>SUMIFS(IsQList,IsIList,Table_ExternalData_17[[#This Row],[item_key]],IsITypeList,Table_ExternalData_17[[#Headers],[R/P]],IsDList,"&lt;&gt;"&amp;0)</f>
        <v>0</v>
      </c>
      <c r="L453" s="10">
        <f>SUMIFS(IsQList,IsIList,Table_ExternalData_17[[#This Row],[item_key]],IsITypeList,Table_ExternalData_17[[#Headers],[CST]],IsDList,"&lt;&gt;"&amp;0)</f>
        <v>0</v>
      </c>
      <c r="M453" s="10">
        <f>SUMIFS(IsQList,IsIList,Table_ExternalData_15[[#This Row],[item_key]],IsITypeList,Table_ExternalData_17[[#Headers],[S/I]],IsDList,"&lt;&gt;"&amp;0)</f>
        <v>0</v>
      </c>
      <c r="N453" s="10">
        <f>SUMIFS(IsQList,IsIList,Table_ExternalData_15[[#This Row],[item_key]],IsITypeList,Table_ExternalData_17[[#Headers],[VST]],IsDList,"&lt;&gt;"&amp;0)</f>
        <v>0</v>
      </c>
      <c r="O453" s="10">
        <f>ABS(SUMIFS(IsQList,IsIList,Table_ExternalData_17[[#This Row],[item_key]],IsITypeList,Table_ExternalData_17[[#Headers],[RTN]],IsDList,"&lt;&gt;"&amp;0))</f>
        <v>0</v>
      </c>
      <c r="P453" s="10">
        <f>SUM(Table_ExternalData_17[[#This Row],[R/P]:[RTN]])</f>
        <v>0</v>
      </c>
      <c r="Q453" s="10">
        <f>SUM((Table_ExternalData_17[[#This Row],[Opening]]+Table_ExternalData_17[[#This Row],[Total Receipt]])-ABS(Table_ExternalData_17[[#This Row],[Total Issue]]))</f>
        <v>743</v>
      </c>
    </row>
    <row r="454" spans="1:17">
      <c r="A454" s="1" t="s">
        <v>1128</v>
      </c>
      <c r="B454" s="1" t="s">
        <v>2836</v>
      </c>
      <c r="C454" s="1" t="s">
        <v>2837</v>
      </c>
      <c r="D454" s="10">
        <f>SUMIFS(OPBQList,OPBIList,Table_ExternalData_17[[#This Row],[item_key]])+SUMIFS(GQList,GIList,Table_ExternalData_17[[#This Row],[item_key]],GDList,0)-ABS(SUMIFS(IsQList,IsIList,Table_ExternalData_17[[#This Row],[item_key]],IsDList,0))</f>
        <v>-98</v>
      </c>
      <c r="E454" s="10">
        <f>SUMIFS(GQList,GIList,Table_ExternalData_17[[#This Row],[item_key]],GTList,Table_ExternalData_17[[#Headers],[GRN]],GDList,"&lt;&gt;"&amp;0)</f>
        <v>0</v>
      </c>
      <c r="F454" s="10">
        <f>SUMIFS(GQList,GIList,Table_ExternalData_17[[#This Row],[item_key]],GTList,Table_ExternalData_17[[#Headers],[VSTR]],GDList,"&lt;&gt;"&amp;0)</f>
        <v>0</v>
      </c>
      <c r="G454" s="10">
        <f>SUMIFS(GQList,GIList,Table_ExternalData_17[[#This Row],[item_key]],GTList,Table_ExternalData_17[[#Headers],[SR]],GDList,"&lt;&gt;"&amp;0)</f>
        <v>0</v>
      </c>
      <c r="H454" s="10">
        <f>SUMIFS(GQList,GIList,Table_ExternalData_17[[#This Row],[item_key]],GTList,Table_ExternalData_17[[#Headers],[TR]],GDList,"&lt;&gt;"&amp;0)</f>
        <v>0</v>
      </c>
      <c r="I454" s="10">
        <f>SUMIFS(GQList,GIList,Table_ExternalData_17[[#This Row],[item_key]],GTList,Table_ExternalData_17[[#Headers],[RCA]],GDList,"&lt;&gt;"&amp;0)</f>
        <v>0</v>
      </c>
      <c r="J454" s="10">
        <f>SUM(Table_ExternalData_17[[#This Row],[GRN]]+Table_ExternalData_17[[#This Row],[VSTR]]+Table_ExternalData_17[[#This Row],[SR]]+Table_ExternalData_17[[#This Row],[TR]]+Table_ExternalData_17[[#This Row],[RCA]])</f>
        <v>0</v>
      </c>
      <c r="K454" s="10">
        <f>SUMIFS(IsQList,IsIList,Table_ExternalData_17[[#This Row],[item_key]],IsITypeList,Table_ExternalData_17[[#Headers],[R/P]],IsDList,"&lt;&gt;"&amp;0)</f>
        <v>0</v>
      </c>
      <c r="L454" s="10">
        <f>SUMIFS(IsQList,IsIList,Table_ExternalData_17[[#This Row],[item_key]],IsITypeList,Table_ExternalData_17[[#Headers],[CST]],IsDList,"&lt;&gt;"&amp;0)</f>
        <v>0</v>
      </c>
      <c r="M454" s="10">
        <f>SUMIFS(IsQList,IsIList,Table_ExternalData_15[[#This Row],[item_key]],IsITypeList,Table_ExternalData_17[[#Headers],[S/I]],IsDList,"&lt;&gt;"&amp;0)</f>
        <v>0</v>
      </c>
      <c r="N454" s="10">
        <f>SUMIFS(IsQList,IsIList,Table_ExternalData_15[[#This Row],[item_key]],IsITypeList,Table_ExternalData_17[[#Headers],[VST]],IsDList,"&lt;&gt;"&amp;0)</f>
        <v>0</v>
      </c>
      <c r="O454" s="10">
        <f>ABS(SUMIFS(IsQList,IsIList,Table_ExternalData_17[[#This Row],[item_key]],IsITypeList,Table_ExternalData_17[[#Headers],[RTN]],IsDList,"&lt;&gt;"&amp;0))</f>
        <v>0</v>
      </c>
      <c r="P454" s="10">
        <f>SUM(Table_ExternalData_17[[#This Row],[R/P]:[RTN]])</f>
        <v>0</v>
      </c>
      <c r="Q454" s="10">
        <f>SUM((Table_ExternalData_17[[#This Row],[Opening]]+Table_ExternalData_17[[#This Row],[Total Receipt]])-ABS(Table_ExternalData_17[[#This Row],[Total Issue]]))</f>
        <v>-98</v>
      </c>
    </row>
    <row r="455" spans="1:17">
      <c r="A455" s="1" t="s">
        <v>1129</v>
      </c>
      <c r="B455" s="1" t="s">
        <v>2838</v>
      </c>
      <c r="C455" s="1" t="s">
        <v>2839</v>
      </c>
      <c r="D455" s="10">
        <f>SUMIFS(OPBQList,OPBIList,Table_ExternalData_17[[#This Row],[item_key]])+SUMIFS(GQList,GIList,Table_ExternalData_17[[#This Row],[item_key]],GDList,0)-ABS(SUMIFS(IsQList,IsIList,Table_ExternalData_17[[#This Row],[item_key]],IsDList,0))</f>
        <v>-50</v>
      </c>
      <c r="E455" s="10">
        <f>SUMIFS(GQList,GIList,Table_ExternalData_17[[#This Row],[item_key]],GTList,Table_ExternalData_17[[#Headers],[GRN]],GDList,"&lt;&gt;"&amp;0)</f>
        <v>0</v>
      </c>
      <c r="F455" s="10">
        <f>SUMIFS(GQList,GIList,Table_ExternalData_17[[#This Row],[item_key]],GTList,Table_ExternalData_17[[#Headers],[VSTR]],GDList,"&lt;&gt;"&amp;0)</f>
        <v>0</v>
      </c>
      <c r="G455" s="10">
        <f>SUMIFS(GQList,GIList,Table_ExternalData_17[[#This Row],[item_key]],GTList,Table_ExternalData_17[[#Headers],[SR]],GDList,"&lt;&gt;"&amp;0)</f>
        <v>0</v>
      </c>
      <c r="H455" s="10">
        <f>SUMIFS(GQList,GIList,Table_ExternalData_17[[#This Row],[item_key]],GTList,Table_ExternalData_17[[#Headers],[TR]],GDList,"&lt;&gt;"&amp;0)</f>
        <v>0</v>
      </c>
      <c r="I455" s="10">
        <f>SUMIFS(GQList,GIList,Table_ExternalData_17[[#This Row],[item_key]],GTList,Table_ExternalData_17[[#Headers],[RCA]],GDList,"&lt;&gt;"&amp;0)</f>
        <v>0</v>
      </c>
      <c r="J455" s="10">
        <f>SUM(Table_ExternalData_17[[#This Row],[GRN]]+Table_ExternalData_17[[#This Row],[VSTR]]+Table_ExternalData_17[[#This Row],[SR]]+Table_ExternalData_17[[#This Row],[TR]]+Table_ExternalData_17[[#This Row],[RCA]])</f>
        <v>0</v>
      </c>
      <c r="K455" s="10">
        <f>SUMIFS(IsQList,IsIList,Table_ExternalData_17[[#This Row],[item_key]],IsITypeList,Table_ExternalData_17[[#Headers],[R/P]],IsDList,"&lt;&gt;"&amp;0)</f>
        <v>0</v>
      </c>
      <c r="L455" s="10">
        <f>SUMIFS(IsQList,IsIList,Table_ExternalData_17[[#This Row],[item_key]],IsITypeList,Table_ExternalData_17[[#Headers],[CST]],IsDList,"&lt;&gt;"&amp;0)</f>
        <v>0</v>
      </c>
      <c r="M455" s="10">
        <f>SUMIFS(IsQList,IsIList,Table_ExternalData_15[[#This Row],[item_key]],IsITypeList,Table_ExternalData_17[[#Headers],[S/I]],IsDList,"&lt;&gt;"&amp;0)</f>
        <v>0</v>
      </c>
      <c r="N455" s="10">
        <f>SUMIFS(IsQList,IsIList,Table_ExternalData_15[[#This Row],[item_key]],IsITypeList,Table_ExternalData_17[[#Headers],[VST]],IsDList,"&lt;&gt;"&amp;0)</f>
        <v>0</v>
      </c>
      <c r="O455" s="10">
        <f>ABS(SUMIFS(IsQList,IsIList,Table_ExternalData_17[[#This Row],[item_key]],IsITypeList,Table_ExternalData_17[[#Headers],[RTN]],IsDList,"&lt;&gt;"&amp;0))</f>
        <v>0</v>
      </c>
      <c r="P455" s="10">
        <f>SUM(Table_ExternalData_17[[#This Row],[R/P]:[RTN]])</f>
        <v>0</v>
      </c>
      <c r="Q455" s="10">
        <f>SUM((Table_ExternalData_17[[#This Row],[Opening]]+Table_ExternalData_17[[#This Row],[Total Receipt]])-ABS(Table_ExternalData_17[[#This Row],[Total Issue]]))</f>
        <v>-50</v>
      </c>
    </row>
    <row r="456" spans="1:17">
      <c r="A456" s="1" t="s">
        <v>1130</v>
      </c>
      <c r="B456" s="1" t="s">
        <v>2840</v>
      </c>
      <c r="C456" s="1" t="s">
        <v>2841</v>
      </c>
      <c r="D456" s="10">
        <f>SUMIFS(OPBQList,OPBIList,Table_ExternalData_17[[#This Row],[item_key]])+SUMIFS(GQList,GIList,Table_ExternalData_17[[#This Row],[item_key]],GDList,0)-ABS(SUMIFS(IsQList,IsIList,Table_ExternalData_17[[#This Row],[item_key]],IsDList,0))</f>
        <v>-40</v>
      </c>
      <c r="E456" s="10">
        <f>SUMIFS(GQList,GIList,Table_ExternalData_17[[#This Row],[item_key]],GTList,Table_ExternalData_17[[#Headers],[GRN]],GDList,"&lt;&gt;"&amp;0)</f>
        <v>0</v>
      </c>
      <c r="F456" s="10">
        <f>SUMIFS(GQList,GIList,Table_ExternalData_17[[#This Row],[item_key]],GTList,Table_ExternalData_17[[#Headers],[VSTR]],GDList,"&lt;&gt;"&amp;0)</f>
        <v>0</v>
      </c>
      <c r="G456" s="10">
        <f>SUMIFS(GQList,GIList,Table_ExternalData_17[[#This Row],[item_key]],GTList,Table_ExternalData_17[[#Headers],[SR]],GDList,"&lt;&gt;"&amp;0)</f>
        <v>0</v>
      </c>
      <c r="H456" s="10">
        <f>SUMIFS(GQList,GIList,Table_ExternalData_17[[#This Row],[item_key]],GTList,Table_ExternalData_17[[#Headers],[TR]],GDList,"&lt;&gt;"&amp;0)</f>
        <v>0</v>
      </c>
      <c r="I456" s="10">
        <f>SUMIFS(GQList,GIList,Table_ExternalData_17[[#This Row],[item_key]],GTList,Table_ExternalData_17[[#Headers],[RCA]],GDList,"&lt;&gt;"&amp;0)</f>
        <v>0</v>
      </c>
      <c r="J456" s="10">
        <f>SUM(Table_ExternalData_17[[#This Row],[GRN]]+Table_ExternalData_17[[#This Row],[VSTR]]+Table_ExternalData_17[[#This Row],[SR]]+Table_ExternalData_17[[#This Row],[TR]]+Table_ExternalData_17[[#This Row],[RCA]])</f>
        <v>0</v>
      </c>
      <c r="K456" s="10">
        <f>SUMIFS(IsQList,IsIList,Table_ExternalData_17[[#This Row],[item_key]],IsITypeList,Table_ExternalData_17[[#Headers],[R/P]],IsDList,"&lt;&gt;"&amp;0)</f>
        <v>0</v>
      </c>
      <c r="L456" s="10">
        <f>SUMIFS(IsQList,IsIList,Table_ExternalData_17[[#This Row],[item_key]],IsITypeList,Table_ExternalData_17[[#Headers],[CST]],IsDList,"&lt;&gt;"&amp;0)</f>
        <v>0</v>
      </c>
      <c r="M456" s="10">
        <f>SUMIFS(IsQList,IsIList,Table_ExternalData_15[[#This Row],[item_key]],IsITypeList,Table_ExternalData_17[[#Headers],[S/I]],IsDList,"&lt;&gt;"&amp;0)</f>
        <v>0</v>
      </c>
      <c r="N456" s="10">
        <f>SUMIFS(IsQList,IsIList,Table_ExternalData_15[[#This Row],[item_key]],IsITypeList,Table_ExternalData_17[[#Headers],[VST]],IsDList,"&lt;&gt;"&amp;0)</f>
        <v>0</v>
      </c>
      <c r="O456" s="10">
        <f>ABS(SUMIFS(IsQList,IsIList,Table_ExternalData_17[[#This Row],[item_key]],IsITypeList,Table_ExternalData_17[[#Headers],[RTN]],IsDList,"&lt;&gt;"&amp;0))</f>
        <v>0</v>
      </c>
      <c r="P456" s="10">
        <f>SUM(Table_ExternalData_17[[#This Row],[R/P]:[RTN]])</f>
        <v>0</v>
      </c>
      <c r="Q456" s="10">
        <f>SUM((Table_ExternalData_17[[#This Row],[Opening]]+Table_ExternalData_17[[#This Row],[Total Receipt]])-ABS(Table_ExternalData_17[[#This Row],[Total Issue]]))</f>
        <v>-40</v>
      </c>
    </row>
    <row r="457" spans="1:17">
      <c r="A457" s="1" t="s">
        <v>1131</v>
      </c>
      <c r="B457" s="1" t="s">
        <v>2842</v>
      </c>
      <c r="C457" s="1" t="s">
        <v>2843</v>
      </c>
      <c r="D457" s="10">
        <f>SUMIFS(OPBQList,OPBIList,Table_ExternalData_17[[#This Row],[item_key]])+SUMIFS(GQList,GIList,Table_ExternalData_17[[#This Row],[item_key]],GDList,0)-ABS(SUMIFS(IsQList,IsIList,Table_ExternalData_17[[#This Row],[item_key]],IsDList,0))</f>
        <v>459</v>
      </c>
      <c r="E457" s="10">
        <f>SUMIFS(GQList,GIList,Table_ExternalData_17[[#This Row],[item_key]],GTList,Table_ExternalData_17[[#Headers],[GRN]],GDList,"&lt;&gt;"&amp;0)</f>
        <v>0</v>
      </c>
      <c r="F457" s="10">
        <f>SUMIFS(GQList,GIList,Table_ExternalData_17[[#This Row],[item_key]],GTList,Table_ExternalData_17[[#Headers],[VSTR]],GDList,"&lt;&gt;"&amp;0)</f>
        <v>0</v>
      </c>
      <c r="G457" s="10">
        <f>SUMIFS(GQList,GIList,Table_ExternalData_17[[#This Row],[item_key]],GTList,Table_ExternalData_17[[#Headers],[SR]],GDList,"&lt;&gt;"&amp;0)</f>
        <v>0</v>
      </c>
      <c r="H457" s="10">
        <f>SUMIFS(GQList,GIList,Table_ExternalData_17[[#This Row],[item_key]],GTList,Table_ExternalData_17[[#Headers],[TR]],GDList,"&lt;&gt;"&amp;0)</f>
        <v>0</v>
      </c>
      <c r="I457" s="10">
        <f>SUMIFS(GQList,GIList,Table_ExternalData_17[[#This Row],[item_key]],GTList,Table_ExternalData_17[[#Headers],[RCA]],GDList,"&lt;&gt;"&amp;0)</f>
        <v>0</v>
      </c>
      <c r="J457" s="10">
        <f>SUM(Table_ExternalData_17[[#This Row],[GRN]]+Table_ExternalData_17[[#This Row],[VSTR]]+Table_ExternalData_17[[#This Row],[SR]]+Table_ExternalData_17[[#This Row],[TR]]+Table_ExternalData_17[[#This Row],[RCA]])</f>
        <v>0</v>
      </c>
      <c r="K457" s="10">
        <f>SUMIFS(IsQList,IsIList,Table_ExternalData_17[[#This Row],[item_key]],IsITypeList,Table_ExternalData_17[[#Headers],[R/P]],IsDList,"&lt;&gt;"&amp;0)</f>
        <v>0</v>
      </c>
      <c r="L457" s="10">
        <f>SUMIFS(IsQList,IsIList,Table_ExternalData_17[[#This Row],[item_key]],IsITypeList,Table_ExternalData_17[[#Headers],[CST]],IsDList,"&lt;&gt;"&amp;0)</f>
        <v>0</v>
      </c>
      <c r="M457" s="10">
        <f>SUMIFS(IsQList,IsIList,Table_ExternalData_15[[#This Row],[item_key]],IsITypeList,Table_ExternalData_17[[#Headers],[S/I]],IsDList,"&lt;&gt;"&amp;0)</f>
        <v>0</v>
      </c>
      <c r="N457" s="10">
        <f>SUMIFS(IsQList,IsIList,Table_ExternalData_15[[#This Row],[item_key]],IsITypeList,Table_ExternalData_17[[#Headers],[VST]],IsDList,"&lt;&gt;"&amp;0)</f>
        <v>0</v>
      </c>
      <c r="O457" s="10">
        <f>ABS(SUMIFS(IsQList,IsIList,Table_ExternalData_17[[#This Row],[item_key]],IsITypeList,Table_ExternalData_17[[#Headers],[RTN]],IsDList,"&lt;&gt;"&amp;0))</f>
        <v>0</v>
      </c>
      <c r="P457" s="10">
        <f>SUM(Table_ExternalData_17[[#This Row],[R/P]:[RTN]])</f>
        <v>0</v>
      </c>
      <c r="Q457" s="10">
        <f>SUM((Table_ExternalData_17[[#This Row],[Opening]]+Table_ExternalData_17[[#This Row],[Total Receipt]])-ABS(Table_ExternalData_17[[#This Row],[Total Issue]]))</f>
        <v>459</v>
      </c>
    </row>
    <row r="458" spans="1:17">
      <c r="A458" s="1" t="s">
        <v>1134</v>
      </c>
      <c r="B458" s="1" t="s">
        <v>2844</v>
      </c>
      <c r="C458" s="1" t="s">
        <v>2664</v>
      </c>
      <c r="D458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58" s="10">
        <f>SUMIFS(GQList,GIList,Table_ExternalData_17[[#This Row],[item_key]],GTList,Table_ExternalData_17[[#Headers],[GRN]],GDList,"&lt;&gt;"&amp;0)</f>
        <v>200</v>
      </c>
      <c r="F458" s="10">
        <f>SUMIFS(GQList,GIList,Table_ExternalData_17[[#This Row],[item_key]],GTList,Table_ExternalData_17[[#Headers],[VSTR]],GDList,"&lt;&gt;"&amp;0)</f>
        <v>0</v>
      </c>
      <c r="G458" s="10">
        <f>SUMIFS(GQList,GIList,Table_ExternalData_17[[#This Row],[item_key]],GTList,Table_ExternalData_17[[#Headers],[SR]],GDList,"&lt;&gt;"&amp;0)</f>
        <v>0</v>
      </c>
      <c r="H458" s="10">
        <f>SUMIFS(GQList,GIList,Table_ExternalData_17[[#This Row],[item_key]],GTList,Table_ExternalData_17[[#Headers],[TR]],GDList,"&lt;&gt;"&amp;0)</f>
        <v>0</v>
      </c>
      <c r="I458" s="10">
        <f>SUMIFS(GQList,GIList,Table_ExternalData_17[[#This Row],[item_key]],GTList,Table_ExternalData_17[[#Headers],[RCA]],GDList,"&lt;&gt;"&amp;0)</f>
        <v>0</v>
      </c>
      <c r="J458" s="10">
        <f>SUM(Table_ExternalData_17[[#This Row],[GRN]]+Table_ExternalData_17[[#This Row],[VSTR]]+Table_ExternalData_17[[#This Row],[SR]]+Table_ExternalData_17[[#This Row],[TR]]+Table_ExternalData_17[[#This Row],[RCA]])</f>
        <v>200</v>
      </c>
      <c r="K458" s="10">
        <f>SUMIFS(IsQList,IsIList,Table_ExternalData_17[[#This Row],[item_key]],IsITypeList,Table_ExternalData_17[[#Headers],[R/P]],IsDList,"&lt;&gt;"&amp;0)</f>
        <v>0</v>
      </c>
      <c r="L458" s="10">
        <f>SUMIFS(IsQList,IsIList,Table_ExternalData_17[[#This Row],[item_key]],IsITypeList,Table_ExternalData_17[[#Headers],[CST]],IsDList,"&lt;&gt;"&amp;0)</f>
        <v>0</v>
      </c>
      <c r="M458" s="10">
        <f>SUMIFS(IsQList,IsIList,Table_ExternalData_15[[#This Row],[item_key]],IsITypeList,Table_ExternalData_17[[#Headers],[S/I]],IsDList,"&lt;&gt;"&amp;0)</f>
        <v>0</v>
      </c>
      <c r="N458" s="10">
        <f>SUMIFS(IsQList,IsIList,Table_ExternalData_15[[#This Row],[item_key]],IsITypeList,Table_ExternalData_17[[#Headers],[VST]],IsDList,"&lt;&gt;"&amp;0)</f>
        <v>0</v>
      </c>
      <c r="O458" s="10">
        <f>ABS(SUMIFS(IsQList,IsIList,Table_ExternalData_17[[#This Row],[item_key]],IsITypeList,Table_ExternalData_17[[#Headers],[RTN]],IsDList,"&lt;&gt;"&amp;0))</f>
        <v>0</v>
      </c>
      <c r="P458" s="10">
        <f>SUM(Table_ExternalData_17[[#This Row],[R/P]:[RTN]])</f>
        <v>0</v>
      </c>
      <c r="Q458" s="10">
        <f>SUM((Table_ExternalData_17[[#This Row],[Opening]]+Table_ExternalData_17[[#This Row],[Total Receipt]])-ABS(Table_ExternalData_17[[#This Row],[Total Issue]]))</f>
        <v>200</v>
      </c>
    </row>
    <row r="459" spans="1:17">
      <c r="A459" s="1" t="s">
        <v>2298</v>
      </c>
      <c r="B459" s="1" t="s">
        <v>2845</v>
      </c>
      <c r="C459" s="1" t="s">
        <v>2846</v>
      </c>
      <c r="D459" s="10">
        <f>SUMIFS(OPBQList,OPBIList,Table_ExternalData_17[[#This Row],[item_key]])+SUMIFS(GQList,GIList,Table_ExternalData_17[[#This Row],[item_key]],GDList,0)-ABS(SUMIFS(IsQList,IsIList,Table_ExternalData_17[[#This Row],[item_key]],IsDList,0))</f>
        <v>2120</v>
      </c>
      <c r="E459" s="10">
        <f>SUMIFS(GQList,GIList,Table_ExternalData_17[[#This Row],[item_key]],GTList,Table_ExternalData_17[[#Headers],[GRN]],GDList,"&lt;&gt;"&amp;0)</f>
        <v>0</v>
      </c>
      <c r="F459" s="10">
        <f>SUMIFS(GQList,GIList,Table_ExternalData_17[[#This Row],[item_key]],GTList,Table_ExternalData_17[[#Headers],[VSTR]],GDList,"&lt;&gt;"&amp;0)</f>
        <v>0</v>
      </c>
      <c r="G459" s="10">
        <f>SUMIFS(GQList,GIList,Table_ExternalData_17[[#This Row],[item_key]],GTList,Table_ExternalData_17[[#Headers],[SR]],GDList,"&lt;&gt;"&amp;0)</f>
        <v>0</v>
      </c>
      <c r="H459" s="10">
        <f>SUMIFS(GQList,GIList,Table_ExternalData_17[[#This Row],[item_key]],GTList,Table_ExternalData_17[[#Headers],[TR]],GDList,"&lt;&gt;"&amp;0)</f>
        <v>0</v>
      </c>
      <c r="I459" s="10">
        <f>SUMIFS(GQList,GIList,Table_ExternalData_17[[#This Row],[item_key]],GTList,Table_ExternalData_17[[#Headers],[RCA]],GDList,"&lt;&gt;"&amp;0)</f>
        <v>0</v>
      </c>
      <c r="J459" s="10">
        <f>SUM(Table_ExternalData_17[[#This Row],[GRN]]+Table_ExternalData_17[[#This Row],[VSTR]]+Table_ExternalData_17[[#This Row],[SR]]+Table_ExternalData_17[[#This Row],[TR]]+Table_ExternalData_17[[#This Row],[RCA]])</f>
        <v>0</v>
      </c>
      <c r="K459" s="10">
        <f>SUMIFS(IsQList,IsIList,Table_ExternalData_17[[#This Row],[item_key]],IsITypeList,Table_ExternalData_17[[#Headers],[R/P]],IsDList,"&lt;&gt;"&amp;0)</f>
        <v>0</v>
      </c>
      <c r="L459" s="10">
        <f>SUMIFS(IsQList,IsIList,Table_ExternalData_17[[#This Row],[item_key]],IsITypeList,Table_ExternalData_17[[#Headers],[CST]],IsDList,"&lt;&gt;"&amp;0)</f>
        <v>0</v>
      </c>
      <c r="M459" s="10">
        <f>SUMIFS(IsQList,IsIList,Table_ExternalData_15[[#This Row],[item_key]],IsITypeList,Table_ExternalData_17[[#Headers],[S/I]],IsDList,"&lt;&gt;"&amp;0)</f>
        <v>0</v>
      </c>
      <c r="N459" s="10">
        <f>SUMIFS(IsQList,IsIList,Table_ExternalData_15[[#This Row],[item_key]],IsITypeList,Table_ExternalData_17[[#Headers],[VST]],IsDList,"&lt;&gt;"&amp;0)</f>
        <v>0</v>
      </c>
      <c r="O459" s="10">
        <f>ABS(SUMIFS(IsQList,IsIList,Table_ExternalData_17[[#This Row],[item_key]],IsITypeList,Table_ExternalData_17[[#Headers],[RTN]],IsDList,"&lt;&gt;"&amp;0))</f>
        <v>0</v>
      </c>
      <c r="P459" s="10">
        <f>SUM(Table_ExternalData_17[[#This Row],[R/P]:[RTN]])</f>
        <v>0</v>
      </c>
      <c r="Q459" s="10">
        <f>SUM((Table_ExternalData_17[[#This Row],[Opening]]+Table_ExternalData_17[[#This Row],[Total Receipt]])-ABS(Table_ExternalData_17[[#This Row],[Total Issue]]))</f>
        <v>2120</v>
      </c>
    </row>
    <row r="460" spans="1:17">
      <c r="A460" s="1" t="s">
        <v>1136</v>
      </c>
      <c r="B460" s="1" t="s">
        <v>1598</v>
      </c>
      <c r="C460" s="1" t="s">
        <v>1599</v>
      </c>
      <c r="D460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0" s="10">
        <f>SUMIFS(GQList,GIList,Table_ExternalData_17[[#This Row],[item_key]],GTList,Table_ExternalData_17[[#Headers],[GRN]],GDList,"&lt;&gt;"&amp;0)</f>
        <v>20</v>
      </c>
      <c r="F460" s="10">
        <f>SUMIFS(GQList,GIList,Table_ExternalData_17[[#This Row],[item_key]],GTList,Table_ExternalData_17[[#Headers],[VSTR]],GDList,"&lt;&gt;"&amp;0)</f>
        <v>0</v>
      </c>
      <c r="G460" s="10">
        <f>SUMIFS(GQList,GIList,Table_ExternalData_17[[#This Row],[item_key]],GTList,Table_ExternalData_17[[#Headers],[SR]],GDList,"&lt;&gt;"&amp;0)</f>
        <v>0</v>
      </c>
      <c r="H460" s="10">
        <f>SUMIFS(GQList,GIList,Table_ExternalData_17[[#This Row],[item_key]],GTList,Table_ExternalData_17[[#Headers],[TR]],GDList,"&lt;&gt;"&amp;0)</f>
        <v>0</v>
      </c>
      <c r="I460" s="10">
        <f>SUMIFS(GQList,GIList,Table_ExternalData_17[[#This Row],[item_key]],GTList,Table_ExternalData_17[[#Headers],[RCA]],GDList,"&lt;&gt;"&amp;0)</f>
        <v>0</v>
      </c>
      <c r="J460" s="10">
        <f>SUM(Table_ExternalData_17[[#This Row],[GRN]]+Table_ExternalData_17[[#This Row],[VSTR]]+Table_ExternalData_17[[#This Row],[SR]]+Table_ExternalData_17[[#This Row],[TR]]+Table_ExternalData_17[[#This Row],[RCA]])</f>
        <v>20</v>
      </c>
      <c r="K460" s="10">
        <f>SUMIFS(IsQList,IsIList,Table_ExternalData_17[[#This Row],[item_key]],IsITypeList,Table_ExternalData_17[[#Headers],[R/P]],IsDList,"&lt;&gt;"&amp;0)</f>
        <v>0</v>
      </c>
      <c r="L460" s="10">
        <f>SUMIFS(IsQList,IsIList,Table_ExternalData_17[[#This Row],[item_key]],IsITypeList,Table_ExternalData_17[[#Headers],[CST]],IsDList,"&lt;&gt;"&amp;0)</f>
        <v>0</v>
      </c>
      <c r="M460" s="10">
        <f>SUMIFS(IsQList,IsIList,Table_ExternalData_15[[#This Row],[item_key]],IsITypeList,Table_ExternalData_17[[#Headers],[S/I]],IsDList,"&lt;&gt;"&amp;0)</f>
        <v>0</v>
      </c>
      <c r="N460" s="10">
        <f>SUMIFS(IsQList,IsIList,Table_ExternalData_15[[#This Row],[item_key]],IsITypeList,Table_ExternalData_17[[#Headers],[VST]],IsDList,"&lt;&gt;"&amp;0)</f>
        <v>0</v>
      </c>
      <c r="O460" s="10">
        <f>ABS(SUMIFS(IsQList,IsIList,Table_ExternalData_17[[#This Row],[item_key]],IsITypeList,Table_ExternalData_17[[#Headers],[RTN]],IsDList,"&lt;&gt;"&amp;0))</f>
        <v>0</v>
      </c>
      <c r="P460" s="10">
        <f>SUM(Table_ExternalData_17[[#This Row],[R/P]:[RTN]])</f>
        <v>0</v>
      </c>
      <c r="Q460" s="10">
        <f>SUM((Table_ExternalData_17[[#This Row],[Opening]]+Table_ExternalData_17[[#This Row],[Total Receipt]])-ABS(Table_ExternalData_17[[#This Row],[Total Issue]]))</f>
        <v>20</v>
      </c>
    </row>
    <row r="461" spans="1:17">
      <c r="A461" s="1" t="s">
        <v>1137</v>
      </c>
      <c r="B461" s="1" t="s">
        <v>1600</v>
      </c>
      <c r="C461" s="1" t="s">
        <v>1601</v>
      </c>
      <c r="D46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1" s="10">
        <f>SUMIFS(GQList,GIList,Table_ExternalData_17[[#This Row],[item_key]],GTList,Table_ExternalData_17[[#Headers],[GRN]],GDList,"&lt;&gt;"&amp;0)</f>
        <v>20</v>
      </c>
      <c r="F461" s="10">
        <f>SUMIFS(GQList,GIList,Table_ExternalData_17[[#This Row],[item_key]],GTList,Table_ExternalData_17[[#Headers],[VSTR]],GDList,"&lt;&gt;"&amp;0)</f>
        <v>0</v>
      </c>
      <c r="G461" s="10">
        <f>SUMIFS(GQList,GIList,Table_ExternalData_17[[#This Row],[item_key]],GTList,Table_ExternalData_17[[#Headers],[SR]],GDList,"&lt;&gt;"&amp;0)</f>
        <v>0</v>
      </c>
      <c r="H461" s="10">
        <f>SUMIFS(GQList,GIList,Table_ExternalData_17[[#This Row],[item_key]],GTList,Table_ExternalData_17[[#Headers],[TR]],GDList,"&lt;&gt;"&amp;0)</f>
        <v>0</v>
      </c>
      <c r="I461" s="10">
        <f>SUMIFS(GQList,GIList,Table_ExternalData_17[[#This Row],[item_key]],GTList,Table_ExternalData_17[[#Headers],[RCA]],GDList,"&lt;&gt;"&amp;0)</f>
        <v>0</v>
      </c>
      <c r="J461" s="10">
        <f>SUM(Table_ExternalData_17[[#This Row],[GRN]]+Table_ExternalData_17[[#This Row],[VSTR]]+Table_ExternalData_17[[#This Row],[SR]]+Table_ExternalData_17[[#This Row],[TR]]+Table_ExternalData_17[[#This Row],[RCA]])</f>
        <v>20</v>
      </c>
      <c r="K461" s="10">
        <f>SUMIFS(IsQList,IsIList,Table_ExternalData_17[[#This Row],[item_key]],IsITypeList,Table_ExternalData_17[[#Headers],[R/P]],IsDList,"&lt;&gt;"&amp;0)</f>
        <v>0</v>
      </c>
      <c r="L461" s="10">
        <f>SUMIFS(IsQList,IsIList,Table_ExternalData_17[[#This Row],[item_key]],IsITypeList,Table_ExternalData_17[[#Headers],[CST]],IsDList,"&lt;&gt;"&amp;0)</f>
        <v>0</v>
      </c>
      <c r="M461" s="10">
        <f>SUMIFS(IsQList,IsIList,Table_ExternalData_15[[#This Row],[item_key]],IsITypeList,Table_ExternalData_17[[#Headers],[S/I]],IsDList,"&lt;&gt;"&amp;0)</f>
        <v>0</v>
      </c>
      <c r="N461" s="10">
        <f>SUMIFS(IsQList,IsIList,Table_ExternalData_15[[#This Row],[item_key]],IsITypeList,Table_ExternalData_17[[#Headers],[VST]],IsDList,"&lt;&gt;"&amp;0)</f>
        <v>0</v>
      </c>
      <c r="O461" s="10">
        <f>ABS(SUMIFS(IsQList,IsIList,Table_ExternalData_17[[#This Row],[item_key]],IsITypeList,Table_ExternalData_17[[#Headers],[RTN]],IsDList,"&lt;&gt;"&amp;0))</f>
        <v>0</v>
      </c>
      <c r="P461" s="10">
        <f>SUM(Table_ExternalData_17[[#This Row],[R/P]:[RTN]])</f>
        <v>0</v>
      </c>
      <c r="Q461" s="10">
        <f>SUM((Table_ExternalData_17[[#This Row],[Opening]]+Table_ExternalData_17[[#This Row],[Total Receipt]])-ABS(Table_ExternalData_17[[#This Row],[Total Issue]]))</f>
        <v>20</v>
      </c>
    </row>
    <row r="462" spans="1:17">
      <c r="A462" s="1" t="s">
        <v>1138</v>
      </c>
      <c r="B462" s="1" t="s">
        <v>1567</v>
      </c>
      <c r="C462" s="1" t="s">
        <v>1568</v>
      </c>
      <c r="D462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2" s="10">
        <f>SUMIFS(GQList,GIList,Table_ExternalData_17[[#This Row],[item_key]],GTList,Table_ExternalData_17[[#Headers],[GRN]],GDList,"&lt;&gt;"&amp;0)</f>
        <v>10</v>
      </c>
      <c r="F462" s="10">
        <f>SUMIFS(GQList,GIList,Table_ExternalData_17[[#This Row],[item_key]],GTList,Table_ExternalData_17[[#Headers],[VSTR]],GDList,"&lt;&gt;"&amp;0)</f>
        <v>0</v>
      </c>
      <c r="G462" s="10">
        <f>SUMIFS(GQList,GIList,Table_ExternalData_17[[#This Row],[item_key]],GTList,Table_ExternalData_17[[#Headers],[SR]],GDList,"&lt;&gt;"&amp;0)</f>
        <v>0</v>
      </c>
      <c r="H462" s="10">
        <f>SUMIFS(GQList,GIList,Table_ExternalData_17[[#This Row],[item_key]],GTList,Table_ExternalData_17[[#Headers],[TR]],GDList,"&lt;&gt;"&amp;0)</f>
        <v>0</v>
      </c>
      <c r="I462" s="10">
        <f>SUMIFS(GQList,GIList,Table_ExternalData_17[[#This Row],[item_key]],GTList,Table_ExternalData_17[[#Headers],[RCA]],GDList,"&lt;&gt;"&amp;0)</f>
        <v>0</v>
      </c>
      <c r="J462" s="10">
        <f>SUM(Table_ExternalData_17[[#This Row],[GRN]]+Table_ExternalData_17[[#This Row],[VSTR]]+Table_ExternalData_17[[#This Row],[SR]]+Table_ExternalData_17[[#This Row],[TR]]+Table_ExternalData_17[[#This Row],[RCA]])</f>
        <v>10</v>
      </c>
      <c r="K462" s="10">
        <f>SUMIFS(IsQList,IsIList,Table_ExternalData_17[[#This Row],[item_key]],IsITypeList,Table_ExternalData_17[[#Headers],[R/P]],IsDList,"&lt;&gt;"&amp;0)</f>
        <v>0</v>
      </c>
      <c r="L462" s="10">
        <f>SUMIFS(IsQList,IsIList,Table_ExternalData_17[[#This Row],[item_key]],IsITypeList,Table_ExternalData_17[[#Headers],[CST]],IsDList,"&lt;&gt;"&amp;0)</f>
        <v>0</v>
      </c>
      <c r="M462" s="10">
        <f>SUMIFS(IsQList,IsIList,Table_ExternalData_15[[#This Row],[item_key]],IsITypeList,Table_ExternalData_17[[#Headers],[S/I]],IsDList,"&lt;&gt;"&amp;0)</f>
        <v>0</v>
      </c>
      <c r="N462" s="10">
        <f>SUMIFS(IsQList,IsIList,Table_ExternalData_15[[#This Row],[item_key]],IsITypeList,Table_ExternalData_17[[#Headers],[VST]],IsDList,"&lt;&gt;"&amp;0)</f>
        <v>0</v>
      </c>
      <c r="O462" s="10">
        <f>ABS(SUMIFS(IsQList,IsIList,Table_ExternalData_17[[#This Row],[item_key]],IsITypeList,Table_ExternalData_17[[#Headers],[RTN]],IsDList,"&lt;&gt;"&amp;0))</f>
        <v>0</v>
      </c>
      <c r="P462" s="10">
        <f>SUM(Table_ExternalData_17[[#This Row],[R/P]:[RTN]])</f>
        <v>0</v>
      </c>
      <c r="Q462" s="10">
        <f>SUM((Table_ExternalData_17[[#This Row],[Opening]]+Table_ExternalData_17[[#This Row],[Total Receipt]])-ABS(Table_ExternalData_17[[#This Row],[Total Issue]]))</f>
        <v>10</v>
      </c>
    </row>
    <row r="463" spans="1:17">
      <c r="A463" s="1" t="s">
        <v>1139</v>
      </c>
      <c r="B463" s="1" t="s">
        <v>1569</v>
      </c>
      <c r="C463" s="1" t="s">
        <v>1570</v>
      </c>
      <c r="D463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3" s="10">
        <f>SUMIFS(GQList,GIList,Table_ExternalData_17[[#This Row],[item_key]],GTList,Table_ExternalData_17[[#Headers],[GRN]],GDList,"&lt;&gt;"&amp;0)</f>
        <v>10</v>
      </c>
      <c r="F463" s="10">
        <f>SUMIFS(GQList,GIList,Table_ExternalData_17[[#This Row],[item_key]],GTList,Table_ExternalData_17[[#Headers],[VSTR]],GDList,"&lt;&gt;"&amp;0)</f>
        <v>0</v>
      </c>
      <c r="G463" s="10">
        <f>SUMIFS(GQList,GIList,Table_ExternalData_17[[#This Row],[item_key]],GTList,Table_ExternalData_17[[#Headers],[SR]],GDList,"&lt;&gt;"&amp;0)</f>
        <v>0</v>
      </c>
      <c r="H463" s="10">
        <f>SUMIFS(GQList,GIList,Table_ExternalData_17[[#This Row],[item_key]],GTList,Table_ExternalData_17[[#Headers],[TR]],GDList,"&lt;&gt;"&amp;0)</f>
        <v>0</v>
      </c>
      <c r="I463" s="10">
        <f>SUMIFS(GQList,GIList,Table_ExternalData_17[[#This Row],[item_key]],GTList,Table_ExternalData_17[[#Headers],[RCA]],GDList,"&lt;&gt;"&amp;0)</f>
        <v>0</v>
      </c>
      <c r="J463" s="10">
        <f>SUM(Table_ExternalData_17[[#This Row],[GRN]]+Table_ExternalData_17[[#This Row],[VSTR]]+Table_ExternalData_17[[#This Row],[SR]]+Table_ExternalData_17[[#This Row],[TR]]+Table_ExternalData_17[[#This Row],[RCA]])</f>
        <v>10</v>
      </c>
      <c r="K463" s="10">
        <f>SUMIFS(IsQList,IsIList,Table_ExternalData_17[[#This Row],[item_key]],IsITypeList,Table_ExternalData_17[[#Headers],[R/P]],IsDList,"&lt;&gt;"&amp;0)</f>
        <v>0</v>
      </c>
      <c r="L463" s="10">
        <f>SUMIFS(IsQList,IsIList,Table_ExternalData_17[[#This Row],[item_key]],IsITypeList,Table_ExternalData_17[[#Headers],[CST]],IsDList,"&lt;&gt;"&amp;0)</f>
        <v>0</v>
      </c>
      <c r="M463" s="10">
        <f>SUMIFS(IsQList,IsIList,Table_ExternalData_15[[#This Row],[item_key]],IsITypeList,Table_ExternalData_17[[#Headers],[S/I]],IsDList,"&lt;&gt;"&amp;0)</f>
        <v>0</v>
      </c>
      <c r="N463" s="10">
        <f>SUMIFS(IsQList,IsIList,Table_ExternalData_15[[#This Row],[item_key]],IsITypeList,Table_ExternalData_17[[#Headers],[VST]],IsDList,"&lt;&gt;"&amp;0)</f>
        <v>0</v>
      </c>
      <c r="O463" s="10">
        <f>ABS(SUMIFS(IsQList,IsIList,Table_ExternalData_17[[#This Row],[item_key]],IsITypeList,Table_ExternalData_17[[#Headers],[RTN]],IsDList,"&lt;&gt;"&amp;0))</f>
        <v>0</v>
      </c>
      <c r="P463" s="10">
        <f>SUM(Table_ExternalData_17[[#This Row],[R/P]:[RTN]])</f>
        <v>0</v>
      </c>
      <c r="Q463" s="10">
        <f>SUM((Table_ExternalData_17[[#This Row],[Opening]]+Table_ExternalData_17[[#This Row],[Total Receipt]])-ABS(Table_ExternalData_17[[#This Row],[Total Issue]]))</f>
        <v>10</v>
      </c>
    </row>
    <row r="464" spans="1:17">
      <c r="A464" s="1" t="s">
        <v>1141</v>
      </c>
      <c r="B464" s="1" t="s">
        <v>1602</v>
      </c>
      <c r="C464" s="1" t="s">
        <v>1603</v>
      </c>
      <c r="D46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4" s="10">
        <f>SUMIFS(GQList,GIList,Table_ExternalData_17[[#This Row],[item_key]],GTList,Table_ExternalData_17[[#Headers],[GRN]],GDList,"&lt;&gt;"&amp;0)</f>
        <v>12</v>
      </c>
      <c r="F464" s="10">
        <f>SUMIFS(GQList,GIList,Table_ExternalData_17[[#This Row],[item_key]],GTList,Table_ExternalData_17[[#Headers],[VSTR]],GDList,"&lt;&gt;"&amp;0)</f>
        <v>0</v>
      </c>
      <c r="G464" s="10">
        <f>SUMIFS(GQList,GIList,Table_ExternalData_17[[#This Row],[item_key]],GTList,Table_ExternalData_17[[#Headers],[SR]],GDList,"&lt;&gt;"&amp;0)</f>
        <v>0</v>
      </c>
      <c r="H464" s="10">
        <f>SUMIFS(GQList,GIList,Table_ExternalData_17[[#This Row],[item_key]],GTList,Table_ExternalData_17[[#Headers],[TR]],GDList,"&lt;&gt;"&amp;0)</f>
        <v>0</v>
      </c>
      <c r="I464" s="10">
        <f>SUMIFS(GQList,GIList,Table_ExternalData_17[[#This Row],[item_key]],GTList,Table_ExternalData_17[[#Headers],[RCA]],GDList,"&lt;&gt;"&amp;0)</f>
        <v>0</v>
      </c>
      <c r="J464" s="10">
        <f>SUM(Table_ExternalData_17[[#This Row],[GRN]]+Table_ExternalData_17[[#This Row],[VSTR]]+Table_ExternalData_17[[#This Row],[SR]]+Table_ExternalData_17[[#This Row],[TR]]+Table_ExternalData_17[[#This Row],[RCA]])</f>
        <v>12</v>
      </c>
      <c r="K464" s="10">
        <f>SUMIFS(IsQList,IsIList,Table_ExternalData_17[[#This Row],[item_key]],IsITypeList,Table_ExternalData_17[[#Headers],[R/P]],IsDList,"&lt;&gt;"&amp;0)</f>
        <v>0</v>
      </c>
      <c r="L464" s="10">
        <f>SUMIFS(IsQList,IsIList,Table_ExternalData_17[[#This Row],[item_key]],IsITypeList,Table_ExternalData_17[[#Headers],[CST]],IsDList,"&lt;&gt;"&amp;0)</f>
        <v>0</v>
      </c>
      <c r="M464" s="10">
        <f>SUMIFS(IsQList,IsIList,Table_ExternalData_15[[#This Row],[item_key]],IsITypeList,Table_ExternalData_17[[#Headers],[S/I]],IsDList,"&lt;&gt;"&amp;0)</f>
        <v>0</v>
      </c>
      <c r="N464" s="10">
        <f>SUMIFS(IsQList,IsIList,Table_ExternalData_15[[#This Row],[item_key]],IsITypeList,Table_ExternalData_17[[#Headers],[VST]],IsDList,"&lt;&gt;"&amp;0)</f>
        <v>0</v>
      </c>
      <c r="O464" s="10">
        <f>ABS(SUMIFS(IsQList,IsIList,Table_ExternalData_17[[#This Row],[item_key]],IsITypeList,Table_ExternalData_17[[#Headers],[RTN]],IsDList,"&lt;&gt;"&amp;0))</f>
        <v>0</v>
      </c>
      <c r="P464" s="10">
        <f>SUM(Table_ExternalData_17[[#This Row],[R/P]:[RTN]])</f>
        <v>0</v>
      </c>
      <c r="Q464" s="10">
        <f>SUM((Table_ExternalData_17[[#This Row],[Opening]]+Table_ExternalData_17[[#This Row],[Total Receipt]])-ABS(Table_ExternalData_17[[#This Row],[Total Issue]]))</f>
        <v>12</v>
      </c>
    </row>
    <row r="465" spans="1:17">
      <c r="A465" s="1" t="s">
        <v>1142</v>
      </c>
      <c r="B465" s="1" t="s">
        <v>1604</v>
      </c>
      <c r="C465" s="1" t="s">
        <v>1605</v>
      </c>
      <c r="D46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65" s="10">
        <f>SUMIFS(GQList,GIList,Table_ExternalData_17[[#This Row],[item_key]],GTList,Table_ExternalData_17[[#Headers],[GRN]],GDList,"&lt;&gt;"&amp;0)</f>
        <v>12</v>
      </c>
      <c r="F465" s="10">
        <f>SUMIFS(GQList,GIList,Table_ExternalData_17[[#This Row],[item_key]],GTList,Table_ExternalData_17[[#Headers],[VSTR]],GDList,"&lt;&gt;"&amp;0)</f>
        <v>0</v>
      </c>
      <c r="G465" s="10">
        <f>SUMIFS(GQList,GIList,Table_ExternalData_17[[#This Row],[item_key]],GTList,Table_ExternalData_17[[#Headers],[SR]],GDList,"&lt;&gt;"&amp;0)</f>
        <v>0</v>
      </c>
      <c r="H465" s="10">
        <f>SUMIFS(GQList,GIList,Table_ExternalData_17[[#This Row],[item_key]],GTList,Table_ExternalData_17[[#Headers],[TR]],GDList,"&lt;&gt;"&amp;0)</f>
        <v>0</v>
      </c>
      <c r="I465" s="10">
        <f>SUMIFS(GQList,GIList,Table_ExternalData_17[[#This Row],[item_key]],GTList,Table_ExternalData_17[[#Headers],[RCA]],GDList,"&lt;&gt;"&amp;0)</f>
        <v>0</v>
      </c>
      <c r="J465" s="10">
        <f>SUM(Table_ExternalData_17[[#This Row],[GRN]]+Table_ExternalData_17[[#This Row],[VSTR]]+Table_ExternalData_17[[#This Row],[SR]]+Table_ExternalData_17[[#This Row],[TR]]+Table_ExternalData_17[[#This Row],[RCA]])</f>
        <v>12</v>
      </c>
      <c r="K465" s="10">
        <f>SUMIFS(IsQList,IsIList,Table_ExternalData_17[[#This Row],[item_key]],IsITypeList,Table_ExternalData_17[[#Headers],[R/P]],IsDList,"&lt;&gt;"&amp;0)</f>
        <v>0</v>
      </c>
      <c r="L465" s="10">
        <f>SUMIFS(IsQList,IsIList,Table_ExternalData_17[[#This Row],[item_key]],IsITypeList,Table_ExternalData_17[[#Headers],[CST]],IsDList,"&lt;&gt;"&amp;0)</f>
        <v>0</v>
      </c>
      <c r="M465" s="10">
        <f>SUMIFS(IsQList,IsIList,Table_ExternalData_15[[#This Row],[item_key]],IsITypeList,Table_ExternalData_17[[#Headers],[S/I]],IsDList,"&lt;&gt;"&amp;0)</f>
        <v>0</v>
      </c>
      <c r="N465" s="10">
        <f>SUMIFS(IsQList,IsIList,Table_ExternalData_15[[#This Row],[item_key]],IsITypeList,Table_ExternalData_17[[#Headers],[VST]],IsDList,"&lt;&gt;"&amp;0)</f>
        <v>0</v>
      </c>
      <c r="O465" s="10">
        <f>ABS(SUMIFS(IsQList,IsIList,Table_ExternalData_17[[#This Row],[item_key]],IsITypeList,Table_ExternalData_17[[#Headers],[RTN]],IsDList,"&lt;&gt;"&amp;0))</f>
        <v>0</v>
      </c>
      <c r="P465" s="10">
        <f>SUM(Table_ExternalData_17[[#This Row],[R/P]:[RTN]])</f>
        <v>0</v>
      </c>
      <c r="Q465" s="10">
        <f>SUM((Table_ExternalData_17[[#This Row],[Opening]]+Table_ExternalData_17[[#This Row],[Total Receipt]])-ABS(Table_ExternalData_17[[#This Row],[Total Issue]]))</f>
        <v>12</v>
      </c>
    </row>
    <row r="466" spans="1:17">
      <c r="A466" s="1" t="s">
        <v>1151</v>
      </c>
      <c r="B466" s="1" t="s">
        <v>2847</v>
      </c>
      <c r="C466" s="1" t="s">
        <v>2848</v>
      </c>
      <c r="D466" s="10">
        <f>SUMIFS(OPBQList,OPBIList,Table_ExternalData_17[[#This Row],[item_key]])+SUMIFS(GQList,GIList,Table_ExternalData_17[[#This Row],[item_key]],GDList,0)-ABS(SUMIFS(IsQList,IsIList,Table_ExternalData_17[[#This Row],[item_key]],IsDList,0))</f>
        <v>3</v>
      </c>
      <c r="E466" s="10">
        <f>SUMIFS(GQList,GIList,Table_ExternalData_17[[#This Row],[item_key]],GTList,Table_ExternalData_17[[#Headers],[GRN]],GDList,"&lt;&gt;"&amp;0)</f>
        <v>0</v>
      </c>
      <c r="F466" s="10">
        <f>SUMIFS(GQList,GIList,Table_ExternalData_17[[#This Row],[item_key]],GTList,Table_ExternalData_17[[#Headers],[VSTR]],GDList,"&lt;&gt;"&amp;0)</f>
        <v>0</v>
      </c>
      <c r="G466" s="10">
        <f>SUMIFS(GQList,GIList,Table_ExternalData_17[[#This Row],[item_key]],GTList,Table_ExternalData_17[[#Headers],[SR]],GDList,"&lt;&gt;"&amp;0)</f>
        <v>0</v>
      </c>
      <c r="H466" s="10">
        <f>SUMIFS(GQList,GIList,Table_ExternalData_17[[#This Row],[item_key]],GTList,Table_ExternalData_17[[#Headers],[TR]],GDList,"&lt;&gt;"&amp;0)</f>
        <v>0</v>
      </c>
      <c r="I466" s="10">
        <f>SUMIFS(GQList,GIList,Table_ExternalData_17[[#This Row],[item_key]],GTList,Table_ExternalData_17[[#Headers],[RCA]],GDList,"&lt;&gt;"&amp;0)</f>
        <v>0</v>
      </c>
      <c r="J466" s="10">
        <f>SUM(Table_ExternalData_17[[#This Row],[GRN]]+Table_ExternalData_17[[#This Row],[VSTR]]+Table_ExternalData_17[[#This Row],[SR]]+Table_ExternalData_17[[#This Row],[TR]]+Table_ExternalData_17[[#This Row],[RCA]])</f>
        <v>0</v>
      </c>
      <c r="K466" s="10">
        <f>SUMIFS(IsQList,IsIList,Table_ExternalData_17[[#This Row],[item_key]],IsITypeList,Table_ExternalData_17[[#Headers],[R/P]],IsDList,"&lt;&gt;"&amp;0)</f>
        <v>0</v>
      </c>
      <c r="L466" s="10">
        <f>SUMIFS(IsQList,IsIList,Table_ExternalData_17[[#This Row],[item_key]],IsITypeList,Table_ExternalData_17[[#Headers],[CST]],IsDList,"&lt;&gt;"&amp;0)</f>
        <v>0</v>
      </c>
      <c r="M466" s="10">
        <f>SUMIFS(IsQList,IsIList,Table_ExternalData_15[[#This Row],[item_key]],IsITypeList,Table_ExternalData_17[[#Headers],[S/I]],IsDList,"&lt;&gt;"&amp;0)</f>
        <v>0</v>
      </c>
      <c r="N466" s="10">
        <f>SUMIFS(IsQList,IsIList,Table_ExternalData_15[[#This Row],[item_key]],IsITypeList,Table_ExternalData_17[[#Headers],[VST]],IsDList,"&lt;&gt;"&amp;0)</f>
        <v>0</v>
      </c>
      <c r="O466" s="10">
        <f>ABS(SUMIFS(IsQList,IsIList,Table_ExternalData_17[[#This Row],[item_key]],IsITypeList,Table_ExternalData_17[[#Headers],[RTN]],IsDList,"&lt;&gt;"&amp;0))</f>
        <v>0</v>
      </c>
      <c r="P466" s="10">
        <f>SUM(Table_ExternalData_17[[#This Row],[R/P]:[RTN]])</f>
        <v>0</v>
      </c>
      <c r="Q466" s="10">
        <f>SUM((Table_ExternalData_17[[#This Row],[Opening]]+Table_ExternalData_17[[#This Row],[Total Receipt]])-ABS(Table_ExternalData_17[[#This Row],[Total Issue]]))</f>
        <v>3</v>
      </c>
    </row>
    <row r="467" spans="1:17">
      <c r="A467" s="1" t="s">
        <v>1152</v>
      </c>
      <c r="B467" s="1" t="s">
        <v>2849</v>
      </c>
      <c r="C467" s="1" t="s">
        <v>2850</v>
      </c>
      <c r="D467" s="10">
        <f>SUMIFS(OPBQList,OPBIList,Table_ExternalData_17[[#This Row],[item_key]])+SUMIFS(GQList,GIList,Table_ExternalData_17[[#This Row],[item_key]],GDList,0)-ABS(SUMIFS(IsQList,IsIList,Table_ExternalData_17[[#This Row],[item_key]],IsDList,0))</f>
        <v>4</v>
      </c>
      <c r="E467" s="10">
        <f>SUMIFS(GQList,GIList,Table_ExternalData_17[[#This Row],[item_key]],GTList,Table_ExternalData_17[[#Headers],[GRN]],GDList,"&lt;&gt;"&amp;0)</f>
        <v>0</v>
      </c>
      <c r="F467" s="10">
        <f>SUMIFS(GQList,GIList,Table_ExternalData_17[[#This Row],[item_key]],GTList,Table_ExternalData_17[[#Headers],[VSTR]],GDList,"&lt;&gt;"&amp;0)</f>
        <v>0</v>
      </c>
      <c r="G467" s="10">
        <f>SUMIFS(GQList,GIList,Table_ExternalData_17[[#This Row],[item_key]],GTList,Table_ExternalData_17[[#Headers],[SR]],GDList,"&lt;&gt;"&amp;0)</f>
        <v>0</v>
      </c>
      <c r="H467" s="10">
        <f>SUMIFS(GQList,GIList,Table_ExternalData_17[[#This Row],[item_key]],GTList,Table_ExternalData_17[[#Headers],[TR]],GDList,"&lt;&gt;"&amp;0)</f>
        <v>0</v>
      </c>
      <c r="I467" s="10">
        <f>SUMIFS(GQList,GIList,Table_ExternalData_17[[#This Row],[item_key]],GTList,Table_ExternalData_17[[#Headers],[RCA]],GDList,"&lt;&gt;"&amp;0)</f>
        <v>0</v>
      </c>
      <c r="J467" s="10">
        <f>SUM(Table_ExternalData_17[[#This Row],[GRN]]+Table_ExternalData_17[[#This Row],[VSTR]]+Table_ExternalData_17[[#This Row],[SR]]+Table_ExternalData_17[[#This Row],[TR]]+Table_ExternalData_17[[#This Row],[RCA]])</f>
        <v>0</v>
      </c>
      <c r="K467" s="10">
        <f>SUMIFS(IsQList,IsIList,Table_ExternalData_17[[#This Row],[item_key]],IsITypeList,Table_ExternalData_17[[#Headers],[R/P]],IsDList,"&lt;&gt;"&amp;0)</f>
        <v>0</v>
      </c>
      <c r="L467" s="10">
        <f>SUMIFS(IsQList,IsIList,Table_ExternalData_17[[#This Row],[item_key]],IsITypeList,Table_ExternalData_17[[#Headers],[CST]],IsDList,"&lt;&gt;"&amp;0)</f>
        <v>0</v>
      </c>
      <c r="M467" s="10">
        <f>SUMIFS(IsQList,IsIList,Table_ExternalData_15[[#This Row],[item_key]],IsITypeList,Table_ExternalData_17[[#Headers],[S/I]],IsDList,"&lt;&gt;"&amp;0)</f>
        <v>0</v>
      </c>
      <c r="N467" s="10">
        <f>SUMIFS(IsQList,IsIList,Table_ExternalData_15[[#This Row],[item_key]],IsITypeList,Table_ExternalData_17[[#Headers],[VST]],IsDList,"&lt;&gt;"&amp;0)</f>
        <v>0</v>
      </c>
      <c r="O467" s="10">
        <f>ABS(SUMIFS(IsQList,IsIList,Table_ExternalData_17[[#This Row],[item_key]],IsITypeList,Table_ExternalData_17[[#Headers],[RTN]],IsDList,"&lt;&gt;"&amp;0))</f>
        <v>0</v>
      </c>
      <c r="P467" s="10">
        <f>SUM(Table_ExternalData_17[[#This Row],[R/P]:[RTN]])</f>
        <v>0</v>
      </c>
      <c r="Q467" s="10">
        <f>SUM((Table_ExternalData_17[[#This Row],[Opening]]+Table_ExternalData_17[[#This Row],[Total Receipt]])-ABS(Table_ExternalData_17[[#This Row],[Total Issue]]))</f>
        <v>4</v>
      </c>
    </row>
    <row r="468" spans="1:17">
      <c r="A468" s="1" t="s">
        <v>2308</v>
      </c>
      <c r="B468" s="1" t="s">
        <v>2851</v>
      </c>
      <c r="C468" s="1" t="s">
        <v>2852</v>
      </c>
      <c r="D468" s="10">
        <f>SUMIFS(OPBQList,OPBIList,Table_ExternalData_17[[#This Row],[item_key]])+SUMIFS(GQList,GIList,Table_ExternalData_17[[#This Row],[item_key]],GDList,0)-ABS(SUMIFS(IsQList,IsIList,Table_ExternalData_17[[#This Row],[item_key]],IsDList,0))</f>
        <v>418</v>
      </c>
      <c r="E468" s="10">
        <f>SUMIFS(GQList,GIList,Table_ExternalData_17[[#This Row],[item_key]],GTList,Table_ExternalData_17[[#Headers],[GRN]],GDList,"&lt;&gt;"&amp;0)</f>
        <v>0</v>
      </c>
      <c r="F468" s="10">
        <f>SUMIFS(GQList,GIList,Table_ExternalData_17[[#This Row],[item_key]],GTList,Table_ExternalData_17[[#Headers],[VSTR]],GDList,"&lt;&gt;"&amp;0)</f>
        <v>0</v>
      </c>
      <c r="G468" s="10">
        <f>SUMIFS(GQList,GIList,Table_ExternalData_17[[#This Row],[item_key]],GTList,Table_ExternalData_17[[#Headers],[SR]],GDList,"&lt;&gt;"&amp;0)</f>
        <v>0</v>
      </c>
      <c r="H468" s="10">
        <f>SUMIFS(GQList,GIList,Table_ExternalData_17[[#This Row],[item_key]],GTList,Table_ExternalData_17[[#Headers],[TR]],GDList,"&lt;&gt;"&amp;0)</f>
        <v>0</v>
      </c>
      <c r="I468" s="10">
        <f>SUMIFS(GQList,GIList,Table_ExternalData_17[[#This Row],[item_key]],GTList,Table_ExternalData_17[[#Headers],[RCA]],GDList,"&lt;&gt;"&amp;0)</f>
        <v>0</v>
      </c>
      <c r="J468" s="10">
        <f>SUM(Table_ExternalData_17[[#This Row],[GRN]]+Table_ExternalData_17[[#This Row],[VSTR]]+Table_ExternalData_17[[#This Row],[SR]]+Table_ExternalData_17[[#This Row],[TR]]+Table_ExternalData_17[[#This Row],[RCA]])</f>
        <v>0</v>
      </c>
      <c r="K468" s="10">
        <f>SUMIFS(IsQList,IsIList,Table_ExternalData_17[[#This Row],[item_key]],IsITypeList,Table_ExternalData_17[[#Headers],[R/P]],IsDList,"&lt;&gt;"&amp;0)</f>
        <v>0</v>
      </c>
      <c r="L468" s="10">
        <f>SUMIFS(IsQList,IsIList,Table_ExternalData_17[[#This Row],[item_key]],IsITypeList,Table_ExternalData_17[[#Headers],[CST]],IsDList,"&lt;&gt;"&amp;0)</f>
        <v>0</v>
      </c>
      <c r="M468" s="10">
        <f>SUMIFS(IsQList,IsIList,Table_ExternalData_15[[#This Row],[item_key]],IsITypeList,Table_ExternalData_17[[#Headers],[S/I]],IsDList,"&lt;&gt;"&amp;0)</f>
        <v>0</v>
      </c>
      <c r="N468" s="10">
        <f>SUMIFS(IsQList,IsIList,Table_ExternalData_15[[#This Row],[item_key]],IsITypeList,Table_ExternalData_17[[#Headers],[VST]],IsDList,"&lt;&gt;"&amp;0)</f>
        <v>0</v>
      </c>
      <c r="O468" s="10">
        <f>ABS(SUMIFS(IsQList,IsIList,Table_ExternalData_17[[#This Row],[item_key]],IsITypeList,Table_ExternalData_17[[#Headers],[RTN]],IsDList,"&lt;&gt;"&amp;0))</f>
        <v>0</v>
      </c>
      <c r="P468" s="10">
        <f>SUM(Table_ExternalData_17[[#This Row],[R/P]:[RTN]])</f>
        <v>0</v>
      </c>
      <c r="Q468" s="10">
        <f>SUM((Table_ExternalData_17[[#This Row],[Opening]]+Table_ExternalData_17[[#This Row],[Total Receipt]])-ABS(Table_ExternalData_17[[#This Row],[Total Issue]]))</f>
        <v>418</v>
      </c>
    </row>
    <row r="469" spans="1:17">
      <c r="A469" s="1" t="s">
        <v>2309</v>
      </c>
      <c r="B469" s="1" t="s">
        <v>2853</v>
      </c>
      <c r="C469" s="1" t="s">
        <v>2854</v>
      </c>
      <c r="D469" s="10">
        <f>SUMIFS(OPBQList,OPBIList,Table_ExternalData_17[[#This Row],[item_key]])+SUMIFS(GQList,GIList,Table_ExternalData_17[[#This Row],[item_key]],GDList,0)-ABS(SUMIFS(IsQList,IsIList,Table_ExternalData_17[[#This Row],[item_key]],IsDList,0))</f>
        <v>146</v>
      </c>
      <c r="E469" s="10">
        <f>SUMIFS(GQList,GIList,Table_ExternalData_17[[#This Row],[item_key]],GTList,Table_ExternalData_17[[#Headers],[GRN]],GDList,"&lt;&gt;"&amp;0)</f>
        <v>0</v>
      </c>
      <c r="F469" s="10">
        <f>SUMIFS(GQList,GIList,Table_ExternalData_17[[#This Row],[item_key]],GTList,Table_ExternalData_17[[#Headers],[VSTR]],GDList,"&lt;&gt;"&amp;0)</f>
        <v>0</v>
      </c>
      <c r="G469" s="10">
        <f>SUMIFS(GQList,GIList,Table_ExternalData_17[[#This Row],[item_key]],GTList,Table_ExternalData_17[[#Headers],[SR]],GDList,"&lt;&gt;"&amp;0)</f>
        <v>0</v>
      </c>
      <c r="H469" s="10">
        <f>SUMIFS(GQList,GIList,Table_ExternalData_17[[#This Row],[item_key]],GTList,Table_ExternalData_17[[#Headers],[TR]],GDList,"&lt;&gt;"&amp;0)</f>
        <v>0</v>
      </c>
      <c r="I469" s="10">
        <f>SUMIFS(GQList,GIList,Table_ExternalData_17[[#This Row],[item_key]],GTList,Table_ExternalData_17[[#Headers],[RCA]],GDList,"&lt;&gt;"&amp;0)</f>
        <v>0</v>
      </c>
      <c r="J469" s="10">
        <f>SUM(Table_ExternalData_17[[#This Row],[GRN]]+Table_ExternalData_17[[#This Row],[VSTR]]+Table_ExternalData_17[[#This Row],[SR]]+Table_ExternalData_17[[#This Row],[TR]]+Table_ExternalData_17[[#This Row],[RCA]])</f>
        <v>0</v>
      </c>
      <c r="K469" s="10">
        <f>SUMIFS(IsQList,IsIList,Table_ExternalData_17[[#This Row],[item_key]],IsITypeList,Table_ExternalData_17[[#Headers],[R/P]],IsDList,"&lt;&gt;"&amp;0)</f>
        <v>0</v>
      </c>
      <c r="L469" s="10">
        <f>SUMIFS(IsQList,IsIList,Table_ExternalData_17[[#This Row],[item_key]],IsITypeList,Table_ExternalData_17[[#Headers],[CST]],IsDList,"&lt;&gt;"&amp;0)</f>
        <v>0</v>
      </c>
      <c r="M469" s="10">
        <f>SUMIFS(IsQList,IsIList,Table_ExternalData_15[[#This Row],[item_key]],IsITypeList,Table_ExternalData_17[[#Headers],[S/I]],IsDList,"&lt;&gt;"&amp;0)</f>
        <v>0</v>
      </c>
      <c r="N469" s="10">
        <f>SUMIFS(IsQList,IsIList,Table_ExternalData_15[[#This Row],[item_key]],IsITypeList,Table_ExternalData_17[[#Headers],[VST]],IsDList,"&lt;&gt;"&amp;0)</f>
        <v>0</v>
      </c>
      <c r="O469" s="10">
        <f>ABS(SUMIFS(IsQList,IsIList,Table_ExternalData_17[[#This Row],[item_key]],IsITypeList,Table_ExternalData_17[[#Headers],[RTN]],IsDList,"&lt;&gt;"&amp;0))</f>
        <v>0</v>
      </c>
      <c r="P469" s="10">
        <f>SUM(Table_ExternalData_17[[#This Row],[R/P]:[RTN]])</f>
        <v>0</v>
      </c>
      <c r="Q469" s="10">
        <f>SUM((Table_ExternalData_17[[#This Row],[Opening]]+Table_ExternalData_17[[#This Row],[Total Receipt]])-ABS(Table_ExternalData_17[[#This Row],[Total Issue]]))</f>
        <v>146</v>
      </c>
    </row>
    <row r="470" spans="1:17">
      <c r="A470" s="1" t="s">
        <v>2310</v>
      </c>
      <c r="B470" s="1" t="s">
        <v>2855</v>
      </c>
      <c r="C470" s="1" t="s">
        <v>2856</v>
      </c>
      <c r="D470" s="10">
        <f>SUMIFS(OPBQList,OPBIList,Table_ExternalData_17[[#This Row],[item_key]])+SUMIFS(GQList,GIList,Table_ExternalData_17[[#This Row],[item_key]],GDList,0)-ABS(SUMIFS(IsQList,IsIList,Table_ExternalData_17[[#This Row],[item_key]],IsDList,0))</f>
        <v>48</v>
      </c>
      <c r="E470" s="10">
        <f>SUMIFS(GQList,GIList,Table_ExternalData_17[[#This Row],[item_key]],GTList,Table_ExternalData_17[[#Headers],[GRN]],GDList,"&lt;&gt;"&amp;0)</f>
        <v>0</v>
      </c>
      <c r="F470" s="10">
        <f>SUMIFS(GQList,GIList,Table_ExternalData_17[[#This Row],[item_key]],GTList,Table_ExternalData_17[[#Headers],[VSTR]],GDList,"&lt;&gt;"&amp;0)</f>
        <v>0</v>
      </c>
      <c r="G470" s="10">
        <f>SUMIFS(GQList,GIList,Table_ExternalData_17[[#This Row],[item_key]],GTList,Table_ExternalData_17[[#Headers],[SR]],GDList,"&lt;&gt;"&amp;0)</f>
        <v>0</v>
      </c>
      <c r="H470" s="10">
        <f>SUMIFS(GQList,GIList,Table_ExternalData_17[[#This Row],[item_key]],GTList,Table_ExternalData_17[[#Headers],[TR]],GDList,"&lt;&gt;"&amp;0)</f>
        <v>0</v>
      </c>
      <c r="I470" s="10">
        <f>SUMIFS(GQList,GIList,Table_ExternalData_17[[#This Row],[item_key]],GTList,Table_ExternalData_17[[#Headers],[RCA]],GDList,"&lt;&gt;"&amp;0)</f>
        <v>0</v>
      </c>
      <c r="J470" s="10">
        <f>SUM(Table_ExternalData_17[[#This Row],[GRN]]+Table_ExternalData_17[[#This Row],[VSTR]]+Table_ExternalData_17[[#This Row],[SR]]+Table_ExternalData_17[[#This Row],[TR]]+Table_ExternalData_17[[#This Row],[RCA]])</f>
        <v>0</v>
      </c>
      <c r="K470" s="10">
        <f>SUMIFS(IsQList,IsIList,Table_ExternalData_17[[#This Row],[item_key]],IsITypeList,Table_ExternalData_17[[#Headers],[R/P]],IsDList,"&lt;&gt;"&amp;0)</f>
        <v>0</v>
      </c>
      <c r="L470" s="10">
        <f>SUMIFS(IsQList,IsIList,Table_ExternalData_17[[#This Row],[item_key]],IsITypeList,Table_ExternalData_17[[#Headers],[CST]],IsDList,"&lt;&gt;"&amp;0)</f>
        <v>0</v>
      </c>
      <c r="M470" s="10">
        <f>SUMIFS(IsQList,IsIList,Table_ExternalData_15[[#This Row],[item_key]],IsITypeList,Table_ExternalData_17[[#Headers],[S/I]],IsDList,"&lt;&gt;"&amp;0)</f>
        <v>0</v>
      </c>
      <c r="N470" s="10">
        <f>SUMIFS(IsQList,IsIList,Table_ExternalData_15[[#This Row],[item_key]],IsITypeList,Table_ExternalData_17[[#Headers],[VST]],IsDList,"&lt;&gt;"&amp;0)</f>
        <v>0</v>
      </c>
      <c r="O470" s="10">
        <f>ABS(SUMIFS(IsQList,IsIList,Table_ExternalData_17[[#This Row],[item_key]],IsITypeList,Table_ExternalData_17[[#Headers],[RTN]],IsDList,"&lt;&gt;"&amp;0))</f>
        <v>0</v>
      </c>
      <c r="P470" s="10">
        <f>SUM(Table_ExternalData_17[[#This Row],[R/P]:[RTN]])</f>
        <v>0</v>
      </c>
      <c r="Q470" s="10">
        <f>SUM((Table_ExternalData_17[[#This Row],[Opening]]+Table_ExternalData_17[[#This Row],[Total Receipt]])-ABS(Table_ExternalData_17[[#This Row],[Total Issue]]))</f>
        <v>48</v>
      </c>
    </row>
    <row r="471" spans="1:17">
      <c r="A471" s="1" t="s">
        <v>2319</v>
      </c>
      <c r="B471" s="1" t="s">
        <v>2857</v>
      </c>
      <c r="C471" s="1" t="s">
        <v>2858</v>
      </c>
      <c r="D471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1" s="10">
        <f>SUMIFS(GQList,GIList,Table_ExternalData_17[[#This Row],[item_key]],GTList,Table_ExternalData_17[[#Headers],[GRN]],GDList,"&lt;&gt;"&amp;0)</f>
        <v>99</v>
      </c>
      <c r="F471" s="10">
        <f>SUMIFS(GQList,GIList,Table_ExternalData_17[[#This Row],[item_key]],GTList,Table_ExternalData_17[[#Headers],[VSTR]],GDList,"&lt;&gt;"&amp;0)</f>
        <v>0</v>
      </c>
      <c r="G471" s="10">
        <f>SUMIFS(GQList,GIList,Table_ExternalData_17[[#This Row],[item_key]],GTList,Table_ExternalData_17[[#Headers],[SR]],GDList,"&lt;&gt;"&amp;0)</f>
        <v>0</v>
      </c>
      <c r="H471" s="10">
        <f>SUMIFS(GQList,GIList,Table_ExternalData_17[[#This Row],[item_key]],GTList,Table_ExternalData_17[[#Headers],[TR]],GDList,"&lt;&gt;"&amp;0)</f>
        <v>0</v>
      </c>
      <c r="I471" s="10">
        <f>SUMIFS(GQList,GIList,Table_ExternalData_17[[#This Row],[item_key]],GTList,Table_ExternalData_17[[#Headers],[RCA]],GDList,"&lt;&gt;"&amp;0)</f>
        <v>0</v>
      </c>
      <c r="J471" s="10">
        <f>SUM(Table_ExternalData_17[[#This Row],[GRN]]+Table_ExternalData_17[[#This Row],[VSTR]]+Table_ExternalData_17[[#This Row],[SR]]+Table_ExternalData_17[[#This Row],[TR]]+Table_ExternalData_17[[#This Row],[RCA]])</f>
        <v>99</v>
      </c>
      <c r="K471" s="10">
        <f>SUMIFS(IsQList,IsIList,Table_ExternalData_17[[#This Row],[item_key]],IsITypeList,Table_ExternalData_17[[#Headers],[R/P]],IsDList,"&lt;&gt;"&amp;0)</f>
        <v>0</v>
      </c>
      <c r="L471" s="10">
        <f>SUMIFS(IsQList,IsIList,Table_ExternalData_17[[#This Row],[item_key]],IsITypeList,Table_ExternalData_17[[#Headers],[CST]],IsDList,"&lt;&gt;"&amp;0)</f>
        <v>0</v>
      </c>
      <c r="M471" s="10">
        <f>SUMIFS(IsQList,IsIList,Table_ExternalData_15[[#This Row],[item_key]],IsITypeList,Table_ExternalData_17[[#Headers],[S/I]],IsDList,"&lt;&gt;"&amp;0)</f>
        <v>0</v>
      </c>
      <c r="N471" s="10">
        <f>SUMIFS(IsQList,IsIList,Table_ExternalData_15[[#This Row],[item_key]],IsITypeList,Table_ExternalData_17[[#Headers],[VST]],IsDList,"&lt;&gt;"&amp;0)</f>
        <v>0</v>
      </c>
      <c r="O471" s="10">
        <f>ABS(SUMIFS(IsQList,IsIList,Table_ExternalData_17[[#This Row],[item_key]],IsITypeList,Table_ExternalData_17[[#Headers],[RTN]],IsDList,"&lt;&gt;"&amp;0))</f>
        <v>0</v>
      </c>
      <c r="P471" s="10">
        <f>SUM(Table_ExternalData_17[[#This Row],[R/P]:[RTN]])</f>
        <v>0</v>
      </c>
      <c r="Q471" s="10">
        <f>SUM((Table_ExternalData_17[[#This Row],[Opening]]+Table_ExternalData_17[[#This Row],[Total Receipt]])-ABS(Table_ExternalData_17[[#This Row],[Total Issue]]))</f>
        <v>99</v>
      </c>
    </row>
    <row r="472" spans="1:17">
      <c r="A472" s="1" t="s">
        <v>1156</v>
      </c>
      <c r="B472" s="1" t="s">
        <v>1574</v>
      </c>
      <c r="C472" s="1" t="s">
        <v>1575</v>
      </c>
      <c r="D472" s="10">
        <f>SUMIFS(OPBQList,OPBIList,Table_ExternalData_17[[#This Row],[item_key]])+SUMIFS(GQList,GIList,Table_ExternalData_17[[#This Row],[item_key]],GDList,0)-ABS(SUMIFS(IsQList,IsIList,Table_ExternalData_17[[#This Row],[item_key]],IsDList,0))</f>
        <v>1400</v>
      </c>
      <c r="E472" s="10">
        <f>SUMIFS(GQList,GIList,Table_ExternalData_17[[#This Row],[item_key]],GTList,Table_ExternalData_17[[#Headers],[GRN]],GDList,"&lt;&gt;"&amp;0)</f>
        <v>0</v>
      </c>
      <c r="F472" s="10">
        <f>SUMIFS(GQList,GIList,Table_ExternalData_17[[#This Row],[item_key]],GTList,Table_ExternalData_17[[#Headers],[VSTR]],GDList,"&lt;&gt;"&amp;0)</f>
        <v>0</v>
      </c>
      <c r="G472" s="10">
        <f>SUMIFS(GQList,GIList,Table_ExternalData_17[[#This Row],[item_key]],GTList,Table_ExternalData_17[[#Headers],[SR]],GDList,"&lt;&gt;"&amp;0)</f>
        <v>0</v>
      </c>
      <c r="H472" s="10">
        <f>SUMIFS(GQList,GIList,Table_ExternalData_17[[#This Row],[item_key]],GTList,Table_ExternalData_17[[#Headers],[TR]],GDList,"&lt;&gt;"&amp;0)</f>
        <v>0</v>
      </c>
      <c r="I472" s="10">
        <f>SUMIFS(GQList,GIList,Table_ExternalData_17[[#This Row],[item_key]],GTList,Table_ExternalData_17[[#Headers],[RCA]],GDList,"&lt;&gt;"&amp;0)</f>
        <v>0</v>
      </c>
      <c r="J472" s="10">
        <f>SUM(Table_ExternalData_17[[#This Row],[GRN]]+Table_ExternalData_17[[#This Row],[VSTR]]+Table_ExternalData_17[[#This Row],[SR]]+Table_ExternalData_17[[#This Row],[TR]]+Table_ExternalData_17[[#This Row],[RCA]])</f>
        <v>0</v>
      </c>
      <c r="K472" s="10">
        <f>SUMIFS(IsQList,IsIList,Table_ExternalData_17[[#This Row],[item_key]],IsITypeList,Table_ExternalData_17[[#Headers],[R/P]],IsDList,"&lt;&gt;"&amp;0)</f>
        <v>0</v>
      </c>
      <c r="L472" s="10">
        <f>SUMIFS(IsQList,IsIList,Table_ExternalData_17[[#This Row],[item_key]],IsITypeList,Table_ExternalData_17[[#Headers],[CST]],IsDList,"&lt;&gt;"&amp;0)</f>
        <v>0</v>
      </c>
      <c r="M472" s="10">
        <f>SUMIFS(IsQList,IsIList,Table_ExternalData_15[[#This Row],[item_key]],IsITypeList,Table_ExternalData_17[[#Headers],[S/I]],IsDList,"&lt;&gt;"&amp;0)</f>
        <v>0</v>
      </c>
      <c r="N472" s="10">
        <f>SUMIFS(IsQList,IsIList,Table_ExternalData_15[[#This Row],[item_key]],IsITypeList,Table_ExternalData_17[[#Headers],[VST]],IsDList,"&lt;&gt;"&amp;0)</f>
        <v>0</v>
      </c>
      <c r="O472" s="10">
        <f>ABS(SUMIFS(IsQList,IsIList,Table_ExternalData_17[[#This Row],[item_key]],IsITypeList,Table_ExternalData_17[[#Headers],[RTN]],IsDList,"&lt;&gt;"&amp;0))</f>
        <v>0</v>
      </c>
      <c r="P472" s="10">
        <f>SUM(Table_ExternalData_17[[#This Row],[R/P]:[RTN]])</f>
        <v>0</v>
      </c>
      <c r="Q472" s="10">
        <f>SUM((Table_ExternalData_17[[#This Row],[Opening]]+Table_ExternalData_17[[#This Row],[Total Receipt]])-ABS(Table_ExternalData_17[[#This Row],[Total Issue]]))</f>
        <v>1400</v>
      </c>
    </row>
    <row r="473" spans="1:17">
      <c r="A473" s="1" t="s">
        <v>1163</v>
      </c>
      <c r="B473" s="1" t="s">
        <v>1576</v>
      </c>
      <c r="C473" s="1" t="s">
        <v>1420</v>
      </c>
      <c r="D473" s="10">
        <f>SUMIFS(OPBQList,OPBIList,Table_ExternalData_17[[#This Row],[item_key]])+SUMIFS(GQList,GIList,Table_ExternalData_17[[#This Row],[item_key]],GDList,0)-ABS(SUMIFS(IsQList,IsIList,Table_ExternalData_17[[#This Row],[item_key]],IsDList,0))</f>
        <v>49</v>
      </c>
      <c r="E473" s="10">
        <f>SUMIFS(GQList,GIList,Table_ExternalData_17[[#This Row],[item_key]],GTList,Table_ExternalData_17[[#Headers],[GRN]],GDList,"&lt;&gt;"&amp;0)</f>
        <v>0</v>
      </c>
      <c r="F473" s="10">
        <f>SUMIFS(GQList,GIList,Table_ExternalData_17[[#This Row],[item_key]],GTList,Table_ExternalData_17[[#Headers],[VSTR]],GDList,"&lt;&gt;"&amp;0)</f>
        <v>0</v>
      </c>
      <c r="G473" s="10">
        <f>SUMIFS(GQList,GIList,Table_ExternalData_17[[#This Row],[item_key]],GTList,Table_ExternalData_17[[#Headers],[SR]],GDList,"&lt;&gt;"&amp;0)</f>
        <v>0</v>
      </c>
      <c r="H473" s="10">
        <f>SUMIFS(GQList,GIList,Table_ExternalData_17[[#This Row],[item_key]],GTList,Table_ExternalData_17[[#Headers],[TR]],GDList,"&lt;&gt;"&amp;0)</f>
        <v>0</v>
      </c>
      <c r="I473" s="10">
        <f>SUMIFS(GQList,GIList,Table_ExternalData_17[[#This Row],[item_key]],GTList,Table_ExternalData_17[[#Headers],[RCA]],GDList,"&lt;&gt;"&amp;0)</f>
        <v>0</v>
      </c>
      <c r="J473" s="10">
        <f>SUM(Table_ExternalData_17[[#This Row],[GRN]]+Table_ExternalData_17[[#This Row],[VSTR]]+Table_ExternalData_17[[#This Row],[SR]]+Table_ExternalData_17[[#This Row],[TR]]+Table_ExternalData_17[[#This Row],[RCA]])</f>
        <v>0</v>
      </c>
      <c r="K473" s="10">
        <f>SUMIFS(IsQList,IsIList,Table_ExternalData_17[[#This Row],[item_key]],IsITypeList,Table_ExternalData_17[[#Headers],[R/P]],IsDList,"&lt;&gt;"&amp;0)</f>
        <v>0</v>
      </c>
      <c r="L473" s="10">
        <f>SUMIFS(IsQList,IsIList,Table_ExternalData_17[[#This Row],[item_key]],IsITypeList,Table_ExternalData_17[[#Headers],[CST]],IsDList,"&lt;&gt;"&amp;0)</f>
        <v>0</v>
      </c>
      <c r="M473" s="10">
        <f>SUMIFS(IsQList,IsIList,Table_ExternalData_15[[#This Row],[item_key]],IsITypeList,Table_ExternalData_17[[#Headers],[S/I]],IsDList,"&lt;&gt;"&amp;0)</f>
        <v>0</v>
      </c>
      <c r="N473" s="10">
        <f>SUMIFS(IsQList,IsIList,Table_ExternalData_15[[#This Row],[item_key]],IsITypeList,Table_ExternalData_17[[#Headers],[VST]],IsDList,"&lt;&gt;"&amp;0)</f>
        <v>0</v>
      </c>
      <c r="O473" s="10">
        <f>ABS(SUMIFS(IsQList,IsIList,Table_ExternalData_17[[#This Row],[item_key]],IsITypeList,Table_ExternalData_17[[#Headers],[RTN]],IsDList,"&lt;&gt;"&amp;0))</f>
        <v>0</v>
      </c>
      <c r="P473" s="10">
        <f>SUM(Table_ExternalData_17[[#This Row],[R/P]:[RTN]])</f>
        <v>0</v>
      </c>
      <c r="Q473" s="10">
        <f>SUM((Table_ExternalData_17[[#This Row],[Opening]]+Table_ExternalData_17[[#This Row],[Total Receipt]])-ABS(Table_ExternalData_17[[#This Row],[Total Issue]]))</f>
        <v>49</v>
      </c>
    </row>
    <row r="474" spans="1:17">
      <c r="A474" s="1" t="s">
        <v>1164</v>
      </c>
      <c r="B474" s="1" t="s">
        <v>1577</v>
      </c>
      <c r="C474" s="1" t="s">
        <v>1578</v>
      </c>
      <c r="D474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4" s="10">
        <f>SUMIFS(GQList,GIList,Table_ExternalData_17[[#This Row],[item_key]],GTList,Table_ExternalData_17[[#Headers],[GRN]],GDList,"&lt;&gt;"&amp;0)</f>
        <v>38</v>
      </c>
      <c r="F474" s="10">
        <f>SUMIFS(GQList,GIList,Table_ExternalData_17[[#This Row],[item_key]],GTList,Table_ExternalData_17[[#Headers],[VSTR]],GDList,"&lt;&gt;"&amp;0)</f>
        <v>0</v>
      </c>
      <c r="G474" s="10">
        <f>SUMIFS(GQList,GIList,Table_ExternalData_17[[#This Row],[item_key]],GTList,Table_ExternalData_17[[#Headers],[SR]],GDList,"&lt;&gt;"&amp;0)</f>
        <v>0</v>
      </c>
      <c r="H474" s="10">
        <f>SUMIFS(GQList,GIList,Table_ExternalData_17[[#This Row],[item_key]],GTList,Table_ExternalData_17[[#Headers],[TR]],GDList,"&lt;&gt;"&amp;0)</f>
        <v>0</v>
      </c>
      <c r="I474" s="10">
        <f>SUMIFS(GQList,GIList,Table_ExternalData_17[[#This Row],[item_key]],GTList,Table_ExternalData_17[[#Headers],[RCA]],GDList,"&lt;&gt;"&amp;0)</f>
        <v>0</v>
      </c>
      <c r="J474" s="10">
        <f>SUM(Table_ExternalData_17[[#This Row],[GRN]]+Table_ExternalData_17[[#This Row],[VSTR]]+Table_ExternalData_17[[#This Row],[SR]]+Table_ExternalData_17[[#This Row],[TR]]+Table_ExternalData_17[[#This Row],[RCA]])</f>
        <v>38</v>
      </c>
      <c r="K474" s="10">
        <f>SUMIFS(IsQList,IsIList,Table_ExternalData_17[[#This Row],[item_key]],IsITypeList,Table_ExternalData_17[[#Headers],[R/P]],IsDList,"&lt;&gt;"&amp;0)</f>
        <v>0</v>
      </c>
      <c r="L474" s="10">
        <f>SUMIFS(IsQList,IsIList,Table_ExternalData_17[[#This Row],[item_key]],IsITypeList,Table_ExternalData_17[[#Headers],[CST]],IsDList,"&lt;&gt;"&amp;0)</f>
        <v>0</v>
      </c>
      <c r="M474" s="10">
        <f>SUMIFS(IsQList,IsIList,Table_ExternalData_15[[#This Row],[item_key]],IsITypeList,Table_ExternalData_17[[#Headers],[S/I]],IsDList,"&lt;&gt;"&amp;0)</f>
        <v>0</v>
      </c>
      <c r="N474" s="10">
        <f>SUMIFS(IsQList,IsIList,Table_ExternalData_15[[#This Row],[item_key]],IsITypeList,Table_ExternalData_17[[#Headers],[VST]],IsDList,"&lt;&gt;"&amp;0)</f>
        <v>0</v>
      </c>
      <c r="O474" s="10">
        <f>ABS(SUMIFS(IsQList,IsIList,Table_ExternalData_17[[#This Row],[item_key]],IsITypeList,Table_ExternalData_17[[#Headers],[RTN]],IsDList,"&lt;&gt;"&amp;0))</f>
        <v>0</v>
      </c>
      <c r="P474" s="10">
        <f>SUM(Table_ExternalData_17[[#This Row],[R/P]:[RTN]])</f>
        <v>0</v>
      </c>
      <c r="Q474" s="10">
        <f>SUM((Table_ExternalData_17[[#This Row],[Opening]]+Table_ExternalData_17[[#This Row],[Total Receipt]])-ABS(Table_ExternalData_17[[#This Row],[Total Issue]]))</f>
        <v>38</v>
      </c>
    </row>
    <row r="475" spans="1:17">
      <c r="A475" s="1" t="s">
        <v>1165</v>
      </c>
      <c r="B475" s="1" t="s">
        <v>1579</v>
      </c>
      <c r="C475" s="1" t="s">
        <v>1580</v>
      </c>
      <c r="D475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5" s="10">
        <f>SUMIFS(GQList,GIList,Table_ExternalData_17[[#This Row],[item_key]],GTList,Table_ExternalData_17[[#Headers],[GRN]],GDList,"&lt;&gt;"&amp;0)</f>
        <v>38</v>
      </c>
      <c r="F475" s="10">
        <f>SUMIFS(GQList,GIList,Table_ExternalData_17[[#This Row],[item_key]],GTList,Table_ExternalData_17[[#Headers],[VSTR]],GDList,"&lt;&gt;"&amp;0)</f>
        <v>0</v>
      </c>
      <c r="G475" s="10">
        <f>SUMIFS(GQList,GIList,Table_ExternalData_17[[#This Row],[item_key]],GTList,Table_ExternalData_17[[#Headers],[SR]],GDList,"&lt;&gt;"&amp;0)</f>
        <v>0</v>
      </c>
      <c r="H475" s="10">
        <f>SUMIFS(GQList,GIList,Table_ExternalData_17[[#This Row],[item_key]],GTList,Table_ExternalData_17[[#Headers],[TR]],GDList,"&lt;&gt;"&amp;0)</f>
        <v>0</v>
      </c>
      <c r="I475" s="10">
        <f>SUMIFS(GQList,GIList,Table_ExternalData_17[[#This Row],[item_key]],GTList,Table_ExternalData_17[[#Headers],[RCA]],GDList,"&lt;&gt;"&amp;0)</f>
        <v>0</v>
      </c>
      <c r="J475" s="10">
        <f>SUM(Table_ExternalData_17[[#This Row],[GRN]]+Table_ExternalData_17[[#This Row],[VSTR]]+Table_ExternalData_17[[#This Row],[SR]]+Table_ExternalData_17[[#This Row],[TR]]+Table_ExternalData_17[[#This Row],[RCA]])</f>
        <v>38</v>
      </c>
      <c r="K475" s="10">
        <f>SUMIFS(IsQList,IsIList,Table_ExternalData_17[[#This Row],[item_key]],IsITypeList,Table_ExternalData_17[[#Headers],[R/P]],IsDList,"&lt;&gt;"&amp;0)</f>
        <v>0</v>
      </c>
      <c r="L475" s="10">
        <f>SUMIFS(IsQList,IsIList,Table_ExternalData_17[[#This Row],[item_key]],IsITypeList,Table_ExternalData_17[[#Headers],[CST]],IsDList,"&lt;&gt;"&amp;0)</f>
        <v>0</v>
      </c>
      <c r="M475" s="10">
        <f>SUMIFS(IsQList,IsIList,Table_ExternalData_15[[#This Row],[item_key]],IsITypeList,Table_ExternalData_17[[#Headers],[S/I]],IsDList,"&lt;&gt;"&amp;0)</f>
        <v>0</v>
      </c>
      <c r="N475" s="10">
        <f>SUMIFS(IsQList,IsIList,Table_ExternalData_15[[#This Row],[item_key]],IsITypeList,Table_ExternalData_17[[#Headers],[VST]],IsDList,"&lt;&gt;"&amp;0)</f>
        <v>0</v>
      </c>
      <c r="O475" s="10">
        <f>ABS(SUMIFS(IsQList,IsIList,Table_ExternalData_17[[#This Row],[item_key]],IsITypeList,Table_ExternalData_17[[#Headers],[RTN]],IsDList,"&lt;&gt;"&amp;0))</f>
        <v>0</v>
      </c>
      <c r="P475" s="10">
        <f>SUM(Table_ExternalData_17[[#This Row],[R/P]:[RTN]])</f>
        <v>0</v>
      </c>
      <c r="Q475" s="10">
        <f>SUM((Table_ExternalData_17[[#This Row],[Opening]]+Table_ExternalData_17[[#This Row],[Total Receipt]])-ABS(Table_ExternalData_17[[#This Row],[Total Issue]]))</f>
        <v>38</v>
      </c>
    </row>
    <row r="476" spans="1:17">
      <c r="A476" s="1" t="s">
        <v>1166</v>
      </c>
      <c r="B476" s="1" t="s">
        <v>2859</v>
      </c>
      <c r="C476" s="1" t="s">
        <v>1578</v>
      </c>
      <c r="D476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6" s="10">
        <f>SUMIFS(GQList,GIList,Table_ExternalData_17[[#This Row],[item_key]],GTList,Table_ExternalData_17[[#Headers],[GRN]],GDList,"&lt;&gt;"&amp;0)</f>
        <v>5</v>
      </c>
      <c r="F476" s="10">
        <f>SUMIFS(GQList,GIList,Table_ExternalData_17[[#This Row],[item_key]],GTList,Table_ExternalData_17[[#Headers],[VSTR]],GDList,"&lt;&gt;"&amp;0)</f>
        <v>0</v>
      </c>
      <c r="G476" s="10">
        <f>SUMIFS(GQList,GIList,Table_ExternalData_17[[#This Row],[item_key]],GTList,Table_ExternalData_17[[#Headers],[SR]],GDList,"&lt;&gt;"&amp;0)</f>
        <v>0</v>
      </c>
      <c r="H476" s="10">
        <f>SUMIFS(GQList,GIList,Table_ExternalData_17[[#This Row],[item_key]],GTList,Table_ExternalData_17[[#Headers],[TR]],GDList,"&lt;&gt;"&amp;0)</f>
        <v>0</v>
      </c>
      <c r="I476" s="10">
        <f>SUMIFS(GQList,GIList,Table_ExternalData_17[[#This Row],[item_key]],GTList,Table_ExternalData_17[[#Headers],[RCA]],GDList,"&lt;&gt;"&amp;0)</f>
        <v>0</v>
      </c>
      <c r="J476" s="10">
        <f>SUM(Table_ExternalData_17[[#This Row],[GRN]]+Table_ExternalData_17[[#This Row],[VSTR]]+Table_ExternalData_17[[#This Row],[SR]]+Table_ExternalData_17[[#This Row],[TR]]+Table_ExternalData_17[[#This Row],[RCA]])</f>
        <v>5</v>
      </c>
      <c r="K476" s="10">
        <f>SUMIFS(IsQList,IsIList,Table_ExternalData_17[[#This Row],[item_key]],IsITypeList,Table_ExternalData_17[[#Headers],[R/P]],IsDList,"&lt;&gt;"&amp;0)</f>
        <v>0</v>
      </c>
      <c r="L476" s="10">
        <f>SUMIFS(IsQList,IsIList,Table_ExternalData_17[[#This Row],[item_key]],IsITypeList,Table_ExternalData_17[[#Headers],[CST]],IsDList,"&lt;&gt;"&amp;0)</f>
        <v>0</v>
      </c>
      <c r="M476" s="10">
        <f>SUMIFS(IsQList,IsIList,Table_ExternalData_15[[#This Row],[item_key]],IsITypeList,Table_ExternalData_17[[#Headers],[S/I]],IsDList,"&lt;&gt;"&amp;0)</f>
        <v>0</v>
      </c>
      <c r="N476" s="10">
        <f>SUMIFS(IsQList,IsIList,Table_ExternalData_15[[#This Row],[item_key]],IsITypeList,Table_ExternalData_17[[#Headers],[VST]],IsDList,"&lt;&gt;"&amp;0)</f>
        <v>0</v>
      </c>
      <c r="O476" s="10">
        <f>ABS(SUMIFS(IsQList,IsIList,Table_ExternalData_17[[#This Row],[item_key]],IsITypeList,Table_ExternalData_17[[#Headers],[RTN]],IsDList,"&lt;&gt;"&amp;0))</f>
        <v>0</v>
      </c>
      <c r="P476" s="10">
        <f>SUM(Table_ExternalData_17[[#This Row],[R/P]:[RTN]])</f>
        <v>0</v>
      </c>
      <c r="Q476" s="10">
        <f>SUM((Table_ExternalData_17[[#This Row],[Opening]]+Table_ExternalData_17[[#This Row],[Total Receipt]])-ABS(Table_ExternalData_17[[#This Row],[Total Issue]]))</f>
        <v>5</v>
      </c>
    </row>
    <row r="477" spans="1:17">
      <c r="A477" s="1" t="s">
        <v>1167</v>
      </c>
      <c r="B477" s="1" t="s">
        <v>2860</v>
      </c>
      <c r="C477" s="1" t="s">
        <v>1580</v>
      </c>
      <c r="D477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7" s="10">
        <f>SUMIFS(GQList,GIList,Table_ExternalData_17[[#This Row],[item_key]],GTList,Table_ExternalData_17[[#Headers],[GRN]],GDList,"&lt;&gt;"&amp;0)</f>
        <v>5</v>
      </c>
      <c r="F477" s="10">
        <f>SUMIFS(GQList,GIList,Table_ExternalData_17[[#This Row],[item_key]],GTList,Table_ExternalData_17[[#Headers],[VSTR]],GDList,"&lt;&gt;"&amp;0)</f>
        <v>0</v>
      </c>
      <c r="G477" s="10">
        <f>SUMIFS(GQList,GIList,Table_ExternalData_17[[#This Row],[item_key]],GTList,Table_ExternalData_17[[#Headers],[SR]],GDList,"&lt;&gt;"&amp;0)</f>
        <v>0</v>
      </c>
      <c r="H477" s="10">
        <f>SUMIFS(GQList,GIList,Table_ExternalData_17[[#This Row],[item_key]],GTList,Table_ExternalData_17[[#Headers],[TR]],GDList,"&lt;&gt;"&amp;0)</f>
        <v>0</v>
      </c>
      <c r="I477" s="10">
        <f>SUMIFS(GQList,GIList,Table_ExternalData_17[[#This Row],[item_key]],GTList,Table_ExternalData_17[[#Headers],[RCA]],GDList,"&lt;&gt;"&amp;0)</f>
        <v>0</v>
      </c>
      <c r="J477" s="10">
        <f>SUM(Table_ExternalData_17[[#This Row],[GRN]]+Table_ExternalData_17[[#This Row],[VSTR]]+Table_ExternalData_17[[#This Row],[SR]]+Table_ExternalData_17[[#This Row],[TR]]+Table_ExternalData_17[[#This Row],[RCA]])</f>
        <v>5</v>
      </c>
      <c r="K477" s="10">
        <f>SUMIFS(IsQList,IsIList,Table_ExternalData_17[[#This Row],[item_key]],IsITypeList,Table_ExternalData_17[[#Headers],[R/P]],IsDList,"&lt;&gt;"&amp;0)</f>
        <v>0</v>
      </c>
      <c r="L477" s="10">
        <f>SUMIFS(IsQList,IsIList,Table_ExternalData_17[[#This Row],[item_key]],IsITypeList,Table_ExternalData_17[[#Headers],[CST]],IsDList,"&lt;&gt;"&amp;0)</f>
        <v>0</v>
      </c>
      <c r="M477" s="10">
        <f>SUMIFS(IsQList,IsIList,Table_ExternalData_15[[#This Row],[item_key]],IsITypeList,Table_ExternalData_17[[#Headers],[S/I]],IsDList,"&lt;&gt;"&amp;0)</f>
        <v>0</v>
      </c>
      <c r="N477" s="10">
        <f>SUMIFS(IsQList,IsIList,Table_ExternalData_15[[#This Row],[item_key]],IsITypeList,Table_ExternalData_17[[#Headers],[VST]],IsDList,"&lt;&gt;"&amp;0)</f>
        <v>0</v>
      </c>
      <c r="O477" s="10">
        <f>ABS(SUMIFS(IsQList,IsIList,Table_ExternalData_17[[#This Row],[item_key]],IsITypeList,Table_ExternalData_17[[#Headers],[RTN]],IsDList,"&lt;&gt;"&amp;0))</f>
        <v>0</v>
      </c>
      <c r="P477" s="10">
        <f>SUM(Table_ExternalData_17[[#This Row],[R/P]:[RTN]])</f>
        <v>0</v>
      </c>
      <c r="Q477" s="10">
        <f>SUM((Table_ExternalData_17[[#This Row],[Opening]]+Table_ExternalData_17[[#This Row],[Total Receipt]])-ABS(Table_ExternalData_17[[#This Row],[Total Issue]]))</f>
        <v>5</v>
      </c>
    </row>
    <row r="478" spans="1:17">
      <c r="A478" s="1" t="s">
        <v>1168</v>
      </c>
      <c r="B478" s="1" t="s">
        <v>1581</v>
      </c>
      <c r="C478" s="1" t="s">
        <v>1420</v>
      </c>
      <c r="D478" s="10">
        <f>SUMIFS(OPBQList,OPBIList,Table_ExternalData_17[[#This Row],[item_key]])+SUMIFS(GQList,GIList,Table_ExternalData_17[[#This Row],[item_key]],GDList,0)-ABS(SUMIFS(IsQList,IsIList,Table_ExternalData_17[[#This Row],[item_key]],IsDList,0))</f>
        <v>31</v>
      </c>
      <c r="E478" s="10">
        <f>SUMIFS(GQList,GIList,Table_ExternalData_17[[#This Row],[item_key]],GTList,Table_ExternalData_17[[#Headers],[GRN]],GDList,"&lt;&gt;"&amp;0)</f>
        <v>0</v>
      </c>
      <c r="F478" s="10">
        <f>SUMIFS(GQList,GIList,Table_ExternalData_17[[#This Row],[item_key]],GTList,Table_ExternalData_17[[#Headers],[VSTR]],GDList,"&lt;&gt;"&amp;0)</f>
        <v>0</v>
      </c>
      <c r="G478" s="10">
        <f>SUMIFS(GQList,GIList,Table_ExternalData_17[[#This Row],[item_key]],GTList,Table_ExternalData_17[[#Headers],[SR]],GDList,"&lt;&gt;"&amp;0)</f>
        <v>0</v>
      </c>
      <c r="H478" s="10">
        <f>SUMIFS(GQList,GIList,Table_ExternalData_17[[#This Row],[item_key]],GTList,Table_ExternalData_17[[#Headers],[TR]],GDList,"&lt;&gt;"&amp;0)</f>
        <v>0</v>
      </c>
      <c r="I478" s="10">
        <f>SUMIFS(GQList,GIList,Table_ExternalData_17[[#This Row],[item_key]],GTList,Table_ExternalData_17[[#Headers],[RCA]],GDList,"&lt;&gt;"&amp;0)</f>
        <v>0</v>
      </c>
      <c r="J478" s="10">
        <f>SUM(Table_ExternalData_17[[#This Row],[GRN]]+Table_ExternalData_17[[#This Row],[VSTR]]+Table_ExternalData_17[[#This Row],[SR]]+Table_ExternalData_17[[#This Row],[TR]]+Table_ExternalData_17[[#This Row],[RCA]])</f>
        <v>0</v>
      </c>
      <c r="K478" s="10">
        <f>SUMIFS(IsQList,IsIList,Table_ExternalData_17[[#This Row],[item_key]],IsITypeList,Table_ExternalData_17[[#Headers],[R/P]],IsDList,"&lt;&gt;"&amp;0)</f>
        <v>0</v>
      </c>
      <c r="L478" s="10">
        <f>SUMIFS(IsQList,IsIList,Table_ExternalData_17[[#This Row],[item_key]],IsITypeList,Table_ExternalData_17[[#Headers],[CST]],IsDList,"&lt;&gt;"&amp;0)</f>
        <v>0</v>
      </c>
      <c r="M478" s="10">
        <f>SUMIFS(IsQList,IsIList,Table_ExternalData_15[[#This Row],[item_key]],IsITypeList,Table_ExternalData_17[[#Headers],[S/I]],IsDList,"&lt;&gt;"&amp;0)</f>
        <v>0</v>
      </c>
      <c r="N478" s="10">
        <f>SUMIFS(IsQList,IsIList,Table_ExternalData_15[[#This Row],[item_key]],IsITypeList,Table_ExternalData_17[[#Headers],[VST]],IsDList,"&lt;&gt;"&amp;0)</f>
        <v>0</v>
      </c>
      <c r="O478" s="10">
        <f>ABS(SUMIFS(IsQList,IsIList,Table_ExternalData_17[[#This Row],[item_key]],IsITypeList,Table_ExternalData_17[[#Headers],[RTN]],IsDList,"&lt;&gt;"&amp;0))</f>
        <v>0</v>
      </c>
      <c r="P478" s="10">
        <f>SUM(Table_ExternalData_17[[#This Row],[R/P]:[RTN]])</f>
        <v>0</v>
      </c>
      <c r="Q478" s="10">
        <f>SUM((Table_ExternalData_17[[#This Row],[Opening]]+Table_ExternalData_17[[#This Row],[Total Receipt]])-ABS(Table_ExternalData_17[[#This Row],[Total Issue]]))</f>
        <v>31</v>
      </c>
    </row>
    <row r="479" spans="1:17">
      <c r="A479" s="1" t="s">
        <v>1169</v>
      </c>
      <c r="B479" s="1" t="s">
        <v>2861</v>
      </c>
      <c r="C479" s="1" t="s">
        <v>2862</v>
      </c>
      <c r="D479" s="10">
        <f>SUMIFS(OPBQList,OPBIList,Table_ExternalData_17[[#This Row],[item_key]])+SUMIFS(GQList,GIList,Table_ExternalData_17[[#This Row],[item_key]],GDList,0)-ABS(SUMIFS(IsQList,IsIList,Table_ExternalData_17[[#This Row],[item_key]],IsDList,0))</f>
        <v>0</v>
      </c>
      <c r="E479" s="10">
        <f>SUMIFS(GQList,GIList,Table_ExternalData_17[[#This Row],[item_key]],GTList,Table_ExternalData_17[[#Headers],[GRN]],GDList,"&lt;&gt;"&amp;0)</f>
        <v>0</v>
      </c>
      <c r="F479" s="10">
        <f>SUMIFS(GQList,GIList,Table_ExternalData_17[[#This Row],[item_key]],GTList,Table_ExternalData_17[[#Headers],[VSTR]],GDList,"&lt;&gt;"&amp;0)</f>
        <v>0</v>
      </c>
      <c r="G479" s="10">
        <f>SUMIFS(GQList,GIList,Table_ExternalData_17[[#This Row],[item_key]],GTList,Table_ExternalData_17[[#Headers],[SR]],GDList,"&lt;&gt;"&amp;0)</f>
        <v>0</v>
      </c>
      <c r="H479" s="10">
        <f>SUMIFS(GQList,GIList,Table_ExternalData_17[[#This Row],[item_key]],GTList,Table_ExternalData_17[[#Headers],[TR]],GDList,"&lt;&gt;"&amp;0)</f>
        <v>0</v>
      </c>
      <c r="I479" s="10">
        <f>SUMIFS(GQList,GIList,Table_ExternalData_17[[#This Row],[item_key]],GTList,Table_ExternalData_17[[#Headers],[RCA]],GDList,"&lt;&gt;"&amp;0)</f>
        <v>0</v>
      </c>
      <c r="J479" s="10">
        <f>SUM(Table_ExternalData_17[[#This Row],[GRN]]+Table_ExternalData_17[[#This Row],[VSTR]]+Table_ExternalData_17[[#This Row],[SR]]+Table_ExternalData_17[[#This Row],[TR]]+Table_ExternalData_17[[#This Row],[RCA]])</f>
        <v>0</v>
      </c>
      <c r="K479" s="10">
        <f>SUMIFS(IsQList,IsIList,Table_ExternalData_17[[#This Row],[item_key]],IsITypeList,Table_ExternalData_17[[#Headers],[R/P]],IsDList,"&lt;&gt;"&amp;0)</f>
        <v>0</v>
      </c>
      <c r="L479" s="10">
        <f>SUMIFS(IsQList,IsIList,Table_ExternalData_17[[#This Row],[item_key]],IsITypeList,Table_ExternalData_17[[#Headers],[CST]],IsDList,"&lt;&gt;"&amp;0)</f>
        <v>0</v>
      </c>
      <c r="M479" s="10">
        <f>SUMIFS(IsQList,IsIList,Table_ExternalData_15[[#This Row],[item_key]],IsITypeList,Table_ExternalData_17[[#Headers],[S/I]],IsDList,"&lt;&gt;"&amp;0)</f>
        <v>0</v>
      </c>
      <c r="N479" s="10">
        <f>SUMIFS(IsQList,IsIList,Table_ExternalData_15[[#This Row],[item_key]],IsITypeList,Table_ExternalData_17[[#Headers],[VST]],IsDList,"&lt;&gt;"&amp;0)</f>
        <v>0</v>
      </c>
      <c r="O479" s="10">
        <f>ABS(SUMIFS(IsQList,IsIList,Table_ExternalData_17[[#This Row],[item_key]],IsITypeList,Table_ExternalData_17[[#Headers],[RTN]],IsDList,"&lt;&gt;"&amp;0))</f>
        <v>0</v>
      </c>
      <c r="P479" s="10">
        <f>SUM(Table_ExternalData_17[[#This Row],[R/P]:[RTN]])</f>
        <v>0</v>
      </c>
      <c r="Q479" s="10">
        <f>SUM((Table_ExternalData_17[[#This Row],[Opening]]+Table_ExternalData_17[[#This Row],[Total Receipt]])-ABS(Table_ExternalData_17[[#This Row],[Total Issue]]))</f>
        <v>0</v>
      </c>
    </row>
    <row r="480" spans="1:17">
      <c r="A480" s="1" t="s">
        <v>1171</v>
      </c>
      <c r="B480" s="1" t="s">
        <v>2863</v>
      </c>
      <c r="C480" s="1" t="s">
        <v>2864</v>
      </c>
      <c r="D480" s="10">
        <f>SUMIFS(OPBQList,OPBIList,Table_ExternalData_17[[#This Row],[item_key]])+SUMIFS(GQList,GIList,Table_ExternalData_17[[#This Row],[item_key]],GDList,0)-ABS(SUMIFS(IsQList,IsIList,Table_ExternalData_17[[#This Row],[item_key]],IsDList,0))</f>
        <v>48</v>
      </c>
      <c r="E480" s="10">
        <f>SUMIFS(GQList,GIList,Table_ExternalData_17[[#This Row],[item_key]],GTList,Table_ExternalData_17[[#Headers],[GRN]],GDList,"&lt;&gt;"&amp;0)</f>
        <v>0</v>
      </c>
      <c r="F480" s="10">
        <f>SUMIFS(GQList,GIList,Table_ExternalData_17[[#This Row],[item_key]],GTList,Table_ExternalData_17[[#Headers],[VSTR]],GDList,"&lt;&gt;"&amp;0)</f>
        <v>0</v>
      </c>
      <c r="G480" s="10">
        <f>SUMIFS(GQList,GIList,Table_ExternalData_17[[#This Row],[item_key]],GTList,Table_ExternalData_17[[#Headers],[SR]],GDList,"&lt;&gt;"&amp;0)</f>
        <v>0</v>
      </c>
      <c r="H480" s="10">
        <f>SUMIFS(GQList,GIList,Table_ExternalData_17[[#This Row],[item_key]],GTList,Table_ExternalData_17[[#Headers],[TR]],GDList,"&lt;&gt;"&amp;0)</f>
        <v>0</v>
      </c>
      <c r="I480" s="10">
        <f>SUMIFS(GQList,GIList,Table_ExternalData_17[[#This Row],[item_key]],GTList,Table_ExternalData_17[[#Headers],[RCA]],GDList,"&lt;&gt;"&amp;0)</f>
        <v>0</v>
      </c>
      <c r="J480" s="10">
        <f>SUM(Table_ExternalData_17[[#This Row],[GRN]]+Table_ExternalData_17[[#This Row],[VSTR]]+Table_ExternalData_17[[#This Row],[SR]]+Table_ExternalData_17[[#This Row],[TR]]+Table_ExternalData_17[[#This Row],[RCA]])</f>
        <v>0</v>
      </c>
      <c r="K480" s="10">
        <f>SUMIFS(IsQList,IsIList,Table_ExternalData_17[[#This Row],[item_key]],IsITypeList,Table_ExternalData_17[[#Headers],[R/P]],IsDList,"&lt;&gt;"&amp;0)</f>
        <v>0</v>
      </c>
      <c r="L480" s="10">
        <f>SUMIFS(IsQList,IsIList,Table_ExternalData_17[[#This Row],[item_key]],IsITypeList,Table_ExternalData_17[[#Headers],[CST]],IsDList,"&lt;&gt;"&amp;0)</f>
        <v>0</v>
      </c>
      <c r="M480" s="10">
        <f>SUMIFS(IsQList,IsIList,Table_ExternalData_15[[#This Row],[item_key]],IsITypeList,Table_ExternalData_17[[#Headers],[S/I]],IsDList,"&lt;&gt;"&amp;0)</f>
        <v>0</v>
      </c>
      <c r="N480" s="10">
        <f>SUMIFS(IsQList,IsIList,Table_ExternalData_15[[#This Row],[item_key]],IsITypeList,Table_ExternalData_17[[#Headers],[VST]],IsDList,"&lt;&gt;"&amp;0)</f>
        <v>0</v>
      </c>
      <c r="O480" s="10">
        <f>ABS(SUMIFS(IsQList,IsIList,Table_ExternalData_17[[#This Row],[item_key]],IsITypeList,Table_ExternalData_17[[#Headers],[RTN]],IsDList,"&lt;&gt;"&amp;0))</f>
        <v>0</v>
      </c>
      <c r="P480" s="10">
        <f>SUM(Table_ExternalData_17[[#This Row],[R/P]:[RTN]])</f>
        <v>0</v>
      </c>
      <c r="Q480" s="10">
        <f>SUM((Table_ExternalData_17[[#This Row],[Opening]]+Table_ExternalData_17[[#This Row],[Total Receipt]])-ABS(Table_ExternalData_17[[#This Row],[Total Issue]]))</f>
        <v>48</v>
      </c>
    </row>
    <row r="481" spans="1:17">
      <c r="A481" s="1" t="s">
        <v>1173</v>
      </c>
      <c r="B481" s="1" t="s">
        <v>1583</v>
      </c>
      <c r="C481" s="1" t="s">
        <v>1584</v>
      </c>
      <c r="D481" s="10">
        <f>SUMIFS(OPBQList,OPBIList,Table_ExternalData_17[[#This Row],[item_key]])+SUMIFS(GQList,GIList,Table_ExternalData_17[[#This Row],[item_key]],GDList,0)-ABS(SUMIFS(IsQList,IsIList,Table_ExternalData_17[[#This Row],[item_key]],IsDList,0))</f>
        <v>79</v>
      </c>
      <c r="E481" s="10">
        <f>SUMIFS(GQList,GIList,Table_ExternalData_17[[#This Row],[item_key]],GTList,Table_ExternalData_17[[#Headers],[GRN]],GDList,"&lt;&gt;"&amp;0)</f>
        <v>55</v>
      </c>
      <c r="F481" s="10">
        <f>SUMIFS(GQList,GIList,Table_ExternalData_17[[#This Row],[item_key]],GTList,Table_ExternalData_17[[#Headers],[VSTR]],GDList,"&lt;&gt;"&amp;0)</f>
        <v>0</v>
      </c>
      <c r="G481" s="10">
        <f>SUMIFS(GQList,GIList,Table_ExternalData_17[[#This Row],[item_key]],GTList,Table_ExternalData_17[[#Headers],[SR]],GDList,"&lt;&gt;"&amp;0)</f>
        <v>0</v>
      </c>
      <c r="H481" s="10">
        <f>SUMIFS(GQList,GIList,Table_ExternalData_17[[#This Row],[item_key]],GTList,Table_ExternalData_17[[#Headers],[TR]],GDList,"&lt;&gt;"&amp;0)</f>
        <v>0</v>
      </c>
      <c r="I481" s="10">
        <f>SUMIFS(GQList,GIList,Table_ExternalData_17[[#This Row],[item_key]],GTList,Table_ExternalData_17[[#Headers],[RCA]],GDList,"&lt;&gt;"&amp;0)</f>
        <v>0</v>
      </c>
      <c r="J481" s="10">
        <f>SUM(Table_ExternalData_17[[#This Row],[GRN]]+Table_ExternalData_17[[#This Row],[VSTR]]+Table_ExternalData_17[[#This Row],[SR]]+Table_ExternalData_17[[#This Row],[TR]]+Table_ExternalData_17[[#This Row],[RCA]])</f>
        <v>55</v>
      </c>
      <c r="K481" s="10">
        <f>SUMIFS(IsQList,IsIList,Table_ExternalData_17[[#This Row],[item_key]],IsITypeList,Table_ExternalData_17[[#Headers],[R/P]],IsDList,"&lt;&gt;"&amp;0)</f>
        <v>0</v>
      </c>
      <c r="L481" s="10">
        <f>SUMIFS(IsQList,IsIList,Table_ExternalData_17[[#This Row],[item_key]],IsITypeList,Table_ExternalData_17[[#Headers],[CST]],IsDList,"&lt;&gt;"&amp;0)</f>
        <v>0</v>
      </c>
      <c r="M481" s="10">
        <f>SUMIFS(IsQList,IsIList,Table_ExternalData_15[[#This Row],[item_key]],IsITypeList,Table_ExternalData_17[[#Headers],[S/I]],IsDList,"&lt;&gt;"&amp;0)</f>
        <v>0</v>
      </c>
      <c r="N481" s="10">
        <f>SUMIFS(IsQList,IsIList,Table_ExternalData_15[[#This Row],[item_key]],IsITypeList,Table_ExternalData_17[[#Headers],[VST]],IsDList,"&lt;&gt;"&amp;0)</f>
        <v>0</v>
      </c>
      <c r="O481" s="10">
        <f>ABS(SUMIFS(IsQList,IsIList,Table_ExternalData_17[[#This Row],[item_key]],IsITypeList,Table_ExternalData_17[[#Headers],[RTN]],IsDList,"&lt;&gt;"&amp;0))</f>
        <v>0</v>
      </c>
      <c r="P481" s="10">
        <f>SUM(Table_ExternalData_17[[#This Row],[R/P]:[RTN]])</f>
        <v>0</v>
      </c>
      <c r="Q481" s="10">
        <f>SUM((Table_ExternalData_17[[#This Row],[Opening]]+Table_ExternalData_17[[#This Row],[Total Receipt]])-ABS(Table_ExternalData_17[[#This Row],[Total Issue]]))</f>
        <v>134</v>
      </c>
    </row>
    <row r="482" spans="1:17">
      <c r="A482" s="1" t="s">
        <v>1174</v>
      </c>
      <c r="B482" s="1" t="s">
        <v>1585</v>
      </c>
      <c r="C482" s="1" t="s">
        <v>1586</v>
      </c>
      <c r="D482" s="10">
        <f>SUMIFS(OPBQList,OPBIList,Table_ExternalData_17[[#This Row],[item_key]])+SUMIFS(GQList,GIList,Table_ExternalData_17[[#This Row],[item_key]],GDList,0)-ABS(SUMIFS(IsQList,IsIList,Table_ExternalData_17[[#This Row],[item_key]],IsDList,0))</f>
        <v>291</v>
      </c>
      <c r="E482" s="10">
        <f>SUMIFS(GQList,GIList,Table_ExternalData_17[[#This Row],[item_key]],GTList,Table_ExternalData_17[[#Headers],[GRN]],GDList,"&lt;&gt;"&amp;0)</f>
        <v>0</v>
      </c>
      <c r="F482" s="10">
        <f>SUMIFS(GQList,GIList,Table_ExternalData_17[[#This Row],[item_key]],GTList,Table_ExternalData_17[[#Headers],[VSTR]],GDList,"&lt;&gt;"&amp;0)</f>
        <v>0</v>
      </c>
      <c r="G482" s="10">
        <f>SUMIFS(GQList,GIList,Table_ExternalData_17[[#This Row],[item_key]],GTList,Table_ExternalData_17[[#Headers],[SR]],GDList,"&lt;&gt;"&amp;0)</f>
        <v>0</v>
      </c>
      <c r="H482" s="10">
        <f>SUMIFS(GQList,GIList,Table_ExternalData_17[[#This Row],[item_key]],GTList,Table_ExternalData_17[[#Headers],[TR]],GDList,"&lt;&gt;"&amp;0)</f>
        <v>0</v>
      </c>
      <c r="I482" s="10">
        <f>SUMIFS(GQList,GIList,Table_ExternalData_17[[#This Row],[item_key]],GTList,Table_ExternalData_17[[#Headers],[RCA]],GDList,"&lt;&gt;"&amp;0)</f>
        <v>0</v>
      </c>
      <c r="J482" s="10">
        <f>SUM(Table_ExternalData_17[[#This Row],[GRN]]+Table_ExternalData_17[[#This Row],[VSTR]]+Table_ExternalData_17[[#This Row],[SR]]+Table_ExternalData_17[[#This Row],[TR]]+Table_ExternalData_17[[#This Row],[RCA]])</f>
        <v>0</v>
      </c>
      <c r="K482" s="10">
        <f>SUMIFS(IsQList,IsIList,Table_ExternalData_17[[#This Row],[item_key]],IsITypeList,Table_ExternalData_17[[#Headers],[R/P]],IsDList,"&lt;&gt;"&amp;0)</f>
        <v>0</v>
      </c>
      <c r="L482" s="10">
        <f>SUMIFS(IsQList,IsIList,Table_ExternalData_17[[#This Row],[item_key]],IsITypeList,Table_ExternalData_17[[#Headers],[CST]],IsDList,"&lt;&gt;"&amp;0)</f>
        <v>0</v>
      </c>
      <c r="M482" s="10">
        <f>SUMIFS(IsQList,IsIList,Table_ExternalData_15[[#This Row],[item_key]],IsITypeList,Table_ExternalData_17[[#Headers],[S/I]],IsDList,"&lt;&gt;"&amp;0)</f>
        <v>0</v>
      </c>
      <c r="N482" s="10">
        <f>SUMIFS(IsQList,IsIList,Table_ExternalData_15[[#This Row],[item_key]],IsITypeList,Table_ExternalData_17[[#Headers],[VST]],IsDList,"&lt;&gt;"&amp;0)</f>
        <v>0</v>
      </c>
      <c r="O482" s="10">
        <f>ABS(SUMIFS(IsQList,IsIList,Table_ExternalData_17[[#This Row],[item_key]],IsITypeList,Table_ExternalData_17[[#Headers],[RTN]],IsDList,"&lt;&gt;"&amp;0))</f>
        <v>0</v>
      </c>
      <c r="P482" s="10">
        <f>SUM(Table_ExternalData_17[[#This Row],[R/P]:[RTN]])</f>
        <v>0</v>
      </c>
      <c r="Q482" s="10">
        <f>SUM((Table_ExternalData_17[[#This Row],[Opening]]+Table_ExternalData_17[[#This Row],[Total Receipt]])-ABS(Table_ExternalData_17[[#This Row],[Total Issue]]))</f>
        <v>291</v>
      </c>
    </row>
    <row r="483" spans="1:17">
      <c r="A483" s="1" t="s">
        <v>1175</v>
      </c>
      <c r="B483" s="1" t="s">
        <v>1587</v>
      </c>
      <c r="C483" s="1" t="s">
        <v>1588</v>
      </c>
      <c r="D483" s="10">
        <f>SUMIFS(OPBQList,OPBIList,Table_ExternalData_17[[#This Row],[item_key]])+SUMIFS(GQList,GIList,Table_ExternalData_17[[#This Row],[item_key]],GDList,0)-ABS(SUMIFS(IsQList,IsIList,Table_ExternalData_17[[#This Row],[item_key]],IsDList,0))</f>
        <v>299</v>
      </c>
      <c r="E483" s="10">
        <f>SUMIFS(GQList,GIList,Table_ExternalData_17[[#This Row],[item_key]],GTList,Table_ExternalData_17[[#Headers],[GRN]],GDList,"&lt;&gt;"&amp;0)</f>
        <v>0</v>
      </c>
      <c r="F483" s="10">
        <f>SUMIFS(GQList,GIList,Table_ExternalData_17[[#This Row],[item_key]],GTList,Table_ExternalData_17[[#Headers],[VSTR]],GDList,"&lt;&gt;"&amp;0)</f>
        <v>0</v>
      </c>
      <c r="G483" s="10">
        <f>SUMIFS(GQList,GIList,Table_ExternalData_17[[#This Row],[item_key]],GTList,Table_ExternalData_17[[#Headers],[SR]],GDList,"&lt;&gt;"&amp;0)</f>
        <v>0</v>
      </c>
      <c r="H483" s="10">
        <f>SUMIFS(GQList,GIList,Table_ExternalData_17[[#This Row],[item_key]],GTList,Table_ExternalData_17[[#Headers],[TR]],GDList,"&lt;&gt;"&amp;0)</f>
        <v>0</v>
      </c>
      <c r="I483" s="10">
        <f>SUMIFS(GQList,GIList,Table_ExternalData_17[[#This Row],[item_key]],GTList,Table_ExternalData_17[[#Headers],[RCA]],GDList,"&lt;&gt;"&amp;0)</f>
        <v>0</v>
      </c>
      <c r="J483" s="10">
        <f>SUM(Table_ExternalData_17[[#This Row],[GRN]]+Table_ExternalData_17[[#This Row],[VSTR]]+Table_ExternalData_17[[#This Row],[SR]]+Table_ExternalData_17[[#This Row],[TR]]+Table_ExternalData_17[[#This Row],[RCA]])</f>
        <v>0</v>
      </c>
      <c r="K483" s="10">
        <f>SUMIFS(IsQList,IsIList,Table_ExternalData_17[[#This Row],[item_key]],IsITypeList,Table_ExternalData_17[[#Headers],[R/P]],IsDList,"&lt;&gt;"&amp;0)</f>
        <v>0</v>
      </c>
      <c r="L483" s="10">
        <f>SUMIFS(IsQList,IsIList,Table_ExternalData_17[[#This Row],[item_key]],IsITypeList,Table_ExternalData_17[[#Headers],[CST]],IsDList,"&lt;&gt;"&amp;0)</f>
        <v>0</v>
      </c>
      <c r="M483" s="10">
        <f>SUMIFS(IsQList,IsIList,Table_ExternalData_15[[#This Row],[item_key]],IsITypeList,Table_ExternalData_17[[#Headers],[S/I]],IsDList,"&lt;&gt;"&amp;0)</f>
        <v>0</v>
      </c>
      <c r="N483" s="10">
        <f>SUMIFS(IsQList,IsIList,Table_ExternalData_15[[#This Row],[item_key]],IsITypeList,Table_ExternalData_17[[#Headers],[VST]],IsDList,"&lt;&gt;"&amp;0)</f>
        <v>0</v>
      </c>
      <c r="O483" s="10">
        <f>ABS(SUMIFS(IsQList,IsIList,Table_ExternalData_17[[#This Row],[item_key]],IsITypeList,Table_ExternalData_17[[#Headers],[RTN]],IsDList,"&lt;&gt;"&amp;0))</f>
        <v>0</v>
      </c>
      <c r="P483" s="10">
        <f>SUM(Table_ExternalData_17[[#This Row],[R/P]:[RTN]])</f>
        <v>0</v>
      </c>
      <c r="Q483" s="10">
        <f>SUM((Table_ExternalData_17[[#This Row],[Opening]]+Table_ExternalData_17[[#This Row],[Total Receipt]])-ABS(Table_ExternalData_17[[#This Row],[Total Issue]]))</f>
        <v>299</v>
      </c>
    </row>
    <row r="484" spans="1:17">
      <c r="A484" s="1" t="s">
        <v>1180</v>
      </c>
      <c r="B484" s="1" t="s">
        <v>2407</v>
      </c>
      <c r="C484" s="1" t="s">
        <v>2408</v>
      </c>
      <c r="D484" s="10">
        <f>SUMIFS(OPBQList,OPBIList,Table_ExternalData_17[[#This Row],[item_key]])+SUMIFS(GQList,GIList,Table_ExternalData_17[[#This Row],[item_key]],GDList,0)-ABS(SUMIFS(IsQList,IsIList,Table_ExternalData_17[[#This Row],[item_key]],IsDList,0))</f>
        <v>6276</v>
      </c>
      <c r="E484" s="10">
        <f>SUMIFS(GQList,GIList,Table_ExternalData_17[[#This Row],[item_key]],GTList,Table_ExternalData_17[[#Headers],[GRN]],GDList,"&lt;&gt;"&amp;0)</f>
        <v>35040</v>
      </c>
      <c r="F484" s="10">
        <f>SUMIFS(GQList,GIList,Table_ExternalData_17[[#This Row],[item_key]],GTList,Table_ExternalData_17[[#Headers],[VSTR]],GDList,"&lt;&gt;"&amp;0)</f>
        <v>0</v>
      </c>
      <c r="G484" s="10">
        <f>SUMIFS(GQList,GIList,Table_ExternalData_17[[#This Row],[item_key]],GTList,Table_ExternalData_17[[#Headers],[SR]],GDList,"&lt;&gt;"&amp;0)</f>
        <v>0</v>
      </c>
      <c r="H484" s="10">
        <f>SUMIFS(GQList,GIList,Table_ExternalData_17[[#This Row],[item_key]],GTList,Table_ExternalData_17[[#Headers],[TR]],GDList,"&lt;&gt;"&amp;0)</f>
        <v>0</v>
      </c>
      <c r="I484" s="10">
        <f>SUMIFS(GQList,GIList,Table_ExternalData_17[[#This Row],[item_key]],GTList,Table_ExternalData_17[[#Headers],[RCA]],GDList,"&lt;&gt;"&amp;0)</f>
        <v>0</v>
      </c>
      <c r="J484" s="10">
        <f>SUM(Table_ExternalData_17[[#This Row],[GRN]]+Table_ExternalData_17[[#This Row],[VSTR]]+Table_ExternalData_17[[#This Row],[SR]]+Table_ExternalData_17[[#This Row],[TR]]+Table_ExternalData_17[[#This Row],[RCA]])</f>
        <v>35040</v>
      </c>
      <c r="K484" s="10">
        <f>SUMIFS(IsQList,IsIList,Table_ExternalData_17[[#This Row],[item_key]],IsITypeList,Table_ExternalData_17[[#Headers],[R/P]],IsDList,"&lt;&gt;"&amp;0)</f>
        <v>0</v>
      </c>
      <c r="L484" s="10">
        <f>SUMIFS(IsQList,IsIList,Table_ExternalData_17[[#This Row],[item_key]],IsITypeList,Table_ExternalData_17[[#Headers],[CST]],IsDList,"&lt;&gt;"&amp;0)</f>
        <v>0</v>
      </c>
      <c r="M484" s="10">
        <f>SUMIFS(IsQList,IsIList,Table_ExternalData_15[[#This Row],[item_key]],IsITypeList,Table_ExternalData_17[[#Headers],[S/I]],IsDList,"&lt;&gt;"&amp;0)</f>
        <v>0</v>
      </c>
      <c r="N484" s="10">
        <f>SUMIFS(IsQList,IsIList,Table_ExternalData_15[[#This Row],[item_key]],IsITypeList,Table_ExternalData_17[[#Headers],[VST]],IsDList,"&lt;&gt;"&amp;0)</f>
        <v>0</v>
      </c>
      <c r="O484" s="10">
        <f>ABS(SUMIFS(IsQList,IsIList,Table_ExternalData_17[[#This Row],[item_key]],IsITypeList,Table_ExternalData_17[[#Headers],[RTN]],IsDList,"&lt;&gt;"&amp;0))</f>
        <v>0</v>
      </c>
      <c r="P484" s="10">
        <f>SUM(Table_ExternalData_17[[#This Row],[R/P]:[RTN]])</f>
        <v>0</v>
      </c>
      <c r="Q484" s="10">
        <f>SUM((Table_ExternalData_17[[#This Row],[Opening]]+Table_ExternalData_17[[#This Row],[Total Receipt]])-ABS(Table_ExternalData_17[[#This Row],[Total Issue]]))</f>
        <v>41316</v>
      </c>
    </row>
    <row r="485" spans="1:17">
      <c r="A485" s="1" t="s">
        <v>1181</v>
      </c>
      <c r="B485" s="1" t="s">
        <v>2409</v>
      </c>
      <c r="C485" s="1" t="s">
        <v>2410</v>
      </c>
      <c r="D485" s="10">
        <f>SUMIFS(OPBQList,OPBIList,Table_ExternalData_17[[#This Row],[item_key]])+SUMIFS(GQList,GIList,Table_ExternalData_17[[#This Row],[item_key]],GDList,0)-ABS(SUMIFS(IsQList,IsIList,Table_ExternalData_17[[#This Row],[item_key]],IsDList,0))</f>
        <v>6000</v>
      </c>
      <c r="E485" s="10">
        <f>SUMIFS(GQList,GIList,Table_ExternalData_17[[#This Row],[item_key]],GTList,Table_ExternalData_17[[#Headers],[GRN]],GDList,"&lt;&gt;"&amp;0)</f>
        <v>30336</v>
      </c>
      <c r="F485" s="10">
        <f>SUMIFS(GQList,GIList,Table_ExternalData_17[[#This Row],[item_key]],GTList,Table_ExternalData_17[[#Headers],[VSTR]],GDList,"&lt;&gt;"&amp;0)</f>
        <v>0</v>
      </c>
      <c r="G485" s="10">
        <f>SUMIFS(GQList,GIList,Table_ExternalData_17[[#This Row],[item_key]],GTList,Table_ExternalData_17[[#Headers],[SR]],GDList,"&lt;&gt;"&amp;0)</f>
        <v>0</v>
      </c>
      <c r="H485" s="10">
        <f>SUMIFS(GQList,GIList,Table_ExternalData_17[[#This Row],[item_key]],GTList,Table_ExternalData_17[[#Headers],[TR]],GDList,"&lt;&gt;"&amp;0)</f>
        <v>0</v>
      </c>
      <c r="I485" s="10">
        <f>SUMIFS(GQList,GIList,Table_ExternalData_17[[#This Row],[item_key]],GTList,Table_ExternalData_17[[#Headers],[RCA]],GDList,"&lt;&gt;"&amp;0)</f>
        <v>0</v>
      </c>
      <c r="J485" s="10">
        <f>SUM(Table_ExternalData_17[[#This Row],[GRN]]+Table_ExternalData_17[[#This Row],[VSTR]]+Table_ExternalData_17[[#This Row],[SR]]+Table_ExternalData_17[[#This Row],[TR]]+Table_ExternalData_17[[#This Row],[RCA]])</f>
        <v>30336</v>
      </c>
      <c r="K485" s="10">
        <f>SUMIFS(IsQList,IsIList,Table_ExternalData_17[[#This Row],[item_key]],IsITypeList,Table_ExternalData_17[[#Headers],[R/P]],IsDList,"&lt;&gt;"&amp;0)</f>
        <v>0</v>
      </c>
      <c r="L485" s="10">
        <f>SUMIFS(IsQList,IsIList,Table_ExternalData_17[[#This Row],[item_key]],IsITypeList,Table_ExternalData_17[[#Headers],[CST]],IsDList,"&lt;&gt;"&amp;0)</f>
        <v>0</v>
      </c>
      <c r="M485" s="10">
        <f>SUMIFS(IsQList,IsIList,Table_ExternalData_15[[#This Row],[item_key]],IsITypeList,Table_ExternalData_17[[#Headers],[S/I]],IsDList,"&lt;&gt;"&amp;0)</f>
        <v>0</v>
      </c>
      <c r="N485" s="10">
        <f>SUMIFS(IsQList,IsIList,Table_ExternalData_15[[#This Row],[item_key]],IsITypeList,Table_ExternalData_17[[#Headers],[VST]],IsDList,"&lt;&gt;"&amp;0)</f>
        <v>0</v>
      </c>
      <c r="O485" s="10">
        <f>ABS(SUMIFS(IsQList,IsIList,Table_ExternalData_17[[#This Row],[item_key]],IsITypeList,Table_ExternalData_17[[#Headers],[RTN]],IsDList,"&lt;&gt;"&amp;0))</f>
        <v>0</v>
      </c>
      <c r="P485" s="10">
        <f>SUM(Table_ExternalData_17[[#This Row],[R/P]:[RTN]])</f>
        <v>0</v>
      </c>
      <c r="Q485" s="10">
        <f>SUM((Table_ExternalData_17[[#This Row],[Opening]]+Table_ExternalData_17[[#This Row],[Total Receipt]])-ABS(Table_ExternalData_17[[#This Row],[Total Issue]]))</f>
        <v>36336</v>
      </c>
    </row>
    <row r="486" spans="1:17">
      <c r="A486" s="1" t="s">
        <v>1182</v>
      </c>
      <c r="B486" s="1" t="s">
        <v>2411</v>
      </c>
      <c r="C486" s="1" t="s">
        <v>2412</v>
      </c>
      <c r="D486" s="10">
        <f>SUMIFS(OPBQList,OPBIList,Table_ExternalData_17[[#This Row],[item_key]])+SUMIFS(GQList,GIList,Table_ExternalData_17[[#This Row],[item_key]],GDList,0)-ABS(SUMIFS(IsQList,IsIList,Table_ExternalData_17[[#This Row],[item_key]],IsDList,0))</f>
        <v>3120</v>
      </c>
      <c r="E486" s="10">
        <f>SUMIFS(GQList,GIList,Table_ExternalData_17[[#This Row],[item_key]],GTList,Table_ExternalData_17[[#Headers],[GRN]],GDList,"&lt;&gt;"&amp;0)</f>
        <v>6960</v>
      </c>
      <c r="F486" s="10">
        <f>SUMIFS(GQList,GIList,Table_ExternalData_17[[#This Row],[item_key]],GTList,Table_ExternalData_17[[#Headers],[VSTR]],GDList,"&lt;&gt;"&amp;0)</f>
        <v>0</v>
      </c>
      <c r="G486" s="10">
        <f>SUMIFS(GQList,GIList,Table_ExternalData_17[[#This Row],[item_key]],GTList,Table_ExternalData_17[[#Headers],[SR]],GDList,"&lt;&gt;"&amp;0)</f>
        <v>0</v>
      </c>
      <c r="H486" s="10">
        <f>SUMIFS(GQList,GIList,Table_ExternalData_17[[#This Row],[item_key]],GTList,Table_ExternalData_17[[#Headers],[TR]],GDList,"&lt;&gt;"&amp;0)</f>
        <v>0</v>
      </c>
      <c r="I486" s="10">
        <f>SUMIFS(GQList,GIList,Table_ExternalData_17[[#This Row],[item_key]],GTList,Table_ExternalData_17[[#Headers],[RCA]],GDList,"&lt;&gt;"&amp;0)</f>
        <v>0</v>
      </c>
      <c r="J486" s="10">
        <f>SUM(Table_ExternalData_17[[#This Row],[GRN]]+Table_ExternalData_17[[#This Row],[VSTR]]+Table_ExternalData_17[[#This Row],[SR]]+Table_ExternalData_17[[#This Row],[TR]]+Table_ExternalData_17[[#This Row],[RCA]])</f>
        <v>6960</v>
      </c>
      <c r="K486" s="10">
        <f>SUMIFS(IsQList,IsIList,Table_ExternalData_17[[#This Row],[item_key]],IsITypeList,Table_ExternalData_17[[#Headers],[R/P]],IsDList,"&lt;&gt;"&amp;0)</f>
        <v>0</v>
      </c>
      <c r="L486" s="10">
        <f>SUMIFS(IsQList,IsIList,Table_ExternalData_17[[#This Row],[item_key]],IsITypeList,Table_ExternalData_17[[#Headers],[CST]],IsDList,"&lt;&gt;"&amp;0)</f>
        <v>0</v>
      </c>
      <c r="M486" s="10">
        <f>SUMIFS(IsQList,IsIList,Table_ExternalData_15[[#This Row],[item_key]],IsITypeList,Table_ExternalData_17[[#Headers],[S/I]],IsDList,"&lt;&gt;"&amp;0)</f>
        <v>0</v>
      </c>
      <c r="N486" s="10">
        <f>SUMIFS(IsQList,IsIList,Table_ExternalData_15[[#This Row],[item_key]],IsITypeList,Table_ExternalData_17[[#Headers],[VST]],IsDList,"&lt;&gt;"&amp;0)</f>
        <v>0</v>
      </c>
      <c r="O486" s="10">
        <f>ABS(SUMIFS(IsQList,IsIList,Table_ExternalData_17[[#This Row],[item_key]],IsITypeList,Table_ExternalData_17[[#Headers],[RTN]],IsDList,"&lt;&gt;"&amp;0))</f>
        <v>0</v>
      </c>
      <c r="P486" s="10">
        <f>SUM(Table_ExternalData_17[[#This Row],[R/P]:[RTN]])</f>
        <v>0</v>
      </c>
      <c r="Q486" s="10">
        <f>SUM((Table_ExternalData_17[[#This Row],[Opening]]+Table_ExternalData_17[[#This Row],[Total Receipt]])-ABS(Table_ExternalData_17[[#This Row],[Total Issue]]))</f>
        <v>10080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B1728"/>
  <sheetViews>
    <sheetView workbookViewId="0">
      <selection activeCell="A5" sqref="A5"/>
    </sheetView>
  </sheetViews>
  <sheetFormatPr defaultRowHeight="15"/>
  <cols>
    <col min="1" max="1" width="11.5703125" bestFit="1" customWidth="1"/>
    <col min="2" max="2" width="9" bestFit="1" customWidth="1"/>
  </cols>
  <sheetData>
    <row r="1" spans="1:2">
      <c r="A1" t="s">
        <v>2</v>
      </c>
      <c r="B1" t="s">
        <v>82</v>
      </c>
    </row>
    <row r="2" spans="1:2">
      <c r="A2" t="s">
        <v>1625</v>
      </c>
      <c r="B2">
        <v>1</v>
      </c>
    </row>
    <row r="3" spans="1:2">
      <c r="A3" t="s">
        <v>1626</v>
      </c>
      <c r="B3">
        <v>0</v>
      </c>
    </row>
    <row r="4" spans="1:2">
      <c r="A4" t="s">
        <v>176</v>
      </c>
      <c r="B4">
        <v>299</v>
      </c>
    </row>
    <row r="5" spans="1:2">
      <c r="A5" t="s">
        <v>177</v>
      </c>
      <c r="B5">
        <v>0</v>
      </c>
    </row>
    <row r="6" spans="1:2">
      <c r="A6" t="s">
        <v>1627</v>
      </c>
      <c r="B6">
        <v>0</v>
      </c>
    </row>
    <row r="7" spans="1:2">
      <c r="A7" t="s">
        <v>1628</v>
      </c>
      <c r="B7">
        <v>0</v>
      </c>
    </row>
    <row r="8" spans="1:2">
      <c r="A8" t="s">
        <v>178</v>
      </c>
      <c r="B8">
        <v>4372</v>
      </c>
    </row>
    <row r="9" spans="1:2">
      <c r="A9" s="42" t="s">
        <v>1629</v>
      </c>
      <c r="B9" s="42">
        <v>0</v>
      </c>
    </row>
    <row r="10" spans="1:2">
      <c r="A10" s="42" t="s">
        <v>179</v>
      </c>
      <c r="B10" s="42">
        <v>2786</v>
      </c>
    </row>
    <row r="11" spans="1:2">
      <c r="A11" s="42" t="s">
        <v>1630</v>
      </c>
      <c r="B11" s="42">
        <v>0</v>
      </c>
    </row>
    <row r="12" spans="1:2">
      <c r="A12" s="42" t="s">
        <v>180</v>
      </c>
      <c r="B12" s="42">
        <v>440</v>
      </c>
    </row>
    <row r="13" spans="1:2">
      <c r="A13" s="42" t="s">
        <v>1631</v>
      </c>
      <c r="B13" s="42">
        <v>0</v>
      </c>
    </row>
    <row r="14" spans="1:2">
      <c r="A14" s="42" t="s">
        <v>1632</v>
      </c>
      <c r="B14" s="42">
        <v>0</v>
      </c>
    </row>
    <row r="15" spans="1:2">
      <c r="A15" s="42" t="s">
        <v>1633</v>
      </c>
      <c r="B15" s="42">
        <v>0</v>
      </c>
    </row>
    <row r="16" spans="1:2">
      <c r="A16" s="42" t="s">
        <v>181</v>
      </c>
      <c r="B16" s="42">
        <v>0</v>
      </c>
    </row>
    <row r="17" spans="1:2">
      <c r="A17" s="42" t="s">
        <v>1634</v>
      </c>
      <c r="B17" s="42">
        <v>0</v>
      </c>
    </row>
    <row r="18" spans="1:2">
      <c r="A18" s="42" t="s">
        <v>1635</v>
      </c>
      <c r="B18" s="42">
        <v>0</v>
      </c>
    </row>
    <row r="19" spans="1:2">
      <c r="A19" s="42" t="s">
        <v>1636</v>
      </c>
      <c r="B19" s="42">
        <v>109</v>
      </c>
    </row>
    <row r="20" spans="1:2">
      <c r="A20" s="42" t="s">
        <v>1637</v>
      </c>
      <c r="B20" s="42">
        <v>14</v>
      </c>
    </row>
    <row r="21" spans="1:2">
      <c r="A21" s="42" t="s">
        <v>182</v>
      </c>
      <c r="B21" s="42">
        <v>96</v>
      </c>
    </row>
    <row r="22" spans="1:2">
      <c r="A22" s="42" t="s">
        <v>4</v>
      </c>
      <c r="B22" s="42">
        <v>15</v>
      </c>
    </row>
    <row r="23" spans="1:2">
      <c r="A23" s="42" t="s">
        <v>183</v>
      </c>
      <c r="B23" s="42">
        <v>7</v>
      </c>
    </row>
    <row r="24" spans="1:2">
      <c r="A24" s="42" t="s">
        <v>184</v>
      </c>
      <c r="B24" s="42">
        <v>812</v>
      </c>
    </row>
    <row r="25" spans="1:2">
      <c r="A25" s="42" t="s">
        <v>185</v>
      </c>
      <c r="B25" s="42">
        <v>486</v>
      </c>
    </row>
    <row r="26" spans="1:2">
      <c r="A26" s="42" t="s">
        <v>186</v>
      </c>
      <c r="B26" s="42">
        <v>1271</v>
      </c>
    </row>
    <row r="27" spans="1:2">
      <c r="A27" s="42" t="s">
        <v>187</v>
      </c>
      <c r="B27" s="42">
        <v>1086</v>
      </c>
    </row>
    <row r="28" spans="1:2">
      <c r="A28" s="42" t="s">
        <v>1638</v>
      </c>
      <c r="B28" s="42">
        <v>34</v>
      </c>
    </row>
    <row r="29" spans="1:2">
      <c r="A29" s="42" t="s">
        <v>188</v>
      </c>
      <c r="B29" s="42">
        <v>45</v>
      </c>
    </row>
    <row r="30" spans="1:2">
      <c r="A30" s="42" t="s">
        <v>1639</v>
      </c>
      <c r="B30" s="42">
        <v>0</v>
      </c>
    </row>
    <row r="31" spans="1:2">
      <c r="A31" s="42" t="s">
        <v>189</v>
      </c>
      <c r="B31" s="42">
        <v>61</v>
      </c>
    </row>
    <row r="32" spans="1:2">
      <c r="A32" s="42" t="s">
        <v>190</v>
      </c>
      <c r="B32" s="42">
        <v>15</v>
      </c>
    </row>
    <row r="33" spans="1:2">
      <c r="A33" s="42" t="s">
        <v>1640</v>
      </c>
      <c r="B33" s="42">
        <v>122</v>
      </c>
    </row>
    <row r="34" spans="1:2">
      <c r="A34" s="42" t="s">
        <v>1641</v>
      </c>
      <c r="B34" s="42">
        <v>25</v>
      </c>
    </row>
    <row r="35" spans="1:2">
      <c r="A35" s="42" t="s">
        <v>191</v>
      </c>
      <c r="B35" s="42">
        <v>150</v>
      </c>
    </row>
    <row r="36" spans="1:2">
      <c r="A36" s="42" t="s">
        <v>192</v>
      </c>
      <c r="B36" s="42">
        <v>48</v>
      </c>
    </row>
    <row r="37" spans="1:2">
      <c r="A37" s="42" t="s">
        <v>193</v>
      </c>
      <c r="B37" s="42">
        <v>343</v>
      </c>
    </row>
    <row r="38" spans="1:2">
      <c r="A38" s="42" t="s">
        <v>1642</v>
      </c>
      <c r="B38" s="42">
        <v>242</v>
      </c>
    </row>
    <row r="39" spans="1:2">
      <c r="A39" s="42" t="s">
        <v>194</v>
      </c>
      <c r="B39" s="42">
        <v>888</v>
      </c>
    </row>
    <row r="40" spans="1:2">
      <c r="A40" s="42" t="s">
        <v>195</v>
      </c>
      <c r="B40" s="42">
        <v>1013</v>
      </c>
    </row>
    <row r="41" spans="1:2">
      <c r="A41" s="42" t="s">
        <v>196</v>
      </c>
      <c r="B41" s="42">
        <v>6200</v>
      </c>
    </row>
    <row r="42" spans="1:2">
      <c r="A42" s="42" t="s">
        <v>197</v>
      </c>
      <c r="B42" s="42">
        <v>0</v>
      </c>
    </row>
    <row r="43" spans="1:2">
      <c r="A43" s="42" t="s">
        <v>198</v>
      </c>
      <c r="B43" s="42">
        <v>25</v>
      </c>
    </row>
    <row r="44" spans="1:2">
      <c r="A44" s="42" t="s">
        <v>199</v>
      </c>
      <c r="B44" s="42">
        <v>4400</v>
      </c>
    </row>
    <row r="45" spans="1:2">
      <c r="A45" s="42" t="s">
        <v>200</v>
      </c>
      <c r="B45" s="42">
        <v>4500</v>
      </c>
    </row>
    <row r="46" spans="1:2">
      <c r="A46" s="42" t="s">
        <v>201</v>
      </c>
      <c r="B46" s="42">
        <v>140</v>
      </c>
    </row>
    <row r="47" spans="1:2">
      <c r="A47" s="42" t="s">
        <v>202</v>
      </c>
      <c r="B47" s="42">
        <v>16</v>
      </c>
    </row>
    <row r="48" spans="1:2">
      <c r="A48" s="42" t="s">
        <v>203</v>
      </c>
      <c r="B48" s="42">
        <v>0</v>
      </c>
    </row>
    <row r="49" spans="1:2">
      <c r="A49" s="42" t="s">
        <v>204</v>
      </c>
      <c r="B49" s="42">
        <v>15</v>
      </c>
    </row>
    <row r="50" spans="1:2">
      <c r="A50" s="42" t="s">
        <v>205</v>
      </c>
      <c r="B50" s="42">
        <v>5</v>
      </c>
    </row>
    <row r="51" spans="1:2">
      <c r="A51" s="42" t="s">
        <v>206</v>
      </c>
      <c r="B51" s="42">
        <v>1200</v>
      </c>
    </row>
    <row r="52" spans="1:2">
      <c r="A52" s="42" t="s">
        <v>207</v>
      </c>
      <c r="B52" s="42">
        <v>59</v>
      </c>
    </row>
    <row r="53" spans="1:2">
      <c r="A53" s="42" t="s">
        <v>208</v>
      </c>
      <c r="B53" s="42">
        <v>166</v>
      </c>
    </row>
    <row r="54" spans="1:2">
      <c r="A54" s="42" t="s">
        <v>209</v>
      </c>
      <c r="B54" s="42">
        <v>3500</v>
      </c>
    </row>
    <row r="55" spans="1:2">
      <c r="A55" s="42" t="s">
        <v>210</v>
      </c>
      <c r="B55" s="42">
        <v>160</v>
      </c>
    </row>
    <row r="56" spans="1:2">
      <c r="A56" s="42" t="s">
        <v>211</v>
      </c>
      <c r="B56" s="42">
        <v>1200</v>
      </c>
    </row>
    <row r="57" spans="1:2">
      <c r="A57" s="42" t="s">
        <v>212</v>
      </c>
      <c r="B57" s="42">
        <v>35200</v>
      </c>
    </row>
    <row r="58" spans="1:2">
      <c r="A58" s="42" t="s">
        <v>213</v>
      </c>
      <c r="B58" s="42">
        <v>106</v>
      </c>
    </row>
    <row r="59" spans="1:2">
      <c r="A59" s="42" t="s">
        <v>214</v>
      </c>
      <c r="B59" s="42">
        <v>45</v>
      </c>
    </row>
    <row r="60" spans="1:2">
      <c r="A60" s="42" t="s">
        <v>215</v>
      </c>
      <c r="B60" s="42">
        <v>9</v>
      </c>
    </row>
    <row r="61" spans="1:2">
      <c r="A61" s="42" t="s">
        <v>1643</v>
      </c>
      <c r="B61" s="42">
        <v>72</v>
      </c>
    </row>
    <row r="62" spans="1:2">
      <c r="A62" s="42" t="s">
        <v>1644</v>
      </c>
      <c r="B62" s="42">
        <v>4400</v>
      </c>
    </row>
    <row r="63" spans="1:2">
      <c r="A63" s="42" t="s">
        <v>216</v>
      </c>
      <c r="B63" s="42">
        <v>0</v>
      </c>
    </row>
    <row r="64" spans="1:2">
      <c r="A64" s="42" t="s">
        <v>217</v>
      </c>
      <c r="B64" s="42">
        <v>0</v>
      </c>
    </row>
    <row r="65" spans="1:2">
      <c r="A65" s="42" t="s">
        <v>218</v>
      </c>
      <c r="B65" s="42">
        <v>3600</v>
      </c>
    </row>
    <row r="66" spans="1:2">
      <c r="A66" s="42" t="s">
        <v>1645</v>
      </c>
      <c r="B66" s="42">
        <v>211</v>
      </c>
    </row>
    <row r="67" spans="1:2">
      <c r="A67" s="42" t="s">
        <v>219</v>
      </c>
      <c r="B67" s="42">
        <v>1500</v>
      </c>
    </row>
    <row r="68" spans="1:2">
      <c r="A68" s="42" t="s">
        <v>220</v>
      </c>
      <c r="B68" s="42">
        <v>3219</v>
      </c>
    </row>
    <row r="69" spans="1:2">
      <c r="A69" s="42" t="s">
        <v>1646</v>
      </c>
      <c r="B69" s="42">
        <v>697</v>
      </c>
    </row>
    <row r="70" spans="1:2">
      <c r="A70" s="42" t="s">
        <v>221</v>
      </c>
      <c r="B70" s="42">
        <v>12</v>
      </c>
    </row>
    <row r="71" spans="1:2">
      <c r="A71" s="42" t="s">
        <v>222</v>
      </c>
      <c r="B71" s="42">
        <v>15</v>
      </c>
    </row>
    <row r="72" spans="1:2">
      <c r="A72" s="42" t="s">
        <v>1197</v>
      </c>
      <c r="B72" s="42">
        <v>0</v>
      </c>
    </row>
    <row r="73" spans="1:2">
      <c r="A73" s="42" t="s">
        <v>223</v>
      </c>
      <c r="B73" s="42">
        <v>0</v>
      </c>
    </row>
    <row r="74" spans="1:2">
      <c r="A74" s="42" t="s">
        <v>1647</v>
      </c>
      <c r="B74" s="42">
        <v>190</v>
      </c>
    </row>
    <row r="75" spans="1:2">
      <c r="A75" s="42" t="s">
        <v>224</v>
      </c>
      <c r="B75" s="42">
        <v>31</v>
      </c>
    </row>
    <row r="76" spans="1:2">
      <c r="A76" s="42" t="s">
        <v>225</v>
      </c>
      <c r="B76" s="42">
        <v>87</v>
      </c>
    </row>
    <row r="77" spans="1:2">
      <c r="A77" s="42" t="s">
        <v>226</v>
      </c>
      <c r="B77" s="42">
        <v>44</v>
      </c>
    </row>
    <row r="78" spans="1:2">
      <c r="A78" s="42" t="s">
        <v>227</v>
      </c>
      <c r="B78" s="42">
        <v>0</v>
      </c>
    </row>
    <row r="79" spans="1:2">
      <c r="A79" s="42" t="s">
        <v>228</v>
      </c>
      <c r="B79" s="42">
        <v>0</v>
      </c>
    </row>
    <row r="80" spans="1:2">
      <c r="A80" s="42" t="s">
        <v>1648</v>
      </c>
      <c r="B80" s="42">
        <v>62</v>
      </c>
    </row>
    <row r="81" spans="1:2">
      <c r="A81" s="42" t="s">
        <v>229</v>
      </c>
      <c r="B81" s="42">
        <v>0</v>
      </c>
    </row>
    <row r="82" spans="1:2">
      <c r="A82" s="42" t="s">
        <v>230</v>
      </c>
      <c r="B82" s="42">
        <v>0</v>
      </c>
    </row>
    <row r="83" spans="1:2">
      <c r="A83" s="42" t="s">
        <v>231</v>
      </c>
      <c r="B83" s="42">
        <v>1936</v>
      </c>
    </row>
    <row r="84" spans="1:2">
      <c r="A84" s="42" t="s">
        <v>232</v>
      </c>
      <c r="B84" s="42">
        <v>1797</v>
      </c>
    </row>
    <row r="85" spans="1:2">
      <c r="A85" s="42" t="s">
        <v>233</v>
      </c>
      <c r="B85" s="42">
        <v>325</v>
      </c>
    </row>
    <row r="86" spans="1:2">
      <c r="A86" s="42" t="s">
        <v>234</v>
      </c>
      <c r="B86" s="42">
        <v>66</v>
      </c>
    </row>
    <row r="87" spans="1:2">
      <c r="A87" s="42" t="s">
        <v>1649</v>
      </c>
      <c r="B87" s="42">
        <v>0</v>
      </c>
    </row>
    <row r="88" spans="1:2">
      <c r="A88" s="42" t="s">
        <v>235</v>
      </c>
      <c r="B88" s="42">
        <v>1581</v>
      </c>
    </row>
    <row r="89" spans="1:2">
      <c r="A89" s="42" t="s">
        <v>236</v>
      </c>
      <c r="B89" s="42">
        <v>56</v>
      </c>
    </row>
    <row r="90" spans="1:2">
      <c r="A90" s="42" t="s">
        <v>1650</v>
      </c>
      <c r="B90" s="42">
        <v>249</v>
      </c>
    </row>
    <row r="91" spans="1:2">
      <c r="A91" s="42" t="s">
        <v>237</v>
      </c>
      <c r="B91" s="42">
        <v>861</v>
      </c>
    </row>
    <row r="92" spans="1:2">
      <c r="A92" s="42" t="s">
        <v>1651</v>
      </c>
      <c r="B92" s="42">
        <v>0</v>
      </c>
    </row>
    <row r="93" spans="1:2">
      <c r="A93" s="42" t="s">
        <v>238</v>
      </c>
      <c r="B93" s="42">
        <v>437</v>
      </c>
    </row>
    <row r="94" spans="1:2">
      <c r="A94" s="42" t="s">
        <v>1652</v>
      </c>
      <c r="B94" s="42">
        <v>0</v>
      </c>
    </row>
    <row r="95" spans="1:2">
      <c r="A95" s="42" t="s">
        <v>1653</v>
      </c>
      <c r="B95" s="42">
        <v>35</v>
      </c>
    </row>
    <row r="96" spans="1:2">
      <c r="A96" s="42" t="s">
        <v>239</v>
      </c>
      <c r="B96" s="42">
        <v>0</v>
      </c>
    </row>
    <row r="97" spans="1:2">
      <c r="A97" s="42" t="s">
        <v>240</v>
      </c>
      <c r="B97" s="42">
        <v>152</v>
      </c>
    </row>
    <row r="98" spans="1:2">
      <c r="A98" s="42" t="s">
        <v>241</v>
      </c>
      <c r="B98" s="42">
        <v>0</v>
      </c>
    </row>
    <row r="99" spans="1:2">
      <c r="A99" s="42" t="s">
        <v>242</v>
      </c>
      <c r="B99" s="42">
        <v>0</v>
      </c>
    </row>
    <row r="100" spans="1:2">
      <c r="A100" s="42" t="s">
        <v>1654</v>
      </c>
      <c r="B100" s="42">
        <v>138</v>
      </c>
    </row>
    <row r="101" spans="1:2">
      <c r="A101" s="42" t="s">
        <v>1655</v>
      </c>
      <c r="B101" s="42">
        <v>0</v>
      </c>
    </row>
    <row r="102" spans="1:2">
      <c r="A102" s="42" t="s">
        <v>243</v>
      </c>
      <c r="B102" s="42">
        <v>2734</v>
      </c>
    </row>
    <row r="103" spans="1:2">
      <c r="A103" s="42" t="s">
        <v>1656</v>
      </c>
      <c r="B103" s="42">
        <v>0</v>
      </c>
    </row>
    <row r="104" spans="1:2">
      <c r="A104" s="42" t="s">
        <v>244</v>
      </c>
      <c r="B104" s="42">
        <v>79</v>
      </c>
    </row>
    <row r="105" spans="1:2">
      <c r="A105" s="42" t="s">
        <v>245</v>
      </c>
      <c r="B105" s="42">
        <v>132</v>
      </c>
    </row>
    <row r="106" spans="1:2">
      <c r="A106" s="42" t="s">
        <v>1657</v>
      </c>
      <c r="B106" s="42">
        <v>0</v>
      </c>
    </row>
    <row r="107" spans="1:2">
      <c r="A107" s="42" t="s">
        <v>246</v>
      </c>
      <c r="B107" s="42">
        <v>0</v>
      </c>
    </row>
    <row r="108" spans="1:2">
      <c r="A108" s="42" t="s">
        <v>247</v>
      </c>
      <c r="B108" s="42">
        <v>0</v>
      </c>
    </row>
    <row r="109" spans="1:2">
      <c r="A109" s="42" t="s">
        <v>248</v>
      </c>
      <c r="B109" s="42">
        <v>0</v>
      </c>
    </row>
    <row r="110" spans="1:2">
      <c r="A110" s="42" t="s">
        <v>249</v>
      </c>
      <c r="B110" s="42">
        <v>821</v>
      </c>
    </row>
    <row r="111" spans="1:2">
      <c r="A111" s="42" t="s">
        <v>250</v>
      </c>
      <c r="B111" s="42">
        <v>700</v>
      </c>
    </row>
    <row r="112" spans="1:2">
      <c r="A112" s="42" t="s">
        <v>1658</v>
      </c>
      <c r="B112" s="42">
        <v>0</v>
      </c>
    </row>
    <row r="113" spans="1:2">
      <c r="A113" s="42" t="s">
        <v>1200</v>
      </c>
      <c r="B113" s="42">
        <v>0</v>
      </c>
    </row>
    <row r="114" spans="1:2">
      <c r="A114" s="42" t="s">
        <v>251</v>
      </c>
      <c r="B114" s="42">
        <v>298</v>
      </c>
    </row>
    <row r="115" spans="1:2">
      <c r="A115" s="42" t="s">
        <v>252</v>
      </c>
      <c r="B115" s="42">
        <v>66</v>
      </c>
    </row>
    <row r="116" spans="1:2">
      <c r="A116" s="42" t="s">
        <v>1659</v>
      </c>
      <c r="B116" s="42">
        <v>0</v>
      </c>
    </row>
    <row r="117" spans="1:2">
      <c r="A117" s="42" t="s">
        <v>253</v>
      </c>
      <c r="B117" s="42">
        <v>1065</v>
      </c>
    </row>
    <row r="118" spans="1:2">
      <c r="A118" s="42" t="s">
        <v>1660</v>
      </c>
      <c r="B118" s="42">
        <v>0</v>
      </c>
    </row>
    <row r="119" spans="1:2">
      <c r="A119" s="42" t="s">
        <v>254</v>
      </c>
      <c r="B119" s="42">
        <v>0</v>
      </c>
    </row>
    <row r="120" spans="1:2">
      <c r="A120" s="42" t="s">
        <v>255</v>
      </c>
      <c r="B120" s="42">
        <v>0</v>
      </c>
    </row>
    <row r="121" spans="1:2">
      <c r="A121" s="42" t="s">
        <v>256</v>
      </c>
      <c r="B121" s="42">
        <v>0</v>
      </c>
    </row>
    <row r="122" spans="1:2">
      <c r="A122" s="42" t="s">
        <v>257</v>
      </c>
      <c r="B122" s="42">
        <v>878</v>
      </c>
    </row>
    <row r="123" spans="1:2">
      <c r="A123" s="42" t="s">
        <v>258</v>
      </c>
      <c r="B123" s="42">
        <v>66</v>
      </c>
    </row>
    <row r="124" spans="1:2">
      <c r="A124" s="42" t="s">
        <v>1661</v>
      </c>
      <c r="B124" s="42">
        <v>0</v>
      </c>
    </row>
    <row r="125" spans="1:2">
      <c r="A125" s="42" t="s">
        <v>259</v>
      </c>
      <c r="B125" s="42">
        <v>0</v>
      </c>
    </row>
    <row r="126" spans="1:2">
      <c r="A126" s="42" t="s">
        <v>1662</v>
      </c>
      <c r="B126" s="42">
        <v>0</v>
      </c>
    </row>
    <row r="127" spans="1:2">
      <c r="A127" s="42" t="s">
        <v>260</v>
      </c>
      <c r="B127" s="42">
        <v>0</v>
      </c>
    </row>
    <row r="128" spans="1:2">
      <c r="A128" s="42" t="s">
        <v>261</v>
      </c>
      <c r="B128" s="42">
        <v>4</v>
      </c>
    </row>
    <row r="129" spans="1:2">
      <c r="A129" s="42" t="s">
        <v>262</v>
      </c>
      <c r="B129" s="42">
        <v>3000</v>
      </c>
    </row>
    <row r="130" spans="1:2">
      <c r="A130" s="42" t="s">
        <v>263</v>
      </c>
      <c r="B130" s="42">
        <v>0</v>
      </c>
    </row>
    <row r="131" spans="1:2">
      <c r="A131" s="42" t="s">
        <v>264</v>
      </c>
      <c r="B131" s="42">
        <v>3237</v>
      </c>
    </row>
    <row r="132" spans="1:2">
      <c r="A132" s="42" t="s">
        <v>265</v>
      </c>
      <c r="B132" s="42">
        <v>6631</v>
      </c>
    </row>
    <row r="133" spans="1:2">
      <c r="A133" s="42" t="s">
        <v>266</v>
      </c>
      <c r="B133" s="42">
        <v>2</v>
      </c>
    </row>
    <row r="134" spans="1:2">
      <c r="A134" s="42" t="s">
        <v>267</v>
      </c>
      <c r="B134" s="42">
        <v>3625</v>
      </c>
    </row>
    <row r="135" spans="1:2">
      <c r="A135" s="42" t="s">
        <v>268</v>
      </c>
      <c r="B135" s="42">
        <v>34</v>
      </c>
    </row>
    <row r="136" spans="1:2">
      <c r="A136" s="42" t="s">
        <v>269</v>
      </c>
      <c r="B136" s="42">
        <v>729</v>
      </c>
    </row>
    <row r="137" spans="1:2">
      <c r="A137" s="42" t="s">
        <v>1663</v>
      </c>
      <c r="B137" s="42">
        <v>180</v>
      </c>
    </row>
    <row r="138" spans="1:2">
      <c r="A138" s="42" t="s">
        <v>270</v>
      </c>
      <c r="B138" s="42">
        <v>22</v>
      </c>
    </row>
    <row r="139" spans="1:2">
      <c r="A139" s="42" t="s">
        <v>271</v>
      </c>
      <c r="B139" s="42">
        <v>26</v>
      </c>
    </row>
    <row r="140" spans="1:2">
      <c r="A140" s="42" t="s">
        <v>272</v>
      </c>
      <c r="B140" s="42">
        <v>7293</v>
      </c>
    </row>
    <row r="141" spans="1:2">
      <c r="A141" s="42" t="s">
        <v>273</v>
      </c>
      <c r="B141" s="42">
        <v>616</v>
      </c>
    </row>
    <row r="142" spans="1:2">
      <c r="A142" s="42" t="s">
        <v>274</v>
      </c>
      <c r="B142" s="42">
        <v>30</v>
      </c>
    </row>
    <row r="143" spans="1:2">
      <c r="A143" s="42" t="s">
        <v>275</v>
      </c>
      <c r="B143" s="42">
        <v>63</v>
      </c>
    </row>
    <row r="144" spans="1:2">
      <c r="A144" s="42" t="s">
        <v>276</v>
      </c>
      <c r="B144" s="42">
        <v>30</v>
      </c>
    </row>
    <row r="145" spans="1:2">
      <c r="A145" s="42" t="s">
        <v>277</v>
      </c>
      <c r="B145" s="42">
        <v>212</v>
      </c>
    </row>
    <row r="146" spans="1:2">
      <c r="A146" s="42" t="s">
        <v>278</v>
      </c>
      <c r="B146" s="42">
        <v>70</v>
      </c>
    </row>
    <row r="147" spans="1:2">
      <c r="A147" s="42" t="s">
        <v>279</v>
      </c>
      <c r="B147" s="42">
        <v>299</v>
      </c>
    </row>
    <row r="148" spans="1:2">
      <c r="A148" s="42" t="s">
        <v>280</v>
      </c>
      <c r="B148" s="42">
        <v>420</v>
      </c>
    </row>
    <row r="149" spans="1:2">
      <c r="A149" s="42" t="s">
        <v>281</v>
      </c>
      <c r="B149" s="42">
        <v>355</v>
      </c>
    </row>
    <row r="150" spans="1:2">
      <c r="A150" s="42" t="s">
        <v>282</v>
      </c>
      <c r="B150" s="42">
        <v>500</v>
      </c>
    </row>
    <row r="151" spans="1:2">
      <c r="A151" s="42" t="s">
        <v>283</v>
      </c>
      <c r="B151" s="42">
        <v>822</v>
      </c>
    </row>
    <row r="152" spans="1:2">
      <c r="A152" s="42" t="s">
        <v>284</v>
      </c>
      <c r="B152" s="42">
        <v>2662</v>
      </c>
    </row>
    <row r="153" spans="1:2">
      <c r="A153" s="42" t="s">
        <v>285</v>
      </c>
      <c r="B153" s="42">
        <v>428</v>
      </c>
    </row>
    <row r="154" spans="1:2">
      <c r="A154" s="42" t="s">
        <v>286</v>
      </c>
      <c r="B154" s="42">
        <v>8487</v>
      </c>
    </row>
    <row r="155" spans="1:2">
      <c r="A155" s="42" t="s">
        <v>287</v>
      </c>
      <c r="B155" s="42">
        <v>30</v>
      </c>
    </row>
    <row r="156" spans="1:2">
      <c r="A156" s="42" t="s">
        <v>288</v>
      </c>
      <c r="B156" s="42">
        <v>360</v>
      </c>
    </row>
    <row r="157" spans="1:2">
      <c r="A157" s="42" t="s">
        <v>289</v>
      </c>
      <c r="B157" s="42">
        <v>41</v>
      </c>
    </row>
    <row r="158" spans="1:2">
      <c r="A158" s="42" t="s">
        <v>290</v>
      </c>
      <c r="B158" s="42">
        <v>234</v>
      </c>
    </row>
    <row r="159" spans="1:2">
      <c r="A159" s="42" t="s">
        <v>291</v>
      </c>
      <c r="B159" s="42">
        <v>2000</v>
      </c>
    </row>
    <row r="160" spans="1:2">
      <c r="A160" s="42" t="s">
        <v>292</v>
      </c>
      <c r="B160" s="42">
        <v>8000</v>
      </c>
    </row>
    <row r="161" spans="1:2">
      <c r="A161" s="42" t="s">
        <v>293</v>
      </c>
      <c r="B161" s="42">
        <v>31</v>
      </c>
    </row>
    <row r="162" spans="1:2">
      <c r="A162" s="42" t="s">
        <v>294</v>
      </c>
      <c r="B162" s="42">
        <v>666</v>
      </c>
    </row>
    <row r="163" spans="1:2">
      <c r="A163" s="42" t="s">
        <v>1664</v>
      </c>
      <c r="B163" s="42">
        <v>25</v>
      </c>
    </row>
    <row r="164" spans="1:2">
      <c r="A164" s="42" t="s">
        <v>295</v>
      </c>
      <c r="B164" s="42">
        <v>591</v>
      </c>
    </row>
    <row r="165" spans="1:2">
      <c r="A165" s="42" t="s">
        <v>296</v>
      </c>
      <c r="B165" s="42">
        <v>4</v>
      </c>
    </row>
    <row r="166" spans="1:2">
      <c r="A166" s="42" t="s">
        <v>1665</v>
      </c>
      <c r="B166" s="42">
        <v>3</v>
      </c>
    </row>
    <row r="167" spans="1:2">
      <c r="A167" s="42" t="s">
        <v>297</v>
      </c>
      <c r="B167" s="42">
        <v>0</v>
      </c>
    </row>
    <row r="168" spans="1:2">
      <c r="A168" s="42" t="s">
        <v>298</v>
      </c>
      <c r="B168" s="42">
        <v>298</v>
      </c>
    </row>
    <row r="169" spans="1:2">
      <c r="A169" s="42" t="s">
        <v>299</v>
      </c>
      <c r="B169" s="42">
        <v>9226</v>
      </c>
    </row>
    <row r="170" spans="1:2">
      <c r="A170" s="42" t="s">
        <v>300</v>
      </c>
      <c r="B170" s="42">
        <v>0</v>
      </c>
    </row>
    <row r="171" spans="1:2">
      <c r="A171" s="42" t="s">
        <v>1666</v>
      </c>
      <c r="B171" s="42">
        <v>255</v>
      </c>
    </row>
    <row r="172" spans="1:2">
      <c r="A172" s="42" t="s">
        <v>301</v>
      </c>
      <c r="B172" s="42">
        <v>87</v>
      </c>
    </row>
    <row r="173" spans="1:2">
      <c r="A173" s="42" t="s">
        <v>302</v>
      </c>
      <c r="B173" s="42">
        <v>52</v>
      </c>
    </row>
    <row r="174" spans="1:2">
      <c r="A174" s="42" t="s">
        <v>303</v>
      </c>
      <c r="B174" s="42">
        <v>25</v>
      </c>
    </row>
    <row r="175" spans="1:2">
      <c r="A175" s="42" t="s">
        <v>304</v>
      </c>
      <c r="B175" s="42">
        <v>54</v>
      </c>
    </row>
    <row r="176" spans="1:2">
      <c r="A176" s="42" t="s">
        <v>305</v>
      </c>
      <c r="B176" s="42">
        <v>53</v>
      </c>
    </row>
    <row r="177" spans="1:2">
      <c r="A177" s="42" t="s">
        <v>306</v>
      </c>
      <c r="B177" s="42">
        <v>14</v>
      </c>
    </row>
    <row r="178" spans="1:2">
      <c r="A178" s="42" t="s">
        <v>307</v>
      </c>
      <c r="B178" s="42">
        <v>347</v>
      </c>
    </row>
    <row r="179" spans="1:2">
      <c r="A179" s="42" t="s">
        <v>308</v>
      </c>
      <c r="B179" s="42">
        <v>344</v>
      </c>
    </row>
    <row r="180" spans="1:2">
      <c r="A180" s="42" t="s">
        <v>309</v>
      </c>
      <c r="B180" s="42">
        <v>81</v>
      </c>
    </row>
    <row r="181" spans="1:2">
      <c r="A181" s="42" t="s">
        <v>310</v>
      </c>
      <c r="B181" s="42">
        <v>230</v>
      </c>
    </row>
    <row r="182" spans="1:2">
      <c r="A182" s="42" t="s">
        <v>311</v>
      </c>
      <c r="B182" s="42">
        <v>0</v>
      </c>
    </row>
    <row r="183" spans="1:2">
      <c r="A183" s="42" t="s">
        <v>1667</v>
      </c>
      <c r="B183" s="42">
        <v>538</v>
      </c>
    </row>
    <row r="184" spans="1:2">
      <c r="A184" s="42" t="s">
        <v>312</v>
      </c>
      <c r="B184" s="42">
        <v>211</v>
      </c>
    </row>
    <row r="185" spans="1:2">
      <c r="A185" s="42" t="s">
        <v>313</v>
      </c>
      <c r="B185" s="42">
        <v>2055</v>
      </c>
    </row>
    <row r="186" spans="1:2">
      <c r="A186" s="42" t="s">
        <v>314</v>
      </c>
      <c r="B186" s="42">
        <v>0</v>
      </c>
    </row>
    <row r="187" spans="1:2">
      <c r="A187" s="42" t="s">
        <v>315</v>
      </c>
      <c r="B187" s="42">
        <v>0</v>
      </c>
    </row>
    <row r="188" spans="1:2">
      <c r="A188" s="42" t="s">
        <v>316</v>
      </c>
      <c r="B188" s="42">
        <v>0</v>
      </c>
    </row>
    <row r="189" spans="1:2">
      <c r="A189" s="42" t="s">
        <v>1668</v>
      </c>
      <c r="B189" s="42">
        <v>0</v>
      </c>
    </row>
    <row r="190" spans="1:2">
      <c r="A190" s="42" t="s">
        <v>317</v>
      </c>
      <c r="B190" s="42">
        <v>3542</v>
      </c>
    </row>
    <row r="191" spans="1:2">
      <c r="A191" s="42" t="s">
        <v>1669</v>
      </c>
      <c r="B191" s="42">
        <v>0</v>
      </c>
    </row>
    <row r="192" spans="1:2">
      <c r="A192" s="42" t="s">
        <v>1670</v>
      </c>
      <c r="B192" s="42">
        <v>0</v>
      </c>
    </row>
    <row r="193" spans="1:2">
      <c r="A193" s="42" t="s">
        <v>1671</v>
      </c>
      <c r="B193" s="42">
        <v>0</v>
      </c>
    </row>
    <row r="194" spans="1:2">
      <c r="A194" s="42" t="s">
        <v>318</v>
      </c>
      <c r="B194" s="42">
        <v>0</v>
      </c>
    </row>
    <row r="195" spans="1:2">
      <c r="A195" s="42" t="s">
        <v>1672</v>
      </c>
      <c r="B195" s="42">
        <v>0</v>
      </c>
    </row>
    <row r="196" spans="1:2">
      <c r="A196" s="42" t="s">
        <v>319</v>
      </c>
      <c r="B196" s="42">
        <v>0</v>
      </c>
    </row>
    <row r="197" spans="1:2">
      <c r="A197" s="42" t="s">
        <v>1673</v>
      </c>
      <c r="B197" s="42">
        <v>0</v>
      </c>
    </row>
    <row r="198" spans="1:2">
      <c r="A198" s="42" t="s">
        <v>320</v>
      </c>
      <c r="B198" s="42">
        <v>17</v>
      </c>
    </row>
    <row r="199" spans="1:2">
      <c r="A199" s="42" t="s">
        <v>321</v>
      </c>
      <c r="B199" s="42">
        <v>2</v>
      </c>
    </row>
    <row r="200" spans="1:2">
      <c r="A200" s="42" t="s">
        <v>1674</v>
      </c>
      <c r="B200" s="42">
        <v>39</v>
      </c>
    </row>
    <row r="201" spans="1:2">
      <c r="A201" s="42" t="s">
        <v>322</v>
      </c>
      <c r="B201" s="42">
        <v>0</v>
      </c>
    </row>
    <row r="202" spans="1:2">
      <c r="A202" s="42" t="s">
        <v>1675</v>
      </c>
      <c r="B202" s="42">
        <v>39</v>
      </c>
    </row>
    <row r="203" spans="1:2">
      <c r="A203" s="42" t="s">
        <v>1676</v>
      </c>
      <c r="B203" s="42">
        <v>0</v>
      </c>
    </row>
    <row r="204" spans="1:2">
      <c r="A204" s="42" t="s">
        <v>1677</v>
      </c>
      <c r="B204" s="42">
        <v>336</v>
      </c>
    </row>
    <row r="205" spans="1:2">
      <c r="A205" s="42" t="s">
        <v>323</v>
      </c>
      <c r="B205" s="42">
        <v>140</v>
      </c>
    </row>
    <row r="206" spans="1:2">
      <c r="A206" s="42" t="s">
        <v>324</v>
      </c>
      <c r="B206" s="42">
        <v>13</v>
      </c>
    </row>
    <row r="207" spans="1:2">
      <c r="A207" s="42" t="s">
        <v>325</v>
      </c>
      <c r="B207" s="42">
        <v>134</v>
      </c>
    </row>
    <row r="208" spans="1:2">
      <c r="A208" s="42" t="s">
        <v>1678</v>
      </c>
      <c r="B208" s="42">
        <v>0</v>
      </c>
    </row>
    <row r="209" spans="1:2">
      <c r="A209" s="42" t="s">
        <v>326</v>
      </c>
      <c r="B209" s="42">
        <v>4</v>
      </c>
    </row>
    <row r="210" spans="1:2">
      <c r="A210" s="42" t="s">
        <v>327</v>
      </c>
      <c r="B210" s="42">
        <v>7610</v>
      </c>
    </row>
    <row r="211" spans="1:2">
      <c r="A211" s="42" t="s">
        <v>328</v>
      </c>
      <c r="B211" s="42">
        <v>521</v>
      </c>
    </row>
    <row r="212" spans="1:2">
      <c r="A212" s="42" t="s">
        <v>329</v>
      </c>
      <c r="B212" s="42">
        <v>310</v>
      </c>
    </row>
    <row r="213" spans="1:2">
      <c r="A213" s="42" t="s">
        <v>330</v>
      </c>
      <c r="B213" s="42">
        <v>0</v>
      </c>
    </row>
    <row r="214" spans="1:2">
      <c r="A214" s="42" t="s">
        <v>1679</v>
      </c>
      <c r="B214" s="42">
        <v>2000</v>
      </c>
    </row>
    <row r="215" spans="1:2">
      <c r="A215" s="42" t="s">
        <v>331</v>
      </c>
      <c r="B215" s="42">
        <v>823</v>
      </c>
    </row>
    <row r="216" spans="1:2">
      <c r="A216" s="42" t="s">
        <v>332</v>
      </c>
      <c r="B216" s="42">
        <v>0</v>
      </c>
    </row>
    <row r="217" spans="1:2">
      <c r="A217" s="42" t="s">
        <v>333</v>
      </c>
      <c r="B217" s="42">
        <v>0</v>
      </c>
    </row>
    <row r="218" spans="1:2">
      <c r="A218" s="42" t="s">
        <v>334</v>
      </c>
      <c r="B218" s="42">
        <v>3</v>
      </c>
    </row>
    <row r="219" spans="1:2">
      <c r="A219" s="42" t="s">
        <v>335</v>
      </c>
      <c r="B219" s="42">
        <v>0</v>
      </c>
    </row>
    <row r="220" spans="1:2">
      <c r="A220" s="42" t="s">
        <v>336</v>
      </c>
      <c r="B220" s="42">
        <v>1385</v>
      </c>
    </row>
    <row r="221" spans="1:2">
      <c r="A221" s="42" t="s">
        <v>337</v>
      </c>
      <c r="B221" s="42">
        <v>915</v>
      </c>
    </row>
    <row r="222" spans="1:2">
      <c r="A222" s="42" t="s">
        <v>338</v>
      </c>
      <c r="B222" s="42">
        <v>579</v>
      </c>
    </row>
    <row r="223" spans="1:2">
      <c r="A223" s="42" t="s">
        <v>1680</v>
      </c>
      <c r="B223" s="42">
        <v>0</v>
      </c>
    </row>
    <row r="224" spans="1:2">
      <c r="A224" s="42" t="s">
        <v>339</v>
      </c>
      <c r="B224" s="42">
        <v>0</v>
      </c>
    </row>
    <row r="225" spans="1:2">
      <c r="A225" s="42" t="s">
        <v>1681</v>
      </c>
      <c r="B225" s="42">
        <v>0</v>
      </c>
    </row>
    <row r="226" spans="1:2">
      <c r="A226" s="42" t="s">
        <v>340</v>
      </c>
      <c r="B226" s="42">
        <v>43</v>
      </c>
    </row>
    <row r="227" spans="1:2">
      <c r="A227" s="42" t="s">
        <v>341</v>
      </c>
      <c r="B227" s="42">
        <v>3</v>
      </c>
    </row>
    <row r="228" spans="1:2">
      <c r="A228" s="42" t="s">
        <v>342</v>
      </c>
      <c r="B228" s="42">
        <v>54</v>
      </c>
    </row>
    <row r="229" spans="1:2">
      <c r="A229" s="42" t="s">
        <v>1682</v>
      </c>
      <c r="B229" s="42">
        <v>16</v>
      </c>
    </row>
    <row r="230" spans="1:2">
      <c r="A230" s="42" t="s">
        <v>343</v>
      </c>
      <c r="B230" s="42">
        <v>538</v>
      </c>
    </row>
    <row r="231" spans="1:2">
      <c r="A231" s="42" t="s">
        <v>1683</v>
      </c>
      <c r="B231" s="42">
        <v>0</v>
      </c>
    </row>
    <row r="232" spans="1:2">
      <c r="A232" s="42" t="s">
        <v>344</v>
      </c>
      <c r="B232" s="42">
        <v>0</v>
      </c>
    </row>
    <row r="233" spans="1:2">
      <c r="A233" s="42" t="s">
        <v>345</v>
      </c>
      <c r="B233" s="42">
        <v>323</v>
      </c>
    </row>
    <row r="234" spans="1:2">
      <c r="A234" s="42" t="s">
        <v>346</v>
      </c>
      <c r="B234" s="42">
        <v>5</v>
      </c>
    </row>
    <row r="235" spans="1:2">
      <c r="A235" s="42" t="s">
        <v>1684</v>
      </c>
      <c r="B235" s="42">
        <v>0</v>
      </c>
    </row>
    <row r="236" spans="1:2">
      <c r="A236" s="42" t="s">
        <v>347</v>
      </c>
      <c r="B236" s="42">
        <v>0</v>
      </c>
    </row>
    <row r="237" spans="1:2">
      <c r="A237" s="42" t="s">
        <v>1685</v>
      </c>
      <c r="B237" s="42">
        <v>0</v>
      </c>
    </row>
    <row r="238" spans="1:2">
      <c r="A238" s="42" t="s">
        <v>1686</v>
      </c>
      <c r="B238" s="42">
        <v>0</v>
      </c>
    </row>
    <row r="239" spans="1:2">
      <c r="A239" s="42" t="s">
        <v>1687</v>
      </c>
      <c r="B239" s="42">
        <v>1000</v>
      </c>
    </row>
    <row r="240" spans="1:2">
      <c r="A240" s="42" t="s">
        <v>1688</v>
      </c>
      <c r="B240" s="42">
        <v>0</v>
      </c>
    </row>
    <row r="241" spans="1:2">
      <c r="A241" s="42" t="s">
        <v>348</v>
      </c>
      <c r="B241" s="42">
        <v>189</v>
      </c>
    </row>
    <row r="242" spans="1:2">
      <c r="A242" s="42" t="s">
        <v>1689</v>
      </c>
      <c r="B242" s="42">
        <v>0</v>
      </c>
    </row>
    <row r="243" spans="1:2">
      <c r="A243" s="42" t="s">
        <v>349</v>
      </c>
      <c r="B243" s="42">
        <v>0</v>
      </c>
    </row>
    <row r="244" spans="1:2">
      <c r="A244" s="42" t="s">
        <v>350</v>
      </c>
      <c r="B244" s="42">
        <v>0</v>
      </c>
    </row>
    <row r="245" spans="1:2">
      <c r="A245" s="42" t="s">
        <v>351</v>
      </c>
      <c r="B245" s="42">
        <v>0</v>
      </c>
    </row>
    <row r="246" spans="1:2">
      <c r="A246" s="42" t="s">
        <v>352</v>
      </c>
      <c r="B246" s="42">
        <v>18</v>
      </c>
    </row>
    <row r="247" spans="1:2">
      <c r="A247" s="42" t="s">
        <v>353</v>
      </c>
      <c r="B247" s="42">
        <v>40</v>
      </c>
    </row>
    <row r="248" spans="1:2">
      <c r="A248" s="42" t="s">
        <v>354</v>
      </c>
      <c r="B248" s="42">
        <v>0</v>
      </c>
    </row>
    <row r="249" spans="1:2">
      <c r="A249" s="42" t="s">
        <v>1690</v>
      </c>
      <c r="B249" s="42">
        <v>68</v>
      </c>
    </row>
    <row r="250" spans="1:2">
      <c r="A250" s="42" t="s">
        <v>1691</v>
      </c>
      <c r="B250" s="42">
        <v>0</v>
      </c>
    </row>
    <row r="251" spans="1:2">
      <c r="A251" s="42" t="s">
        <v>355</v>
      </c>
      <c r="B251" s="42">
        <v>3</v>
      </c>
    </row>
    <row r="252" spans="1:2">
      <c r="A252" s="42" t="s">
        <v>356</v>
      </c>
      <c r="B252" s="42">
        <v>9</v>
      </c>
    </row>
    <row r="253" spans="1:2">
      <c r="A253" s="42" t="s">
        <v>357</v>
      </c>
      <c r="B253" s="42">
        <v>35</v>
      </c>
    </row>
    <row r="254" spans="1:2">
      <c r="A254" s="42" t="s">
        <v>358</v>
      </c>
      <c r="B254" s="42">
        <v>311</v>
      </c>
    </row>
    <row r="255" spans="1:2">
      <c r="A255" s="42" t="s">
        <v>359</v>
      </c>
      <c r="B255" s="42">
        <v>0</v>
      </c>
    </row>
    <row r="256" spans="1:2">
      <c r="A256" s="42" t="s">
        <v>360</v>
      </c>
      <c r="B256" s="42">
        <v>74</v>
      </c>
    </row>
    <row r="257" spans="1:2">
      <c r="A257" s="42" t="s">
        <v>1692</v>
      </c>
      <c r="B257" s="42">
        <v>20</v>
      </c>
    </row>
    <row r="258" spans="1:2">
      <c r="A258" s="42" t="s">
        <v>361</v>
      </c>
      <c r="B258" s="42">
        <v>468</v>
      </c>
    </row>
    <row r="259" spans="1:2">
      <c r="A259" s="42" t="s">
        <v>362</v>
      </c>
      <c r="B259" s="42">
        <v>0</v>
      </c>
    </row>
    <row r="260" spans="1:2">
      <c r="A260" s="42" t="s">
        <v>363</v>
      </c>
      <c r="B260" s="42">
        <v>0</v>
      </c>
    </row>
    <row r="261" spans="1:2">
      <c r="A261" s="42" t="s">
        <v>364</v>
      </c>
      <c r="B261" s="42">
        <v>0</v>
      </c>
    </row>
    <row r="262" spans="1:2">
      <c r="A262" s="42" t="s">
        <v>365</v>
      </c>
      <c r="B262" s="42">
        <v>23</v>
      </c>
    </row>
    <row r="263" spans="1:2">
      <c r="A263" s="42" t="s">
        <v>366</v>
      </c>
      <c r="B263" s="42">
        <v>0</v>
      </c>
    </row>
    <row r="264" spans="1:2">
      <c r="A264" s="42" t="s">
        <v>1693</v>
      </c>
      <c r="B264" s="42">
        <v>0</v>
      </c>
    </row>
    <row r="265" spans="1:2">
      <c r="A265" s="42" t="s">
        <v>1694</v>
      </c>
      <c r="B265" s="42">
        <v>0</v>
      </c>
    </row>
    <row r="266" spans="1:2">
      <c r="A266" s="42" t="s">
        <v>367</v>
      </c>
      <c r="B266" s="42">
        <v>32</v>
      </c>
    </row>
    <row r="267" spans="1:2">
      <c r="A267" s="42" t="s">
        <v>368</v>
      </c>
      <c r="B267" s="42">
        <v>0</v>
      </c>
    </row>
    <row r="268" spans="1:2">
      <c r="A268" s="42" t="s">
        <v>369</v>
      </c>
      <c r="B268" s="42">
        <v>583</v>
      </c>
    </row>
    <row r="269" spans="1:2">
      <c r="A269" s="42" t="s">
        <v>370</v>
      </c>
      <c r="B269" s="42">
        <v>490</v>
      </c>
    </row>
    <row r="270" spans="1:2">
      <c r="A270" s="42" t="s">
        <v>371</v>
      </c>
      <c r="B270" s="42">
        <v>94</v>
      </c>
    </row>
    <row r="271" spans="1:2">
      <c r="A271" s="42" t="s">
        <v>372</v>
      </c>
      <c r="B271" s="42">
        <v>1357</v>
      </c>
    </row>
    <row r="272" spans="1:2">
      <c r="A272" s="42" t="s">
        <v>373</v>
      </c>
      <c r="B272" s="42">
        <v>159</v>
      </c>
    </row>
    <row r="273" spans="1:2">
      <c r="A273" s="42" t="s">
        <v>374</v>
      </c>
      <c r="B273" s="42">
        <v>622</v>
      </c>
    </row>
    <row r="274" spans="1:2">
      <c r="A274" s="42" t="s">
        <v>375</v>
      </c>
      <c r="B274" s="42">
        <v>0</v>
      </c>
    </row>
    <row r="275" spans="1:2">
      <c r="A275" s="42" t="s">
        <v>1695</v>
      </c>
      <c r="B275" s="42">
        <v>1769</v>
      </c>
    </row>
    <row r="276" spans="1:2">
      <c r="A276" s="42" t="s">
        <v>376</v>
      </c>
      <c r="B276" s="42">
        <v>84</v>
      </c>
    </row>
    <row r="277" spans="1:2">
      <c r="A277" s="42" t="s">
        <v>377</v>
      </c>
      <c r="B277" s="42">
        <v>175</v>
      </c>
    </row>
    <row r="278" spans="1:2">
      <c r="A278" s="42" t="s">
        <v>378</v>
      </c>
      <c r="B278" s="42">
        <v>527</v>
      </c>
    </row>
    <row r="279" spans="1:2">
      <c r="A279" s="42" t="s">
        <v>1696</v>
      </c>
      <c r="B279" s="42">
        <v>110</v>
      </c>
    </row>
    <row r="280" spans="1:2">
      <c r="A280" s="42" t="s">
        <v>379</v>
      </c>
      <c r="B280" s="42">
        <v>1435</v>
      </c>
    </row>
    <row r="281" spans="1:2">
      <c r="A281" s="42" t="s">
        <v>380</v>
      </c>
      <c r="B281" s="42">
        <v>10</v>
      </c>
    </row>
    <row r="282" spans="1:2">
      <c r="A282" s="42" t="s">
        <v>381</v>
      </c>
      <c r="B282" s="42">
        <v>48</v>
      </c>
    </row>
    <row r="283" spans="1:2">
      <c r="A283" s="42" t="s">
        <v>382</v>
      </c>
      <c r="B283" s="42">
        <v>102</v>
      </c>
    </row>
    <row r="284" spans="1:2">
      <c r="A284" s="42" t="s">
        <v>1697</v>
      </c>
      <c r="B284" s="42">
        <v>129</v>
      </c>
    </row>
    <row r="285" spans="1:2">
      <c r="A285" s="42" t="s">
        <v>383</v>
      </c>
      <c r="B285" s="42">
        <v>301</v>
      </c>
    </row>
    <row r="286" spans="1:2">
      <c r="A286" s="42" t="s">
        <v>1698</v>
      </c>
      <c r="B286" s="42">
        <v>63</v>
      </c>
    </row>
    <row r="287" spans="1:2">
      <c r="A287" s="42" t="s">
        <v>384</v>
      </c>
      <c r="B287" s="42">
        <v>19</v>
      </c>
    </row>
    <row r="288" spans="1:2">
      <c r="A288" s="42" t="s">
        <v>385</v>
      </c>
      <c r="B288" s="42">
        <v>72</v>
      </c>
    </row>
    <row r="289" spans="1:2">
      <c r="A289" s="42" t="s">
        <v>386</v>
      </c>
      <c r="B289" s="42">
        <v>62</v>
      </c>
    </row>
    <row r="290" spans="1:2">
      <c r="A290" s="42" t="s">
        <v>387</v>
      </c>
      <c r="B290" s="42">
        <v>0</v>
      </c>
    </row>
    <row r="291" spans="1:2">
      <c r="A291" s="42" t="s">
        <v>388</v>
      </c>
      <c r="B291" s="42">
        <v>1774</v>
      </c>
    </row>
    <row r="292" spans="1:2">
      <c r="A292" s="42" t="s">
        <v>389</v>
      </c>
      <c r="B292" s="42">
        <v>102</v>
      </c>
    </row>
    <row r="293" spans="1:2">
      <c r="A293" s="42" t="s">
        <v>390</v>
      </c>
      <c r="B293" s="42">
        <v>174</v>
      </c>
    </row>
    <row r="294" spans="1:2">
      <c r="A294" s="42" t="s">
        <v>1699</v>
      </c>
      <c r="B294" s="42">
        <v>0</v>
      </c>
    </row>
    <row r="295" spans="1:2">
      <c r="A295" s="42" t="s">
        <v>391</v>
      </c>
      <c r="B295" s="42">
        <v>974</v>
      </c>
    </row>
    <row r="296" spans="1:2">
      <c r="A296" s="42" t="s">
        <v>1700</v>
      </c>
      <c r="B296" s="42">
        <v>825</v>
      </c>
    </row>
    <row r="297" spans="1:2">
      <c r="A297" s="42" t="s">
        <v>392</v>
      </c>
      <c r="B297" s="42">
        <v>1383</v>
      </c>
    </row>
    <row r="298" spans="1:2">
      <c r="A298" s="42" t="s">
        <v>1701</v>
      </c>
      <c r="B298" s="42">
        <v>0</v>
      </c>
    </row>
    <row r="299" spans="1:2">
      <c r="A299" s="42" t="s">
        <v>1702</v>
      </c>
      <c r="B299" s="42">
        <v>0</v>
      </c>
    </row>
    <row r="300" spans="1:2">
      <c r="A300" s="42" t="s">
        <v>1703</v>
      </c>
      <c r="B300" s="42">
        <v>1800</v>
      </c>
    </row>
    <row r="301" spans="1:2">
      <c r="A301" s="42" t="s">
        <v>1704</v>
      </c>
      <c r="B301" s="42">
        <v>0</v>
      </c>
    </row>
    <row r="302" spans="1:2">
      <c r="A302" s="42" t="s">
        <v>1705</v>
      </c>
      <c r="B302" s="42">
        <v>0</v>
      </c>
    </row>
    <row r="303" spans="1:2">
      <c r="A303" s="42" t="s">
        <v>1706</v>
      </c>
      <c r="B303" s="42">
        <v>0</v>
      </c>
    </row>
    <row r="304" spans="1:2">
      <c r="A304" s="42" t="s">
        <v>393</v>
      </c>
      <c r="B304" s="42">
        <v>1506</v>
      </c>
    </row>
    <row r="305" spans="1:2">
      <c r="A305" s="42" t="s">
        <v>1707</v>
      </c>
      <c r="B305" s="42">
        <v>387</v>
      </c>
    </row>
    <row r="306" spans="1:2">
      <c r="A306" s="42" t="s">
        <v>1708</v>
      </c>
      <c r="B306" s="42">
        <v>0</v>
      </c>
    </row>
    <row r="307" spans="1:2">
      <c r="A307" s="42" t="s">
        <v>394</v>
      </c>
      <c r="B307" s="42">
        <v>0</v>
      </c>
    </row>
    <row r="308" spans="1:2">
      <c r="A308" s="42" t="s">
        <v>395</v>
      </c>
      <c r="B308" s="42">
        <v>457</v>
      </c>
    </row>
    <row r="309" spans="1:2">
      <c r="A309" s="42" t="s">
        <v>396</v>
      </c>
      <c r="B309" s="42">
        <v>0</v>
      </c>
    </row>
    <row r="310" spans="1:2">
      <c r="A310" s="42" t="s">
        <v>397</v>
      </c>
      <c r="B310" s="42">
        <v>83</v>
      </c>
    </row>
    <row r="311" spans="1:2">
      <c r="A311" s="42" t="s">
        <v>398</v>
      </c>
      <c r="B311" s="42">
        <v>4500</v>
      </c>
    </row>
    <row r="312" spans="1:2">
      <c r="A312" s="42" t="s">
        <v>1709</v>
      </c>
      <c r="B312" s="42">
        <v>0</v>
      </c>
    </row>
    <row r="313" spans="1:2">
      <c r="A313" s="42" t="s">
        <v>399</v>
      </c>
      <c r="B313" s="42">
        <v>79</v>
      </c>
    </row>
    <row r="314" spans="1:2">
      <c r="A314" s="42" t="s">
        <v>400</v>
      </c>
      <c r="B314" s="42">
        <v>0</v>
      </c>
    </row>
    <row r="315" spans="1:2">
      <c r="A315" s="42" t="s">
        <v>1710</v>
      </c>
      <c r="B315" s="42">
        <v>237</v>
      </c>
    </row>
    <row r="316" spans="1:2">
      <c r="A316" s="42" t="s">
        <v>401</v>
      </c>
      <c r="B316" s="42">
        <v>1216</v>
      </c>
    </row>
    <row r="317" spans="1:2">
      <c r="A317" s="42" t="s">
        <v>402</v>
      </c>
      <c r="B317" s="42">
        <v>26</v>
      </c>
    </row>
    <row r="318" spans="1:2">
      <c r="A318" s="42" t="s">
        <v>1711</v>
      </c>
      <c r="B318" s="42">
        <v>0</v>
      </c>
    </row>
    <row r="319" spans="1:2">
      <c r="A319" s="42" t="s">
        <v>403</v>
      </c>
      <c r="B319" s="42">
        <v>0</v>
      </c>
    </row>
    <row r="320" spans="1:2">
      <c r="A320" s="42" t="s">
        <v>404</v>
      </c>
      <c r="B320" s="42">
        <v>67</v>
      </c>
    </row>
    <row r="321" spans="1:2">
      <c r="A321" s="42" t="s">
        <v>1712</v>
      </c>
      <c r="B321" s="42">
        <v>17</v>
      </c>
    </row>
    <row r="322" spans="1:2">
      <c r="A322" s="42" t="s">
        <v>405</v>
      </c>
      <c r="B322" s="42">
        <v>469</v>
      </c>
    </row>
    <row r="323" spans="1:2">
      <c r="A323" s="42" t="s">
        <v>406</v>
      </c>
      <c r="B323" s="42">
        <v>1611</v>
      </c>
    </row>
    <row r="324" spans="1:2">
      <c r="A324" s="42" t="s">
        <v>407</v>
      </c>
      <c r="B324" s="42">
        <v>0</v>
      </c>
    </row>
    <row r="325" spans="1:2">
      <c r="A325" s="42" t="s">
        <v>408</v>
      </c>
      <c r="B325" s="42">
        <v>0</v>
      </c>
    </row>
    <row r="326" spans="1:2">
      <c r="A326" s="42" t="s">
        <v>1713</v>
      </c>
      <c r="B326" s="42">
        <v>42</v>
      </c>
    </row>
    <row r="327" spans="1:2">
      <c r="A327" s="42" t="s">
        <v>409</v>
      </c>
      <c r="B327" s="42">
        <v>145</v>
      </c>
    </row>
    <row r="328" spans="1:2">
      <c r="A328" s="42" t="s">
        <v>410</v>
      </c>
      <c r="B328" s="42">
        <v>0</v>
      </c>
    </row>
    <row r="329" spans="1:2">
      <c r="A329" s="42" t="s">
        <v>1714</v>
      </c>
      <c r="B329" s="42">
        <v>0</v>
      </c>
    </row>
    <row r="330" spans="1:2">
      <c r="A330" s="42" t="s">
        <v>411</v>
      </c>
      <c r="B330" s="42">
        <v>32</v>
      </c>
    </row>
    <row r="331" spans="1:2">
      <c r="A331" s="42" t="s">
        <v>412</v>
      </c>
      <c r="B331" s="42">
        <v>0</v>
      </c>
    </row>
    <row r="332" spans="1:2">
      <c r="A332" s="42" t="s">
        <v>413</v>
      </c>
      <c r="B332" s="42">
        <v>73</v>
      </c>
    </row>
    <row r="333" spans="1:2">
      <c r="A333" s="42" t="s">
        <v>1715</v>
      </c>
      <c r="B333" s="42">
        <v>1213</v>
      </c>
    </row>
    <row r="334" spans="1:2">
      <c r="A334" s="42" t="s">
        <v>414</v>
      </c>
      <c r="B334" s="42">
        <v>235</v>
      </c>
    </row>
    <row r="335" spans="1:2">
      <c r="A335" s="42" t="s">
        <v>415</v>
      </c>
      <c r="B335" s="42">
        <v>116</v>
      </c>
    </row>
    <row r="336" spans="1:2">
      <c r="A336" s="42" t="s">
        <v>1716</v>
      </c>
      <c r="B336" s="42">
        <v>325</v>
      </c>
    </row>
    <row r="337" spans="1:2">
      <c r="A337" s="42" t="s">
        <v>416</v>
      </c>
      <c r="B337" s="42">
        <v>0</v>
      </c>
    </row>
    <row r="338" spans="1:2">
      <c r="A338" s="42" t="s">
        <v>417</v>
      </c>
      <c r="B338" s="42">
        <v>1895</v>
      </c>
    </row>
    <row r="339" spans="1:2">
      <c r="A339" s="42" t="s">
        <v>418</v>
      </c>
      <c r="B339" s="42">
        <v>226</v>
      </c>
    </row>
    <row r="340" spans="1:2">
      <c r="A340" s="42" t="s">
        <v>419</v>
      </c>
      <c r="B340" s="42">
        <v>138</v>
      </c>
    </row>
    <row r="341" spans="1:2">
      <c r="A341" s="42" t="s">
        <v>420</v>
      </c>
      <c r="B341" s="42">
        <v>23</v>
      </c>
    </row>
    <row r="342" spans="1:2">
      <c r="A342" s="42" t="s">
        <v>421</v>
      </c>
      <c r="B342" s="42">
        <v>14</v>
      </c>
    </row>
    <row r="343" spans="1:2">
      <c r="A343" s="42" t="s">
        <v>1717</v>
      </c>
      <c r="B343" s="42">
        <v>769</v>
      </c>
    </row>
    <row r="344" spans="1:2">
      <c r="A344" s="42" t="s">
        <v>422</v>
      </c>
      <c r="B344" s="42">
        <v>94</v>
      </c>
    </row>
    <row r="345" spans="1:2">
      <c r="A345" s="42" t="s">
        <v>1718</v>
      </c>
      <c r="B345" s="42">
        <v>0</v>
      </c>
    </row>
    <row r="346" spans="1:2">
      <c r="A346" s="42" t="s">
        <v>423</v>
      </c>
      <c r="B346" s="42">
        <v>0</v>
      </c>
    </row>
    <row r="347" spans="1:2">
      <c r="A347" s="42" t="s">
        <v>424</v>
      </c>
      <c r="B347" s="42">
        <v>624</v>
      </c>
    </row>
    <row r="348" spans="1:2">
      <c r="A348" s="42" t="s">
        <v>425</v>
      </c>
      <c r="B348" s="42">
        <v>59</v>
      </c>
    </row>
    <row r="349" spans="1:2">
      <c r="A349" s="42" t="s">
        <v>426</v>
      </c>
      <c r="B349" s="42">
        <v>554</v>
      </c>
    </row>
    <row r="350" spans="1:2">
      <c r="A350" s="42" t="s">
        <v>427</v>
      </c>
      <c r="B350" s="42">
        <v>191</v>
      </c>
    </row>
    <row r="351" spans="1:2">
      <c r="A351" s="42" t="s">
        <v>428</v>
      </c>
      <c r="B351" s="42">
        <v>0</v>
      </c>
    </row>
    <row r="352" spans="1:2">
      <c r="A352" s="42" t="s">
        <v>1719</v>
      </c>
      <c r="B352" s="42">
        <v>0</v>
      </c>
    </row>
    <row r="353" spans="1:2">
      <c r="A353" s="42" t="s">
        <v>1720</v>
      </c>
      <c r="B353" s="42">
        <v>2400</v>
      </c>
    </row>
    <row r="354" spans="1:2">
      <c r="A354" s="42" t="s">
        <v>429</v>
      </c>
      <c r="B354" s="42">
        <v>26</v>
      </c>
    </row>
    <row r="355" spans="1:2">
      <c r="A355" s="42" t="s">
        <v>430</v>
      </c>
      <c r="B355" s="42">
        <v>0</v>
      </c>
    </row>
    <row r="356" spans="1:2">
      <c r="A356" s="42" t="s">
        <v>431</v>
      </c>
      <c r="B356" s="42">
        <v>772</v>
      </c>
    </row>
    <row r="357" spans="1:2">
      <c r="A357" s="42" t="s">
        <v>432</v>
      </c>
      <c r="B357" s="42">
        <v>11</v>
      </c>
    </row>
    <row r="358" spans="1:2">
      <c r="A358" s="42" t="s">
        <v>433</v>
      </c>
      <c r="B358" s="42">
        <v>525</v>
      </c>
    </row>
    <row r="359" spans="1:2">
      <c r="A359" s="42" t="s">
        <v>434</v>
      </c>
      <c r="B359" s="42">
        <v>431</v>
      </c>
    </row>
    <row r="360" spans="1:2">
      <c r="A360" s="42" t="s">
        <v>1721</v>
      </c>
      <c r="B360" s="42">
        <v>30</v>
      </c>
    </row>
    <row r="361" spans="1:2">
      <c r="A361" s="42" t="s">
        <v>1722</v>
      </c>
      <c r="B361" s="42">
        <v>22</v>
      </c>
    </row>
    <row r="362" spans="1:2">
      <c r="A362" s="42" t="s">
        <v>435</v>
      </c>
      <c r="B362" s="42">
        <v>678</v>
      </c>
    </row>
    <row r="363" spans="1:2">
      <c r="A363" s="42" t="s">
        <v>1723</v>
      </c>
      <c r="B363" s="42">
        <v>2497</v>
      </c>
    </row>
    <row r="364" spans="1:2">
      <c r="A364" s="42" t="s">
        <v>1724</v>
      </c>
      <c r="B364" s="42">
        <v>0</v>
      </c>
    </row>
    <row r="365" spans="1:2">
      <c r="A365" s="42" t="s">
        <v>436</v>
      </c>
      <c r="B365" s="42">
        <v>0</v>
      </c>
    </row>
    <row r="366" spans="1:2">
      <c r="A366" s="42" t="s">
        <v>437</v>
      </c>
      <c r="B366" s="42">
        <v>709</v>
      </c>
    </row>
    <row r="367" spans="1:2">
      <c r="A367" s="42" t="s">
        <v>438</v>
      </c>
      <c r="B367" s="42">
        <v>0</v>
      </c>
    </row>
    <row r="368" spans="1:2">
      <c r="A368" s="42" t="s">
        <v>439</v>
      </c>
      <c r="B368" s="42">
        <v>0</v>
      </c>
    </row>
    <row r="369" spans="1:2">
      <c r="A369" s="42" t="s">
        <v>440</v>
      </c>
      <c r="B369" s="42">
        <v>485</v>
      </c>
    </row>
    <row r="370" spans="1:2">
      <c r="A370" s="42" t="s">
        <v>441</v>
      </c>
      <c r="B370" s="42">
        <v>14</v>
      </c>
    </row>
    <row r="371" spans="1:2">
      <c r="A371" s="42" t="s">
        <v>442</v>
      </c>
      <c r="B371" s="42">
        <v>2070</v>
      </c>
    </row>
    <row r="372" spans="1:2">
      <c r="A372" s="42" t="s">
        <v>443</v>
      </c>
      <c r="B372" s="42">
        <v>2607</v>
      </c>
    </row>
    <row r="373" spans="1:2">
      <c r="A373" s="42" t="s">
        <v>444</v>
      </c>
      <c r="B373" s="42">
        <v>1755</v>
      </c>
    </row>
    <row r="374" spans="1:2">
      <c r="A374" s="42" t="s">
        <v>445</v>
      </c>
      <c r="B374" s="42">
        <v>2783</v>
      </c>
    </row>
    <row r="375" spans="1:2">
      <c r="A375" s="42" t="s">
        <v>446</v>
      </c>
      <c r="B375" s="42">
        <v>0</v>
      </c>
    </row>
    <row r="376" spans="1:2">
      <c r="A376" s="42" t="s">
        <v>447</v>
      </c>
      <c r="B376" s="42">
        <v>128</v>
      </c>
    </row>
    <row r="377" spans="1:2">
      <c r="A377" s="42" t="s">
        <v>448</v>
      </c>
      <c r="B377" s="42">
        <v>160</v>
      </c>
    </row>
    <row r="378" spans="1:2">
      <c r="A378" s="42" t="s">
        <v>1725</v>
      </c>
      <c r="B378" s="42">
        <v>0</v>
      </c>
    </row>
    <row r="379" spans="1:2">
      <c r="A379" s="42" t="s">
        <v>449</v>
      </c>
      <c r="B379" s="42">
        <v>0</v>
      </c>
    </row>
    <row r="380" spans="1:2">
      <c r="A380" s="42" t="s">
        <v>450</v>
      </c>
      <c r="B380" s="42">
        <v>28</v>
      </c>
    </row>
    <row r="381" spans="1:2">
      <c r="A381" s="42" t="s">
        <v>1726</v>
      </c>
      <c r="B381" s="42">
        <v>0</v>
      </c>
    </row>
    <row r="382" spans="1:2">
      <c r="A382" s="42" t="s">
        <v>451</v>
      </c>
      <c r="B382" s="42">
        <v>742</v>
      </c>
    </row>
    <row r="383" spans="1:2">
      <c r="A383" s="42" t="s">
        <v>452</v>
      </c>
      <c r="B383" s="42">
        <v>0</v>
      </c>
    </row>
    <row r="384" spans="1:2">
      <c r="A384" s="42" t="s">
        <v>453</v>
      </c>
      <c r="B384" s="42">
        <v>231</v>
      </c>
    </row>
    <row r="385" spans="1:2">
      <c r="A385" s="42" t="s">
        <v>454</v>
      </c>
      <c r="B385" s="42">
        <v>1628</v>
      </c>
    </row>
    <row r="386" spans="1:2">
      <c r="A386" s="42" t="s">
        <v>455</v>
      </c>
      <c r="B386" s="42">
        <v>0</v>
      </c>
    </row>
    <row r="387" spans="1:2">
      <c r="A387" s="42" t="s">
        <v>456</v>
      </c>
      <c r="B387" s="42">
        <v>19</v>
      </c>
    </row>
    <row r="388" spans="1:2">
      <c r="A388" s="42" t="s">
        <v>457</v>
      </c>
      <c r="B388" s="42">
        <v>251</v>
      </c>
    </row>
    <row r="389" spans="1:2">
      <c r="A389" s="42" t="s">
        <v>458</v>
      </c>
      <c r="B389" s="42">
        <v>0</v>
      </c>
    </row>
    <row r="390" spans="1:2">
      <c r="A390" s="42" t="s">
        <v>1727</v>
      </c>
      <c r="B390" s="42">
        <v>0</v>
      </c>
    </row>
    <row r="391" spans="1:2">
      <c r="A391" s="42" t="s">
        <v>459</v>
      </c>
      <c r="B391" s="42">
        <v>0</v>
      </c>
    </row>
    <row r="392" spans="1:2">
      <c r="A392" s="42" t="s">
        <v>460</v>
      </c>
      <c r="B392" s="42">
        <v>30</v>
      </c>
    </row>
    <row r="393" spans="1:2">
      <c r="A393" s="42" t="s">
        <v>461</v>
      </c>
      <c r="B393" s="42">
        <v>327</v>
      </c>
    </row>
    <row r="394" spans="1:2">
      <c r="A394" s="42" t="s">
        <v>462</v>
      </c>
      <c r="B394" s="42">
        <v>55</v>
      </c>
    </row>
    <row r="395" spans="1:2">
      <c r="A395" s="42" t="s">
        <v>463</v>
      </c>
      <c r="B395" s="42">
        <v>499</v>
      </c>
    </row>
    <row r="396" spans="1:2">
      <c r="A396" s="42" t="s">
        <v>464</v>
      </c>
      <c r="B396" s="42">
        <v>416</v>
      </c>
    </row>
    <row r="397" spans="1:2">
      <c r="A397" s="42" t="s">
        <v>465</v>
      </c>
      <c r="B397" s="42">
        <v>1600</v>
      </c>
    </row>
    <row r="398" spans="1:2">
      <c r="A398" s="42" t="s">
        <v>466</v>
      </c>
      <c r="B398" s="42">
        <v>2730</v>
      </c>
    </row>
    <row r="399" spans="1:2">
      <c r="A399" s="42" t="s">
        <v>467</v>
      </c>
      <c r="B399" s="42">
        <v>10755</v>
      </c>
    </row>
    <row r="400" spans="1:2">
      <c r="A400" s="42" t="s">
        <v>468</v>
      </c>
      <c r="B400" s="42">
        <v>0</v>
      </c>
    </row>
    <row r="401" spans="1:2">
      <c r="A401" s="42" t="s">
        <v>469</v>
      </c>
      <c r="B401" s="42">
        <v>21</v>
      </c>
    </row>
    <row r="402" spans="1:2">
      <c r="A402" s="42" t="s">
        <v>470</v>
      </c>
      <c r="B402" s="42">
        <v>580</v>
      </c>
    </row>
    <row r="403" spans="1:2">
      <c r="A403" s="42" t="s">
        <v>471</v>
      </c>
      <c r="B403" s="42">
        <v>270</v>
      </c>
    </row>
    <row r="404" spans="1:2">
      <c r="A404" s="42" t="s">
        <v>472</v>
      </c>
      <c r="B404" s="42">
        <v>3</v>
      </c>
    </row>
    <row r="405" spans="1:2">
      <c r="A405" s="42" t="s">
        <v>473</v>
      </c>
      <c r="B405" s="42">
        <v>21</v>
      </c>
    </row>
    <row r="406" spans="1:2">
      <c r="A406" s="42" t="s">
        <v>474</v>
      </c>
      <c r="B406" s="42">
        <v>977</v>
      </c>
    </row>
    <row r="407" spans="1:2">
      <c r="A407" s="42" t="s">
        <v>475</v>
      </c>
      <c r="B407" s="42">
        <v>235</v>
      </c>
    </row>
    <row r="408" spans="1:2">
      <c r="A408" s="42" t="s">
        <v>476</v>
      </c>
      <c r="B408" s="42">
        <v>536</v>
      </c>
    </row>
    <row r="409" spans="1:2">
      <c r="A409" s="42" t="s">
        <v>477</v>
      </c>
      <c r="B409" s="42">
        <v>50407</v>
      </c>
    </row>
    <row r="410" spans="1:2">
      <c r="A410" s="42" t="s">
        <v>478</v>
      </c>
      <c r="B410" s="42">
        <v>1240</v>
      </c>
    </row>
    <row r="411" spans="1:2">
      <c r="A411" s="42" t="s">
        <v>479</v>
      </c>
      <c r="B411" s="42">
        <v>16735</v>
      </c>
    </row>
    <row r="412" spans="1:2">
      <c r="A412" s="42" t="s">
        <v>1728</v>
      </c>
      <c r="B412" s="42">
        <v>763</v>
      </c>
    </row>
    <row r="413" spans="1:2">
      <c r="A413" s="42" t="s">
        <v>480</v>
      </c>
      <c r="B413" s="42">
        <v>260</v>
      </c>
    </row>
    <row r="414" spans="1:2">
      <c r="A414" s="42" t="s">
        <v>481</v>
      </c>
      <c r="B414" s="42">
        <v>2000</v>
      </c>
    </row>
    <row r="415" spans="1:2">
      <c r="A415" s="42" t="s">
        <v>1729</v>
      </c>
      <c r="B415" s="42">
        <v>18</v>
      </c>
    </row>
    <row r="416" spans="1:2">
      <c r="A416" s="42" t="s">
        <v>482</v>
      </c>
      <c r="B416" s="42">
        <v>800</v>
      </c>
    </row>
    <row r="417" spans="1:2">
      <c r="A417" s="42" t="s">
        <v>483</v>
      </c>
      <c r="B417" s="42">
        <v>19</v>
      </c>
    </row>
    <row r="418" spans="1:2">
      <c r="A418" s="42" t="s">
        <v>484</v>
      </c>
      <c r="B418" s="42">
        <v>25</v>
      </c>
    </row>
    <row r="419" spans="1:2">
      <c r="A419" s="42" t="s">
        <v>485</v>
      </c>
      <c r="B419" s="42">
        <v>1980</v>
      </c>
    </row>
    <row r="420" spans="1:2">
      <c r="A420" s="42" t="s">
        <v>1730</v>
      </c>
      <c r="B420" s="42">
        <v>18</v>
      </c>
    </row>
    <row r="421" spans="1:2">
      <c r="A421" s="42" t="s">
        <v>1731</v>
      </c>
      <c r="B421" s="42">
        <v>217</v>
      </c>
    </row>
    <row r="422" spans="1:2">
      <c r="A422" s="42" t="s">
        <v>1732</v>
      </c>
      <c r="B422" s="42">
        <v>0</v>
      </c>
    </row>
    <row r="423" spans="1:2">
      <c r="A423" s="42" t="s">
        <v>486</v>
      </c>
      <c r="B423" s="42">
        <v>0</v>
      </c>
    </row>
    <row r="424" spans="1:2">
      <c r="A424" s="42" t="s">
        <v>487</v>
      </c>
      <c r="B424" s="42">
        <v>0</v>
      </c>
    </row>
    <row r="425" spans="1:2">
      <c r="A425" s="42" t="s">
        <v>488</v>
      </c>
      <c r="B425" s="42">
        <v>0</v>
      </c>
    </row>
    <row r="426" spans="1:2">
      <c r="A426" s="42" t="s">
        <v>489</v>
      </c>
      <c r="B426" s="42">
        <v>379</v>
      </c>
    </row>
    <row r="427" spans="1:2">
      <c r="A427" s="42" t="s">
        <v>490</v>
      </c>
      <c r="B427" s="42">
        <v>0</v>
      </c>
    </row>
    <row r="428" spans="1:2">
      <c r="A428" s="42" t="s">
        <v>491</v>
      </c>
      <c r="B428" s="42">
        <v>122</v>
      </c>
    </row>
    <row r="429" spans="1:2">
      <c r="A429" s="42" t="s">
        <v>1733</v>
      </c>
      <c r="B429" s="42">
        <v>7</v>
      </c>
    </row>
    <row r="430" spans="1:2">
      <c r="A430" s="42" t="s">
        <v>492</v>
      </c>
      <c r="B430" s="42">
        <v>1549</v>
      </c>
    </row>
    <row r="431" spans="1:2">
      <c r="A431" s="42" t="s">
        <v>493</v>
      </c>
      <c r="B431" s="42">
        <v>121</v>
      </c>
    </row>
    <row r="432" spans="1:2">
      <c r="A432" s="42" t="s">
        <v>1734</v>
      </c>
      <c r="B432" s="42">
        <v>531</v>
      </c>
    </row>
    <row r="433" spans="1:2">
      <c r="A433" s="42" t="s">
        <v>1735</v>
      </c>
      <c r="B433" s="42">
        <v>301</v>
      </c>
    </row>
    <row r="434" spans="1:2">
      <c r="A434" s="42" t="s">
        <v>494</v>
      </c>
      <c r="B434" s="42">
        <v>230</v>
      </c>
    </row>
    <row r="435" spans="1:2">
      <c r="A435" s="42" t="s">
        <v>495</v>
      </c>
      <c r="B435" s="42">
        <v>4334</v>
      </c>
    </row>
    <row r="436" spans="1:2">
      <c r="A436" s="42" t="s">
        <v>496</v>
      </c>
      <c r="B436" s="42">
        <v>3550</v>
      </c>
    </row>
    <row r="437" spans="1:2">
      <c r="A437" s="42" t="s">
        <v>497</v>
      </c>
      <c r="B437" s="42">
        <v>353</v>
      </c>
    </row>
    <row r="438" spans="1:2">
      <c r="A438" s="42" t="s">
        <v>498</v>
      </c>
      <c r="B438" s="42">
        <v>2962</v>
      </c>
    </row>
    <row r="439" spans="1:2">
      <c r="A439" s="42" t="s">
        <v>499</v>
      </c>
      <c r="B439" s="42">
        <v>22</v>
      </c>
    </row>
    <row r="440" spans="1:2">
      <c r="A440" s="42" t="s">
        <v>500</v>
      </c>
      <c r="B440" s="42">
        <v>110</v>
      </c>
    </row>
    <row r="441" spans="1:2">
      <c r="A441" s="42" t="s">
        <v>501</v>
      </c>
      <c r="B441" s="42">
        <v>1828</v>
      </c>
    </row>
    <row r="442" spans="1:2">
      <c r="A442" s="42" t="s">
        <v>502</v>
      </c>
      <c r="B442" s="42">
        <v>4278</v>
      </c>
    </row>
    <row r="443" spans="1:2">
      <c r="A443" s="42" t="s">
        <v>503</v>
      </c>
      <c r="B443" s="42">
        <v>1029</v>
      </c>
    </row>
    <row r="444" spans="1:2">
      <c r="A444" s="42" t="s">
        <v>504</v>
      </c>
      <c r="B444" s="42">
        <v>3077</v>
      </c>
    </row>
    <row r="445" spans="1:2">
      <c r="A445" s="42" t="s">
        <v>505</v>
      </c>
      <c r="B445" s="42">
        <v>464</v>
      </c>
    </row>
    <row r="446" spans="1:2">
      <c r="A446" s="42" t="s">
        <v>506</v>
      </c>
      <c r="B446" s="42">
        <v>2000</v>
      </c>
    </row>
    <row r="447" spans="1:2">
      <c r="A447" s="42" t="s">
        <v>1736</v>
      </c>
      <c r="B447" s="42">
        <v>599</v>
      </c>
    </row>
    <row r="448" spans="1:2">
      <c r="A448" s="42" t="s">
        <v>507</v>
      </c>
      <c r="B448" s="42">
        <v>0</v>
      </c>
    </row>
    <row r="449" spans="1:2">
      <c r="A449" s="42" t="s">
        <v>508</v>
      </c>
      <c r="B449" s="42">
        <v>5</v>
      </c>
    </row>
    <row r="450" spans="1:2">
      <c r="A450" s="42" t="s">
        <v>1737</v>
      </c>
      <c r="B450" s="42">
        <v>648</v>
      </c>
    </row>
    <row r="451" spans="1:2">
      <c r="A451" s="42" t="s">
        <v>509</v>
      </c>
      <c r="B451" s="42">
        <v>0</v>
      </c>
    </row>
    <row r="452" spans="1:2">
      <c r="A452" s="42" t="s">
        <v>510</v>
      </c>
      <c r="B452" s="42">
        <v>11698</v>
      </c>
    </row>
    <row r="453" spans="1:2">
      <c r="A453" s="42" t="s">
        <v>511</v>
      </c>
      <c r="B453" s="42">
        <v>0</v>
      </c>
    </row>
    <row r="454" spans="1:2">
      <c r="A454" s="42" t="s">
        <v>1738</v>
      </c>
      <c r="B454" s="42">
        <v>0</v>
      </c>
    </row>
    <row r="455" spans="1:2">
      <c r="A455" s="42" t="s">
        <v>1739</v>
      </c>
      <c r="B455" s="42">
        <v>1173</v>
      </c>
    </row>
    <row r="456" spans="1:2">
      <c r="A456" s="42" t="s">
        <v>1740</v>
      </c>
      <c r="B456" s="42">
        <v>1671</v>
      </c>
    </row>
    <row r="457" spans="1:2">
      <c r="A457" s="42" t="s">
        <v>512</v>
      </c>
      <c r="B457" s="42">
        <v>965</v>
      </c>
    </row>
    <row r="458" spans="1:2">
      <c r="A458" s="42" t="s">
        <v>513</v>
      </c>
      <c r="B458" s="42">
        <v>0</v>
      </c>
    </row>
    <row r="459" spans="1:2">
      <c r="A459" s="42" t="s">
        <v>514</v>
      </c>
      <c r="B459" s="42">
        <v>0</v>
      </c>
    </row>
    <row r="460" spans="1:2">
      <c r="A460" s="42" t="s">
        <v>515</v>
      </c>
      <c r="B460" s="42">
        <v>74</v>
      </c>
    </row>
    <row r="461" spans="1:2">
      <c r="A461" s="42" t="s">
        <v>1741</v>
      </c>
      <c r="B461" s="42">
        <v>0</v>
      </c>
    </row>
    <row r="462" spans="1:2">
      <c r="A462" s="42" t="s">
        <v>516</v>
      </c>
      <c r="B462" s="42">
        <v>49</v>
      </c>
    </row>
    <row r="463" spans="1:2">
      <c r="A463" s="42" t="s">
        <v>517</v>
      </c>
      <c r="B463" s="42">
        <v>127</v>
      </c>
    </row>
    <row r="464" spans="1:2">
      <c r="A464" s="42" t="s">
        <v>518</v>
      </c>
      <c r="B464" s="42">
        <v>88</v>
      </c>
    </row>
    <row r="465" spans="1:2">
      <c r="A465" s="42" t="s">
        <v>1742</v>
      </c>
      <c r="B465" s="42">
        <v>24</v>
      </c>
    </row>
    <row r="466" spans="1:2">
      <c r="A466" s="42" t="s">
        <v>519</v>
      </c>
      <c r="B466" s="42">
        <v>302</v>
      </c>
    </row>
    <row r="467" spans="1:2">
      <c r="A467" s="42" t="s">
        <v>1743</v>
      </c>
      <c r="B467" s="42">
        <v>2680</v>
      </c>
    </row>
    <row r="468" spans="1:2">
      <c r="A468" s="42" t="s">
        <v>520</v>
      </c>
      <c r="B468" s="42">
        <v>0</v>
      </c>
    </row>
    <row r="469" spans="1:2">
      <c r="A469" s="42" t="s">
        <v>521</v>
      </c>
      <c r="B469" s="42">
        <v>1773</v>
      </c>
    </row>
    <row r="470" spans="1:2">
      <c r="A470" s="42" t="s">
        <v>522</v>
      </c>
      <c r="B470" s="42">
        <v>335</v>
      </c>
    </row>
    <row r="471" spans="1:2">
      <c r="A471" s="42" t="s">
        <v>523</v>
      </c>
      <c r="B471" s="42">
        <v>0</v>
      </c>
    </row>
    <row r="472" spans="1:2">
      <c r="A472" s="42" t="s">
        <v>524</v>
      </c>
      <c r="B472" s="42">
        <v>72</v>
      </c>
    </row>
    <row r="473" spans="1:2">
      <c r="A473" s="42" t="s">
        <v>1744</v>
      </c>
      <c r="B473" s="42">
        <v>0</v>
      </c>
    </row>
    <row r="474" spans="1:2">
      <c r="A474" s="42" t="s">
        <v>525</v>
      </c>
      <c r="B474" s="42">
        <v>0</v>
      </c>
    </row>
    <row r="475" spans="1:2">
      <c r="A475" s="42" t="s">
        <v>1745</v>
      </c>
      <c r="B475" s="42">
        <v>337</v>
      </c>
    </row>
    <row r="476" spans="1:2">
      <c r="A476" s="42" t="s">
        <v>526</v>
      </c>
      <c r="B476" s="42">
        <v>86</v>
      </c>
    </row>
    <row r="477" spans="1:2">
      <c r="A477" s="42" t="s">
        <v>527</v>
      </c>
      <c r="B477" s="42">
        <v>32</v>
      </c>
    </row>
    <row r="478" spans="1:2">
      <c r="A478" s="42" t="s">
        <v>528</v>
      </c>
      <c r="B478" s="42">
        <v>18874</v>
      </c>
    </row>
    <row r="479" spans="1:2">
      <c r="A479" s="42" t="s">
        <v>529</v>
      </c>
      <c r="B479" s="42">
        <v>8381</v>
      </c>
    </row>
    <row r="480" spans="1:2">
      <c r="A480" s="42" t="s">
        <v>530</v>
      </c>
      <c r="B480" s="42">
        <v>1152</v>
      </c>
    </row>
    <row r="481" spans="1:2">
      <c r="A481" s="42" t="s">
        <v>531</v>
      </c>
      <c r="B481" s="42">
        <v>0</v>
      </c>
    </row>
    <row r="482" spans="1:2">
      <c r="A482" s="42" t="s">
        <v>532</v>
      </c>
      <c r="B482" s="42">
        <v>0</v>
      </c>
    </row>
    <row r="483" spans="1:2">
      <c r="A483" s="42" t="s">
        <v>533</v>
      </c>
      <c r="B483" s="42">
        <v>804</v>
      </c>
    </row>
    <row r="484" spans="1:2">
      <c r="A484" s="42" t="s">
        <v>534</v>
      </c>
      <c r="B484" s="42">
        <v>168</v>
      </c>
    </row>
    <row r="485" spans="1:2">
      <c r="A485" s="42" t="s">
        <v>535</v>
      </c>
      <c r="B485" s="42">
        <v>0</v>
      </c>
    </row>
    <row r="486" spans="1:2">
      <c r="A486" s="42" t="s">
        <v>536</v>
      </c>
      <c r="B486" s="42">
        <v>124</v>
      </c>
    </row>
    <row r="487" spans="1:2">
      <c r="A487" s="42" t="s">
        <v>537</v>
      </c>
      <c r="B487" s="42">
        <v>5876</v>
      </c>
    </row>
    <row r="488" spans="1:2">
      <c r="A488" s="42" t="s">
        <v>538</v>
      </c>
      <c r="B488" s="42">
        <v>236</v>
      </c>
    </row>
    <row r="489" spans="1:2">
      <c r="A489" s="42" t="s">
        <v>539</v>
      </c>
      <c r="B489" s="42">
        <v>32</v>
      </c>
    </row>
    <row r="490" spans="1:2">
      <c r="A490" s="42" t="s">
        <v>1746</v>
      </c>
      <c r="B490" s="42">
        <v>8</v>
      </c>
    </row>
    <row r="491" spans="1:2">
      <c r="A491" s="42" t="s">
        <v>540</v>
      </c>
      <c r="B491" s="42">
        <v>0</v>
      </c>
    </row>
    <row r="492" spans="1:2">
      <c r="A492" s="42" t="s">
        <v>1747</v>
      </c>
      <c r="B492" s="42">
        <v>95</v>
      </c>
    </row>
    <row r="493" spans="1:2">
      <c r="A493" s="42" t="s">
        <v>541</v>
      </c>
      <c r="B493" s="42">
        <v>30</v>
      </c>
    </row>
    <row r="494" spans="1:2">
      <c r="A494" s="42" t="s">
        <v>542</v>
      </c>
      <c r="B494" s="42">
        <v>0</v>
      </c>
    </row>
    <row r="495" spans="1:2">
      <c r="A495" s="42" t="s">
        <v>1748</v>
      </c>
      <c r="B495" s="42">
        <v>1</v>
      </c>
    </row>
    <row r="496" spans="1:2">
      <c r="A496" s="42" t="s">
        <v>543</v>
      </c>
      <c r="B496" s="42">
        <v>739</v>
      </c>
    </row>
    <row r="497" spans="1:2">
      <c r="A497" s="42" t="s">
        <v>1749</v>
      </c>
      <c r="B497" s="42">
        <v>2</v>
      </c>
    </row>
    <row r="498" spans="1:2">
      <c r="A498" s="42" t="s">
        <v>544</v>
      </c>
      <c r="B498" s="42">
        <v>241</v>
      </c>
    </row>
    <row r="499" spans="1:2">
      <c r="A499" s="42" t="s">
        <v>545</v>
      </c>
      <c r="B499" s="42">
        <v>272</v>
      </c>
    </row>
    <row r="500" spans="1:2">
      <c r="A500" s="42" t="s">
        <v>546</v>
      </c>
      <c r="B500" s="42">
        <v>285</v>
      </c>
    </row>
    <row r="501" spans="1:2">
      <c r="A501" s="42" t="s">
        <v>547</v>
      </c>
      <c r="B501" s="42">
        <v>255</v>
      </c>
    </row>
    <row r="502" spans="1:2">
      <c r="A502" s="42" t="s">
        <v>548</v>
      </c>
      <c r="B502" s="42">
        <v>1345</v>
      </c>
    </row>
    <row r="503" spans="1:2">
      <c r="A503" s="42" t="s">
        <v>549</v>
      </c>
      <c r="B503" s="42">
        <v>226</v>
      </c>
    </row>
    <row r="504" spans="1:2">
      <c r="A504" s="42" t="s">
        <v>550</v>
      </c>
      <c r="B504" s="42">
        <v>3940</v>
      </c>
    </row>
    <row r="505" spans="1:2">
      <c r="A505" s="42" t="s">
        <v>551</v>
      </c>
      <c r="B505" s="42">
        <v>150</v>
      </c>
    </row>
    <row r="506" spans="1:2">
      <c r="A506" s="42" t="s">
        <v>552</v>
      </c>
      <c r="B506" s="42">
        <v>3</v>
      </c>
    </row>
    <row r="507" spans="1:2">
      <c r="A507" s="42" t="s">
        <v>553</v>
      </c>
      <c r="B507" s="42">
        <v>858</v>
      </c>
    </row>
    <row r="508" spans="1:2">
      <c r="A508" s="42" t="s">
        <v>554</v>
      </c>
      <c r="B508" s="42">
        <v>11</v>
      </c>
    </row>
    <row r="509" spans="1:2">
      <c r="A509" s="42" t="s">
        <v>1750</v>
      </c>
      <c r="B509" s="42">
        <v>52</v>
      </c>
    </row>
    <row r="510" spans="1:2">
      <c r="A510" s="42" t="s">
        <v>555</v>
      </c>
      <c r="B510" s="42">
        <v>45</v>
      </c>
    </row>
    <row r="511" spans="1:2">
      <c r="A511" s="42" t="s">
        <v>556</v>
      </c>
      <c r="B511" s="42">
        <v>739</v>
      </c>
    </row>
    <row r="512" spans="1:2">
      <c r="A512" s="42" t="s">
        <v>557</v>
      </c>
      <c r="B512" s="42">
        <v>526</v>
      </c>
    </row>
    <row r="513" spans="1:2">
      <c r="A513" s="42" t="s">
        <v>558</v>
      </c>
      <c r="B513" s="42">
        <v>207</v>
      </c>
    </row>
    <row r="514" spans="1:2">
      <c r="A514" s="42" t="s">
        <v>559</v>
      </c>
      <c r="B514" s="42">
        <v>634</v>
      </c>
    </row>
    <row r="515" spans="1:2">
      <c r="A515" s="42" t="s">
        <v>560</v>
      </c>
      <c r="B515" s="42">
        <v>256</v>
      </c>
    </row>
    <row r="516" spans="1:2">
      <c r="A516" s="42" t="s">
        <v>561</v>
      </c>
      <c r="B516" s="42">
        <v>0</v>
      </c>
    </row>
    <row r="517" spans="1:2">
      <c r="A517" s="42" t="s">
        <v>562</v>
      </c>
      <c r="B517" s="42">
        <v>126</v>
      </c>
    </row>
    <row r="518" spans="1:2">
      <c r="A518" s="42" t="s">
        <v>563</v>
      </c>
      <c r="B518" s="42">
        <v>0</v>
      </c>
    </row>
    <row r="519" spans="1:2">
      <c r="A519" s="42" t="s">
        <v>564</v>
      </c>
      <c r="B519" s="42">
        <v>5</v>
      </c>
    </row>
    <row r="520" spans="1:2">
      <c r="A520" s="42" t="s">
        <v>565</v>
      </c>
      <c r="B520" s="42">
        <v>3</v>
      </c>
    </row>
    <row r="521" spans="1:2">
      <c r="A521" s="42" t="s">
        <v>566</v>
      </c>
      <c r="B521" s="42">
        <v>548</v>
      </c>
    </row>
    <row r="522" spans="1:2">
      <c r="A522" s="42" t="s">
        <v>1751</v>
      </c>
      <c r="B522" s="42">
        <v>189</v>
      </c>
    </row>
    <row r="523" spans="1:2">
      <c r="A523" s="42" t="s">
        <v>1752</v>
      </c>
      <c r="B523" s="42">
        <v>227</v>
      </c>
    </row>
    <row r="524" spans="1:2">
      <c r="A524" s="42" t="s">
        <v>1753</v>
      </c>
      <c r="B524" s="42">
        <v>0</v>
      </c>
    </row>
    <row r="525" spans="1:2">
      <c r="A525" s="42" t="s">
        <v>1754</v>
      </c>
      <c r="B525" s="42">
        <v>0</v>
      </c>
    </row>
    <row r="526" spans="1:2">
      <c r="A526" s="42" t="s">
        <v>1755</v>
      </c>
      <c r="B526" s="42">
        <v>0</v>
      </c>
    </row>
    <row r="527" spans="1:2">
      <c r="A527" s="42" t="s">
        <v>567</v>
      </c>
      <c r="B527" s="42">
        <v>0</v>
      </c>
    </row>
    <row r="528" spans="1:2">
      <c r="A528" s="42" t="s">
        <v>568</v>
      </c>
      <c r="B528" s="42">
        <v>62</v>
      </c>
    </row>
    <row r="529" spans="1:2">
      <c r="A529" s="42" t="s">
        <v>569</v>
      </c>
      <c r="B529" s="42">
        <v>2200</v>
      </c>
    </row>
    <row r="530" spans="1:2">
      <c r="A530" s="42" t="s">
        <v>570</v>
      </c>
      <c r="B530" s="42">
        <v>3000</v>
      </c>
    </row>
    <row r="531" spans="1:2">
      <c r="A531" s="42" t="s">
        <v>571</v>
      </c>
      <c r="B531" s="42">
        <v>884</v>
      </c>
    </row>
    <row r="532" spans="1:2">
      <c r="A532" s="42" t="s">
        <v>572</v>
      </c>
      <c r="B532" s="42">
        <v>2000</v>
      </c>
    </row>
    <row r="533" spans="1:2">
      <c r="A533" s="42" t="s">
        <v>573</v>
      </c>
      <c r="B533" s="42">
        <v>3500</v>
      </c>
    </row>
    <row r="534" spans="1:2">
      <c r="A534" s="42" t="s">
        <v>574</v>
      </c>
      <c r="B534" s="42">
        <v>17926</v>
      </c>
    </row>
    <row r="535" spans="1:2">
      <c r="A535" s="42" t="s">
        <v>575</v>
      </c>
      <c r="B535" s="42">
        <v>3000</v>
      </c>
    </row>
    <row r="536" spans="1:2">
      <c r="A536" s="42" t="s">
        <v>576</v>
      </c>
      <c r="B536" s="42">
        <v>18500</v>
      </c>
    </row>
    <row r="537" spans="1:2">
      <c r="A537" s="42" t="s">
        <v>577</v>
      </c>
      <c r="B537" s="42">
        <v>23000</v>
      </c>
    </row>
    <row r="538" spans="1:2">
      <c r="A538" s="42" t="s">
        <v>578</v>
      </c>
      <c r="B538" s="42">
        <v>98500</v>
      </c>
    </row>
    <row r="539" spans="1:2">
      <c r="A539" s="42" t="s">
        <v>579</v>
      </c>
      <c r="B539" s="42">
        <v>6472</v>
      </c>
    </row>
    <row r="540" spans="1:2">
      <c r="A540" s="42" t="s">
        <v>580</v>
      </c>
      <c r="B540" s="42">
        <v>21250</v>
      </c>
    </row>
    <row r="541" spans="1:2">
      <c r="A541" s="42" t="s">
        <v>581</v>
      </c>
      <c r="B541" s="42">
        <v>2000</v>
      </c>
    </row>
    <row r="542" spans="1:2">
      <c r="A542" s="42" t="s">
        <v>582</v>
      </c>
      <c r="B542" s="42">
        <v>3740</v>
      </c>
    </row>
    <row r="543" spans="1:2">
      <c r="A543" s="42" t="s">
        <v>583</v>
      </c>
      <c r="B543" s="42">
        <v>42250</v>
      </c>
    </row>
    <row r="544" spans="1:2">
      <c r="A544" s="42" t="s">
        <v>584</v>
      </c>
      <c r="B544" s="42">
        <v>1537</v>
      </c>
    </row>
    <row r="545" spans="1:2">
      <c r="A545" s="42" t="s">
        <v>585</v>
      </c>
      <c r="B545" s="42">
        <v>3000</v>
      </c>
    </row>
    <row r="546" spans="1:2">
      <c r="A546" s="42" t="s">
        <v>586</v>
      </c>
      <c r="B546" s="42">
        <v>10500</v>
      </c>
    </row>
    <row r="547" spans="1:2">
      <c r="A547" s="42" t="s">
        <v>587</v>
      </c>
      <c r="B547" s="42">
        <v>750</v>
      </c>
    </row>
    <row r="548" spans="1:2">
      <c r="A548" s="42" t="s">
        <v>588</v>
      </c>
      <c r="B548" s="42">
        <v>2556</v>
      </c>
    </row>
    <row r="549" spans="1:2">
      <c r="A549" s="42" t="s">
        <v>589</v>
      </c>
      <c r="B549" s="42">
        <v>3726</v>
      </c>
    </row>
    <row r="550" spans="1:2">
      <c r="A550" s="42" t="s">
        <v>590</v>
      </c>
      <c r="B550" s="42">
        <v>5485</v>
      </c>
    </row>
    <row r="551" spans="1:2">
      <c r="A551" s="42" t="s">
        <v>591</v>
      </c>
      <c r="B551" s="42">
        <v>443</v>
      </c>
    </row>
    <row r="552" spans="1:2">
      <c r="A552" s="42" t="s">
        <v>592</v>
      </c>
      <c r="B552" s="42">
        <v>6300</v>
      </c>
    </row>
    <row r="553" spans="1:2">
      <c r="A553" s="42" t="s">
        <v>593</v>
      </c>
      <c r="B553" s="42">
        <v>750</v>
      </c>
    </row>
    <row r="554" spans="1:2">
      <c r="A554" s="42" t="s">
        <v>594</v>
      </c>
      <c r="B554" s="42">
        <v>27</v>
      </c>
    </row>
    <row r="555" spans="1:2">
      <c r="A555" s="42" t="s">
        <v>595</v>
      </c>
      <c r="B555" s="42">
        <v>1172</v>
      </c>
    </row>
    <row r="556" spans="1:2">
      <c r="A556" s="42" t="s">
        <v>596</v>
      </c>
      <c r="B556" s="42">
        <v>519</v>
      </c>
    </row>
    <row r="557" spans="1:2">
      <c r="A557" s="42" t="s">
        <v>597</v>
      </c>
      <c r="B557" s="42">
        <v>44</v>
      </c>
    </row>
    <row r="558" spans="1:2">
      <c r="A558" s="42" t="s">
        <v>598</v>
      </c>
      <c r="B558" s="42">
        <v>486</v>
      </c>
    </row>
    <row r="559" spans="1:2">
      <c r="A559" s="42" t="s">
        <v>599</v>
      </c>
      <c r="B559" s="42">
        <v>621</v>
      </c>
    </row>
    <row r="560" spans="1:2">
      <c r="A560" s="42" t="s">
        <v>600</v>
      </c>
      <c r="B560" s="42">
        <v>40</v>
      </c>
    </row>
    <row r="561" spans="1:2">
      <c r="A561" s="42" t="s">
        <v>601</v>
      </c>
      <c r="B561" s="42">
        <v>1</v>
      </c>
    </row>
    <row r="562" spans="1:2">
      <c r="A562" s="42" t="s">
        <v>602</v>
      </c>
      <c r="B562" s="42">
        <v>500</v>
      </c>
    </row>
    <row r="563" spans="1:2">
      <c r="A563" s="42" t="s">
        <v>1756</v>
      </c>
      <c r="B563" s="42">
        <v>13</v>
      </c>
    </row>
    <row r="564" spans="1:2">
      <c r="A564" s="42" t="s">
        <v>603</v>
      </c>
      <c r="B564" s="42">
        <v>610</v>
      </c>
    </row>
    <row r="565" spans="1:2">
      <c r="A565" s="42" t="s">
        <v>604</v>
      </c>
      <c r="B565" s="42">
        <v>48</v>
      </c>
    </row>
    <row r="566" spans="1:2">
      <c r="A566" s="42" t="s">
        <v>605</v>
      </c>
      <c r="B566" s="42">
        <v>855</v>
      </c>
    </row>
    <row r="567" spans="1:2">
      <c r="A567" s="42" t="s">
        <v>606</v>
      </c>
      <c r="B567" s="42">
        <v>5</v>
      </c>
    </row>
    <row r="568" spans="1:2">
      <c r="A568" s="42" t="s">
        <v>607</v>
      </c>
      <c r="B568" s="42">
        <v>10</v>
      </c>
    </row>
    <row r="569" spans="1:2">
      <c r="A569" s="42" t="s">
        <v>608</v>
      </c>
      <c r="B569" s="42">
        <v>0</v>
      </c>
    </row>
    <row r="570" spans="1:2">
      <c r="A570" s="42" t="s">
        <v>1757</v>
      </c>
      <c r="B570" s="42">
        <v>695</v>
      </c>
    </row>
    <row r="571" spans="1:2">
      <c r="A571" s="42" t="s">
        <v>609</v>
      </c>
      <c r="B571" s="42">
        <v>78</v>
      </c>
    </row>
    <row r="572" spans="1:2">
      <c r="A572" s="42" t="s">
        <v>1758</v>
      </c>
      <c r="B572" s="42">
        <v>61</v>
      </c>
    </row>
    <row r="573" spans="1:2">
      <c r="A573" s="42" t="s">
        <v>610</v>
      </c>
      <c r="B573" s="42">
        <v>808</v>
      </c>
    </row>
    <row r="574" spans="1:2">
      <c r="A574" s="42" t="s">
        <v>611</v>
      </c>
      <c r="B574" s="42">
        <v>0</v>
      </c>
    </row>
    <row r="575" spans="1:2">
      <c r="A575" s="42" t="s">
        <v>1759</v>
      </c>
      <c r="B575" s="42">
        <v>35</v>
      </c>
    </row>
    <row r="576" spans="1:2">
      <c r="A576" s="42" t="s">
        <v>612</v>
      </c>
      <c r="B576" s="42">
        <v>2</v>
      </c>
    </row>
    <row r="577" spans="1:2">
      <c r="A577" s="42" t="s">
        <v>613</v>
      </c>
      <c r="B577" s="42">
        <v>46</v>
      </c>
    </row>
    <row r="578" spans="1:2">
      <c r="A578" s="42" t="s">
        <v>614</v>
      </c>
      <c r="B578" s="42">
        <v>371</v>
      </c>
    </row>
    <row r="579" spans="1:2">
      <c r="A579" s="42" t="s">
        <v>615</v>
      </c>
      <c r="B579" s="42">
        <v>15</v>
      </c>
    </row>
    <row r="580" spans="1:2">
      <c r="A580" s="42" t="s">
        <v>616</v>
      </c>
      <c r="B580" s="42">
        <v>137</v>
      </c>
    </row>
    <row r="581" spans="1:2">
      <c r="A581" s="42" t="s">
        <v>617</v>
      </c>
      <c r="B581" s="42">
        <v>339</v>
      </c>
    </row>
    <row r="582" spans="1:2">
      <c r="A582" s="42" t="s">
        <v>618</v>
      </c>
      <c r="B582" s="42">
        <v>524</v>
      </c>
    </row>
    <row r="583" spans="1:2">
      <c r="A583" s="42" t="s">
        <v>619</v>
      </c>
      <c r="B583" s="42">
        <v>21</v>
      </c>
    </row>
    <row r="584" spans="1:2">
      <c r="A584" s="42" t="s">
        <v>620</v>
      </c>
      <c r="B584" s="42">
        <v>391</v>
      </c>
    </row>
    <row r="585" spans="1:2">
      <c r="A585" s="42" t="s">
        <v>621</v>
      </c>
      <c r="B585" s="42">
        <v>0</v>
      </c>
    </row>
    <row r="586" spans="1:2">
      <c r="A586" s="42" t="s">
        <v>1760</v>
      </c>
      <c r="B586" s="42">
        <v>0</v>
      </c>
    </row>
    <row r="587" spans="1:2">
      <c r="A587" s="42" t="s">
        <v>622</v>
      </c>
      <c r="B587" s="42">
        <v>361</v>
      </c>
    </row>
    <row r="588" spans="1:2">
      <c r="A588" s="42" t="s">
        <v>623</v>
      </c>
      <c r="B588" s="42">
        <v>8400</v>
      </c>
    </row>
    <row r="589" spans="1:2">
      <c r="A589" s="42" t="s">
        <v>624</v>
      </c>
      <c r="B589" s="42">
        <v>160</v>
      </c>
    </row>
    <row r="590" spans="1:2">
      <c r="A590" s="42" t="s">
        <v>625</v>
      </c>
      <c r="B590" s="42">
        <v>679</v>
      </c>
    </row>
    <row r="591" spans="1:2">
      <c r="A591" s="42" t="s">
        <v>626</v>
      </c>
      <c r="B591" s="42">
        <v>0</v>
      </c>
    </row>
    <row r="592" spans="1:2">
      <c r="A592" s="42" t="s">
        <v>627</v>
      </c>
      <c r="B592" s="42">
        <v>150</v>
      </c>
    </row>
    <row r="593" spans="1:2">
      <c r="A593" s="42" t="s">
        <v>1761</v>
      </c>
      <c r="B593" s="42">
        <v>0</v>
      </c>
    </row>
    <row r="594" spans="1:2">
      <c r="A594" s="42" t="s">
        <v>628</v>
      </c>
      <c r="B594" s="42">
        <v>0</v>
      </c>
    </row>
    <row r="595" spans="1:2">
      <c r="A595" s="42" t="s">
        <v>1762</v>
      </c>
      <c r="B595" s="42">
        <v>29</v>
      </c>
    </row>
    <row r="596" spans="1:2">
      <c r="A596" s="42" t="s">
        <v>629</v>
      </c>
      <c r="B596" s="42">
        <v>353</v>
      </c>
    </row>
    <row r="597" spans="1:2">
      <c r="A597" s="42" t="s">
        <v>1763</v>
      </c>
      <c r="B597" s="42">
        <v>84</v>
      </c>
    </row>
    <row r="598" spans="1:2">
      <c r="A598" s="42" t="s">
        <v>630</v>
      </c>
      <c r="B598" s="42">
        <v>100</v>
      </c>
    </row>
    <row r="599" spans="1:2">
      <c r="A599" s="42" t="s">
        <v>1764</v>
      </c>
      <c r="B599" s="42">
        <v>467</v>
      </c>
    </row>
    <row r="600" spans="1:2">
      <c r="A600" s="42" t="s">
        <v>631</v>
      </c>
      <c r="B600" s="42">
        <v>374</v>
      </c>
    </row>
    <row r="601" spans="1:2">
      <c r="A601" s="42" t="s">
        <v>632</v>
      </c>
      <c r="B601" s="42">
        <v>66</v>
      </c>
    </row>
    <row r="602" spans="1:2">
      <c r="A602" s="42" t="s">
        <v>1765</v>
      </c>
      <c r="B602" s="42">
        <v>4054</v>
      </c>
    </row>
    <row r="603" spans="1:2">
      <c r="A603" s="42" t="s">
        <v>1766</v>
      </c>
      <c r="B603" s="42">
        <v>527</v>
      </c>
    </row>
    <row r="604" spans="1:2">
      <c r="A604" s="42" t="s">
        <v>633</v>
      </c>
      <c r="B604" s="42">
        <v>2517</v>
      </c>
    </row>
    <row r="605" spans="1:2">
      <c r="A605" s="42" t="s">
        <v>634</v>
      </c>
      <c r="B605" s="42">
        <v>460</v>
      </c>
    </row>
    <row r="606" spans="1:2">
      <c r="A606" s="42" t="s">
        <v>635</v>
      </c>
      <c r="B606" s="42">
        <v>4058</v>
      </c>
    </row>
    <row r="607" spans="1:2">
      <c r="A607" s="42" t="s">
        <v>636</v>
      </c>
      <c r="B607" s="42">
        <v>1431</v>
      </c>
    </row>
    <row r="608" spans="1:2">
      <c r="A608" s="42" t="s">
        <v>637</v>
      </c>
      <c r="B608" s="42">
        <v>1370</v>
      </c>
    </row>
    <row r="609" spans="1:2">
      <c r="A609" s="42" t="s">
        <v>638</v>
      </c>
      <c r="B609" s="42">
        <v>145</v>
      </c>
    </row>
    <row r="610" spans="1:2">
      <c r="A610" s="42" t="s">
        <v>639</v>
      </c>
      <c r="B610" s="42">
        <v>65</v>
      </c>
    </row>
    <row r="611" spans="1:2">
      <c r="A611" s="42" t="s">
        <v>640</v>
      </c>
      <c r="B611" s="42">
        <v>500</v>
      </c>
    </row>
    <row r="612" spans="1:2">
      <c r="A612" s="42" t="s">
        <v>1199</v>
      </c>
      <c r="B612" s="42">
        <v>186</v>
      </c>
    </row>
    <row r="613" spans="1:2">
      <c r="A613" s="42" t="s">
        <v>1767</v>
      </c>
      <c r="B613" s="42">
        <v>33</v>
      </c>
    </row>
    <row r="614" spans="1:2">
      <c r="A614" s="42" t="s">
        <v>641</v>
      </c>
      <c r="B614" s="42">
        <v>0</v>
      </c>
    </row>
    <row r="615" spans="1:2">
      <c r="A615" s="42" t="s">
        <v>642</v>
      </c>
      <c r="B615" s="42">
        <v>545</v>
      </c>
    </row>
    <row r="616" spans="1:2">
      <c r="A616" s="42" t="s">
        <v>643</v>
      </c>
      <c r="B616" s="42">
        <v>80</v>
      </c>
    </row>
    <row r="617" spans="1:2">
      <c r="A617" s="42" t="s">
        <v>644</v>
      </c>
      <c r="B617" s="42">
        <v>560</v>
      </c>
    </row>
    <row r="618" spans="1:2">
      <c r="A618" s="42" t="s">
        <v>645</v>
      </c>
      <c r="B618" s="42">
        <v>0</v>
      </c>
    </row>
    <row r="619" spans="1:2">
      <c r="A619" s="42" t="s">
        <v>646</v>
      </c>
      <c r="B619" s="42">
        <v>0</v>
      </c>
    </row>
    <row r="620" spans="1:2">
      <c r="A620" s="42" t="s">
        <v>647</v>
      </c>
      <c r="B620" s="42">
        <v>2168</v>
      </c>
    </row>
    <row r="621" spans="1:2">
      <c r="A621" s="42" t="s">
        <v>648</v>
      </c>
      <c r="B621" s="42">
        <v>1197</v>
      </c>
    </row>
    <row r="622" spans="1:2">
      <c r="A622" s="42" t="s">
        <v>649</v>
      </c>
      <c r="B622" s="42">
        <v>1603</v>
      </c>
    </row>
    <row r="623" spans="1:2">
      <c r="A623" s="42" t="s">
        <v>650</v>
      </c>
      <c r="B623" s="42">
        <v>3309</v>
      </c>
    </row>
    <row r="624" spans="1:2">
      <c r="A624" s="42" t="s">
        <v>651</v>
      </c>
      <c r="B624" s="42">
        <v>107</v>
      </c>
    </row>
    <row r="625" spans="1:2">
      <c r="A625" s="42" t="s">
        <v>652</v>
      </c>
      <c r="B625" s="42">
        <v>25</v>
      </c>
    </row>
    <row r="626" spans="1:2">
      <c r="A626" s="42" t="s">
        <v>653</v>
      </c>
      <c r="B626" s="42">
        <v>58</v>
      </c>
    </row>
    <row r="627" spans="1:2">
      <c r="A627" s="42" t="s">
        <v>654</v>
      </c>
      <c r="B627" s="42">
        <v>74</v>
      </c>
    </row>
    <row r="628" spans="1:2">
      <c r="A628" s="42" t="s">
        <v>655</v>
      </c>
      <c r="B628" s="42">
        <v>0</v>
      </c>
    </row>
    <row r="629" spans="1:2">
      <c r="A629" s="42" t="s">
        <v>1768</v>
      </c>
      <c r="B629" s="42">
        <v>45</v>
      </c>
    </row>
    <row r="630" spans="1:2">
      <c r="A630" s="42" t="s">
        <v>656</v>
      </c>
      <c r="B630" s="42">
        <v>720</v>
      </c>
    </row>
    <row r="631" spans="1:2">
      <c r="A631" s="42" t="s">
        <v>1769</v>
      </c>
      <c r="B631" s="42">
        <v>364</v>
      </c>
    </row>
    <row r="632" spans="1:2">
      <c r="A632" s="42" t="s">
        <v>657</v>
      </c>
      <c r="B632" s="42">
        <v>51</v>
      </c>
    </row>
    <row r="633" spans="1:2">
      <c r="A633" s="42" t="s">
        <v>658</v>
      </c>
      <c r="B633" s="42">
        <v>7</v>
      </c>
    </row>
    <row r="634" spans="1:2">
      <c r="A634" s="42" t="s">
        <v>659</v>
      </c>
      <c r="B634" s="42">
        <v>2082</v>
      </c>
    </row>
    <row r="635" spans="1:2">
      <c r="A635" s="42" t="s">
        <v>660</v>
      </c>
      <c r="B635" s="42">
        <v>0</v>
      </c>
    </row>
    <row r="636" spans="1:2">
      <c r="A636" s="42" t="s">
        <v>661</v>
      </c>
      <c r="B636" s="42">
        <v>78</v>
      </c>
    </row>
    <row r="637" spans="1:2">
      <c r="A637" s="42" t="s">
        <v>1770</v>
      </c>
      <c r="B637" s="42">
        <v>19</v>
      </c>
    </row>
    <row r="638" spans="1:2">
      <c r="A638" s="42" t="s">
        <v>1771</v>
      </c>
      <c r="B638" s="42">
        <v>500</v>
      </c>
    </row>
    <row r="639" spans="1:2">
      <c r="A639" s="42" t="s">
        <v>662</v>
      </c>
      <c r="B639" s="42">
        <v>419</v>
      </c>
    </row>
    <row r="640" spans="1:2">
      <c r="A640" s="42" t="s">
        <v>663</v>
      </c>
      <c r="B640" s="42">
        <v>450</v>
      </c>
    </row>
    <row r="641" spans="1:2">
      <c r="A641" s="42" t="s">
        <v>1772</v>
      </c>
      <c r="B641" s="42">
        <v>0</v>
      </c>
    </row>
    <row r="642" spans="1:2">
      <c r="A642" s="42" t="s">
        <v>1773</v>
      </c>
      <c r="B642" s="42">
        <v>0</v>
      </c>
    </row>
    <row r="643" spans="1:2">
      <c r="A643" s="42" t="s">
        <v>664</v>
      </c>
      <c r="B643" s="42">
        <v>481</v>
      </c>
    </row>
    <row r="644" spans="1:2">
      <c r="A644" s="42" t="s">
        <v>665</v>
      </c>
      <c r="B644" s="42">
        <v>157</v>
      </c>
    </row>
    <row r="645" spans="1:2">
      <c r="A645" s="42" t="s">
        <v>666</v>
      </c>
      <c r="B645" s="42">
        <v>0</v>
      </c>
    </row>
    <row r="646" spans="1:2">
      <c r="A646" s="42" t="s">
        <v>667</v>
      </c>
      <c r="B646" s="42">
        <v>45</v>
      </c>
    </row>
    <row r="647" spans="1:2">
      <c r="A647" s="42" t="s">
        <v>1774</v>
      </c>
      <c r="B647" s="42">
        <v>0</v>
      </c>
    </row>
    <row r="648" spans="1:2">
      <c r="A648" s="42" t="s">
        <v>668</v>
      </c>
      <c r="B648" s="42">
        <v>0</v>
      </c>
    </row>
    <row r="649" spans="1:2">
      <c r="A649" s="42" t="s">
        <v>669</v>
      </c>
      <c r="B649" s="42">
        <v>38</v>
      </c>
    </row>
    <row r="650" spans="1:2">
      <c r="A650" s="42" t="s">
        <v>1775</v>
      </c>
      <c r="B650" s="42">
        <v>0</v>
      </c>
    </row>
    <row r="651" spans="1:2">
      <c r="A651" s="42" t="s">
        <v>670</v>
      </c>
      <c r="B651" s="42">
        <v>2429</v>
      </c>
    </row>
    <row r="652" spans="1:2">
      <c r="A652" s="42" t="s">
        <v>671</v>
      </c>
      <c r="B652" s="42">
        <v>108</v>
      </c>
    </row>
    <row r="653" spans="1:2">
      <c r="A653" s="42" t="s">
        <v>672</v>
      </c>
      <c r="B653" s="42">
        <v>0</v>
      </c>
    </row>
    <row r="654" spans="1:2">
      <c r="A654" s="42" t="s">
        <v>673</v>
      </c>
      <c r="B654" s="42">
        <v>1397</v>
      </c>
    </row>
    <row r="655" spans="1:2">
      <c r="A655" s="42" t="s">
        <v>674</v>
      </c>
      <c r="B655" s="42">
        <v>4</v>
      </c>
    </row>
    <row r="656" spans="1:2">
      <c r="A656" s="42" t="s">
        <v>675</v>
      </c>
      <c r="B656" s="42">
        <v>0</v>
      </c>
    </row>
    <row r="657" spans="1:2">
      <c r="A657" s="42" t="s">
        <v>676</v>
      </c>
      <c r="B657" s="42">
        <v>647</v>
      </c>
    </row>
    <row r="658" spans="1:2">
      <c r="A658" s="42" t="s">
        <v>677</v>
      </c>
      <c r="B658" s="42">
        <v>738</v>
      </c>
    </row>
    <row r="659" spans="1:2">
      <c r="A659" s="42" t="s">
        <v>678</v>
      </c>
      <c r="B659" s="42">
        <v>641</v>
      </c>
    </row>
    <row r="660" spans="1:2">
      <c r="A660" s="42" t="s">
        <v>1776</v>
      </c>
      <c r="B660" s="42">
        <v>3500</v>
      </c>
    </row>
    <row r="661" spans="1:2">
      <c r="A661" s="42" t="s">
        <v>679</v>
      </c>
      <c r="B661" s="42">
        <v>2</v>
      </c>
    </row>
    <row r="662" spans="1:2">
      <c r="A662" s="42" t="s">
        <v>680</v>
      </c>
      <c r="B662" s="42">
        <v>6120</v>
      </c>
    </row>
    <row r="663" spans="1:2">
      <c r="A663" s="42" t="s">
        <v>681</v>
      </c>
      <c r="B663" s="42">
        <v>54020</v>
      </c>
    </row>
    <row r="664" spans="1:2">
      <c r="A664" s="42" t="s">
        <v>682</v>
      </c>
      <c r="B664" s="42">
        <v>3483</v>
      </c>
    </row>
    <row r="665" spans="1:2">
      <c r="A665" s="42" t="s">
        <v>683</v>
      </c>
      <c r="B665" s="42">
        <v>3</v>
      </c>
    </row>
    <row r="666" spans="1:2">
      <c r="A666" s="42" t="s">
        <v>684</v>
      </c>
      <c r="B666" s="42">
        <v>1580</v>
      </c>
    </row>
    <row r="667" spans="1:2">
      <c r="A667" s="42" t="s">
        <v>685</v>
      </c>
      <c r="B667" s="42">
        <v>1840</v>
      </c>
    </row>
    <row r="668" spans="1:2">
      <c r="A668" s="42" t="s">
        <v>686</v>
      </c>
      <c r="B668" s="42">
        <v>9780</v>
      </c>
    </row>
    <row r="669" spans="1:2">
      <c r="A669" s="42" t="s">
        <v>687</v>
      </c>
      <c r="B669" s="42">
        <v>5065</v>
      </c>
    </row>
    <row r="670" spans="1:2">
      <c r="A670" s="42" t="s">
        <v>1777</v>
      </c>
      <c r="B670" s="42">
        <v>0</v>
      </c>
    </row>
    <row r="671" spans="1:2">
      <c r="A671" s="42" t="s">
        <v>688</v>
      </c>
      <c r="B671" s="42">
        <v>1</v>
      </c>
    </row>
    <row r="672" spans="1:2">
      <c r="A672" s="42" t="s">
        <v>689</v>
      </c>
      <c r="B672" s="42">
        <v>4</v>
      </c>
    </row>
    <row r="673" spans="1:2">
      <c r="A673" s="42" t="s">
        <v>690</v>
      </c>
      <c r="B673" s="42">
        <v>13</v>
      </c>
    </row>
    <row r="674" spans="1:2">
      <c r="A674" s="42" t="s">
        <v>691</v>
      </c>
      <c r="B674" s="42">
        <v>800</v>
      </c>
    </row>
    <row r="675" spans="1:2">
      <c r="A675" s="42" t="s">
        <v>692</v>
      </c>
      <c r="B675" s="42">
        <v>20</v>
      </c>
    </row>
    <row r="676" spans="1:2">
      <c r="A676" s="42" t="s">
        <v>693</v>
      </c>
      <c r="B676" s="42">
        <v>9830</v>
      </c>
    </row>
    <row r="677" spans="1:2">
      <c r="A677" s="42" t="s">
        <v>694</v>
      </c>
      <c r="B677" s="42">
        <v>4000</v>
      </c>
    </row>
    <row r="678" spans="1:2">
      <c r="A678" s="42" t="s">
        <v>1778</v>
      </c>
      <c r="B678" s="42">
        <v>0</v>
      </c>
    </row>
    <row r="679" spans="1:2">
      <c r="A679" s="42" t="s">
        <v>695</v>
      </c>
      <c r="B679" s="42">
        <v>2000</v>
      </c>
    </row>
    <row r="680" spans="1:2">
      <c r="A680" s="42" t="s">
        <v>696</v>
      </c>
      <c r="B680" s="42">
        <v>3470</v>
      </c>
    </row>
    <row r="681" spans="1:2">
      <c r="A681" s="42" t="s">
        <v>1779</v>
      </c>
      <c r="B681" s="42">
        <v>65</v>
      </c>
    </row>
    <row r="682" spans="1:2">
      <c r="A682" s="42" t="s">
        <v>697</v>
      </c>
      <c r="B682" s="42">
        <v>690</v>
      </c>
    </row>
    <row r="683" spans="1:2">
      <c r="A683" s="42" t="s">
        <v>698</v>
      </c>
      <c r="B683" s="42">
        <v>1054</v>
      </c>
    </row>
    <row r="684" spans="1:2">
      <c r="A684" s="42" t="s">
        <v>699</v>
      </c>
      <c r="B684" s="42">
        <v>9</v>
      </c>
    </row>
    <row r="685" spans="1:2">
      <c r="A685" s="42" t="s">
        <v>700</v>
      </c>
      <c r="B685" s="42">
        <v>38</v>
      </c>
    </row>
    <row r="686" spans="1:2">
      <c r="A686" s="42" t="s">
        <v>1780</v>
      </c>
      <c r="B686" s="42">
        <v>1104</v>
      </c>
    </row>
    <row r="687" spans="1:2">
      <c r="A687" s="42" t="s">
        <v>1781</v>
      </c>
      <c r="B687" s="42">
        <v>282</v>
      </c>
    </row>
    <row r="688" spans="1:2">
      <c r="A688" s="42" t="s">
        <v>1782</v>
      </c>
      <c r="B688" s="42">
        <v>75</v>
      </c>
    </row>
    <row r="689" spans="1:2">
      <c r="A689" s="42" t="s">
        <v>1783</v>
      </c>
      <c r="B689" s="42">
        <v>73</v>
      </c>
    </row>
    <row r="690" spans="1:2">
      <c r="A690" s="42" t="s">
        <v>701</v>
      </c>
      <c r="B690" s="42">
        <v>0</v>
      </c>
    </row>
    <row r="691" spans="1:2">
      <c r="A691" s="42" t="s">
        <v>702</v>
      </c>
      <c r="B691" s="42">
        <v>39</v>
      </c>
    </row>
    <row r="692" spans="1:2">
      <c r="A692" s="42" t="s">
        <v>703</v>
      </c>
      <c r="B692" s="42">
        <v>421</v>
      </c>
    </row>
    <row r="693" spans="1:2">
      <c r="A693" s="42" t="s">
        <v>704</v>
      </c>
      <c r="B693" s="42">
        <v>81</v>
      </c>
    </row>
    <row r="694" spans="1:2">
      <c r="A694" s="42" t="s">
        <v>705</v>
      </c>
      <c r="B694" s="42">
        <v>130</v>
      </c>
    </row>
    <row r="695" spans="1:2">
      <c r="A695" s="42" t="s">
        <v>706</v>
      </c>
      <c r="B695" s="42">
        <v>34</v>
      </c>
    </row>
    <row r="696" spans="1:2">
      <c r="A696" s="42" t="s">
        <v>707</v>
      </c>
      <c r="B696" s="42">
        <v>465</v>
      </c>
    </row>
    <row r="697" spans="1:2">
      <c r="A697" s="42" t="s">
        <v>708</v>
      </c>
      <c r="B697" s="42">
        <v>580</v>
      </c>
    </row>
    <row r="698" spans="1:2">
      <c r="A698" s="42" t="s">
        <v>709</v>
      </c>
      <c r="B698" s="42">
        <v>181</v>
      </c>
    </row>
    <row r="699" spans="1:2">
      <c r="A699" s="42" t="s">
        <v>710</v>
      </c>
      <c r="B699" s="42">
        <v>341</v>
      </c>
    </row>
    <row r="700" spans="1:2">
      <c r="A700" s="42" t="s">
        <v>711</v>
      </c>
      <c r="B700" s="42">
        <v>1100</v>
      </c>
    </row>
    <row r="701" spans="1:2">
      <c r="A701" s="42" t="s">
        <v>1784</v>
      </c>
      <c r="B701" s="42">
        <v>4</v>
      </c>
    </row>
    <row r="702" spans="1:2">
      <c r="A702" s="42" t="s">
        <v>1785</v>
      </c>
      <c r="B702" s="42">
        <v>141</v>
      </c>
    </row>
    <row r="703" spans="1:2">
      <c r="A703" s="42" t="s">
        <v>1786</v>
      </c>
      <c r="B703" s="42">
        <v>795</v>
      </c>
    </row>
    <row r="704" spans="1:2">
      <c r="A704" s="42" t="s">
        <v>1787</v>
      </c>
      <c r="B704" s="42">
        <v>42</v>
      </c>
    </row>
    <row r="705" spans="1:2">
      <c r="A705" s="42" t="s">
        <v>1788</v>
      </c>
      <c r="B705" s="42">
        <v>0</v>
      </c>
    </row>
    <row r="706" spans="1:2">
      <c r="A706" s="42" t="s">
        <v>1789</v>
      </c>
      <c r="B706" s="42">
        <v>0</v>
      </c>
    </row>
    <row r="707" spans="1:2">
      <c r="A707" s="42" t="s">
        <v>712</v>
      </c>
      <c r="B707" s="42">
        <v>0</v>
      </c>
    </row>
    <row r="708" spans="1:2">
      <c r="A708" s="42" t="s">
        <v>1790</v>
      </c>
      <c r="B708" s="42">
        <v>0</v>
      </c>
    </row>
    <row r="709" spans="1:2">
      <c r="A709" s="42" t="s">
        <v>1791</v>
      </c>
      <c r="B709" s="42">
        <v>19</v>
      </c>
    </row>
    <row r="710" spans="1:2">
      <c r="A710" s="42" t="s">
        <v>1792</v>
      </c>
      <c r="B710" s="42">
        <v>0</v>
      </c>
    </row>
    <row r="711" spans="1:2">
      <c r="A711" s="42" t="s">
        <v>1793</v>
      </c>
      <c r="B711" s="42">
        <v>0</v>
      </c>
    </row>
    <row r="712" spans="1:2">
      <c r="A712" s="42" t="s">
        <v>1794</v>
      </c>
      <c r="B712" s="42">
        <v>783</v>
      </c>
    </row>
    <row r="713" spans="1:2">
      <c r="A713" s="42" t="s">
        <v>1795</v>
      </c>
      <c r="B713" s="42">
        <v>19</v>
      </c>
    </row>
    <row r="714" spans="1:2">
      <c r="A714" s="42" t="s">
        <v>713</v>
      </c>
      <c r="B714" s="42">
        <v>0</v>
      </c>
    </row>
    <row r="715" spans="1:2">
      <c r="A715" s="42" t="s">
        <v>1796</v>
      </c>
      <c r="B715" s="42">
        <v>62</v>
      </c>
    </row>
    <row r="716" spans="1:2">
      <c r="A716" s="42" t="s">
        <v>1797</v>
      </c>
      <c r="B716" s="42">
        <v>381</v>
      </c>
    </row>
    <row r="717" spans="1:2">
      <c r="A717" s="42" t="s">
        <v>1798</v>
      </c>
      <c r="B717" s="42">
        <v>29</v>
      </c>
    </row>
    <row r="718" spans="1:2">
      <c r="A718" s="42" t="s">
        <v>1799</v>
      </c>
      <c r="B718" s="42">
        <v>0</v>
      </c>
    </row>
    <row r="719" spans="1:2">
      <c r="A719" s="42" t="s">
        <v>1800</v>
      </c>
      <c r="B719" s="42">
        <v>401</v>
      </c>
    </row>
    <row r="720" spans="1:2">
      <c r="A720" s="42" t="s">
        <v>714</v>
      </c>
      <c r="B720" s="42">
        <v>0</v>
      </c>
    </row>
    <row r="721" spans="1:2">
      <c r="A721" s="42" t="s">
        <v>1801</v>
      </c>
      <c r="B721" s="42">
        <v>640</v>
      </c>
    </row>
    <row r="722" spans="1:2">
      <c r="A722" s="42" t="s">
        <v>1802</v>
      </c>
      <c r="B722" s="42">
        <v>1427</v>
      </c>
    </row>
    <row r="723" spans="1:2">
      <c r="A723" s="42" t="s">
        <v>1803</v>
      </c>
      <c r="B723" s="42">
        <v>0</v>
      </c>
    </row>
    <row r="724" spans="1:2">
      <c r="A724" s="42" t="s">
        <v>715</v>
      </c>
      <c r="B724" s="42">
        <v>481</v>
      </c>
    </row>
    <row r="725" spans="1:2">
      <c r="A725" s="42" t="s">
        <v>716</v>
      </c>
      <c r="B725" s="42">
        <v>74</v>
      </c>
    </row>
    <row r="726" spans="1:2">
      <c r="A726" s="42" t="s">
        <v>1804</v>
      </c>
      <c r="B726" s="42">
        <v>528</v>
      </c>
    </row>
    <row r="727" spans="1:2">
      <c r="A727" s="42" t="s">
        <v>1805</v>
      </c>
      <c r="B727" s="42">
        <v>98</v>
      </c>
    </row>
    <row r="728" spans="1:2">
      <c r="A728" s="42" t="s">
        <v>1806</v>
      </c>
      <c r="B728" s="42">
        <v>91</v>
      </c>
    </row>
    <row r="729" spans="1:2">
      <c r="A729" s="42" t="s">
        <v>717</v>
      </c>
      <c r="B729" s="42">
        <v>952</v>
      </c>
    </row>
    <row r="730" spans="1:2">
      <c r="A730" s="42" t="s">
        <v>1807</v>
      </c>
      <c r="B730" s="42">
        <v>0</v>
      </c>
    </row>
    <row r="731" spans="1:2">
      <c r="A731" s="42" t="s">
        <v>1808</v>
      </c>
      <c r="B731" s="42">
        <v>0</v>
      </c>
    </row>
    <row r="732" spans="1:2">
      <c r="A732" s="42" t="s">
        <v>1809</v>
      </c>
      <c r="B732" s="42">
        <v>0</v>
      </c>
    </row>
    <row r="733" spans="1:2">
      <c r="A733" s="42" t="s">
        <v>718</v>
      </c>
      <c r="B733" s="42">
        <v>0</v>
      </c>
    </row>
    <row r="734" spans="1:2">
      <c r="A734" s="42" t="s">
        <v>1810</v>
      </c>
      <c r="B734" s="42">
        <v>25</v>
      </c>
    </row>
    <row r="735" spans="1:2">
      <c r="A735" s="42" t="s">
        <v>1811</v>
      </c>
      <c r="B735" s="42">
        <v>0</v>
      </c>
    </row>
    <row r="736" spans="1:2">
      <c r="A736" s="42" t="s">
        <v>1812</v>
      </c>
      <c r="B736" s="42">
        <v>0</v>
      </c>
    </row>
    <row r="737" spans="1:2">
      <c r="A737" s="42" t="s">
        <v>1813</v>
      </c>
      <c r="B737" s="42">
        <v>555</v>
      </c>
    </row>
    <row r="738" spans="1:2">
      <c r="A738" s="42" t="s">
        <v>1814</v>
      </c>
      <c r="B738" s="42">
        <v>0</v>
      </c>
    </row>
    <row r="739" spans="1:2">
      <c r="A739" s="42" t="s">
        <v>1815</v>
      </c>
      <c r="B739" s="42">
        <v>0</v>
      </c>
    </row>
    <row r="740" spans="1:2">
      <c r="A740" s="42" t="s">
        <v>1816</v>
      </c>
      <c r="B740" s="42">
        <v>0</v>
      </c>
    </row>
    <row r="741" spans="1:2">
      <c r="A741" s="42" t="s">
        <v>719</v>
      </c>
      <c r="B741" s="42">
        <v>0</v>
      </c>
    </row>
    <row r="742" spans="1:2">
      <c r="A742" s="42" t="s">
        <v>1817</v>
      </c>
      <c r="B742" s="42">
        <v>0</v>
      </c>
    </row>
    <row r="743" spans="1:2">
      <c r="A743" s="42" t="s">
        <v>720</v>
      </c>
      <c r="B743" s="42">
        <v>0</v>
      </c>
    </row>
    <row r="744" spans="1:2">
      <c r="A744" s="42" t="s">
        <v>721</v>
      </c>
      <c r="B744" s="42">
        <v>27</v>
      </c>
    </row>
    <row r="745" spans="1:2">
      <c r="A745" s="42" t="s">
        <v>722</v>
      </c>
      <c r="B745" s="42">
        <v>9</v>
      </c>
    </row>
    <row r="746" spans="1:2">
      <c r="A746" s="42" t="s">
        <v>723</v>
      </c>
      <c r="B746" s="42">
        <v>52</v>
      </c>
    </row>
    <row r="747" spans="1:2">
      <c r="A747" s="42" t="s">
        <v>1818</v>
      </c>
      <c r="B747" s="42">
        <v>0</v>
      </c>
    </row>
    <row r="748" spans="1:2">
      <c r="A748" s="42" t="s">
        <v>724</v>
      </c>
      <c r="B748" s="42">
        <v>2</v>
      </c>
    </row>
    <row r="749" spans="1:2">
      <c r="A749" s="42" t="s">
        <v>725</v>
      </c>
      <c r="B749" s="42">
        <v>0</v>
      </c>
    </row>
    <row r="750" spans="1:2">
      <c r="A750" s="42" t="s">
        <v>726</v>
      </c>
      <c r="B750" s="42">
        <v>0</v>
      </c>
    </row>
    <row r="751" spans="1:2">
      <c r="A751" s="42" t="s">
        <v>727</v>
      </c>
      <c r="B751" s="42">
        <v>5</v>
      </c>
    </row>
    <row r="752" spans="1:2">
      <c r="A752" s="42" t="s">
        <v>728</v>
      </c>
      <c r="B752" s="42">
        <v>10</v>
      </c>
    </row>
    <row r="753" spans="1:2">
      <c r="A753" s="42" t="s">
        <v>729</v>
      </c>
      <c r="B753" s="42">
        <v>0</v>
      </c>
    </row>
    <row r="754" spans="1:2">
      <c r="A754" s="42" t="s">
        <v>730</v>
      </c>
      <c r="B754" s="42">
        <v>130</v>
      </c>
    </row>
    <row r="755" spans="1:2">
      <c r="A755" s="42" t="s">
        <v>1819</v>
      </c>
      <c r="B755" s="42">
        <v>0</v>
      </c>
    </row>
    <row r="756" spans="1:2">
      <c r="A756" s="42" t="s">
        <v>731</v>
      </c>
      <c r="B756" s="42">
        <v>69</v>
      </c>
    </row>
    <row r="757" spans="1:2">
      <c r="A757" s="42" t="s">
        <v>732</v>
      </c>
      <c r="B757" s="42">
        <v>19</v>
      </c>
    </row>
    <row r="758" spans="1:2">
      <c r="A758" s="42" t="s">
        <v>733</v>
      </c>
      <c r="B758" s="42">
        <v>0</v>
      </c>
    </row>
    <row r="759" spans="1:2">
      <c r="A759" s="42" t="s">
        <v>734</v>
      </c>
      <c r="B759" s="42">
        <v>0</v>
      </c>
    </row>
    <row r="760" spans="1:2">
      <c r="A760" s="42" t="s">
        <v>735</v>
      </c>
      <c r="B760" s="42">
        <v>15</v>
      </c>
    </row>
    <row r="761" spans="1:2">
      <c r="A761" s="42" t="s">
        <v>736</v>
      </c>
      <c r="B761" s="42">
        <v>10</v>
      </c>
    </row>
    <row r="762" spans="1:2">
      <c r="A762" s="42" t="s">
        <v>737</v>
      </c>
      <c r="B762" s="42">
        <v>0</v>
      </c>
    </row>
    <row r="763" spans="1:2">
      <c r="A763" s="42" t="s">
        <v>738</v>
      </c>
      <c r="B763" s="42">
        <v>0</v>
      </c>
    </row>
    <row r="764" spans="1:2">
      <c r="A764" s="42" t="s">
        <v>739</v>
      </c>
      <c r="B764" s="42">
        <v>0</v>
      </c>
    </row>
    <row r="765" spans="1:2">
      <c r="A765" s="42" t="s">
        <v>740</v>
      </c>
      <c r="B765" s="42">
        <v>1045</v>
      </c>
    </row>
    <row r="766" spans="1:2">
      <c r="A766" s="42" t="s">
        <v>741</v>
      </c>
      <c r="B766" s="42">
        <v>0</v>
      </c>
    </row>
    <row r="767" spans="1:2">
      <c r="A767" s="42" t="s">
        <v>1820</v>
      </c>
      <c r="B767" s="42">
        <v>0</v>
      </c>
    </row>
    <row r="768" spans="1:2">
      <c r="A768" s="42" t="s">
        <v>742</v>
      </c>
      <c r="B768" s="42">
        <v>0</v>
      </c>
    </row>
    <row r="769" spans="1:2">
      <c r="A769" s="42" t="s">
        <v>743</v>
      </c>
      <c r="B769" s="42">
        <v>0</v>
      </c>
    </row>
    <row r="770" spans="1:2">
      <c r="A770" s="42" t="s">
        <v>744</v>
      </c>
      <c r="B770" s="42">
        <v>0</v>
      </c>
    </row>
    <row r="771" spans="1:2">
      <c r="A771" s="42" t="s">
        <v>1821</v>
      </c>
      <c r="B771" s="42">
        <v>10</v>
      </c>
    </row>
    <row r="772" spans="1:2">
      <c r="A772" s="42" t="s">
        <v>745</v>
      </c>
      <c r="B772" s="42">
        <v>0</v>
      </c>
    </row>
    <row r="773" spans="1:2">
      <c r="A773" s="42" t="s">
        <v>746</v>
      </c>
      <c r="B773" s="42">
        <v>15</v>
      </c>
    </row>
    <row r="774" spans="1:2">
      <c r="A774" s="42" t="s">
        <v>747</v>
      </c>
      <c r="B774" s="42">
        <v>0</v>
      </c>
    </row>
    <row r="775" spans="1:2">
      <c r="A775" s="42" t="s">
        <v>748</v>
      </c>
      <c r="B775" s="42">
        <v>2</v>
      </c>
    </row>
    <row r="776" spans="1:2">
      <c r="A776" s="42" t="s">
        <v>749</v>
      </c>
      <c r="B776" s="42">
        <v>0</v>
      </c>
    </row>
    <row r="777" spans="1:2">
      <c r="A777" s="42" t="s">
        <v>750</v>
      </c>
      <c r="B777" s="42">
        <v>3</v>
      </c>
    </row>
    <row r="778" spans="1:2">
      <c r="A778" s="42" t="s">
        <v>751</v>
      </c>
      <c r="B778" s="42">
        <v>0</v>
      </c>
    </row>
    <row r="779" spans="1:2">
      <c r="A779" s="42" t="s">
        <v>752</v>
      </c>
      <c r="B779" s="42">
        <v>93</v>
      </c>
    </row>
    <row r="780" spans="1:2">
      <c r="A780" s="42" t="s">
        <v>1822</v>
      </c>
      <c r="B780" s="42">
        <v>0</v>
      </c>
    </row>
    <row r="781" spans="1:2">
      <c r="A781" s="42" t="s">
        <v>753</v>
      </c>
      <c r="B781" s="42">
        <v>159</v>
      </c>
    </row>
    <row r="782" spans="1:2">
      <c r="A782" s="42" t="s">
        <v>754</v>
      </c>
      <c r="B782" s="42">
        <v>0</v>
      </c>
    </row>
    <row r="783" spans="1:2">
      <c r="A783" s="42" t="s">
        <v>755</v>
      </c>
      <c r="B783" s="42">
        <v>5</v>
      </c>
    </row>
    <row r="784" spans="1:2">
      <c r="A784" s="42" t="s">
        <v>756</v>
      </c>
      <c r="B784" s="42">
        <v>0</v>
      </c>
    </row>
    <row r="785" spans="1:2">
      <c r="A785" s="42" t="s">
        <v>757</v>
      </c>
      <c r="B785" s="42">
        <v>0</v>
      </c>
    </row>
    <row r="786" spans="1:2">
      <c r="A786" s="42" t="s">
        <v>758</v>
      </c>
      <c r="B786" s="42">
        <v>0</v>
      </c>
    </row>
    <row r="787" spans="1:2">
      <c r="A787" s="42" t="s">
        <v>1823</v>
      </c>
      <c r="B787" s="42">
        <v>0</v>
      </c>
    </row>
    <row r="788" spans="1:2">
      <c r="A788" s="42" t="s">
        <v>759</v>
      </c>
      <c r="B788" s="42">
        <v>33</v>
      </c>
    </row>
    <row r="789" spans="1:2">
      <c r="A789" s="42" t="s">
        <v>760</v>
      </c>
      <c r="B789" s="42">
        <v>70</v>
      </c>
    </row>
    <row r="790" spans="1:2">
      <c r="A790" s="42" t="s">
        <v>761</v>
      </c>
      <c r="B790" s="42">
        <v>0</v>
      </c>
    </row>
    <row r="791" spans="1:2">
      <c r="A791" s="42" t="s">
        <v>1824</v>
      </c>
      <c r="B791" s="42">
        <v>0</v>
      </c>
    </row>
    <row r="792" spans="1:2">
      <c r="A792" s="42" t="s">
        <v>1825</v>
      </c>
      <c r="B792" s="42">
        <v>0</v>
      </c>
    </row>
    <row r="793" spans="1:2">
      <c r="A793" s="42" t="s">
        <v>1826</v>
      </c>
      <c r="B793" s="42">
        <v>159</v>
      </c>
    </row>
    <row r="794" spans="1:2">
      <c r="A794" s="42" t="s">
        <v>1827</v>
      </c>
      <c r="B794" s="42">
        <v>0</v>
      </c>
    </row>
    <row r="795" spans="1:2">
      <c r="A795" s="42" t="s">
        <v>1828</v>
      </c>
      <c r="B795" s="42">
        <v>0</v>
      </c>
    </row>
    <row r="796" spans="1:2">
      <c r="A796" s="42" t="s">
        <v>762</v>
      </c>
      <c r="B796" s="42">
        <v>0</v>
      </c>
    </row>
    <row r="797" spans="1:2">
      <c r="A797" s="42" t="s">
        <v>763</v>
      </c>
      <c r="B797" s="42">
        <v>251</v>
      </c>
    </row>
    <row r="798" spans="1:2">
      <c r="A798" s="42" t="s">
        <v>764</v>
      </c>
      <c r="B798" s="42">
        <v>15</v>
      </c>
    </row>
    <row r="799" spans="1:2">
      <c r="A799" s="42" t="s">
        <v>765</v>
      </c>
      <c r="B799" s="42">
        <v>0</v>
      </c>
    </row>
    <row r="800" spans="1:2">
      <c r="A800" s="42" t="s">
        <v>766</v>
      </c>
      <c r="B800" s="42">
        <v>19</v>
      </c>
    </row>
    <row r="801" spans="1:2">
      <c r="A801" s="42" t="s">
        <v>767</v>
      </c>
      <c r="B801" s="42">
        <v>0</v>
      </c>
    </row>
    <row r="802" spans="1:2">
      <c r="A802" s="42" t="s">
        <v>1829</v>
      </c>
      <c r="B802" s="42">
        <v>0</v>
      </c>
    </row>
    <row r="803" spans="1:2">
      <c r="A803" s="42" t="s">
        <v>768</v>
      </c>
      <c r="B803" s="42">
        <v>0</v>
      </c>
    </row>
    <row r="804" spans="1:2">
      <c r="A804" s="42" t="s">
        <v>1830</v>
      </c>
      <c r="B804" s="42">
        <v>0</v>
      </c>
    </row>
    <row r="805" spans="1:2">
      <c r="A805" s="42" t="s">
        <v>769</v>
      </c>
      <c r="B805" s="42">
        <v>0</v>
      </c>
    </row>
    <row r="806" spans="1:2">
      <c r="A806" s="42" t="s">
        <v>1831</v>
      </c>
      <c r="B806" s="42">
        <v>1038</v>
      </c>
    </row>
    <row r="807" spans="1:2">
      <c r="A807" s="42" t="s">
        <v>770</v>
      </c>
      <c r="B807" s="42">
        <v>0</v>
      </c>
    </row>
    <row r="808" spans="1:2">
      <c r="A808" s="42" t="s">
        <v>771</v>
      </c>
      <c r="B808" s="42">
        <v>0</v>
      </c>
    </row>
    <row r="809" spans="1:2">
      <c r="A809" s="42" t="s">
        <v>772</v>
      </c>
      <c r="B809" s="42">
        <v>40</v>
      </c>
    </row>
    <row r="810" spans="1:2">
      <c r="A810" s="42" t="s">
        <v>773</v>
      </c>
      <c r="B810" s="42">
        <v>15</v>
      </c>
    </row>
    <row r="811" spans="1:2">
      <c r="A811" s="42" t="s">
        <v>1832</v>
      </c>
      <c r="B811" s="42">
        <v>116</v>
      </c>
    </row>
    <row r="812" spans="1:2">
      <c r="A812" s="42" t="s">
        <v>774</v>
      </c>
      <c r="B812" s="42">
        <v>0</v>
      </c>
    </row>
    <row r="813" spans="1:2">
      <c r="A813" s="42" t="s">
        <v>1833</v>
      </c>
      <c r="B813" s="42">
        <v>39</v>
      </c>
    </row>
    <row r="814" spans="1:2">
      <c r="A814" s="42" t="s">
        <v>1834</v>
      </c>
      <c r="B814" s="42">
        <v>25</v>
      </c>
    </row>
    <row r="815" spans="1:2">
      <c r="A815" s="42" t="s">
        <v>1835</v>
      </c>
      <c r="B815" s="42">
        <v>0</v>
      </c>
    </row>
    <row r="816" spans="1:2">
      <c r="A816" s="42" t="s">
        <v>1836</v>
      </c>
      <c r="B816" s="42">
        <v>583</v>
      </c>
    </row>
    <row r="817" spans="1:2">
      <c r="A817" s="42" t="s">
        <v>1837</v>
      </c>
      <c r="B817" s="42">
        <v>0</v>
      </c>
    </row>
    <row r="818" spans="1:2">
      <c r="A818" s="42" t="s">
        <v>1838</v>
      </c>
      <c r="B818" s="42">
        <v>0</v>
      </c>
    </row>
    <row r="819" spans="1:2">
      <c r="A819" s="42" t="s">
        <v>775</v>
      </c>
      <c r="B819" s="42">
        <v>82200</v>
      </c>
    </row>
    <row r="820" spans="1:2">
      <c r="A820" s="42" t="s">
        <v>776</v>
      </c>
      <c r="B820" s="42">
        <v>0</v>
      </c>
    </row>
    <row r="821" spans="1:2">
      <c r="A821" s="42" t="s">
        <v>777</v>
      </c>
      <c r="B821" s="42">
        <v>249</v>
      </c>
    </row>
    <row r="822" spans="1:2">
      <c r="A822" s="42" t="s">
        <v>1839</v>
      </c>
      <c r="B822" s="42">
        <v>0</v>
      </c>
    </row>
    <row r="823" spans="1:2">
      <c r="A823" s="42" t="s">
        <v>1840</v>
      </c>
      <c r="B823" s="42">
        <v>200</v>
      </c>
    </row>
    <row r="824" spans="1:2">
      <c r="A824" s="42" t="s">
        <v>1198</v>
      </c>
      <c r="B824" s="42">
        <v>26906</v>
      </c>
    </row>
    <row r="825" spans="1:2">
      <c r="A825" s="42" t="s">
        <v>1841</v>
      </c>
      <c r="B825" s="42">
        <v>1020</v>
      </c>
    </row>
    <row r="826" spans="1:2">
      <c r="A826" s="42" t="s">
        <v>778</v>
      </c>
      <c r="B826" s="42">
        <v>12</v>
      </c>
    </row>
    <row r="827" spans="1:2">
      <c r="A827" s="42" t="s">
        <v>1842</v>
      </c>
      <c r="B827" s="42">
        <v>0</v>
      </c>
    </row>
    <row r="828" spans="1:2">
      <c r="A828" s="42" t="s">
        <v>1843</v>
      </c>
      <c r="B828" s="42">
        <v>0</v>
      </c>
    </row>
    <row r="829" spans="1:2">
      <c r="A829" s="42" t="s">
        <v>1844</v>
      </c>
      <c r="B829" s="42">
        <v>0</v>
      </c>
    </row>
    <row r="830" spans="1:2">
      <c r="A830" s="42" t="s">
        <v>1845</v>
      </c>
      <c r="B830" s="42">
        <v>145</v>
      </c>
    </row>
    <row r="831" spans="1:2">
      <c r="A831" s="42" t="s">
        <v>1846</v>
      </c>
      <c r="B831" s="42">
        <v>0</v>
      </c>
    </row>
    <row r="832" spans="1:2">
      <c r="A832" s="42" t="s">
        <v>1847</v>
      </c>
      <c r="B832" s="42">
        <v>27</v>
      </c>
    </row>
    <row r="833" spans="1:2">
      <c r="A833" s="42" t="s">
        <v>1848</v>
      </c>
      <c r="B833" s="42">
        <v>3</v>
      </c>
    </row>
    <row r="834" spans="1:2">
      <c r="A834" s="42" t="s">
        <v>1849</v>
      </c>
      <c r="B834" s="42">
        <v>1366</v>
      </c>
    </row>
    <row r="835" spans="1:2">
      <c r="A835" s="42" t="s">
        <v>1850</v>
      </c>
      <c r="B835" s="42">
        <v>0</v>
      </c>
    </row>
    <row r="836" spans="1:2">
      <c r="A836" s="42" t="s">
        <v>1851</v>
      </c>
      <c r="B836" s="42">
        <v>0</v>
      </c>
    </row>
    <row r="837" spans="1:2">
      <c r="A837" s="42" t="s">
        <v>1852</v>
      </c>
      <c r="B837" s="42">
        <v>239</v>
      </c>
    </row>
    <row r="838" spans="1:2">
      <c r="A838" s="42" t="s">
        <v>779</v>
      </c>
      <c r="B838" s="42">
        <v>110</v>
      </c>
    </row>
    <row r="839" spans="1:2">
      <c r="A839" s="42" t="s">
        <v>1853</v>
      </c>
      <c r="B839" s="42">
        <v>472</v>
      </c>
    </row>
    <row r="840" spans="1:2">
      <c r="A840" s="42" t="s">
        <v>1854</v>
      </c>
      <c r="B840" s="42">
        <v>335</v>
      </c>
    </row>
    <row r="841" spans="1:2">
      <c r="A841" s="42" t="s">
        <v>1855</v>
      </c>
      <c r="B841" s="42">
        <v>6</v>
      </c>
    </row>
    <row r="842" spans="1:2">
      <c r="A842" s="42" t="s">
        <v>1856</v>
      </c>
      <c r="B842" s="42">
        <v>11</v>
      </c>
    </row>
    <row r="843" spans="1:2">
      <c r="A843" s="42" t="s">
        <v>1857</v>
      </c>
      <c r="B843" s="42">
        <v>349</v>
      </c>
    </row>
    <row r="844" spans="1:2">
      <c r="A844" s="42" t="s">
        <v>1858</v>
      </c>
      <c r="B844" s="42">
        <v>763</v>
      </c>
    </row>
    <row r="845" spans="1:2">
      <c r="A845" s="42" t="s">
        <v>1859</v>
      </c>
      <c r="B845" s="42">
        <v>4080</v>
      </c>
    </row>
    <row r="846" spans="1:2">
      <c r="A846" s="42" t="s">
        <v>1860</v>
      </c>
      <c r="B846" s="42">
        <v>0</v>
      </c>
    </row>
    <row r="847" spans="1:2">
      <c r="A847" s="42" t="s">
        <v>1861</v>
      </c>
      <c r="B847" s="42">
        <v>0</v>
      </c>
    </row>
    <row r="848" spans="1:2">
      <c r="A848" s="42" t="s">
        <v>1862</v>
      </c>
      <c r="B848" s="42">
        <v>0</v>
      </c>
    </row>
    <row r="849" spans="1:2">
      <c r="A849" s="42" t="s">
        <v>1863</v>
      </c>
      <c r="B849" s="42">
        <v>94</v>
      </c>
    </row>
    <row r="850" spans="1:2">
      <c r="A850" s="42" t="s">
        <v>1864</v>
      </c>
      <c r="B850" s="42">
        <v>3</v>
      </c>
    </row>
    <row r="851" spans="1:2">
      <c r="A851" s="42" t="s">
        <v>1865</v>
      </c>
      <c r="B851" s="42">
        <v>0</v>
      </c>
    </row>
    <row r="852" spans="1:2">
      <c r="A852" s="42" t="s">
        <v>1866</v>
      </c>
      <c r="B852" s="42">
        <v>475</v>
      </c>
    </row>
    <row r="853" spans="1:2">
      <c r="A853" s="42" t="s">
        <v>1867</v>
      </c>
      <c r="B853" s="42">
        <v>51</v>
      </c>
    </row>
    <row r="854" spans="1:2">
      <c r="A854" s="42" t="s">
        <v>1868</v>
      </c>
      <c r="B854" s="42">
        <v>2</v>
      </c>
    </row>
    <row r="855" spans="1:2">
      <c r="A855" s="42" t="s">
        <v>1869</v>
      </c>
      <c r="B855" s="42">
        <v>106</v>
      </c>
    </row>
    <row r="856" spans="1:2">
      <c r="A856" s="42" t="s">
        <v>780</v>
      </c>
      <c r="B856" s="42">
        <v>123</v>
      </c>
    </row>
    <row r="857" spans="1:2">
      <c r="A857" s="42" t="s">
        <v>1870</v>
      </c>
      <c r="B857" s="42">
        <v>109</v>
      </c>
    </row>
    <row r="858" spans="1:2">
      <c r="A858" s="42" t="s">
        <v>1871</v>
      </c>
      <c r="B858" s="42">
        <v>0</v>
      </c>
    </row>
    <row r="859" spans="1:2">
      <c r="A859" s="42" t="s">
        <v>1872</v>
      </c>
      <c r="B859" s="42">
        <v>0</v>
      </c>
    </row>
    <row r="860" spans="1:2">
      <c r="A860" s="42" t="s">
        <v>1873</v>
      </c>
      <c r="B860" s="42">
        <v>0</v>
      </c>
    </row>
    <row r="861" spans="1:2">
      <c r="A861" s="42" t="s">
        <v>1874</v>
      </c>
      <c r="B861" s="42">
        <v>0</v>
      </c>
    </row>
    <row r="862" spans="1:2">
      <c r="A862" s="42" t="s">
        <v>1875</v>
      </c>
      <c r="B862" s="42">
        <v>0</v>
      </c>
    </row>
    <row r="863" spans="1:2">
      <c r="A863" s="42" t="s">
        <v>781</v>
      </c>
      <c r="B863" s="42">
        <v>24796</v>
      </c>
    </row>
    <row r="864" spans="1:2">
      <c r="A864" s="42" t="s">
        <v>782</v>
      </c>
      <c r="B864" s="42">
        <v>0</v>
      </c>
    </row>
    <row r="865" spans="1:2">
      <c r="A865" s="42" t="s">
        <v>1876</v>
      </c>
      <c r="B865" s="42">
        <v>0</v>
      </c>
    </row>
    <row r="866" spans="1:2">
      <c r="A866" s="42" t="s">
        <v>1877</v>
      </c>
      <c r="B866" s="42">
        <v>147</v>
      </c>
    </row>
    <row r="867" spans="1:2">
      <c r="A867" s="42" t="s">
        <v>1878</v>
      </c>
      <c r="B867" s="42">
        <v>11</v>
      </c>
    </row>
    <row r="868" spans="1:2">
      <c r="A868" s="42" t="s">
        <v>1879</v>
      </c>
      <c r="B868" s="42">
        <v>6</v>
      </c>
    </row>
    <row r="869" spans="1:2">
      <c r="A869" s="42" t="s">
        <v>1880</v>
      </c>
      <c r="B869" s="42">
        <v>0</v>
      </c>
    </row>
    <row r="870" spans="1:2">
      <c r="A870" s="42" t="s">
        <v>1881</v>
      </c>
      <c r="B870" s="42">
        <v>93</v>
      </c>
    </row>
    <row r="871" spans="1:2">
      <c r="A871" s="42" t="s">
        <v>1882</v>
      </c>
      <c r="B871" s="42">
        <v>42</v>
      </c>
    </row>
    <row r="872" spans="1:2">
      <c r="A872" s="42" t="s">
        <v>783</v>
      </c>
      <c r="B872" s="42">
        <v>584</v>
      </c>
    </row>
    <row r="873" spans="1:2">
      <c r="A873" s="42" t="s">
        <v>1883</v>
      </c>
      <c r="B873" s="42">
        <v>19</v>
      </c>
    </row>
    <row r="874" spans="1:2">
      <c r="A874" s="42" t="s">
        <v>1884</v>
      </c>
      <c r="B874" s="42">
        <v>142</v>
      </c>
    </row>
    <row r="875" spans="1:2">
      <c r="A875" s="42" t="s">
        <v>1885</v>
      </c>
      <c r="B875" s="42">
        <v>87</v>
      </c>
    </row>
    <row r="876" spans="1:2">
      <c r="A876" s="42" t="s">
        <v>1886</v>
      </c>
      <c r="B876" s="42">
        <v>96</v>
      </c>
    </row>
    <row r="877" spans="1:2">
      <c r="A877" s="42" t="s">
        <v>1887</v>
      </c>
      <c r="B877" s="42">
        <v>963</v>
      </c>
    </row>
    <row r="878" spans="1:2">
      <c r="A878" s="42" t="s">
        <v>1888</v>
      </c>
      <c r="B878" s="42">
        <v>0</v>
      </c>
    </row>
    <row r="879" spans="1:2">
      <c r="A879" s="42" t="s">
        <v>1889</v>
      </c>
      <c r="B879" s="42">
        <v>46</v>
      </c>
    </row>
    <row r="880" spans="1:2">
      <c r="A880" s="42" t="s">
        <v>1890</v>
      </c>
      <c r="B880" s="42">
        <v>0</v>
      </c>
    </row>
    <row r="881" spans="1:2">
      <c r="A881" s="42" t="s">
        <v>1891</v>
      </c>
      <c r="B881" s="42">
        <v>0</v>
      </c>
    </row>
    <row r="882" spans="1:2">
      <c r="A882" s="42" t="s">
        <v>1892</v>
      </c>
      <c r="B882" s="42">
        <v>57</v>
      </c>
    </row>
    <row r="883" spans="1:2">
      <c r="A883" s="42" t="s">
        <v>1893</v>
      </c>
      <c r="B883" s="42">
        <v>0</v>
      </c>
    </row>
    <row r="884" spans="1:2">
      <c r="A884" s="42" t="s">
        <v>1894</v>
      </c>
      <c r="B884" s="42">
        <v>0</v>
      </c>
    </row>
    <row r="885" spans="1:2">
      <c r="A885" s="42" t="s">
        <v>1895</v>
      </c>
      <c r="B885" s="42">
        <v>615</v>
      </c>
    </row>
    <row r="886" spans="1:2">
      <c r="A886" s="42" t="s">
        <v>1896</v>
      </c>
      <c r="B886" s="42">
        <v>0</v>
      </c>
    </row>
    <row r="887" spans="1:2">
      <c r="A887" s="42" t="s">
        <v>1897</v>
      </c>
      <c r="B887" s="42">
        <v>699</v>
      </c>
    </row>
    <row r="888" spans="1:2">
      <c r="A888" s="42" t="s">
        <v>1898</v>
      </c>
      <c r="B888" s="42">
        <v>1152</v>
      </c>
    </row>
    <row r="889" spans="1:2">
      <c r="A889" s="42" t="s">
        <v>1899</v>
      </c>
      <c r="B889" s="42">
        <v>0</v>
      </c>
    </row>
    <row r="890" spans="1:2">
      <c r="A890" s="42" t="s">
        <v>1900</v>
      </c>
      <c r="B890" s="42">
        <v>107</v>
      </c>
    </row>
    <row r="891" spans="1:2">
      <c r="A891" s="42" t="s">
        <v>784</v>
      </c>
      <c r="B891" s="42">
        <v>59</v>
      </c>
    </row>
    <row r="892" spans="1:2">
      <c r="A892" s="42" t="s">
        <v>1901</v>
      </c>
      <c r="B892" s="42">
        <v>573</v>
      </c>
    </row>
    <row r="893" spans="1:2">
      <c r="A893" s="42" t="s">
        <v>1902</v>
      </c>
      <c r="B893" s="42">
        <v>457</v>
      </c>
    </row>
    <row r="894" spans="1:2">
      <c r="A894" s="42" t="s">
        <v>1903</v>
      </c>
      <c r="B894" s="42">
        <v>262</v>
      </c>
    </row>
    <row r="895" spans="1:2">
      <c r="A895" s="42" t="s">
        <v>1904</v>
      </c>
      <c r="B895" s="42">
        <v>28</v>
      </c>
    </row>
    <row r="896" spans="1:2">
      <c r="A896" s="42" t="s">
        <v>1905</v>
      </c>
      <c r="B896" s="42">
        <v>0</v>
      </c>
    </row>
    <row r="897" spans="1:2">
      <c r="A897" s="42" t="s">
        <v>1906</v>
      </c>
      <c r="B897" s="42">
        <v>25</v>
      </c>
    </row>
    <row r="898" spans="1:2">
      <c r="A898" s="42" t="s">
        <v>1907</v>
      </c>
      <c r="B898" s="42">
        <v>442</v>
      </c>
    </row>
    <row r="899" spans="1:2">
      <c r="A899" s="42" t="s">
        <v>1908</v>
      </c>
      <c r="B899" s="42">
        <v>237</v>
      </c>
    </row>
    <row r="900" spans="1:2">
      <c r="A900" s="42" t="s">
        <v>1909</v>
      </c>
      <c r="B900" s="42">
        <v>129</v>
      </c>
    </row>
    <row r="901" spans="1:2">
      <c r="A901" s="42" t="s">
        <v>1910</v>
      </c>
      <c r="B901" s="42">
        <v>0</v>
      </c>
    </row>
    <row r="902" spans="1:2">
      <c r="A902" s="42" t="s">
        <v>1911</v>
      </c>
      <c r="B902" s="42">
        <v>0</v>
      </c>
    </row>
    <row r="903" spans="1:2">
      <c r="A903" s="42" t="s">
        <v>1912</v>
      </c>
      <c r="B903" s="42">
        <v>801</v>
      </c>
    </row>
    <row r="904" spans="1:2">
      <c r="A904" s="42" t="s">
        <v>1913</v>
      </c>
      <c r="B904" s="42">
        <v>0</v>
      </c>
    </row>
    <row r="905" spans="1:2">
      <c r="A905" s="42" t="s">
        <v>785</v>
      </c>
      <c r="B905" s="42">
        <v>27</v>
      </c>
    </row>
    <row r="906" spans="1:2">
      <c r="A906" s="42" t="s">
        <v>786</v>
      </c>
      <c r="B906" s="42">
        <v>458</v>
      </c>
    </row>
    <row r="907" spans="1:2">
      <c r="A907" s="42" t="s">
        <v>1914</v>
      </c>
      <c r="B907" s="42">
        <v>44</v>
      </c>
    </row>
    <row r="908" spans="1:2">
      <c r="A908" s="42" t="s">
        <v>1915</v>
      </c>
      <c r="B908" s="42">
        <v>0</v>
      </c>
    </row>
    <row r="909" spans="1:2">
      <c r="A909" s="42" t="s">
        <v>1916</v>
      </c>
      <c r="B909" s="42">
        <v>26</v>
      </c>
    </row>
    <row r="910" spans="1:2">
      <c r="A910" s="42" t="s">
        <v>787</v>
      </c>
      <c r="B910" s="42">
        <v>21</v>
      </c>
    </row>
    <row r="911" spans="1:2">
      <c r="A911" s="42" t="s">
        <v>788</v>
      </c>
      <c r="B911" s="42">
        <v>0</v>
      </c>
    </row>
    <row r="912" spans="1:2">
      <c r="A912" s="42" t="s">
        <v>1917</v>
      </c>
      <c r="B912" s="42">
        <v>0</v>
      </c>
    </row>
    <row r="913" spans="1:2">
      <c r="A913" s="42" t="s">
        <v>1918</v>
      </c>
      <c r="B913" s="42">
        <v>0</v>
      </c>
    </row>
    <row r="914" spans="1:2">
      <c r="A914" s="42" t="s">
        <v>1919</v>
      </c>
      <c r="B914" s="42">
        <v>0</v>
      </c>
    </row>
    <row r="915" spans="1:2">
      <c r="A915" s="42" t="s">
        <v>1920</v>
      </c>
      <c r="B915" s="42">
        <v>0</v>
      </c>
    </row>
    <row r="916" spans="1:2">
      <c r="A916" s="42" t="s">
        <v>1921</v>
      </c>
      <c r="B916" s="42">
        <v>120</v>
      </c>
    </row>
    <row r="917" spans="1:2">
      <c r="A917" s="42" t="s">
        <v>1922</v>
      </c>
      <c r="B917" s="42">
        <v>0</v>
      </c>
    </row>
    <row r="918" spans="1:2">
      <c r="A918" s="42" t="s">
        <v>1923</v>
      </c>
      <c r="B918" s="42">
        <v>0</v>
      </c>
    </row>
    <row r="919" spans="1:2">
      <c r="A919" s="42" t="s">
        <v>1924</v>
      </c>
      <c r="B919" s="42">
        <v>0</v>
      </c>
    </row>
    <row r="920" spans="1:2">
      <c r="A920" s="42" t="s">
        <v>1925</v>
      </c>
      <c r="B920" s="42">
        <v>0</v>
      </c>
    </row>
    <row r="921" spans="1:2">
      <c r="A921" s="42" t="s">
        <v>1926</v>
      </c>
      <c r="B921" s="42">
        <v>0</v>
      </c>
    </row>
    <row r="922" spans="1:2">
      <c r="A922" s="42" t="s">
        <v>1927</v>
      </c>
      <c r="B922" s="42">
        <v>0</v>
      </c>
    </row>
    <row r="923" spans="1:2">
      <c r="A923" s="42" t="s">
        <v>789</v>
      </c>
      <c r="B923" s="42">
        <v>50</v>
      </c>
    </row>
    <row r="924" spans="1:2">
      <c r="A924" s="42" t="s">
        <v>1928</v>
      </c>
      <c r="B924" s="42">
        <v>0</v>
      </c>
    </row>
    <row r="925" spans="1:2">
      <c r="A925" s="42" t="s">
        <v>1929</v>
      </c>
      <c r="B925" s="42">
        <v>0</v>
      </c>
    </row>
    <row r="926" spans="1:2">
      <c r="A926" s="42" t="s">
        <v>1930</v>
      </c>
      <c r="B926" s="42">
        <v>0</v>
      </c>
    </row>
    <row r="927" spans="1:2">
      <c r="A927" s="42" t="s">
        <v>1931</v>
      </c>
      <c r="B927" s="42">
        <v>26</v>
      </c>
    </row>
    <row r="928" spans="1:2">
      <c r="A928" s="42" t="s">
        <v>1932</v>
      </c>
      <c r="B928" s="42">
        <v>0</v>
      </c>
    </row>
    <row r="929" spans="1:2">
      <c r="A929" s="42" t="s">
        <v>1933</v>
      </c>
      <c r="B929" s="42">
        <v>0</v>
      </c>
    </row>
    <row r="930" spans="1:2">
      <c r="A930" s="42" t="s">
        <v>1934</v>
      </c>
      <c r="B930" s="42">
        <v>0</v>
      </c>
    </row>
    <row r="931" spans="1:2">
      <c r="A931" s="42" t="s">
        <v>1935</v>
      </c>
      <c r="B931" s="42">
        <v>7</v>
      </c>
    </row>
    <row r="932" spans="1:2">
      <c r="A932" s="42" t="s">
        <v>1936</v>
      </c>
      <c r="B932" s="42">
        <v>0</v>
      </c>
    </row>
    <row r="933" spans="1:2">
      <c r="A933" s="42" t="s">
        <v>1937</v>
      </c>
      <c r="B933" s="42">
        <v>0</v>
      </c>
    </row>
    <row r="934" spans="1:2">
      <c r="A934" s="42" t="s">
        <v>1938</v>
      </c>
      <c r="B934" s="42">
        <v>0</v>
      </c>
    </row>
    <row r="935" spans="1:2">
      <c r="A935" s="42" t="s">
        <v>1939</v>
      </c>
      <c r="B935" s="42">
        <v>0</v>
      </c>
    </row>
    <row r="936" spans="1:2">
      <c r="A936" s="42" t="s">
        <v>1940</v>
      </c>
      <c r="B936" s="42">
        <v>0</v>
      </c>
    </row>
    <row r="937" spans="1:2">
      <c r="A937" s="42" t="s">
        <v>1941</v>
      </c>
      <c r="B937" s="42">
        <v>0</v>
      </c>
    </row>
    <row r="938" spans="1:2">
      <c r="A938" s="42" t="s">
        <v>1942</v>
      </c>
      <c r="B938" s="42">
        <v>0</v>
      </c>
    </row>
    <row r="939" spans="1:2">
      <c r="A939" s="42" t="s">
        <v>1943</v>
      </c>
      <c r="B939" s="42">
        <v>0</v>
      </c>
    </row>
    <row r="940" spans="1:2">
      <c r="A940" s="42" t="s">
        <v>1944</v>
      </c>
      <c r="B940" s="42">
        <v>0</v>
      </c>
    </row>
    <row r="941" spans="1:2">
      <c r="A941" s="42" t="s">
        <v>1945</v>
      </c>
      <c r="B941" s="42">
        <v>0</v>
      </c>
    </row>
    <row r="942" spans="1:2">
      <c r="A942" s="42" t="s">
        <v>1946</v>
      </c>
      <c r="B942" s="42">
        <v>12300</v>
      </c>
    </row>
    <row r="943" spans="1:2">
      <c r="A943" s="42" t="s">
        <v>1947</v>
      </c>
      <c r="B943" s="42">
        <v>0</v>
      </c>
    </row>
    <row r="944" spans="1:2">
      <c r="A944" s="42" t="s">
        <v>1948</v>
      </c>
      <c r="B944" s="42">
        <v>0</v>
      </c>
    </row>
    <row r="945" spans="1:2">
      <c r="A945" s="42" t="s">
        <v>1949</v>
      </c>
      <c r="B945" s="42">
        <v>0</v>
      </c>
    </row>
    <row r="946" spans="1:2">
      <c r="A946" s="42" t="s">
        <v>1950</v>
      </c>
      <c r="B946" s="42">
        <v>0</v>
      </c>
    </row>
    <row r="947" spans="1:2">
      <c r="A947" s="42" t="s">
        <v>790</v>
      </c>
      <c r="B947" s="42">
        <v>0</v>
      </c>
    </row>
    <row r="948" spans="1:2">
      <c r="A948" s="42" t="s">
        <v>1951</v>
      </c>
      <c r="B948" s="42">
        <v>0</v>
      </c>
    </row>
    <row r="949" spans="1:2">
      <c r="A949" s="42" t="s">
        <v>1952</v>
      </c>
      <c r="B949" s="42">
        <v>0</v>
      </c>
    </row>
    <row r="950" spans="1:2">
      <c r="A950" s="42" t="s">
        <v>1953</v>
      </c>
      <c r="B950" s="42">
        <v>127</v>
      </c>
    </row>
    <row r="951" spans="1:2">
      <c r="A951" s="42" t="s">
        <v>1954</v>
      </c>
      <c r="B951" s="42">
        <v>0</v>
      </c>
    </row>
    <row r="952" spans="1:2">
      <c r="A952" s="42" t="s">
        <v>1955</v>
      </c>
      <c r="B952" s="42">
        <v>10</v>
      </c>
    </row>
    <row r="953" spans="1:2">
      <c r="A953" s="42" t="s">
        <v>1956</v>
      </c>
      <c r="B953" s="42">
        <v>0</v>
      </c>
    </row>
    <row r="954" spans="1:2">
      <c r="A954" s="42" t="s">
        <v>1957</v>
      </c>
      <c r="B954" s="42">
        <v>767</v>
      </c>
    </row>
    <row r="955" spans="1:2">
      <c r="A955" s="42" t="s">
        <v>1958</v>
      </c>
      <c r="B955" s="42">
        <v>0</v>
      </c>
    </row>
    <row r="956" spans="1:2">
      <c r="A956" s="42" t="s">
        <v>791</v>
      </c>
      <c r="B956" s="42">
        <v>700</v>
      </c>
    </row>
    <row r="957" spans="1:2">
      <c r="A957" s="42" t="s">
        <v>1959</v>
      </c>
      <c r="B957" s="42">
        <v>84</v>
      </c>
    </row>
    <row r="958" spans="1:2">
      <c r="A958" s="42" t="s">
        <v>1960</v>
      </c>
      <c r="B958" s="42">
        <v>0</v>
      </c>
    </row>
    <row r="959" spans="1:2">
      <c r="A959" s="42" t="s">
        <v>1961</v>
      </c>
      <c r="B959" s="42">
        <v>0</v>
      </c>
    </row>
    <row r="960" spans="1:2">
      <c r="A960" s="42" t="s">
        <v>1962</v>
      </c>
      <c r="B960" s="42">
        <v>0</v>
      </c>
    </row>
    <row r="961" spans="1:2">
      <c r="A961" s="42" t="s">
        <v>1963</v>
      </c>
      <c r="B961" s="42">
        <v>0</v>
      </c>
    </row>
    <row r="962" spans="1:2">
      <c r="A962" s="42" t="s">
        <v>1964</v>
      </c>
      <c r="B962" s="42">
        <v>0</v>
      </c>
    </row>
    <row r="963" spans="1:2">
      <c r="A963" s="42" t="s">
        <v>1965</v>
      </c>
      <c r="B963" s="42">
        <v>0</v>
      </c>
    </row>
    <row r="964" spans="1:2">
      <c r="A964" s="42" t="s">
        <v>1966</v>
      </c>
      <c r="B964" s="42">
        <v>140</v>
      </c>
    </row>
    <row r="965" spans="1:2">
      <c r="A965" s="42" t="s">
        <v>1967</v>
      </c>
      <c r="B965" s="42">
        <v>294</v>
      </c>
    </row>
    <row r="966" spans="1:2">
      <c r="A966" s="42" t="s">
        <v>1968</v>
      </c>
      <c r="B966" s="42">
        <v>0</v>
      </c>
    </row>
    <row r="967" spans="1:2">
      <c r="A967" s="42" t="s">
        <v>1969</v>
      </c>
      <c r="B967" s="42">
        <v>0</v>
      </c>
    </row>
    <row r="968" spans="1:2">
      <c r="A968" s="42" t="s">
        <v>1970</v>
      </c>
      <c r="B968" s="42">
        <v>0</v>
      </c>
    </row>
    <row r="969" spans="1:2">
      <c r="A969" s="42" t="s">
        <v>1971</v>
      </c>
      <c r="B969" s="42">
        <v>0</v>
      </c>
    </row>
    <row r="970" spans="1:2">
      <c r="A970" s="42" t="s">
        <v>792</v>
      </c>
      <c r="B970" s="42">
        <v>25</v>
      </c>
    </row>
    <row r="971" spans="1:2">
      <c r="A971" s="42" t="s">
        <v>1972</v>
      </c>
      <c r="B971" s="42">
        <v>1</v>
      </c>
    </row>
    <row r="972" spans="1:2">
      <c r="A972" s="42" t="s">
        <v>1973</v>
      </c>
      <c r="B972" s="42">
        <v>1</v>
      </c>
    </row>
    <row r="973" spans="1:2">
      <c r="A973" s="42" t="s">
        <v>1974</v>
      </c>
      <c r="B973" s="42">
        <v>34</v>
      </c>
    </row>
    <row r="974" spans="1:2">
      <c r="A974" s="42" t="s">
        <v>1975</v>
      </c>
      <c r="B974" s="42">
        <v>140</v>
      </c>
    </row>
    <row r="975" spans="1:2">
      <c r="A975" s="42" t="s">
        <v>1976</v>
      </c>
      <c r="B975" s="42">
        <v>0</v>
      </c>
    </row>
    <row r="976" spans="1:2">
      <c r="A976" s="42" t="s">
        <v>1977</v>
      </c>
      <c r="B976" s="42">
        <v>0</v>
      </c>
    </row>
    <row r="977" spans="1:2">
      <c r="A977" s="42" t="s">
        <v>1978</v>
      </c>
      <c r="B977" s="42">
        <v>0</v>
      </c>
    </row>
    <row r="978" spans="1:2">
      <c r="A978" s="42" t="s">
        <v>1979</v>
      </c>
      <c r="B978" s="42">
        <v>0</v>
      </c>
    </row>
    <row r="979" spans="1:2">
      <c r="A979" s="42" t="s">
        <v>1980</v>
      </c>
      <c r="B979" s="42">
        <v>446</v>
      </c>
    </row>
    <row r="980" spans="1:2">
      <c r="A980" s="42" t="s">
        <v>1981</v>
      </c>
      <c r="B980" s="42">
        <v>0</v>
      </c>
    </row>
    <row r="981" spans="1:2">
      <c r="A981" s="42" t="s">
        <v>1982</v>
      </c>
      <c r="B981" s="42">
        <v>0</v>
      </c>
    </row>
    <row r="982" spans="1:2">
      <c r="A982" s="42" t="s">
        <v>793</v>
      </c>
      <c r="B982" s="42">
        <v>0</v>
      </c>
    </row>
    <row r="983" spans="1:2">
      <c r="A983" s="42" t="s">
        <v>1983</v>
      </c>
      <c r="B983" s="42">
        <v>0</v>
      </c>
    </row>
    <row r="984" spans="1:2">
      <c r="A984" s="42" t="s">
        <v>1984</v>
      </c>
      <c r="B984" s="42">
        <v>0</v>
      </c>
    </row>
    <row r="985" spans="1:2">
      <c r="A985" s="42" t="s">
        <v>1985</v>
      </c>
      <c r="B985" s="42">
        <v>100</v>
      </c>
    </row>
    <row r="986" spans="1:2">
      <c r="A986" s="42" t="s">
        <v>794</v>
      </c>
      <c r="B986" s="42">
        <v>0</v>
      </c>
    </row>
    <row r="987" spans="1:2">
      <c r="A987" s="42" t="s">
        <v>795</v>
      </c>
      <c r="B987" s="42">
        <v>0</v>
      </c>
    </row>
    <row r="988" spans="1:2">
      <c r="A988" s="42" t="s">
        <v>1986</v>
      </c>
      <c r="B988" s="42">
        <v>0</v>
      </c>
    </row>
    <row r="989" spans="1:2">
      <c r="A989" s="42" t="s">
        <v>796</v>
      </c>
      <c r="B989" s="42">
        <v>0</v>
      </c>
    </row>
    <row r="990" spans="1:2">
      <c r="A990" s="42" t="s">
        <v>1987</v>
      </c>
      <c r="B990" s="42">
        <v>146</v>
      </c>
    </row>
    <row r="991" spans="1:2">
      <c r="A991" s="42" t="s">
        <v>1988</v>
      </c>
      <c r="B991" s="42">
        <v>5</v>
      </c>
    </row>
    <row r="992" spans="1:2">
      <c r="A992" s="42" t="s">
        <v>1989</v>
      </c>
      <c r="B992" s="42">
        <v>0</v>
      </c>
    </row>
    <row r="993" spans="1:2">
      <c r="A993" s="42" t="s">
        <v>1990</v>
      </c>
      <c r="B993" s="42">
        <v>5</v>
      </c>
    </row>
    <row r="994" spans="1:2">
      <c r="A994" s="42" t="s">
        <v>1991</v>
      </c>
      <c r="B994" s="42">
        <v>5</v>
      </c>
    </row>
    <row r="995" spans="1:2">
      <c r="A995" s="42" t="s">
        <v>1992</v>
      </c>
      <c r="B995" s="42">
        <v>0</v>
      </c>
    </row>
    <row r="996" spans="1:2">
      <c r="A996" s="42" t="s">
        <v>1993</v>
      </c>
      <c r="B996" s="42">
        <v>0</v>
      </c>
    </row>
    <row r="997" spans="1:2">
      <c r="A997" s="42" t="s">
        <v>797</v>
      </c>
      <c r="B997" s="42">
        <v>0</v>
      </c>
    </row>
    <row r="998" spans="1:2">
      <c r="A998" s="42" t="s">
        <v>1994</v>
      </c>
      <c r="B998" s="42">
        <v>0</v>
      </c>
    </row>
    <row r="999" spans="1:2">
      <c r="A999" s="42" t="s">
        <v>1995</v>
      </c>
      <c r="B999" s="42">
        <v>0</v>
      </c>
    </row>
    <row r="1000" spans="1:2">
      <c r="A1000" s="42" t="s">
        <v>798</v>
      </c>
      <c r="B1000" s="42">
        <v>0</v>
      </c>
    </row>
    <row r="1001" spans="1:2">
      <c r="A1001" s="42" t="s">
        <v>799</v>
      </c>
      <c r="B1001" s="42">
        <v>0</v>
      </c>
    </row>
    <row r="1002" spans="1:2">
      <c r="A1002" s="42" t="s">
        <v>800</v>
      </c>
      <c r="B1002" s="42">
        <v>0</v>
      </c>
    </row>
    <row r="1003" spans="1:2">
      <c r="A1003" s="42" t="s">
        <v>801</v>
      </c>
      <c r="B1003" s="42">
        <v>0</v>
      </c>
    </row>
    <row r="1004" spans="1:2">
      <c r="A1004" s="42" t="s">
        <v>802</v>
      </c>
      <c r="B1004" s="42">
        <v>0</v>
      </c>
    </row>
    <row r="1005" spans="1:2">
      <c r="A1005" s="42" t="s">
        <v>803</v>
      </c>
      <c r="B1005" s="42">
        <v>0</v>
      </c>
    </row>
    <row r="1006" spans="1:2">
      <c r="A1006" s="42" t="s">
        <v>804</v>
      </c>
      <c r="B1006" s="42">
        <v>0</v>
      </c>
    </row>
    <row r="1007" spans="1:2">
      <c r="A1007" s="42" t="s">
        <v>1996</v>
      </c>
      <c r="B1007" s="42">
        <v>20</v>
      </c>
    </row>
    <row r="1008" spans="1:2">
      <c r="A1008" s="42" t="s">
        <v>805</v>
      </c>
      <c r="B1008" s="42">
        <v>0</v>
      </c>
    </row>
    <row r="1009" spans="1:2">
      <c r="A1009" s="42" t="s">
        <v>1997</v>
      </c>
      <c r="B1009" s="42">
        <v>0</v>
      </c>
    </row>
    <row r="1010" spans="1:2">
      <c r="A1010" s="42" t="s">
        <v>1998</v>
      </c>
      <c r="B1010" s="42">
        <v>0</v>
      </c>
    </row>
    <row r="1011" spans="1:2">
      <c r="A1011" s="42" t="s">
        <v>806</v>
      </c>
      <c r="B1011" s="42">
        <v>0</v>
      </c>
    </row>
    <row r="1012" spans="1:2">
      <c r="A1012" s="42" t="s">
        <v>807</v>
      </c>
      <c r="B1012" s="42">
        <v>0</v>
      </c>
    </row>
    <row r="1013" spans="1:2">
      <c r="A1013" s="42" t="s">
        <v>808</v>
      </c>
      <c r="B1013" s="42">
        <v>0</v>
      </c>
    </row>
    <row r="1014" spans="1:2">
      <c r="A1014" s="42" t="s">
        <v>809</v>
      </c>
      <c r="B1014" s="42">
        <v>0</v>
      </c>
    </row>
    <row r="1015" spans="1:2">
      <c r="A1015" s="42" t="s">
        <v>810</v>
      </c>
      <c r="B1015" s="42">
        <v>0</v>
      </c>
    </row>
    <row r="1016" spans="1:2">
      <c r="A1016" s="42" t="s">
        <v>1999</v>
      </c>
      <c r="B1016" s="42">
        <v>0</v>
      </c>
    </row>
    <row r="1017" spans="1:2">
      <c r="A1017" s="42" t="s">
        <v>811</v>
      </c>
      <c r="B1017" s="42">
        <v>0</v>
      </c>
    </row>
    <row r="1018" spans="1:2">
      <c r="A1018" s="42" t="s">
        <v>812</v>
      </c>
      <c r="B1018" s="42">
        <v>0</v>
      </c>
    </row>
    <row r="1019" spans="1:2">
      <c r="A1019" s="42" t="s">
        <v>2000</v>
      </c>
      <c r="B1019" s="42">
        <v>0</v>
      </c>
    </row>
    <row r="1020" spans="1:2">
      <c r="A1020" s="42" t="s">
        <v>813</v>
      </c>
      <c r="B1020" s="42">
        <v>0</v>
      </c>
    </row>
    <row r="1021" spans="1:2">
      <c r="A1021" s="42" t="s">
        <v>2001</v>
      </c>
      <c r="B1021" s="42">
        <v>0</v>
      </c>
    </row>
    <row r="1022" spans="1:2">
      <c r="A1022" s="42" t="s">
        <v>814</v>
      </c>
      <c r="B1022" s="42">
        <v>0</v>
      </c>
    </row>
    <row r="1023" spans="1:2">
      <c r="A1023" s="42" t="s">
        <v>815</v>
      </c>
      <c r="B1023" s="42">
        <v>119</v>
      </c>
    </row>
    <row r="1024" spans="1:2">
      <c r="A1024" s="42" t="s">
        <v>2002</v>
      </c>
      <c r="B1024" s="42">
        <v>1973</v>
      </c>
    </row>
    <row r="1025" spans="1:2">
      <c r="A1025" s="42" t="s">
        <v>2003</v>
      </c>
      <c r="B1025" s="42">
        <v>38</v>
      </c>
    </row>
    <row r="1026" spans="1:2">
      <c r="A1026" s="42" t="s">
        <v>2004</v>
      </c>
      <c r="B1026" s="42">
        <v>0</v>
      </c>
    </row>
    <row r="1027" spans="1:2">
      <c r="A1027" s="42" t="s">
        <v>2005</v>
      </c>
      <c r="B1027" s="42">
        <v>0</v>
      </c>
    </row>
    <row r="1028" spans="1:2">
      <c r="A1028" s="42" t="s">
        <v>816</v>
      </c>
      <c r="B1028" s="42">
        <v>68</v>
      </c>
    </row>
    <row r="1029" spans="1:2">
      <c r="A1029" s="42" t="s">
        <v>817</v>
      </c>
      <c r="B1029" s="42">
        <v>679</v>
      </c>
    </row>
    <row r="1030" spans="1:2">
      <c r="A1030" s="42" t="s">
        <v>2006</v>
      </c>
      <c r="B1030" s="42">
        <v>0</v>
      </c>
    </row>
    <row r="1031" spans="1:2">
      <c r="A1031" s="42" t="s">
        <v>2007</v>
      </c>
      <c r="B1031" s="42">
        <v>0</v>
      </c>
    </row>
    <row r="1032" spans="1:2">
      <c r="A1032" s="42" t="s">
        <v>2008</v>
      </c>
      <c r="B1032" s="42">
        <v>0</v>
      </c>
    </row>
    <row r="1033" spans="1:2">
      <c r="A1033" s="42" t="s">
        <v>2009</v>
      </c>
      <c r="B1033" s="42">
        <v>829</v>
      </c>
    </row>
    <row r="1034" spans="1:2">
      <c r="A1034" s="42" t="s">
        <v>2010</v>
      </c>
      <c r="B1034" s="42">
        <v>50</v>
      </c>
    </row>
    <row r="1035" spans="1:2">
      <c r="A1035" s="42" t="s">
        <v>2011</v>
      </c>
      <c r="B1035" s="42">
        <v>0</v>
      </c>
    </row>
    <row r="1036" spans="1:2">
      <c r="A1036" s="42" t="s">
        <v>2012</v>
      </c>
      <c r="B1036" s="42">
        <v>0</v>
      </c>
    </row>
    <row r="1037" spans="1:2">
      <c r="A1037" s="42" t="s">
        <v>2013</v>
      </c>
      <c r="B1037" s="42">
        <v>0</v>
      </c>
    </row>
    <row r="1038" spans="1:2">
      <c r="A1038" s="42" t="s">
        <v>818</v>
      </c>
      <c r="B1038" s="42">
        <v>95</v>
      </c>
    </row>
    <row r="1039" spans="1:2">
      <c r="A1039" s="42" t="s">
        <v>2014</v>
      </c>
      <c r="B1039" s="42">
        <v>0</v>
      </c>
    </row>
    <row r="1040" spans="1:2">
      <c r="A1040" s="42" t="s">
        <v>2015</v>
      </c>
      <c r="B1040" s="42">
        <v>0</v>
      </c>
    </row>
    <row r="1041" spans="1:2">
      <c r="A1041" s="42" t="s">
        <v>819</v>
      </c>
      <c r="B1041" s="42">
        <v>3820</v>
      </c>
    </row>
    <row r="1042" spans="1:2">
      <c r="A1042" s="42" t="s">
        <v>2016</v>
      </c>
      <c r="B1042" s="42">
        <v>0</v>
      </c>
    </row>
    <row r="1043" spans="1:2">
      <c r="A1043" s="42" t="s">
        <v>2017</v>
      </c>
      <c r="B1043" s="42">
        <v>0</v>
      </c>
    </row>
    <row r="1044" spans="1:2">
      <c r="A1044" s="42" t="s">
        <v>2018</v>
      </c>
      <c r="B1044" s="42">
        <v>0</v>
      </c>
    </row>
    <row r="1045" spans="1:2">
      <c r="A1045" s="42" t="s">
        <v>820</v>
      </c>
      <c r="B1045" s="42">
        <v>500</v>
      </c>
    </row>
    <row r="1046" spans="1:2">
      <c r="A1046" s="42" t="s">
        <v>2019</v>
      </c>
      <c r="B1046" s="42">
        <v>0</v>
      </c>
    </row>
    <row r="1047" spans="1:2">
      <c r="A1047" s="42" t="s">
        <v>2020</v>
      </c>
      <c r="B1047" s="42">
        <v>4495</v>
      </c>
    </row>
    <row r="1048" spans="1:2">
      <c r="A1048" s="42" t="s">
        <v>2021</v>
      </c>
      <c r="B1048" s="42">
        <v>1</v>
      </c>
    </row>
    <row r="1049" spans="1:2">
      <c r="A1049" s="42" t="s">
        <v>2022</v>
      </c>
      <c r="B1049" s="42">
        <v>0</v>
      </c>
    </row>
    <row r="1050" spans="1:2">
      <c r="A1050" s="42" t="s">
        <v>2023</v>
      </c>
      <c r="B1050" s="42">
        <v>0</v>
      </c>
    </row>
    <row r="1051" spans="1:2">
      <c r="A1051" s="42" t="s">
        <v>821</v>
      </c>
      <c r="B1051" s="42">
        <v>0</v>
      </c>
    </row>
    <row r="1052" spans="1:2">
      <c r="A1052" s="42" t="s">
        <v>2024</v>
      </c>
      <c r="B1052" s="42">
        <v>0</v>
      </c>
    </row>
    <row r="1053" spans="1:2">
      <c r="A1053" s="42" t="s">
        <v>822</v>
      </c>
      <c r="B1053" s="42">
        <v>0</v>
      </c>
    </row>
    <row r="1054" spans="1:2">
      <c r="A1054" s="42" t="s">
        <v>2025</v>
      </c>
      <c r="B1054" s="42">
        <v>0</v>
      </c>
    </row>
    <row r="1055" spans="1:2">
      <c r="A1055" s="42" t="s">
        <v>2026</v>
      </c>
      <c r="B1055" s="42">
        <v>1443</v>
      </c>
    </row>
    <row r="1056" spans="1:2">
      <c r="A1056" s="42" t="s">
        <v>823</v>
      </c>
      <c r="B1056" s="42">
        <v>0</v>
      </c>
    </row>
    <row r="1057" spans="1:2">
      <c r="A1057" s="42" t="s">
        <v>2027</v>
      </c>
      <c r="B1057" s="42">
        <v>27</v>
      </c>
    </row>
    <row r="1058" spans="1:2">
      <c r="A1058" s="42" t="s">
        <v>2028</v>
      </c>
      <c r="B1058" s="42">
        <v>80</v>
      </c>
    </row>
    <row r="1059" spans="1:2">
      <c r="A1059" s="42" t="s">
        <v>2029</v>
      </c>
      <c r="B1059" s="42">
        <v>0</v>
      </c>
    </row>
    <row r="1060" spans="1:2">
      <c r="A1060" s="42" t="s">
        <v>2030</v>
      </c>
      <c r="B1060" s="42">
        <v>0</v>
      </c>
    </row>
    <row r="1061" spans="1:2">
      <c r="A1061" s="42" t="s">
        <v>824</v>
      </c>
      <c r="B1061" s="42">
        <v>312</v>
      </c>
    </row>
    <row r="1062" spans="1:2">
      <c r="A1062" s="42" t="s">
        <v>2031</v>
      </c>
      <c r="B1062" s="42">
        <v>0</v>
      </c>
    </row>
    <row r="1063" spans="1:2">
      <c r="A1063" s="42" t="s">
        <v>2032</v>
      </c>
      <c r="B1063" s="42">
        <v>0</v>
      </c>
    </row>
    <row r="1064" spans="1:2">
      <c r="A1064" s="42" t="s">
        <v>2033</v>
      </c>
      <c r="B1064" s="42">
        <v>0</v>
      </c>
    </row>
    <row r="1065" spans="1:2">
      <c r="A1065" s="42" t="s">
        <v>2034</v>
      </c>
      <c r="B1065" s="42">
        <v>0</v>
      </c>
    </row>
    <row r="1066" spans="1:2">
      <c r="A1066" s="42" t="s">
        <v>825</v>
      </c>
      <c r="B1066" s="42">
        <v>0</v>
      </c>
    </row>
    <row r="1067" spans="1:2">
      <c r="A1067" s="42" t="s">
        <v>2035</v>
      </c>
      <c r="B1067" s="42">
        <v>0</v>
      </c>
    </row>
    <row r="1068" spans="1:2">
      <c r="A1068" s="42" t="s">
        <v>2036</v>
      </c>
      <c r="B1068" s="42">
        <v>0</v>
      </c>
    </row>
    <row r="1069" spans="1:2">
      <c r="A1069" s="42" t="s">
        <v>2037</v>
      </c>
      <c r="B1069" s="42">
        <v>0</v>
      </c>
    </row>
    <row r="1070" spans="1:2">
      <c r="A1070" s="42" t="s">
        <v>2038</v>
      </c>
      <c r="B1070" s="42">
        <v>0</v>
      </c>
    </row>
    <row r="1071" spans="1:2">
      <c r="A1071" s="42" t="s">
        <v>2039</v>
      </c>
      <c r="B1071" s="42">
        <v>0</v>
      </c>
    </row>
    <row r="1072" spans="1:2">
      <c r="A1072" s="42" t="s">
        <v>2040</v>
      </c>
      <c r="B1072" s="42">
        <v>0</v>
      </c>
    </row>
    <row r="1073" spans="1:2">
      <c r="A1073" s="42" t="s">
        <v>2041</v>
      </c>
      <c r="B1073" s="42">
        <v>0</v>
      </c>
    </row>
    <row r="1074" spans="1:2">
      <c r="A1074" s="42" t="s">
        <v>2042</v>
      </c>
      <c r="B1074" s="42">
        <v>0</v>
      </c>
    </row>
    <row r="1075" spans="1:2">
      <c r="A1075" s="42" t="s">
        <v>2043</v>
      </c>
      <c r="B1075" s="42">
        <v>0</v>
      </c>
    </row>
    <row r="1076" spans="1:2">
      <c r="A1076" s="42" t="s">
        <v>2044</v>
      </c>
      <c r="B1076" s="42">
        <v>0</v>
      </c>
    </row>
    <row r="1077" spans="1:2">
      <c r="A1077" s="42" t="s">
        <v>2045</v>
      </c>
      <c r="B1077" s="42">
        <v>0</v>
      </c>
    </row>
    <row r="1078" spans="1:2">
      <c r="A1078" s="42" t="s">
        <v>2046</v>
      </c>
      <c r="B1078" s="42">
        <v>0</v>
      </c>
    </row>
    <row r="1079" spans="1:2">
      <c r="A1079" s="42" t="s">
        <v>2047</v>
      </c>
      <c r="B1079" s="42">
        <v>9</v>
      </c>
    </row>
    <row r="1080" spans="1:2">
      <c r="A1080" s="42" t="s">
        <v>2048</v>
      </c>
      <c r="B1080" s="42">
        <v>452</v>
      </c>
    </row>
    <row r="1081" spans="1:2">
      <c r="A1081" s="42" t="s">
        <v>2049</v>
      </c>
      <c r="B1081" s="42">
        <v>0</v>
      </c>
    </row>
    <row r="1082" spans="1:2">
      <c r="A1082" s="42" t="s">
        <v>2050</v>
      </c>
      <c r="B1082" s="42">
        <v>0</v>
      </c>
    </row>
    <row r="1083" spans="1:2">
      <c r="A1083" s="42" t="s">
        <v>2051</v>
      </c>
      <c r="B1083" s="42">
        <v>0</v>
      </c>
    </row>
    <row r="1084" spans="1:2">
      <c r="A1084" s="42" t="s">
        <v>2052</v>
      </c>
      <c r="B1084" s="42">
        <v>0</v>
      </c>
    </row>
    <row r="1085" spans="1:2">
      <c r="A1085" s="42" t="s">
        <v>2053</v>
      </c>
      <c r="B1085" s="42">
        <v>0</v>
      </c>
    </row>
    <row r="1086" spans="1:2">
      <c r="A1086" s="42" t="s">
        <v>826</v>
      </c>
      <c r="B1086" s="42">
        <v>0</v>
      </c>
    </row>
    <row r="1087" spans="1:2">
      <c r="A1087" s="42" t="s">
        <v>827</v>
      </c>
      <c r="B1087" s="42">
        <v>158</v>
      </c>
    </row>
    <row r="1088" spans="1:2">
      <c r="A1088" s="42" t="s">
        <v>2054</v>
      </c>
      <c r="B1088" s="42">
        <v>0</v>
      </c>
    </row>
    <row r="1089" spans="1:2">
      <c r="A1089" s="42" t="s">
        <v>828</v>
      </c>
      <c r="B1089" s="42">
        <v>0</v>
      </c>
    </row>
    <row r="1090" spans="1:2">
      <c r="A1090" s="42" t="s">
        <v>2055</v>
      </c>
      <c r="B1090" s="42">
        <v>0</v>
      </c>
    </row>
    <row r="1091" spans="1:2">
      <c r="A1091" s="42" t="s">
        <v>2056</v>
      </c>
      <c r="B1091" s="42">
        <v>0</v>
      </c>
    </row>
    <row r="1092" spans="1:2">
      <c r="A1092" s="42" t="s">
        <v>2057</v>
      </c>
      <c r="B1092" s="42">
        <v>0</v>
      </c>
    </row>
    <row r="1093" spans="1:2">
      <c r="A1093" s="42" t="s">
        <v>2058</v>
      </c>
      <c r="B1093" s="42">
        <v>0</v>
      </c>
    </row>
    <row r="1094" spans="1:2">
      <c r="A1094" s="42" t="s">
        <v>2059</v>
      </c>
      <c r="B1094" s="42">
        <v>0</v>
      </c>
    </row>
    <row r="1095" spans="1:2">
      <c r="A1095" s="42" t="s">
        <v>2060</v>
      </c>
      <c r="B1095" s="42">
        <v>948</v>
      </c>
    </row>
    <row r="1096" spans="1:2">
      <c r="A1096" s="42" t="s">
        <v>2061</v>
      </c>
      <c r="B1096" s="42">
        <v>0</v>
      </c>
    </row>
    <row r="1097" spans="1:2">
      <c r="A1097" s="42" t="s">
        <v>2062</v>
      </c>
      <c r="B1097" s="42">
        <v>212</v>
      </c>
    </row>
    <row r="1098" spans="1:2">
      <c r="A1098" s="42" t="s">
        <v>2063</v>
      </c>
      <c r="B1098" s="42">
        <v>0</v>
      </c>
    </row>
    <row r="1099" spans="1:2">
      <c r="A1099" s="42" t="s">
        <v>2064</v>
      </c>
      <c r="B1099" s="42">
        <v>0</v>
      </c>
    </row>
    <row r="1100" spans="1:2">
      <c r="A1100" s="42" t="s">
        <v>829</v>
      </c>
      <c r="B1100" s="42">
        <v>0</v>
      </c>
    </row>
    <row r="1101" spans="1:2">
      <c r="A1101" s="42" t="s">
        <v>2065</v>
      </c>
      <c r="B1101" s="42">
        <v>7</v>
      </c>
    </row>
    <row r="1102" spans="1:2">
      <c r="A1102" s="42" t="s">
        <v>2066</v>
      </c>
      <c r="B1102" s="42">
        <v>0</v>
      </c>
    </row>
    <row r="1103" spans="1:2">
      <c r="A1103" s="42" t="s">
        <v>830</v>
      </c>
      <c r="B1103" s="42">
        <v>0</v>
      </c>
    </row>
    <row r="1104" spans="1:2">
      <c r="A1104" s="42" t="s">
        <v>831</v>
      </c>
      <c r="B1104" s="42">
        <v>0</v>
      </c>
    </row>
    <row r="1105" spans="1:2">
      <c r="A1105" s="42" t="s">
        <v>2067</v>
      </c>
      <c r="B1105" s="42">
        <v>223</v>
      </c>
    </row>
    <row r="1106" spans="1:2">
      <c r="A1106" s="42" t="s">
        <v>2068</v>
      </c>
      <c r="B1106" s="42">
        <v>0</v>
      </c>
    </row>
    <row r="1107" spans="1:2">
      <c r="A1107" s="42" t="s">
        <v>2069</v>
      </c>
      <c r="B1107" s="42">
        <v>0</v>
      </c>
    </row>
    <row r="1108" spans="1:2">
      <c r="A1108" s="42" t="s">
        <v>2070</v>
      </c>
      <c r="B1108" s="42">
        <v>0</v>
      </c>
    </row>
    <row r="1109" spans="1:2">
      <c r="A1109" s="42" t="s">
        <v>2071</v>
      </c>
      <c r="B1109" s="42">
        <v>50</v>
      </c>
    </row>
    <row r="1110" spans="1:2">
      <c r="A1110" s="42" t="s">
        <v>832</v>
      </c>
      <c r="B1110" s="42">
        <v>0</v>
      </c>
    </row>
    <row r="1111" spans="1:2">
      <c r="A1111" s="42" t="s">
        <v>833</v>
      </c>
      <c r="B1111" s="42">
        <v>23</v>
      </c>
    </row>
    <row r="1112" spans="1:2">
      <c r="A1112" s="42" t="s">
        <v>2072</v>
      </c>
      <c r="B1112" s="42">
        <v>0</v>
      </c>
    </row>
    <row r="1113" spans="1:2">
      <c r="A1113" s="42" t="s">
        <v>2073</v>
      </c>
      <c r="B1113" s="42">
        <v>0</v>
      </c>
    </row>
    <row r="1114" spans="1:2">
      <c r="A1114" s="42" t="s">
        <v>2074</v>
      </c>
      <c r="B1114" s="42">
        <v>0</v>
      </c>
    </row>
    <row r="1115" spans="1:2">
      <c r="A1115" s="42" t="s">
        <v>2075</v>
      </c>
      <c r="B1115" s="42">
        <v>0</v>
      </c>
    </row>
    <row r="1116" spans="1:2">
      <c r="A1116" s="42" t="s">
        <v>2076</v>
      </c>
      <c r="B1116" s="42">
        <v>0</v>
      </c>
    </row>
    <row r="1117" spans="1:2">
      <c r="A1117" s="42" t="s">
        <v>834</v>
      </c>
      <c r="B1117" s="42">
        <v>3</v>
      </c>
    </row>
    <row r="1118" spans="1:2">
      <c r="A1118" s="42" t="s">
        <v>835</v>
      </c>
      <c r="B1118" s="42">
        <v>213</v>
      </c>
    </row>
    <row r="1119" spans="1:2">
      <c r="A1119" s="42" t="s">
        <v>836</v>
      </c>
      <c r="B1119" s="42">
        <v>4</v>
      </c>
    </row>
    <row r="1120" spans="1:2">
      <c r="A1120" s="42" t="s">
        <v>837</v>
      </c>
      <c r="B1120" s="42">
        <v>140</v>
      </c>
    </row>
    <row r="1121" spans="1:2">
      <c r="A1121" s="42" t="s">
        <v>2077</v>
      </c>
      <c r="B1121" s="42">
        <v>38</v>
      </c>
    </row>
    <row r="1122" spans="1:2">
      <c r="A1122" s="42" t="s">
        <v>2078</v>
      </c>
      <c r="B1122" s="42">
        <v>0</v>
      </c>
    </row>
    <row r="1123" spans="1:2">
      <c r="A1123" s="42" t="s">
        <v>2079</v>
      </c>
      <c r="B1123" s="42">
        <v>416</v>
      </c>
    </row>
    <row r="1124" spans="1:2">
      <c r="A1124" s="42" t="s">
        <v>2080</v>
      </c>
      <c r="B1124" s="42">
        <v>0</v>
      </c>
    </row>
    <row r="1125" spans="1:2">
      <c r="A1125" s="42" t="s">
        <v>838</v>
      </c>
      <c r="B1125" s="42">
        <v>86</v>
      </c>
    </row>
    <row r="1126" spans="1:2">
      <c r="A1126" s="42" t="s">
        <v>2081</v>
      </c>
      <c r="B1126" s="42">
        <v>0</v>
      </c>
    </row>
    <row r="1127" spans="1:2">
      <c r="A1127" s="42" t="s">
        <v>2082</v>
      </c>
      <c r="B1127" s="42">
        <v>0</v>
      </c>
    </row>
    <row r="1128" spans="1:2">
      <c r="A1128" s="42" t="s">
        <v>2083</v>
      </c>
      <c r="B1128" s="42">
        <v>100</v>
      </c>
    </row>
    <row r="1129" spans="1:2">
      <c r="A1129" s="42" t="s">
        <v>2084</v>
      </c>
      <c r="B1129" s="42">
        <v>0</v>
      </c>
    </row>
    <row r="1130" spans="1:2">
      <c r="A1130" s="42" t="s">
        <v>2085</v>
      </c>
      <c r="B1130" s="42">
        <v>0</v>
      </c>
    </row>
    <row r="1131" spans="1:2">
      <c r="A1131" s="42" t="s">
        <v>839</v>
      </c>
      <c r="B1131" s="42">
        <v>2102</v>
      </c>
    </row>
    <row r="1132" spans="1:2">
      <c r="A1132" s="42" t="s">
        <v>840</v>
      </c>
      <c r="B1132" s="42">
        <v>670</v>
      </c>
    </row>
    <row r="1133" spans="1:2">
      <c r="A1133" s="42" t="s">
        <v>841</v>
      </c>
      <c r="B1133" s="42">
        <v>0</v>
      </c>
    </row>
    <row r="1134" spans="1:2">
      <c r="A1134" s="42" t="s">
        <v>842</v>
      </c>
      <c r="B1134" s="42">
        <v>12</v>
      </c>
    </row>
    <row r="1135" spans="1:2">
      <c r="A1135" s="42" t="s">
        <v>843</v>
      </c>
      <c r="B1135" s="42">
        <v>0</v>
      </c>
    </row>
    <row r="1136" spans="1:2">
      <c r="A1136" s="42" t="s">
        <v>2086</v>
      </c>
      <c r="B1136" s="42">
        <v>0</v>
      </c>
    </row>
    <row r="1137" spans="1:2">
      <c r="A1137" s="42" t="s">
        <v>2087</v>
      </c>
      <c r="B1137" s="42">
        <v>1</v>
      </c>
    </row>
    <row r="1138" spans="1:2">
      <c r="A1138" s="42" t="s">
        <v>844</v>
      </c>
      <c r="B1138" s="42">
        <v>141</v>
      </c>
    </row>
    <row r="1139" spans="1:2">
      <c r="A1139" s="42" t="s">
        <v>2088</v>
      </c>
      <c r="B1139" s="42">
        <v>0</v>
      </c>
    </row>
    <row r="1140" spans="1:2">
      <c r="A1140" s="42" t="s">
        <v>845</v>
      </c>
      <c r="B1140" s="42">
        <v>0</v>
      </c>
    </row>
    <row r="1141" spans="1:2">
      <c r="A1141" s="42" t="s">
        <v>846</v>
      </c>
      <c r="B1141" s="42">
        <v>0</v>
      </c>
    </row>
    <row r="1142" spans="1:2">
      <c r="A1142" s="42" t="s">
        <v>2089</v>
      </c>
      <c r="B1142" s="42">
        <v>318</v>
      </c>
    </row>
    <row r="1143" spans="1:2">
      <c r="A1143" s="42" t="s">
        <v>847</v>
      </c>
      <c r="B1143" s="42">
        <v>0</v>
      </c>
    </row>
    <row r="1144" spans="1:2">
      <c r="A1144" s="42" t="s">
        <v>848</v>
      </c>
      <c r="B1144" s="42">
        <v>2923</v>
      </c>
    </row>
    <row r="1145" spans="1:2">
      <c r="A1145" s="42" t="s">
        <v>849</v>
      </c>
      <c r="B1145" s="42">
        <v>2</v>
      </c>
    </row>
    <row r="1146" spans="1:2">
      <c r="A1146" s="42" t="s">
        <v>850</v>
      </c>
      <c r="B1146" s="42">
        <v>2</v>
      </c>
    </row>
    <row r="1147" spans="1:2">
      <c r="A1147" s="42" t="s">
        <v>2090</v>
      </c>
      <c r="B1147" s="42">
        <v>0</v>
      </c>
    </row>
    <row r="1148" spans="1:2">
      <c r="A1148" s="42" t="s">
        <v>2091</v>
      </c>
      <c r="B1148" s="42">
        <v>0</v>
      </c>
    </row>
    <row r="1149" spans="1:2">
      <c r="A1149" s="42" t="s">
        <v>2092</v>
      </c>
      <c r="B1149" s="42">
        <v>0</v>
      </c>
    </row>
    <row r="1150" spans="1:2">
      <c r="A1150" s="42" t="s">
        <v>2093</v>
      </c>
      <c r="B1150" s="42">
        <v>67</v>
      </c>
    </row>
    <row r="1151" spans="1:2">
      <c r="A1151" s="42" t="s">
        <v>2094</v>
      </c>
      <c r="B1151" s="42">
        <v>0</v>
      </c>
    </row>
    <row r="1152" spans="1:2">
      <c r="A1152" s="42" t="s">
        <v>2095</v>
      </c>
      <c r="B1152" s="42">
        <v>0</v>
      </c>
    </row>
    <row r="1153" spans="1:2">
      <c r="A1153" s="42" t="s">
        <v>2096</v>
      </c>
      <c r="B1153" s="42">
        <v>0</v>
      </c>
    </row>
    <row r="1154" spans="1:2">
      <c r="A1154" s="42" t="s">
        <v>2097</v>
      </c>
      <c r="B1154" s="42">
        <v>0</v>
      </c>
    </row>
    <row r="1155" spans="1:2">
      <c r="A1155" s="42" t="s">
        <v>2098</v>
      </c>
      <c r="B1155" s="42">
        <v>0</v>
      </c>
    </row>
    <row r="1156" spans="1:2">
      <c r="A1156" s="42" t="s">
        <v>851</v>
      </c>
      <c r="B1156" s="42">
        <v>93</v>
      </c>
    </row>
    <row r="1157" spans="1:2">
      <c r="A1157" s="42" t="s">
        <v>852</v>
      </c>
      <c r="B1157" s="42">
        <v>0</v>
      </c>
    </row>
    <row r="1158" spans="1:2">
      <c r="A1158" s="42" t="s">
        <v>853</v>
      </c>
      <c r="B1158" s="42">
        <v>0</v>
      </c>
    </row>
    <row r="1159" spans="1:2">
      <c r="A1159" s="42" t="s">
        <v>2099</v>
      </c>
      <c r="B1159" s="42">
        <v>0</v>
      </c>
    </row>
    <row r="1160" spans="1:2">
      <c r="A1160" s="42" t="s">
        <v>2100</v>
      </c>
      <c r="B1160" s="42">
        <v>0</v>
      </c>
    </row>
    <row r="1161" spans="1:2">
      <c r="A1161" s="42" t="s">
        <v>2101</v>
      </c>
      <c r="B1161" s="42">
        <v>400</v>
      </c>
    </row>
    <row r="1162" spans="1:2">
      <c r="A1162" s="42" t="s">
        <v>2102</v>
      </c>
      <c r="B1162" s="42">
        <v>0</v>
      </c>
    </row>
    <row r="1163" spans="1:2">
      <c r="A1163" s="42" t="s">
        <v>854</v>
      </c>
      <c r="B1163" s="42">
        <v>211</v>
      </c>
    </row>
    <row r="1164" spans="1:2">
      <c r="A1164" s="42" t="s">
        <v>855</v>
      </c>
      <c r="B1164" s="42">
        <v>89</v>
      </c>
    </row>
    <row r="1165" spans="1:2">
      <c r="A1165" s="42" t="s">
        <v>856</v>
      </c>
      <c r="B1165" s="42">
        <v>0</v>
      </c>
    </row>
    <row r="1166" spans="1:2">
      <c r="A1166" s="42" t="s">
        <v>857</v>
      </c>
      <c r="B1166" s="42">
        <v>136</v>
      </c>
    </row>
    <row r="1167" spans="1:2">
      <c r="A1167" s="42" t="s">
        <v>858</v>
      </c>
      <c r="B1167" s="42">
        <v>713</v>
      </c>
    </row>
    <row r="1168" spans="1:2">
      <c r="A1168" s="42" t="s">
        <v>859</v>
      </c>
      <c r="B1168" s="42">
        <v>670</v>
      </c>
    </row>
    <row r="1169" spans="1:2">
      <c r="A1169" s="42" t="s">
        <v>2103</v>
      </c>
      <c r="B1169" s="42">
        <v>0</v>
      </c>
    </row>
    <row r="1170" spans="1:2">
      <c r="A1170" s="42" t="s">
        <v>2104</v>
      </c>
      <c r="B1170" s="42">
        <v>0</v>
      </c>
    </row>
    <row r="1171" spans="1:2">
      <c r="A1171" s="42" t="s">
        <v>860</v>
      </c>
      <c r="B1171" s="42">
        <v>0</v>
      </c>
    </row>
    <row r="1172" spans="1:2">
      <c r="A1172" s="42" t="s">
        <v>2105</v>
      </c>
      <c r="B1172" s="42">
        <v>0</v>
      </c>
    </row>
    <row r="1173" spans="1:2">
      <c r="A1173" s="42" t="s">
        <v>2106</v>
      </c>
      <c r="B1173" s="42">
        <v>0</v>
      </c>
    </row>
    <row r="1174" spans="1:2">
      <c r="A1174" s="42" t="s">
        <v>2107</v>
      </c>
      <c r="B1174" s="42">
        <v>0</v>
      </c>
    </row>
    <row r="1175" spans="1:2">
      <c r="A1175" s="42" t="s">
        <v>861</v>
      </c>
      <c r="B1175" s="42">
        <v>0</v>
      </c>
    </row>
    <row r="1176" spans="1:2">
      <c r="A1176" s="42" t="s">
        <v>2108</v>
      </c>
      <c r="B1176" s="42">
        <v>0</v>
      </c>
    </row>
    <row r="1177" spans="1:2">
      <c r="A1177" s="42" t="s">
        <v>862</v>
      </c>
      <c r="B1177" s="42">
        <v>429</v>
      </c>
    </row>
    <row r="1178" spans="1:2">
      <c r="A1178" s="42" t="s">
        <v>863</v>
      </c>
      <c r="B1178" s="42">
        <v>3320</v>
      </c>
    </row>
    <row r="1179" spans="1:2">
      <c r="A1179" s="42" t="s">
        <v>864</v>
      </c>
      <c r="B1179" s="42">
        <v>15</v>
      </c>
    </row>
    <row r="1180" spans="1:2">
      <c r="A1180" s="42" t="s">
        <v>865</v>
      </c>
      <c r="B1180" s="42">
        <v>300</v>
      </c>
    </row>
    <row r="1181" spans="1:2">
      <c r="A1181" s="42" t="s">
        <v>866</v>
      </c>
      <c r="B1181" s="42">
        <v>139</v>
      </c>
    </row>
    <row r="1182" spans="1:2">
      <c r="A1182" s="42" t="s">
        <v>867</v>
      </c>
      <c r="B1182" s="42">
        <v>125</v>
      </c>
    </row>
    <row r="1183" spans="1:2">
      <c r="A1183" s="42" t="s">
        <v>1195</v>
      </c>
      <c r="B1183" s="42">
        <v>0</v>
      </c>
    </row>
    <row r="1184" spans="1:2">
      <c r="A1184" s="42" t="s">
        <v>2109</v>
      </c>
      <c r="B1184" s="42">
        <v>0</v>
      </c>
    </row>
    <row r="1185" spans="1:2">
      <c r="A1185" s="42" t="s">
        <v>2110</v>
      </c>
      <c r="B1185" s="42">
        <v>0</v>
      </c>
    </row>
    <row r="1186" spans="1:2">
      <c r="A1186" s="42" t="s">
        <v>868</v>
      </c>
      <c r="B1186" s="42">
        <v>0</v>
      </c>
    </row>
    <row r="1187" spans="1:2">
      <c r="A1187" s="42" t="s">
        <v>869</v>
      </c>
      <c r="B1187" s="42">
        <v>0</v>
      </c>
    </row>
    <row r="1188" spans="1:2">
      <c r="A1188" s="42" t="s">
        <v>870</v>
      </c>
      <c r="B1188" s="42">
        <v>0</v>
      </c>
    </row>
    <row r="1189" spans="1:2">
      <c r="A1189" s="42" t="s">
        <v>2111</v>
      </c>
      <c r="B1189" s="42">
        <v>0</v>
      </c>
    </row>
    <row r="1190" spans="1:2">
      <c r="A1190" s="42" t="s">
        <v>2112</v>
      </c>
      <c r="B1190" s="42">
        <v>200</v>
      </c>
    </row>
    <row r="1191" spans="1:2">
      <c r="A1191" s="42" t="s">
        <v>871</v>
      </c>
      <c r="B1191" s="42">
        <v>0</v>
      </c>
    </row>
    <row r="1192" spans="1:2">
      <c r="A1192" s="42" t="s">
        <v>872</v>
      </c>
      <c r="B1192" s="42">
        <v>0</v>
      </c>
    </row>
    <row r="1193" spans="1:2">
      <c r="A1193" s="42" t="s">
        <v>873</v>
      </c>
      <c r="B1193" s="42">
        <v>146</v>
      </c>
    </row>
    <row r="1194" spans="1:2">
      <c r="A1194" s="42" t="s">
        <v>874</v>
      </c>
      <c r="B1194" s="42">
        <v>0</v>
      </c>
    </row>
    <row r="1195" spans="1:2">
      <c r="A1195" s="42" t="s">
        <v>875</v>
      </c>
      <c r="B1195" s="42">
        <v>808</v>
      </c>
    </row>
    <row r="1196" spans="1:2">
      <c r="A1196" s="42" t="s">
        <v>876</v>
      </c>
      <c r="B1196" s="42">
        <v>0</v>
      </c>
    </row>
    <row r="1197" spans="1:2">
      <c r="A1197" s="42" t="s">
        <v>877</v>
      </c>
      <c r="B1197" s="42">
        <v>0</v>
      </c>
    </row>
    <row r="1198" spans="1:2">
      <c r="A1198" s="42" t="s">
        <v>2113</v>
      </c>
      <c r="B1198" s="42">
        <v>9</v>
      </c>
    </row>
    <row r="1199" spans="1:2">
      <c r="A1199" s="42" t="s">
        <v>2114</v>
      </c>
      <c r="B1199" s="42">
        <v>0</v>
      </c>
    </row>
    <row r="1200" spans="1:2">
      <c r="A1200" s="42" t="s">
        <v>2115</v>
      </c>
      <c r="B1200" s="42">
        <v>11</v>
      </c>
    </row>
    <row r="1201" spans="1:2">
      <c r="A1201" s="42" t="s">
        <v>2116</v>
      </c>
      <c r="B1201" s="42">
        <v>0</v>
      </c>
    </row>
    <row r="1202" spans="1:2">
      <c r="A1202" s="42" t="s">
        <v>2117</v>
      </c>
      <c r="B1202" s="42">
        <v>10</v>
      </c>
    </row>
    <row r="1203" spans="1:2">
      <c r="A1203" s="42" t="s">
        <v>2118</v>
      </c>
      <c r="B1203" s="42">
        <v>0</v>
      </c>
    </row>
    <row r="1204" spans="1:2">
      <c r="A1204" s="42" t="s">
        <v>2119</v>
      </c>
      <c r="B1204" s="42">
        <v>172</v>
      </c>
    </row>
    <row r="1205" spans="1:2">
      <c r="A1205" s="42" t="s">
        <v>878</v>
      </c>
      <c r="B1205" s="42">
        <v>40</v>
      </c>
    </row>
    <row r="1206" spans="1:2">
      <c r="A1206" s="42" t="s">
        <v>2120</v>
      </c>
      <c r="B1206" s="42">
        <v>0</v>
      </c>
    </row>
    <row r="1207" spans="1:2">
      <c r="A1207" s="42" t="s">
        <v>2121</v>
      </c>
      <c r="B1207" s="42">
        <v>0</v>
      </c>
    </row>
    <row r="1208" spans="1:2">
      <c r="A1208" s="42" t="s">
        <v>2122</v>
      </c>
      <c r="B1208" s="42">
        <v>0</v>
      </c>
    </row>
    <row r="1209" spans="1:2">
      <c r="A1209" s="42" t="s">
        <v>2123</v>
      </c>
      <c r="B1209" s="42">
        <v>0</v>
      </c>
    </row>
    <row r="1210" spans="1:2">
      <c r="A1210" s="42" t="s">
        <v>2124</v>
      </c>
      <c r="B1210" s="42">
        <v>0</v>
      </c>
    </row>
    <row r="1211" spans="1:2">
      <c r="A1211" s="42" t="s">
        <v>2125</v>
      </c>
      <c r="B1211" s="42">
        <v>0</v>
      </c>
    </row>
    <row r="1212" spans="1:2">
      <c r="A1212" s="42" t="s">
        <v>879</v>
      </c>
      <c r="B1212" s="42">
        <v>0</v>
      </c>
    </row>
    <row r="1213" spans="1:2">
      <c r="A1213" s="42" t="s">
        <v>880</v>
      </c>
      <c r="B1213" s="42">
        <v>0</v>
      </c>
    </row>
    <row r="1214" spans="1:2">
      <c r="A1214" s="42" t="s">
        <v>881</v>
      </c>
      <c r="B1214" s="42">
        <v>418</v>
      </c>
    </row>
    <row r="1215" spans="1:2">
      <c r="A1215" s="42" t="s">
        <v>882</v>
      </c>
      <c r="B1215" s="42">
        <v>317</v>
      </c>
    </row>
    <row r="1216" spans="1:2">
      <c r="A1216" s="42" t="s">
        <v>2126</v>
      </c>
      <c r="B1216" s="42">
        <v>0</v>
      </c>
    </row>
    <row r="1217" spans="1:2">
      <c r="A1217" s="42" t="s">
        <v>2127</v>
      </c>
      <c r="B1217" s="42">
        <v>0</v>
      </c>
    </row>
    <row r="1218" spans="1:2">
      <c r="A1218" s="42" t="s">
        <v>2128</v>
      </c>
      <c r="B1218" s="42">
        <v>0</v>
      </c>
    </row>
    <row r="1219" spans="1:2">
      <c r="A1219" s="42" t="s">
        <v>2129</v>
      </c>
      <c r="B1219" s="42">
        <v>0</v>
      </c>
    </row>
    <row r="1220" spans="1:2">
      <c r="A1220" s="42" t="s">
        <v>2130</v>
      </c>
      <c r="B1220" s="42">
        <v>36</v>
      </c>
    </row>
    <row r="1221" spans="1:2">
      <c r="A1221" s="42" t="s">
        <v>883</v>
      </c>
      <c r="B1221" s="42">
        <v>5</v>
      </c>
    </row>
    <row r="1222" spans="1:2">
      <c r="A1222" s="42" t="s">
        <v>884</v>
      </c>
      <c r="B1222" s="42">
        <v>500</v>
      </c>
    </row>
    <row r="1223" spans="1:2">
      <c r="A1223" s="42" t="s">
        <v>885</v>
      </c>
      <c r="B1223" s="42">
        <v>3370</v>
      </c>
    </row>
    <row r="1224" spans="1:2">
      <c r="A1224" s="42" t="s">
        <v>2131</v>
      </c>
      <c r="B1224" s="42">
        <v>0</v>
      </c>
    </row>
    <row r="1225" spans="1:2">
      <c r="A1225" s="42" t="s">
        <v>2132</v>
      </c>
      <c r="B1225" s="42">
        <v>0</v>
      </c>
    </row>
    <row r="1226" spans="1:2">
      <c r="A1226" s="42" t="s">
        <v>2133</v>
      </c>
      <c r="B1226" s="42">
        <v>0</v>
      </c>
    </row>
    <row r="1227" spans="1:2">
      <c r="A1227" s="42" t="s">
        <v>2134</v>
      </c>
      <c r="B1227" s="42">
        <v>0</v>
      </c>
    </row>
    <row r="1228" spans="1:2">
      <c r="A1228" s="42" t="s">
        <v>2135</v>
      </c>
      <c r="B1228" s="42">
        <v>0</v>
      </c>
    </row>
    <row r="1229" spans="1:2">
      <c r="A1229" s="42" t="s">
        <v>2136</v>
      </c>
      <c r="B1229" s="42">
        <v>0</v>
      </c>
    </row>
    <row r="1230" spans="1:2">
      <c r="A1230" s="42" t="s">
        <v>2137</v>
      </c>
      <c r="B1230" s="42">
        <v>0</v>
      </c>
    </row>
    <row r="1231" spans="1:2">
      <c r="A1231" s="42" t="s">
        <v>2138</v>
      </c>
      <c r="B1231" s="42">
        <v>0</v>
      </c>
    </row>
    <row r="1232" spans="1:2">
      <c r="A1232" s="42" t="s">
        <v>2139</v>
      </c>
      <c r="B1232" s="42">
        <v>0</v>
      </c>
    </row>
    <row r="1233" spans="1:2">
      <c r="A1233" s="42" t="s">
        <v>2140</v>
      </c>
      <c r="B1233" s="42">
        <v>0</v>
      </c>
    </row>
    <row r="1234" spans="1:2">
      <c r="A1234" s="42" t="s">
        <v>886</v>
      </c>
      <c r="B1234" s="42">
        <v>536</v>
      </c>
    </row>
    <row r="1235" spans="1:2">
      <c r="A1235" s="42" t="s">
        <v>2141</v>
      </c>
      <c r="B1235" s="42">
        <v>0</v>
      </c>
    </row>
    <row r="1236" spans="1:2">
      <c r="A1236" s="42" t="s">
        <v>887</v>
      </c>
      <c r="B1236" s="42">
        <v>0</v>
      </c>
    </row>
    <row r="1237" spans="1:2">
      <c r="A1237" s="42" t="s">
        <v>888</v>
      </c>
      <c r="B1237" s="42">
        <v>6</v>
      </c>
    </row>
    <row r="1238" spans="1:2">
      <c r="A1238" s="42" t="s">
        <v>889</v>
      </c>
      <c r="B1238" s="42">
        <v>0</v>
      </c>
    </row>
    <row r="1239" spans="1:2">
      <c r="A1239" s="42" t="s">
        <v>890</v>
      </c>
      <c r="B1239" s="42">
        <v>1200</v>
      </c>
    </row>
    <row r="1240" spans="1:2">
      <c r="A1240" s="42" t="s">
        <v>891</v>
      </c>
      <c r="B1240" s="42">
        <v>1450</v>
      </c>
    </row>
    <row r="1241" spans="1:2">
      <c r="A1241" s="42" t="s">
        <v>892</v>
      </c>
      <c r="B1241" s="42">
        <v>10</v>
      </c>
    </row>
    <row r="1242" spans="1:2">
      <c r="A1242" s="42" t="s">
        <v>893</v>
      </c>
      <c r="B1242" s="42">
        <v>0</v>
      </c>
    </row>
    <row r="1243" spans="1:2">
      <c r="A1243" s="42" t="s">
        <v>894</v>
      </c>
      <c r="B1243" s="42">
        <v>0</v>
      </c>
    </row>
    <row r="1244" spans="1:2">
      <c r="A1244" s="42" t="s">
        <v>895</v>
      </c>
      <c r="B1244" s="42">
        <v>0</v>
      </c>
    </row>
    <row r="1245" spans="1:2">
      <c r="A1245" s="42" t="s">
        <v>896</v>
      </c>
      <c r="B1245" s="42">
        <v>0</v>
      </c>
    </row>
    <row r="1246" spans="1:2">
      <c r="A1246" s="42" t="s">
        <v>897</v>
      </c>
      <c r="B1246" s="42">
        <v>0</v>
      </c>
    </row>
    <row r="1247" spans="1:2">
      <c r="A1247" s="42" t="s">
        <v>898</v>
      </c>
      <c r="B1247" s="42">
        <v>0</v>
      </c>
    </row>
    <row r="1248" spans="1:2">
      <c r="A1248" s="42" t="s">
        <v>2142</v>
      </c>
      <c r="B1248" s="42">
        <v>0</v>
      </c>
    </row>
    <row r="1249" spans="1:2">
      <c r="A1249" s="42" t="s">
        <v>2143</v>
      </c>
      <c r="B1249" s="42">
        <v>0</v>
      </c>
    </row>
    <row r="1250" spans="1:2">
      <c r="A1250" s="42" t="s">
        <v>2144</v>
      </c>
      <c r="B1250" s="42">
        <v>0</v>
      </c>
    </row>
    <row r="1251" spans="1:2">
      <c r="A1251" s="42" t="s">
        <v>899</v>
      </c>
      <c r="B1251" s="42">
        <v>5</v>
      </c>
    </row>
    <row r="1252" spans="1:2">
      <c r="A1252" s="42" t="s">
        <v>900</v>
      </c>
      <c r="B1252" s="42">
        <v>425</v>
      </c>
    </row>
    <row r="1253" spans="1:2">
      <c r="A1253" s="42" t="s">
        <v>901</v>
      </c>
      <c r="B1253" s="42">
        <v>425</v>
      </c>
    </row>
    <row r="1254" spans="1:2">
      <c r="A1254" s="42" t="s">
        <v>902</v>
      </c>
      <c r="B1254" s="42">
        <v>1173</v>
      </c>
    </row>
    <row r="1255" spans="1:2">
      <c r="A1255" s="42" t="s">
        <v>903</v>
      </c>
      <c r="B1255" s="42">
        <v>100</v>
      </c>
    </row>
    <row r="1256" spans="1:2">
      <c r="A1256" s="42" t="s">
        <v>904</v>
      </c>
      <c r="B1256" s="42">
        <v>0</v>
      </c>
    </row>
    <row r="1257" spans="1:2">
      <c r="A1257" s="42" t="s">
        <v>905</v>
      </c>
      <c r="B1257" s="42">
        <v>0</v>
      </c>
    </row>
    <row r="1258" spans="1:2">
      <c r="A1258" s="42" t="s">
        <v>906</v>
      </c>
      <c r="B1258" s="42">
        <v>0</v>
      </c>
    </row>
    <row r="1259" spans="1:2">
      <c r="A1259" s="42" t="s">
        <v>907</v>
      </c>
      <c r="B1259" s="42">
        <v>0</v>
      </c>
    </row>
    <row r="1260" spans="1:2">
      <c r="A1260" s="42" t="s">
        <v>2145</v>
      </c>
      <c r="B1260" s="42">
        <v>202</v>
      </c>
    </row>
    <row r="1261" spans="1:2">
      <c r="A1261" s="42" t="s">
        <v>2146</v>
      </c>
      <c r="B1261" s="42">
        <v>0</v>
      </c>
    </row>
    <row r="1262" spans="1:2">
      <c r="A1262" s="42" t="s">
        <v>908</v>
      </c>
      <c r="B1262" s="42">
        <v>11</v>
      </c>
    </row>
    <row r="1263" spans="1:2">
      <c r="A1263" s="42" t="s">
        <v>909</v>
      </c>
      <c r="B1263" s="42">
        <v>0</v>
      </c>
    </row>
    <row r="1264" spans="1:2">
      <c r="A1264" s="42" t="s">
        <v>910</v>
      </c>
      <c r="B1264" s="42">
        <v>0</v>
      </c>
    </row>
    <row r="1265" spans="1:2">
      <c r="A1265" s="42" t="s">
        <v>911</v>
      </c>
      <c r="B1265" s="42">
        <v>0</v>
      </c>
    </row>
    <row r="1266" spans="1:2">
      <c r="A1266" s="42" t="s">
        <v>912</v>
      </c>
      <c r="B1266" s="42">
        <v>0</v>
      </c>
    </row>
    <row r="1267" spans="1:2">
      <c r="A1267" s="42" t="s">
        <v>2147</v>
      </c>
      <c r="B1267" s="42">
        <v>0</v>
      </c>
    </row>
    <row r="1268" spans="1:2">
      <c r="A1268" s="42" t="s">
        <v>913</v>
      </c>
      <c r="B1268" s="42">
        <v>0</v>
      </c>
    </row>
    <row r="1269" spans="1:2">
      <c r="A1269" s="42" t="s">
        <v>914</v>
      </c>
      <c r="B1269" s="42">
        <v>0</v>
      </c>
    </row>
    <row r="1270" spans="1:2">
      <c r="A1270" s="42" t="s">
        <v>915</v>
      </c>
      <c r="B1270" s="42">
        <v>2700</v>
      </c>
    </row>
    <row r="1271" spans="1:2">
      <c r="A1271" s="42" t="s">
        <v>916</v>
      </c>
      <c r="B1271" s="42">
        <v>0</v>
      </c>
    </row>
    <row r="1272" spans="1:2">
      <c r="A1272" s="42" t="s">
        <v>917</v>
      </c>
      <c r="B1272" s="42">
        <v>0</v>
      </c>
    </row>
    <row r="1273" spans="1:2">
      <c r="A1273" s="42" t="s">
        <v>918</v>
      </c>
      <c r="B1273" s="42">
        <v>0</v>
      </c>
    </row>
    <row r="1274" spans="1:2">
      <c r="A1274" s="42" t="s">
        <v>919</v>
      </c>
      <c r="B1274" s="42">
        <v>0</v>
      </c>
    </row>
    <row r="1275" spans="1:2">
      <c r="A1275" s="42" t="s">
        <v>920</v>
      </c>
      <c r="B1275" s="42">
        <v>0</v>
      </c>
    </row>
    <row r="1276" spans="1:2">
      <c r="A1276" s="42" t="s">
        <v>921</v>
      </c>
      <c r="B1276" s="42">
        <v>0</v>
      </c>
    </row>
    <row r="1277" spans="1:2">
      <c r="A1277" s="42" t="s">
        <v>922</v>
      </c>
      <c r="B1277" s="42">
        <v>0</v>
      </c>
    </row>
    <row r="1278" spans="1:2">
      <c r="A1278" s="42" t="s">
        <v>923</v>
      </c>
      <c r="B1278" s="42">
        <v>0</v>
      </c>
    </row>
    <row r="1279" spans="1:2">
      <c r="A1279" s="42" t="s">
        <v>924</v>
      </c>
      <c r="B1279" s="42">
        <v>0</v>
      </c>
    </row>
    <row r="1280" spans="1:2">
      <c r="A1280" s="42" t="s">
        <v>925</v>
      </c>
      <c r="B1280" s="42">
        <v>0</v>
      </c>
    </row>
    <row r="1281" spans="1:2">
      <c r="A1281" s="42" t="s">
        <v>926</v>
      </c>
      <c r="B1281" s="42">
        <v>0</v>
      </c>
    </row>
    <row r="1282" spans="1:2">
      <c r="A1282" s="42" t="s">
        <v>927</v>
      </c>
      <c r="B1282" s="42">
        <v>0</v>
      </c>
    </row>
    <row r="1283" spans="1:2">
      <c r="A1283" s="42" t="s">
        <v>928</v>
      </c>
      <c r="B1283" s="42">
        <v>0</v>
      </c>
    </row>
    <row r="1284" spans="1:2">
      <c r="A1284" s="42" t="s">
        <v>929</v>
      </c>
      <c r="B1284" s="42">
        <v>0</v>
      </c>
    </row>
    <row r="1285" spans="1:2">
      <c r="A1285" s="42" t="s">
        <v>930</v>
      </c>
      <c r="B1285" s="42">
        <v>0</v>
      </c>
    </row>
    <row r="1286" spans="1:2">
      <c r="A1286" s="42" t="s">
        <v>2148</v>
      </c>
      <c r="B1286" s="42">
        <v>0</v>
      </c>
    </row>
    <row r="1287" spans="1:2">
      <c r="A1287" s="42" t="s">
        <v>2149</v>
      </c>
      <c r="B1287" s="42">
        <v>0</v>
      </c>
    </row>
    <row r="1288" spans="1:2">
      <c r="A1288" s="42" t="s">
        <v>931</v>
      </c>
      <c r="B1288" s="42">
        <v>0</v>
      </c>
    </row>
    <row r="1289" spans="1:2">
      <c r="A1289" s="42" t="s">
        <v>932</v>
      </c>
      <c r="B1289" s="42">
        <v>0</v>
      </c>
    </row>
    <row r="1290" spans="1:2">
      <c r="A1290" s="42" t="s">
        <v>933</v>
      </c>
      <c r="B1290" s="42">
        <v>0</v>
      </c>
    </row>
    <row r="1291" spans="1:2">
      <c r="A1291" s="42" t="s">
        <v>934</v>
      </c>
      <c r="B1291" s="42">
        <v>800</v>
      </c>
    </row>
    <row r="1292" spans="1:2">
      <c r="A1292" s="42" t="s">
        <v>2150</v>
      </c>
      <c r="B1292" s="42">
        <v>800</v>
      </c>
    </row>
    <row r="1293" spans="1:2">
      <c r="A1293" s="42" t="s">
        <v>2151</v>
      </c>
      <c r="B1293" s="42">
        <v>800</v>
      </c>
    </row>
    <row r="1294" spans="1:2">
      <c r="A1294" s="42" t="s">
        <v>2152</v>
      </c>
      <c r="B1294" s="42">
        <v>800</v>
      </c>
    </row>
    <row r="1295" spans="1:2">
      <c r="A1295" s="42" t="s">
        <v>2153</v>
      </c>
      <c r="B1295" s="42">
        <v>219</v>
      </c>
    </row>
    <row r="1296" spans="1:2">
      <c r="A1296" s="42" t="s">
        <v>2154</v>
      </c>
      <c r="B1296" s="42">
        <v>2451</v>
      </c>
    </row>
    <row r="1297" spans="1:2">
      <c r="A1297" s="42" t="s">
        <v>2155</v>
      </c>
      <c r="B1297" s="42">
        <v>9</v>
      </c>
    </row>
    <row r="1298" spans="1:2">
      <c r="A1298" s="42" t="s">
        <v>2156</v>
      </c>
      <c r="B1298" s="42">
        <v>0</v>
      </c>
    </row>
    <row r="1299" spans="1:2">
      <c r="A1299" s="42" t="s">
        <v>2157</v>
      </c>
      <c r="B1299" s="42">
        <v>20000</v>
      </c>
    </row>
    <row r="1300" spans="1:2">
      <c r="A1300" s="42" t="s">
        <v>2158</v>
      </c>
      <c r="B1300" s="42">
        <v>0</v>
      </c>
    </row>
    <row r="1301" spans="1:2">
      <c r="A1301" s="42" t="s">
        <v>935</v>
      </c>
      <c r="B1301" s="42">
        <v>0</v>
      </c>
    </row>
    <row r="1302" spans="1:2">
      <c r="A1302" s="42" t="s">
        <v>936</v>
      </c>
      <c r="B1302" s="42">
        <v>0</v>
      </c>
    </row>
    <row r="1303" spans="1:2">
      <c r="A1303" s="42" t="s">
        <v>937</v>
      </c>
      <c r="B1303" s="42">
        <v>0</v>
      </c>
    </row>
    <row r="1304" spans="1:2">
      <c r="A1304" s="42" t="s">
        <v>938</v>
      </c>
      <c r="B1304" s="42">
        <v>721</v>
      </c>
    </row>
    <row r="1305" spans="1:2">
      <c r="A1305" s="42" t="s">
        <v>939</v>
      </c>
      <c r="B1305" s="42">
        <v>302</v>
      </c>
    </row>
    <row r="1306" spans="1:2">
      <c r="A1306" s="42" t="s">
        <v>940</v>
      </c>
      <c r="B1306" s="42">
        <v>15</v>
      </c>
    </row>
    <row r="1307" spans="1:2">
      <c r="A1307" s="42" t="s">
        <v>941</v>
      </c>
      <c r="B1307" s="42">
        <v>12</v>
      </c>
    </row>
    <row r="1308" spans="1:2">
      <c r="A1308" s="42" t="s">
        <v>942</v>
      </c>
      <c r="B1308" s="42">
        <v>42</v>
      </c>
    </row>
    <row r="1309" spans="1:2">
      <c r="A1309" s="42" t="s">
        <v>943</v>
      </c>
      <c r="B1309" s="42">
        <v>19</v>
      </c>
    </row>
    <row r="1310" spans="1:2">
      <c r="A1310" s="42" t="s">
        <v>944</v>
      </c>
      <c r="B1310" s="42">
        <v>104</v>
      </c>
    </row>
    <row r="1311" spans="1:2">
      <c r="A1311" s="42" t="s">
        <v>945</v>
      </c>
      <c r="B1311" s="42">
        <v>126</v>
      </c>
    </row>
    <row r="1312" spans="1:2">
      <c r="A1312" s="42" t="s">
        <v>946</v>
      </c>
      <c r="B1312" s="42">
        <v>4</v>
      </c>
    </row>
    <row r="1313" spans="1:2">
      <c r="A1313" s="42" t="s">
        <v>947</v>
      </c>
      <c r="B1313" s="42">
        <v>0</v>
      </c>
    </row>
    <row r="1314" spans="1:2">
      <c r="A1314" s="42" t="s">
        <v>948</v>
      </c>
      <c r="B1314" s="42">
        <v>44</v>
      </c>
    </row>
    <row r="1315" spans="1:2">
      <c r="A1315" s="42" t="s">
        <v>949</v>
      </c>
      <c r="B1315" s="42">
        <v>24</v>
      </c>
    </row>
    <row r="1316" spans="1:2">
      <c r="A1316" s="42" t="s">
        <v>950</v>
      </c>
      <c r="B1316" s="42">
        <v>236</v>
      </c>
    </row>
    <row r="1317" spans="1:2">
      <c r="A1317" s="42" t="s">
        <v>951</v>
      </c>
      <c r="B1317" s="42">
        <v>156</v>
      </c>
    </row>
    <row r="1318" spans="1:2">
      <c r="A1318" s="42" t="s">
        <v>952</v>
      </c>
      <c r="B1318" s="42">
        <v>299</v>
      </c>
    </row>
    <row r="1319" spans="1:2">
      <c r="A1319" s="42" t="s">
        <v>953</v>
      </c>
      <c r="B1319" s="42">
        <v>9000</v>
      </c>
    </row>
    <row r="1320" spans="1:2">
      <c r="A1320" s="42" t="s">
        <v>954</v>
      </c>
      <c r="B1320" s="42">
        <v>0</v>
      </c>
    </row>
    <row r="1321" spans="1:2">
      <c r="A1321" s="42" t="s">
        <v>955</v>
      </c>
      <c r="B1321" s="42">
        <v>253</v>
      </c>
    </row>
    <row r="1322" spans="1:2">
      <c r="A1322" s="42" t="s">
        <v>956</v>
      </c>
      <c r="B1322" s="42">
        <v>137</v>
      </c>
    </row>
    <row r="1323" spans="1:2">
      <c r="A1323" s="42" t="s">
        <v>957</v>
      </c>
      <c r="B1323" s="42">
        <v>256</v>
      </c>
    </row>
    <row r="1324" spans="1:2">
      <c r="A1324" s="42" t="s">
        <v>958</v>
      </c>
      <c r="B1324" s="42">
        <v>116</v>
      </c>
    </row>
    <row r="1325" spans="1:2">
      <c r="A1325" s="42" t="s">
        <v>959</v>
      </c>
      <c r="B1325" s="42">
        <v>194</v>
      </c>
    </row>
    <row r="1326" spans="1:2">
      <c r="A1326" s="42" t="s">
        <v>960</v>
      </c>
      <c r="B1326" s="42">
        <v>284</v>
      </c>
    </row>
    <row r="1327" spans="1:2">
      <c r="A1327" s="42" t="s">
        <v>961</v>
      </c>
      <c r="B1327" s="42">
        <v>0</v>
      </c>
    </row>
    <row r="1328" spans="1:2">
      <c r="A1328" s="42" t="s">
        <v>962</v>
      </c>
      <c r="B1328" s="42">
        <v>405</v>
      </c>
    </row>
    <row r="1329" spans="1:2">
      <c r="A1329" s="42" t="s">
        <v>963</v>
      </c>
      <c r="B1329" s="42">
        <v>67</v>
      </c>
    </row>
    <row r="1330" spans="1:2">
      <c r="A1330" s="42" t="s">
        <v>964</v>
      </c>
      <c r="B1330" s="42">
        <v>11</v>
      </c>
    </row>
    <row r="1331" spans="1:2">
      <c r="A1331" s="42" t="s">
        <v>965</v>
      </c>
      <c r="B1331" s="42">
        <v>0</v>
      </c>
    </row>
    <row r="1332" spans="1:2">
      <c r="A1332" s="42" t="s">
        <v>966</v>
      </c>
      <c r="B1332" s="42">
        <v>19</v>
      </c>
    </row>
    <row r="1333" spans="1:2">
      <c r="A1333" s="42" t="s">
        <v>967</v>
      </c>
      <c r="B1333" s="42">
        <v>0</v>
      </c>
    </row>
    <row r="1334" spans="1:2">
      <c r="A1334" s="42" t="s">
        <v>968</v>
      </c>
      <c r="B1334" s="42">
        <v>9</v>
      </c>
    </row>
    <row r="1335" spans="1:2">
      <c r="A1335" s="42" t="s">
        <v>969</v>
      </c>
      <c r="B1335" s="42">
        <v>0</v>
      </c>
    </row>
    <row r="1336" spans="1:2">
      <c r="A1336" s="42" t="s">
        <v>970</v>
      </c>
      <c r="B1336" s="42">
        <v>0</v>
      </c>
    </row>
    <row r="1337" spans="1:2">
      <c r="A1337" s="42" t="s">
        <v>971</v>
      </c>
      <c r="B1337" s="42">
        <v>1610</v>
      </c>
    </row>
    <row r="1338" spans="1:2">
      <c r="A1338" s="42" t="s">
        <v>972</v>
      </c>
      <c r="B1338" s="42">
        <v>7056</v>
      </c>
    </row>
    <row r="1339" spans="1:2">
      <c r="A1339" s="42" t="s">
        <v>973</v>
      </c>
      <c r="B1339" s="42">
        <v>0</v>
      </c>
    </row>
    <row r="1340" spans="1:2">
      <c r="A1340" s="42" t="s">
        <v>974</v>
      </c>
      <c r="B1340" s="42">
        <v>1378</v>
      </c>
    </row>
    <row r="1341" spans="1:2">
      <c r="A1341" s="42" t="s">
        <v>975</v>
      </c>
      <c r="B1341" s="42">
        <v>768</v>
      </c>
    </row>
    <row r="1342" spans="1:2">
      <c r="A1342" s="42" t="s">
        <v>976</v>
      </c>
      <c r="B1342" s="42">
        <v>0</v>
      </c>
    </row>
    <row r="1343" spans="1:2">
      <c r="A1343" s="42" t="s">
        <v>2159</v>
      </c>
      <c r="B1343" s="42">
        <v>0</v>
      </c>
    </row>
    <row r="1344" spans="1:2">
      <c r="A1344" s="42" t="s">
        <v>977</v>
      </c>
      <c r="B1344" s="42">
        <v>0</v>
      </c>
    </row>
    <row r="1345" spans="1:2">
      <c r="A1345" s="42" t="s">
        <v>978</v>
      </c>
      <c r="B1345" s="42">
        <v>0</v>
      </c>
    </row>
    <row r="1346" spans="1:2">
      <c r="A1346" s="42" t="s">
        <v>979</v>
      </c>
      <c r="B1346" s="42">
        <v>5883</v>
      </c>
    </row>
    <row r="1347" spans="1:2">
      <c r="A1347" s="42" t="s">
        <v>980</v>
      </c>
      <c r="B1347" s="42">
        <v>167</v>
      </c>
    </row>
    <row r="1348" spans="1:2">
      <c r="A1348" s="42" t="s">
        <v>981</v>
      </c>
      <c r="B1348" s="42">
        <v>0</v>
      </c>
    </row>
    <row r="1349" spans="1:2">
      <c r="A1349" s="42" t="s">
        <v>982</v>
      </c>
      <c r="B1349" s="42">
        <v>51</v>
      </c>
    </row>
    <row r="1350" spans="1:2">
      <c r="A1350" s="42" t="s">
        <v>983</v>
      </c>
      <c r="B1350" s="42">
        <v>299</v>
      </c>
    </row>
    <row r="1351" spans="1:2">
      <c r="A1351" s="42" t="s">
        <v>984</v>
      </c>
      <c r="B1351" s="42">
        <v>0</v>
      </c>
    </row>
    <row r="1352" spans="1:2">
      <c r="A1352" s="42" t="s">
        <v>985</v>
      </c>
      <c r="B1352" s="42">
        <v>0</v>
      </c>
    </row>
    <row r="1353" spans="1:2">
      <c r="A1353" s="42" t="s">
        <v>986</v>
      </c>
      <c r="B1353" s="42">
        <v>1387</v>
      </c>
    </row>
    <row r="1354" spans="1:2">
      <c r="A1354" s="42" t="s">
        <v>2160</v>
      </c>
      <c r="B1354" s="42">
        <v>927</v>
      </c>
    </row>
    <row r="1355" spans="1:2">
      <c r="A1355" s="42" t="s">
        <v>2161</v>
      </c>
      <c r="B1355" s="42">
        <v>0</v>
      </c>
    </row>
    <row r="1356" spans="1:2">
      <c r="A1356" s="42" t="s">
        <v>2162</v>
      </c>
      <c r="B1356" s="42">
        <v>81</v>
      </c>
    </row>
    <row r="1357" spans="1:2">
      <c r="A1357" s="42" t="s">
        <v>2163</v>
      </c>
      <c r="B1357" s="42">
        <v>53</v>
      </c>
    </row>
    <row r="1358" spans="1:2">
      <c r="A1358" s="42" t="s">
        <v>2164</v>
      </c>
      <c r="B1358" s="42">
        <v>838</v>
      </c>
    </row>
    <row r="1359" spans="1:2">
      <c r="A1359" s="42" t="s">
        <v>2165</v>
      </c>
      <c r="B1359" s="42">
        <v>573</v>
      </c>
    </row>
    <row r="1360" spans="1:2">
      <c r="A1360" s="42" t="s">
        <v>2166</v>
      </c>
      <c r="B1360" s="42">
        <v>19</v>
      </c>
    </row>
    <row r="1361" spans="1:2">
      <c r="A1361" s="42" t="s">
        <v>2167</v>
      </c>
      <c r="B1361" s="42">
        <v>0</v>
      </c>
    </row>
    <row r="1362" spans="1:2">
      <c r="A1362" s="42" t="s">
        <v>2168</v>
      </c>
      <c r="B1362" s="42">
        <v>0</v>
      </c>
    </row>
    <row r="1363" spans="1:2">
      <c r="A1363" s="42" t="s">
        <v>987</v>
      </c>
      <c r="B1363" s="42">
        <v>41</v>
      </c>
    </row>
    <row r="1364" spans="1:2">
      <c r="A1364" s="42" t="s">
        <v>988</v>
      </c>
      <c r="B1364" s="42">
        <v>0</v>
      </c>
    </row>
    <row r="1365" spans="1:2">
      <c r="A1365" s="42" t="s">
        <v>989</v>
      </c>
      <c r="B1365" s="42">
        <v>0</v>
      </c>
    </row>
    <row r="1366" spans="1:2">
      <c r="A1366" s="42" t="s">
        <v>990</v>
      </c>
      <c r="B1366" s="42">
        <v>3</v>
      </c>
    </row>
    <row r="1367" spans="1:2">
      <c r="A1367" s="42" t="s">
        <v>5</v>
      </c>
      <c r="B1367" s="42">
        <v>319</v>
      </c>
    </row>
    <row r="1368" spans="1:2">
      <c r="A1368" s="42" t="s">
        <v>2169</v>
      </c>
      <c r="B1368" s="42">
        <v>9740</v>
      </c>
    </row>
    <row r="1369" spans="1:2">
      <c r="A1369" s="42" t="s">
        <v>991</v>
      </c>
      <c r="B1369" s="42">
        <v>534</v>
      </c>
    </row>
    <row r="1370" spans="1:2">
      <c r="A1370" s="42" t="s">
        <v>992</v>
      </c>
      <c r="B1370" s="42">
        <v>452</v>
      </c>
    </row>
    <row r="1371" spans="1:2">
      <c r="A1371" s="42" t="s">
        <v>993</v>
      </c>
      <c r="B1371" s="42">
        <v>0</v>
      </c>
    </row>
    <row r="1372" spans="1:2">
      <c r="A1372" s="42" t="s">
        <v>994</v>
      </c>
      <c r="B1372" s="42">
        <v>5948</v>
      </c>
    </row>
    <row r="1373" spans="1:2">
      <c r="A1373" s="42" t="s">
        <v>995</v>
      </c>
      <c r="B1373" s="42">
        <v>0</v>
      </c>
    </row>
    <row r="1374" spans="1:2">
      <c r="A1374" s="42" t="s">
        <v>996</v>
      </c>
      <c r="B1374" s="42">
        <v>860</v>
      </c>
    </row>
    <row r="1375" spans="1:2">
      <c r="A1375" s="42" t="s">
        <v>2170</v>
      </c>
      <c r="B1375" s="42">
        <v>0</v>
      </c>
    </row>
    <row r="1376" spans="1:2">
      <c r="A1376" s="42" t="s">
        <v>997</v>
      </c>
      <c r="B1376" s="42">
        <v>1517</v>
      </c>
    </row>
    <row r="1377" spans="1:2">
      <c r="A1377" s="42" t="s">
        <v>2171</v>
      </c>
      <c r="B1377" s="42">
        <v>360</v>
      </c>
    </row>
    <row r="1378" spans="1:2">
      <c r="A1378" s="42" t="s">
        <v>998</v>
      </c>
      <c r="B1378" s="42">
        <v>356</v>
      </c>
    </row>
    <row r="1379" spans="1:2">
      <c r="A1379" s="42" t="s">
        <v>999</v>
      </c>
      <c r="B1379" s="42">
        <v>1150</v>
      </c>
    </row>
    <row r="1380" spans="1:2">
      <c r="A1380" s="42" t="s">
        <v>1000</v>
      </c>
      <c r="B1380" s="42">
        <v>91</v>
      </c>
    </row>
    <row r="1381" spans="1:2">
      <c r="A1381" s="42" t="s">
        <v>1001</v>
      </c>
      <c r="B1381" s="42">
        <v>0</v>
      </c>
    </row>
    <row r="1382" spans="1:2">
      <c r="A1382" s="42" t="s">
        <v>1002</v>
      </c>
      <c r="B1382" s="42">
        <v>1905</v>
      </c>
    </row>
    <row r="1383" spans="1:2">
      <c r="A1383" s="42" t="s">
        <v>1003</v>
      </c>
      <c r="B1383" s="42">
        <v>0</v>
      </c>
    </row>
    <row r="1384" spans="1:2">
      <c r="A1384" s="42" t="s">
        <v>1004</v>
      </c>
      <c r="B1384" s="42">
        <v>31</v>
      </c>
    </row>
    <row r="1385" spans="1:2">
      <c r="A1385" s="42" t="s">
        <v>1005</v>
      </c>
      <c r="B1385" s="42">
        <v>0</v>
      </c>
    </row>
    <row r="1386" spans="1:2">
      <c r="A1386" s="42" t="s">
        <v>1006</v>
      </c>
      <c r="B1386" s="42">
        <v>0</v>
      </c>
    </row>
    <row r="1387" spans="1:2">
      <c r="A1387" s="42" t="s">
        <v>1007</v>
      </c>
      <c r="B1387" s="42">
        <v>0</v>
      </c>
    </row>
    <row r="1388" spans="1:2">
      <c r="A1388" s="42" t="s">
        <v>1008</v>
      </c>
      <c r="B1388" s="42">
        <v>0</v>
      </c>
    </row>
    <row r="1389" spans="1:2">
      <c r="A1389" s="42" t="s">
        <v>1009</v>
      </c>
      <c r="B1389" s="42">
        <v>0</v>
      </c>
    </row>
    <row r="1390" spans="1:2">
      <c r="A1390" s="42" t="s">
        <v>1010</v>
      </c>
      <c r="B1390" s="42">
        <v>25</v>
      </c>
    </row>
    <row r="1391" spans="1:2">
      <c r="A1391" s="42" t="s">
        <v>1011</v>
      </c>
      <c r="B1391" s="42">
        <v>164</v>
      </c>
    </row>
    <row r="1392" spans="1:2">
      <c r="A1392" s="42" t="s">
        <v>1012</v>
      </c>
      <c r="B1392" s="42">
        <v>0</v>
      </c>
    </row>
    <row r="1393" spans="1:2">
      <c r="A1393" s="42" t="s">
        <v>1013</v>
      </c>
      <c r="B1393" s="42">
        <v>190</v>
      </c>
    </row>
    <row r="1394" spans="1:2">
      <c r="A1394" s="42" t="s">
        <v>1014</v>
      </c>
      <c r="B1394" s="42">
        <v>378</v>
      </c>
    </row>
    <row r="1395" spans="1:2">
      <c r="A1395" s="42" t="s">
        <v>1015</v>
      </c>
      <c r="B1395" s="42">
        <v>91</v>
      </c>
    </row>
    <row r="1396" spans="1:2">
      <c r="A1396" s="42" t="s">
        <v>1016</v>
      </c>
      <c r="B1396" s="42">
        <v>224</v>
      </c>
    </row>
    <row r="1397" spans="1:2">
      <c r="A1397" s="42" t="s">
        <v>1017</v>
      </c>
      <c r="B1397" s="42">
        <v>286</v>
      </c>
    </row>
    <row r="1398" spans="1:2">
      <c r="A1398" s="42" t="s">
        <v>1018</v>
      </c>
      <c r="B1398" s="42">
        <v>317</v>
      </c>
    </row>
    <row r="1399" spans="1:2">
      <c r="A1399" s="42" t="s">
        <v>2172</v>
      </c>
      <c r="B1399" s="42">
        <v>30</v>
      </c>
    </row>
    <row r="1400" spans="1:2">
      <c r="A1400" s="42" t="s">
        <v>2173</v>
      </c>
      <c r="B1400" s="42">
        <v>30</v>
      </c>
    </row>
    <row r="1401" spans="1:2">
      <c r="A1401" s="42" t="s">
        <v>2174</v>
      </c>
      <c r="B1401" s="42">
        <v>0</v>
      </c>
    </row>
    <row r="1402" spans="1:2">
      <c r="A1402" s="42" t="s">
        <v>1019</v>
      </c>
      <c r="B1402" s="42">
        <v>0</v>
      </c>
    </row>
    <row r="1403" spans="1:2">
      <c r="A1403" s="42" t="s">
        <v>1020</v>
      </c>
      <c r="B1403" s="42">
        <v>0</v>
      </c>
    </row>
    <row r="1404" spans="1:2">
      <c r="A1404" s="42" t="s">
        <v>2175</v>
      </c>
      <c r="B1404" s="42">
        <v>616</v>
      </c>
    </row>
    <row r="1405" spans="1:2">
      <c r="A1405" s="42" t="s">
        <v>1021</v>
      </c>
      <c r="B1405" s="42">
        <v>396</v>
      </c>
    </row>
    <row r="1406" spans="1:2">
      <c r="A1406" s="42" t="s">
        <v>1022</v>
      </c>
      <c r="B1406" s="42">
        <v>500</v>
      </c>
    </row>
    <row r="1407" spans="1:2">
      <c r="A1407" s="42" t="s">
        <v>2176</v>
      </c>
      <c r="B1407" s="42">
        <v>0</v>
      </c>
    </row>
    <row r="1408" spans="1:2">
      <c r="A1408" s="42" t="s">
        <v>2177</v>
      </c>
      <c r="B1408" s="42">
        <v>43</v>
      </c>
    </row>
    <row r="1409" spans="1:2">
      <c r="A1409" s="42" t="s">
        <v>1023</v>
      </c>
      <c r="B1409" s="42">
        <v>0</v>
      </c>
    </row>
    <row r="1410" spans="1:2">
      <c r="A1410" s="42" t="s">
        <v>2178</v>
      </c>
      <c r="B1410" s="42">
        <v>2222</v>
      </c>
    </row>
    <row r="1411" spans="1:2">
      <c r="A1411" s="42" t="s">
        <v>2179</v>
      </c>
      <c r="B1411" s="42">
        <v>0</v>
      </c>
    </row>
    <row r="1412" spans="1:2">
      <c r="A1412" s="42" t="s">
        <v>2180</v>
      </c>
      <c r="B1412" s="42">
        <v>87</v>
      </c>
    </row>
    <row r="1413" spans="1:2">
      <c r="A1413" s="42" t="s">
        <v>2181</v>
      </c>
      <c r="B1413" s="42">
        <v>1030</v>
      </c>
    </row>
    <row r="1414" spans="1:2">
      <c r="A1414" s="42" t="s">
        <v>2182</v>
      </c>
      <c r="B1414" s="42">
        <v>503</v>
      </c>
    </row>
    <row r="1415" spans="1:2">
      <c r="A1415" s="42" t="s">
        <v>2183</v>
      </c>
      <c r="B1415" s="42">
        <v>550</v>
      </c>
    </row>
    <row r="1416" spans="1:2">
      <c r="A1416" s="42" t="s">
        <v>2184</v>
      </c>
      <c r="B1416" s="42">
        <v>0</v>
      </c>
    </row>
    <row r="1417" spans="1:2">
      <c r="A1417" s="42" t="s">
        <v>2185</v>
      </c>
      <c r="B1417" s="42">
        <v>0</v>
      </c>
    </row>
    <row r="1418" spans="1:2">
      <c r="A1418" s="42" t="s">
        <v>2186</v>
      </c>
      <c r="B1418" s="42">
        <v>818</v>
      </c>
    </row>
    <row r="1419" spans="1:2">
      <c r="A1419" s="42" t="s">
        <v>2187</v>
      </c>
      <c r="B1419" s="42">
        <v>374</v>
      </c>
    </row>
    <row r="1420" spans="1:2">
      <c r="A1420" s="42" t="s">
        <v>2188</v>
      </c>
      <c r="B1420" s="42">
        <v>118</v>
      </c>
    </row>
    <row r="1421" spans="1:2">
      <c r="A1421" s="42" t="s">
        <v>1024</v>
      </c>
      <c r="B1421" s="42">
        <v>59</v>
      </c>
    </row>
    <row r="1422" spans="1:2">
      <c r="A1422" s="42" t="s">
        <v>2189</v>
      </c>
      <c r="B1422" s="42">
        <v>50</v>
      </c>
    </row>
    <row r="1423" spans="1:2">
      <c r="A1423" s="42" t="s">
        <v>1025</v>
      </c>
      <c r="B1423" s="42">
        <v>110</v>
      </c>
    </row>
    <row r="1424" spans="1:2">
      <c r="A1424" s="42" t="s">
        <v>2190</v>
      </c>
      <c r="B1424" s="42">
        <v>0</v>
      </c>
    </row>
    <row r="1425" spans="1:2">
      <c r="A1425" s="42" t="s">
        <v>1026</v>
      </c>
      <c r="B1425" s="42">
        <v>1957</v>
      </c>
    </row>
    <row r="1426" spans="1:2">
      <c r="A1426" s="42" t="s">
        <v>2191</v>
      </c>
      <c r="B1426" s="42">
        <v>652</v>
      </c>
    </row>
    <row r="1427" spans="1:2">
      <c r="A1427" s="42" t="s">
        <v>2192</v>
      </c>
      <c r="B1427" s="42">
        <v>0</v>
      </c>
    </row>
    <row r="1428" spans="1:2">
      <c r="A1428" s="42" t="s">
        <v>2193</v>
      </c>
      <c r="B1428" s="42">
        <v>33</v>
      </c>
    </row>
    <row r="1429" spans="1:2">
      <c r="A1429" s="42" t="s">
        <v>2194</v>
      </c>
      <c r="B1429" s="42">
        <v>7</v>
      </c>
    </row>
    <row r="1430" spans="1:2">
      <c r="A1430" s="42" t="s">
        <v>2195</v>
      </c>
      <c r="B1430" s="42">
        <v>0</v>
      </c>
    </row>
    <row r="1431" spans="1:2">
      <c r="A1431" s="42" t="s">
        <v>2196</v>
      </c>
      <c r="B1431" s="42">
        <v>0</v>
      </c>
    </row>
    <row r="1432" spans="1:2">
      <c r="A1432" s="42" t="s">
        <v>2197</v>
      </c>
      <c r="B1432" s="42">
        <v>0</v>
      </c>
    </row>
    <row r="1433" spans="1:2">
      <c r="A1433" s="42" t="s">
        <v>1027</v>
      </c>
      <c r="B1433" s="42">
        <v>3</v>
      </c>
    </row>
    <row r="1434" spans="1:2">
      <c r="A1434" s="42" t="s">
        <v>1028</v>
      </c>
      <c r="B1434" s="42">
        <v>1</v>
      </c>
    </row>
    <row r="1435" spans="1:2">
      <c r="A1435" s="42" t="s">
        <v>2198</v>
      </c>
      <c r="B1435" s="42">
        <v>30</v>
      </c>
    </row>
    <row r="1436" spans="1:2">
      <c r="A1436" s="42" t="s">
        <v>1029</v>
      </c>
      <c r="B1436" s="42">
        <v>9</v>
      </c>
    </row>
    <row r="1437" spans="1:2">
      <c r="A1437" s="42" t="s">
        <v>1030</v>
      </c>
      <c r="B1437" s="42">
        <v>712</v>
      </c>
    </row>
    <row r="1438" spans="1:2">
      <c r="A1438" s="42" t="s">
        <v>2199</v>
      </c>
      <c r="B1438" s="42">
        <v>0</v>
      </c>
    </row>
    <row r="1439" spans="1:2">
      <c r="A1439" s="42" t="s">
        <v>2200</v>
      </c>
      <c r="B1439" s="42">
        <v>0</v>
      </c>
    </row>
    <row r="1440" spans="1:2">
      <c r="A1440" s="42" t="s">
        <v>2201</v>
      </c>
      <c r="B1440" s="42">
        <v>0</v>
      </c>
    </row>
    <row r="1441" spans="1:2">
      <c r="A1441" s="42" t="s">
        <v>2202</v>
      </c>
      <c r="B1441" s="42">
        <v>0</v>
      </c>
    </row>
    <row r="1442" spans="1:2">
      <c r="A1442" s="42" t="s">
        <v>2203</v>
      </c>
      <c r="B1442" s="42">
        <v>0</v>
      </c>
    </row>
    <row r="1443" spans="1:2">
      <c r="A1443" s="42" t="s">
        <v>2204</v>
      </c>
      <c r="B1443" s="42">
        <v>0</v>
      </c>
    </row>
    <row r="1444" spans="1:2">
      <c r="A1444" s="42" t="s">
        <v>2205</v>
      </c>
      <c r="B1444" s="42">
        <v>0</v>
      </c>
    </row>
    <row r="1445" spans="1:2">
      <c r="A1445" s="42" t="s">
        <v>2206</v>
      </c>
      <c r="B1445" s="42">
        <v>0</v>
      </c>
    </row>
    <row r="1446" spans="1:2">
      <c r="A1446" s="42" t="s">
        <v>2207</v>
      </c>
      <c r="B1446" s="42">
        <v>0</v>
      </c>
    </row>
    <row r="1447" spans="1:2">
      <c r="A1447" s="42" t="s">
        <v>2208</v>
      </c>
      <c r="B1447" s="42">
        <v>0</v>
      </c>
    </row>
    <row r="1448" spans="1:2">
      <c r="A1448" s="42" t="s">
        <v>2209</v>
      </c>
      <c r="B1448" s="42">
        <v>0</v>
      </c>
    </row>
    <row r="1449" spans="1:2">
      <c r="A1449" s="42" t="s">
        <v>1031</v>
      </c>
      <c r="B1449" s="42">
        <v>622</v>
      </c>
    </row>
    <row r="1450" spans="1:2">
      <c r="A1450" s="42" t="s">
        <v>1032</v>
      </c>
      <c r="B1450" s="42">
        <v>246</v>
      </c>
    </row>
    <row r="1451" spans="1:2">
      <c r="A1451" s="42" t="s">
        <v>1033</v>
      </c>
      <c r="B1451" s="42">
        <v>809</v>
      </c>
    </row>
    <row r="1452" spans="1:2">
      <c r="A1452" s="42" t="s">
        <v>2210</v>
      </c>
      <c r="B1452" s="42">
        <v>685</v>
      </c>
    </row>
    <row r="1453" spans="1:2">
      <c r="A1453" s="42" t="s">
        <v>2211</v>
      </c>
      <c r="B1453" s="42">
        <v>528</v>
      </c>
    </row>
    <row r="1454" spans="1:2">
      <c r="A1454" s="42" t="s">
        <v>2212</v>
      </c>
      <c r="B1454" s="42">
        <v>83</v>
      </c>
    </row>
    <row r="1455" spans="1:2">
      <c r="A1455" s="42" t="s">
        <v>2213</v>
      </c>
      <c r="B1455" s="42">
        <v>431</v>
      </c>
    </row>
    <row r="1456" spans="1:2">
      <c r="A1456" s="42" t="s">
        <v>2214</v>
      </c>
      <c r="B1456" s="42">
        <v>676</v>
      </c>
    </row>
    <row r="1457" spans="1:2">
      <c r="A1457" s="42" t="s">
        <v>2215</v>
      </c>
      <c r="B1457" s="42">
        <v>722</v>
      </c>
    </row>
    <row r="1458" spans="1:2">
      <c r="A1458" s="42" t="s">
        <v>1034</v>
      </c>
      <c r="B1458" s="42">
        <v>4268</v>
      </c>
    </row>
    <row r="1459" spans="1:2">
      <c r="A1459" s="42" t="s">
        <v>2216</v>
      </c>
      <c r="B1459" s="42">
        <v>0</v>
      </c>
    </row>
    <row r="1460" spans="1:2">
      <c r="A1460" s="42" t="s">
        <v>1035</v>
      </c>
      <c r="B1460" s="42">
        <v>0</v>
      </c>
    </row>
    <row r="1461" spans="1:2">
      <c r="A1461" s="42" t="s">
        <v>1036</v>
      </c>
      <c r="B1461" s="42">
        <v>0</v>
      </c>
    </row>
    <row r="1462" spans="1:2">
      <c r="A1462" s="42" t="s">
        <v>1037</v>
      </c>
      <c r="B1462" s="42">
        <v>0</v>
      </c>
    </row>
    <row r="1463" spans="1:2">
      <c r="A1463" s="42" t="s">
        <v>2217</v>
      </c>
      <c r="B1463" s="42">
        <v>3</v>
      </c>
    </row>
    <row r="1464" spans="1:2">
      <c r="A1464" s="42" t="s">
        <v>1038</v>
      </c>
      <c r="B1464" s="42">
        <v>90</v>
      </c>
    </row>
    <row r="1465" spans="1:2">
      <c r="A1465" s="42" t="s">
        <v>1039</v>
      </c>
      <c r="B1465" s="42">
        <v>0</v>
      </c>
    </row>
    <row r="1466" spans="1:2">
      <c r="A1466" s="42" t="s">
        <v>1040</v>
      </c>
      <c r="B1466" s="42">
        <v>2</v>
      </c>
    </row>
    <row r="1467" spans="1:2">
      <c r="A1467" s="42" t="s">
        <v>1041</v>
      </c>
      <c r="B1467" s="42">
        <v>4</v>
      </c>
    </row>
    <row r="1468" spans="1:2">
      <c r="A1468" s="42" t="s">
        <v>1042</v>
      </c>
      <c r="B1468" s="42">
        <v>0</v>
      </c>
    </row>
    <row r="1469" spans="1:2">
      <c r="A1469" s="42" t="s">
        <v>1043</v>
      </c>
      <c r="B1469" s="42">
        <v>40</v>
      </c>
    </row>
    <row r="1470" spans="1:2">
      <c r="A1470" s="42" t="s">
        <v>1044</v>
      </c>
      <c r="B1470" s="42">
        <v>44</v>
      </c>
    </row>
    <row r="1471" spans="1:2">
      <c r="A1471" s="42" t="s">
        <v>1045</v>
      </c>
      <c r="B1471" s="42">
        <v>0</v>
      </c>
    </row>
    <row r="1472" spans="1:2">
      <c r="A1472" s="42" t="s">
        <v>1046</v>
      </c>
      <c r="B1472" s="42">
        <v>0</v>
      </c>
    </row>
    <row r="1473" spans="1:2">
      <c r="A1473" s="42" t="s">
        <v>1047</v>
      </c>
      <c r="B1473" s="42">
        <v>301</v>
      </c>
    </row>
    <row r="1474" spans="1:2">
      <c r="A1474" s="42" t="s">
        <v>1048</v>
      </c>
      <c r="B1474" s="42">
        <v>68</v>
      </c>
    </row>
    <row r="1475" spans="1:2">
      <c r="A1475" s="42" t="s">
        <v>1049</v>
      </c>
      <c r="B1475" s="42">
        <v>11</v>
      </c>
    </row>
    <row r="1476" spans="1:2">
      <c r="A1476" s="42" t="s">
        <v>1050</v>
      </c>
      <c r="B1476" s="42">
        <v>7</v>
      </c>
    </row>
    <row r="1477" spans="1:2">
      <c r="A1477" s="42" t="s">
        <v>1051</v>
      </c>
      <c r="B1477" s="42">
        <v>133</v>
      </c>
    </row>
    <row r="1478" spans="1:2">
      <c r="A1478" s="42" t="s">
        <v>1052</v>
      </c>
      <c r="B1478" s="42">
        <v>32</v>
      </c>
    </row>
    <row r="1479" spans="1:2">
      <c r="A1479" s="42" t="s">
        <v>1053</v>
      </c>
      <c r="B1479" s="42">
        <v>131</v>
      </c>
    </row>
    <row r="1480" spans="1:2">
      <c r="A1480" s="42" t="s">
        <v>1054</v>
      </c>
      <c r="B1480" s="42">
        <v>92</v>
      </c>
    </row>
    <row r="1481" spans="1:2">
      <c r="A1481" s="42" t="s">
        <v>1055</v>
      </c>
      <c r="B1481" s="42">
        <v>62</v>
      </c>
    </row>
    <row r="1482" spans="1:2">
      <c r="A1482" s="42" t="s">
        <v>1056</v>
      </c>
      <c r="B1482" s="42">
        <v>0</v>
      </c>
    </row>
    <row r="1483" spans="1:2">
      <c r="A1483" s="42" t="s">
        <v>1057</v>
      </c>
      <c r="B1483" s="42">
        <v>500</v>
      </c>
    </row>
    <row r="1484" spans="1:2">
      <c r="A1484" s="42" t="s">
        <v>1058</v>
      </c>
      <c r="B1484" s="42">
        <v>833</v>
      </c>
    </row>
    <row r="1485" spans="1:2">
      <c r="A1485" s="42" t="s">
        <v>1059</v>
      </c>
      <c r="B1485" s="42">
        <v>350</v>
      </c>
    </row>
    <row r="1486" spans="1:2">
      <c r="A1486" s="42" t="s">
        <v>1060</v>
      </c>
      <c r="B1486" s="42">
        <v>0</v>
      </c>
    </row>
    <row r="1487" spans="1:2">
      <c r="A1487" s="42" t="s">
        <v>1061</v>
      </c>
      <c r="B1487" s="42">
        <v>0</v>
      </c>
    </row>
    <row r="1488" spans="1:2">
      <c r="A1488" s="42" t="s">
        <v>1062</v>
      </c>
      <c r="B1488" s="42">
        <v>0</v>
      </c>
    </row>
    <row r="1489" spans="1:2">
      <c r="A1489" s="42" t="s">
        <v>3</v>
      </c>
      <c r="B1489" s="42">
        <v>36</v>
      </c>
    </row>
    <row r="1490" spans="1:2">
      <c r="A1490" s="42" t="s">
        <v>1063</v>
      </c>
      <c r="B1490" s="42">
        <v>121</v>
      </c>
    </row>
    <row r="1491" spans="1:2">
      <c r="A1491" s="42" t="s">
        <v>84</v>
      </c>
      <c r="B1491" s="42">
        <v>25</v>
      </c>
    </row>
    <row r="1492" spans="1:2">
      <c r="A1492" s="42" t="s">
        <v>1064</v>
      </c>
      <c r="B1492" s="42">
        <v>246</v>
      </c>
    </row>
    <row r="1493" spans="1:2">
      <c r="A1493" s="42" t="s">
        <v>1065</v>
      </c>
      <c r="B1493" s="42">
        <v>0</v>
      </c>
    </row>
    <row r="1494" spans="1:2">
      <c r="A1494" s="42" t="s">
        <v>1066</v>
      </c>
      <c r="B1494" s="42">
        <v>63</v>
      </c>
    </row>
    <row r="1495" spans="1:2">
      <c r="A1495" s="42" t="s">
        <v>1067</v>
      </c>
      <c r="B1495" s="42">
        <v>27</v>
      </c>
    </row>
    <row r="1496" spans="1:2">
      <c r="A1496" s="42" t="s">
        <v>1068</v>
      </c>
      <c r="B1496" s="42">
        <v>199</v>
      </c>
    </row>
    <row r="1497" spans="1:2">
      <c r="A1497" s="42" t="s">
        <v>1069</v>
      </c>
      <c r="B1497" s="42">
        <v>70</v>
      </c>
    </row>
    <row r="1498" spans="1:2">
      <c r="A1498" s="42" t="s">
        <v>1070</v>
      </c>
      <c r="B1498" s="42">
        <v>224</v>
      </c>
    </row>
    <row r="1499" spans="1:2">
      <c r="A1499" s="42" t="s">
        <v>85</v>
      </c>
      <c r="B1499" s="42">
        <v>159</v>
      </c>
    </row>
    <row r="1500" spans="1:2">
      <c r="A1500" s="42" t="s">
        <v>1071</v>
      </c>
      <c r="B1500" s="42">
        <v>0</v>
      </c>
    </row>
    <row r="1501" spans="1:2">
      <c r="A1501" s="42" t="s">
        <v>1072</v>
      </c>
      <c r="B1501" s="42">
        <v>215</v>
      </c>
    </row>
    <row r="1502" spans="1:2">
      <c r="A1502" s="42" t="s">
        <v>1073</v>
      </c>
      <c r="B1502" s="42">
        <v>0</v>
      </c>
    </row>
    <row r="1503" spans="1:2">
      <c r="A1503" s="42" t="s">
        <v>1074</v>
      </c>
      <c r="B1503" s="42">
        <v>127</v>
      </c>
    </row>
    <row r="1504" spans="1:2">
      <c r="A1504" s="42" t="s">
        <v>1075</v>
      </c>
      <c r="B1504" s="42">
        <v>218</v>
      </c>
    </row>
    <row r="1505" spans="1:2">
      <c r="A1505" s="42" t="s">
        <v>1076</v>
      </c>
      <c r="B1505" s="42">
        <v>189</v>
      </c>
    </row>
    <row r="1506" spans="1:2">
      <c r="A1506" s="42" t="s">
        <v>1077</v>
      </c>
      <c r="B1506" s="42">
        <v>10</v>
      </c>
    </row>
    <row r="1507" spans="1:2">
      <c r="A1507" s="42" t="s">
        <v>1078</v>
      </c>
      <c r="B1507" s="42">
        <v>10</v>
      </c>
    </row>
    <row r="1508" spans="1:2">
      <c r="A1508" s="42" t="s">
        <v>1079</v>
      </c>
      <c r="B1508" s="42">
        <v>2946</v>
      </c>
    </row>
    <row r="1509" spans="1:2">
      <c r="A1509" s="42" t="s">
        <v>1080</v>
      </c>
      <c r="B1509" s="42">
        <v>180</v>
      </c>
    </row>
    <row r="1510" spans="1:2">
      <c r="A1510" s="42" t="s">
        <v>2218</v>
      </c>
      <c r="B1510" s="42">
        <v>44</v>
      </c>
    </row>
    <row r="1511" spans="1:2">
      <c r="A1511" s="42" t="s">
        <v>2219</v>
      </c>
      <c r="B1511" s="42">
        <v>12</v>
      </c>
    </row>
    <row r="1512" spans="1:2">
      <c r="A1512" s="42" t="s">
        <v>1081</v>
      </c>
      <c r="B1512" s="42">
        <v>46</v>
      </c>
    </row>
    <row r="1513" spans="1:2">
      <c r="A1513" s="42" t="s">
        <v>1082</v>
      </c>
      <c r="B1513" s="42">
        <v>48</v>
      </c>
    </row>
    <row r="1514" spans="1:2">
      <c r="A1514" s="42" t="s">
        <v>1083</v>
      </c>
      <c r="B1514" s="42">
        <v>5</v>
      </c>
    </row>
    <row r="1515" spans="1:2">
      <c r="A1515" s="42" t="s">
        <v>1084</v>
      </c>
      <c r="B1515" s="42">
        <v>22</v>
      </c>
    </row>
    <row r="1516" spans="1:2">
      <c r="A1516" s="42" t="s">
        <v>1085</v>
      </c>
      <c r="B1516" s="42">
        <v>0</v>
      </c>
    </row>
    <row r="1517" spans="1:2">
      <c r="A1517" s="42" t="s">
        <v>1086</v>
      </c>
      <c r="B1517" s="42">
        <v>2400</v>
      </c>
    </row>
    <row r="1518" spans="1:2">
      <c r="A1518" s="42" t="s">
        <v>1087</v>
      </c>
      <c r="B1518" s="42">
        <v>3800</v>
      </c>
    </row>
    <row r="1519" spans="1:2">
      <c r="A1519" s="42" t="s">
        <v>1088</v>
      </c>
      <c r="B1519" s="42">
        <v>8</v>
      </c>
    </row>
    <row r="1520" spans="1:2">
      <c r="A1520" s="42" t="s">
        <v>2220</v>
      </c>
      <c r="B1520" s="42">
        <v>108</v>
      </c>
    </row>
    <row r="1521" spans="1:2">
      <c r="A1521" s="42" t="s">
        <v>1089</v>
      </c>
      <c r="B1521" s="42">
        <v>47</v>
      </c>
    </row>
    <row r="1522" spans="1:2">
      <c r="A1522" s="42" t="s">
        <v>1090</v>
      </c>
      <c r="B1522" s="42">
        <v>40</v>
      </c>
    </row>
    <row r="1523" spans="1:2">
      <c r="A1523" s="42" t="s">
        <v>1091</v>
      </c>
      <c r="B1523" s="42">
        <v>52</v>
      </c>
    </row>
    <row r="1524" spans="1:2">
      <c r="A1524" s="42" t="s">
        <v>1092</v>
      </c>
      <c r="B1524" s="42">
        <v>59</v>
      </c>
    </row>
    <row r="1525" spans="1:2">
      <c r="A1525" s="42" t="s">
        <v>1093</v>
      </c>
      <c r="B1525" s="42">
        <v>0</v>
      </c>
    </row>
    <row r="1526" spans="1:2">
      <c r="A1526" s="42" t="s">
        <v>1094</v>
      </c>
      <c r="B1526" s="42">
        <v>21</v>
      </c>
    </row>
    <row r="1527" spans="1:2">
      <c r="A1527" s="42" t="s">
        <v>1095</v>
      </c>
      <c r="B1527" s="42">
        <v>203</v>
      </c>
    </row>
    <row r="1528" spans="1:2">
      <c r="A1528" s="42" t="s">
        <v>1096</v>
      </c>
      <c r="B1528" s="42">
        <v>91</v>
      </c>
    </row>
    <row r="1529" spans="1:2">
      <c r="A1529" s="42" t="s">
        <v>1097</v>
      </c>
      <c r="B1529" s="42">
        <v>0</v>
      </c>
    </row>
    <row r="1530" spans="1:2">
      <c r="A1530" s="42" t="s">
        <v>1098</v>
      </c>
      <c r="B1530" s="42">
        <v>128</v>
      </c>
    </row>
    <row r="1531" spans="1:2">
      <c r="A1531" s="42" t="s">
        <v>2221</v>
      </c>
      <c r="B1531" s="42">
        <v>0</v>
      </c>
    </row>
    <row r="1532" spans="1:2">
      <c r="A1532" s="42" t="s">
        <v>1099</v>
      </c>
      <c r="B1532" s="42">
        <v>0</v>
      </c>
    </row>
    <row r="1533" spans="1:2">
      <c r="A1533" s="42" t="s">
        <v>1100</v>
      </c>
      <c r="B1533" s="42">
        <v>4</v>
      </c>
    </row>
    <row r="1534" spans="1:2">
      <c r="A1534" s="42" t="s">
        <v>1101</v>
      </c>
      <c r="B1534" s="42">
        <v>94</v>
      </c>
    </row>
    <row r="1535" spans="1:2">
      <c r="A1535" s="42" t="s">
        <v>2222</v>
      </c>
      <c r="B1535" s="42">
        <v>0</v>
      </c>
    </row>
    <row r="1536" spans="1:2">
      <c r="A1536" s="42" t="s">
        <v>1102</v>
      </c>
      <c r="B1536" s="42">
        <v>0</v>
      </c>
    </row>
    <row r="1537" spans="1:2">
      <c r="A1537" s="42" t="s">
        <v>2223</v>
      </c>
      <c r="B1537" s="42">
        <v>0</v>
      </c>
    </row>
    <row r="1538" spans="1:2">
      <c r="A1538" s="42" t="s">
        <v>1103</v>
      </c>
      <c r="B1538" s="42">
        <v>0</v>
      </c>
    </row>
    <row r="1539" spans="1:2">
      <c r="A1539" s="42" t="s">
        <v>1104</v>
      </c>
      <c r="B1539" s="42">
        <v>5</v>
      </c>
    </row>
    <row r="1540" spans="1:2">
      <c r="A1540" s="42" t="s">
        <v>1105</v>
      </c>
      <c r="B1540" s="42">
        <v>0</v>
      </c>
    </row>
    <row r="1541" spans="1:2">
      <c r="A1541" s="42" t="s">
        <v>1106</v>
      </c>
      <c r="B1541" s="42">
        <v>8</v>
      </c>
    </row>
    <row r="1542" spans="1:2">
      <c r="A1542" s="42" t="s">
        <v>2224</v>
      </c>
      <c r="B1542" s="42">
        <v>0</v>
      </c>
    </row>
    <row r="1543" spans="1:2">
      <c r="A1543" s="42" t="s">
        <v>2225</v>
      </c>
      <c r="B1543" s="42">
        <v>0</v>
      </c>
    </row>
    <row r="1544" spans="1:2">
      <c r="A1544" s="42" t="s">
        <v>2226</v>
      </c>
      <c r="B1544" s="42">
        <v>0</v>
      </c>
    </row>
    <row r="1545" spans="1:2">
      <c r="A1545" s="42" t="s">
        <v>2227</v>
      </c>
      <c r="B1545" s="42">
        <v>0</v>
      </c>
    </row>
    <row r="1546" spans="1:2">
      <c r="A1546" s="42" t="s">
        <v>2228</v>
      </c>
      <c r="B1546" s="42">
        <v>0</v>
      </c>
    </row>
    <row r="1547" spans="1:2">
      <c r="A1547" s="42" t="s">
        <v>1107</v>
      </c>
      <c r="B1547" s="42">
        <v>8</v>
      </c>
    </row>
    <row r="1548" spans="1:2">
      <c r="A1548" s="42" t="s">
        <v>1108</v>
      </c>
      <c r="B1548" s="42">
        <v>48</v>
      </c>
    </row>
    <row r="1549" spans="1:2">
      <c r="A1549" s="42" t="s">
        <v>1109</v>
      </c>
      <c r="B1549" s="42">
        <v>24</v>
      </c>
    </row>
    <row r="1550" spans="1:2">
      <c r="A1550" s="42" t="s">
        <v>2229</v>
      </c>
      <c r="B1550" s="42">
        <v>210</v>
      </c>
    </row>
    <row r="1551" spans="1:2">
      <c r="A1551" s="42" t="s">
        <v>1110</v>
      </c>
      <c r="B1551" s="42">
        <v>24</v>
      </c>
    </row>
    <row r="1552" spans="1:2">
      <c r="A1552" s="42" t="s">
        <v>1111</v>
      </c>
      <c r="B1552" s="42">
        <v>24</v>
      </c>
    </row>
    <row r="1553" spans="1:2">
      <c r="A1553" s="42" t="s">
        <v>1112</v>
      </c>
      <c r="B1553" s="42">
        <v>101</v>
      </c>
    </row>
    <row r="1554" spans="1:2">
      <c r="A1554" s="42" t="s">
        <v>1113</v>
      </c>
      <c r="B1554" s="42">
        <v>106</v>
      </c>
    </row>
    <row r="1555" spans="1:2">
      <c r="A1555" s="42" t="s">
        <v>1114</v>
      </c>
      <c r="B1555" s="42">
        <v>902</v>
      </c>
    </row>
    <row r="1556" spans="1:2">
      <c r="A1556" s="42" t="s">
        <v>2230</v>
      </c>
      <c r="B1556" s="42">
        <v>163</v>
      </c>
    </row>
    <row r="1557" spans="1:2">
      <c r="A1557" s="42" t="s">
        <v>2231</v>
      </c>
      <c r="B1557" s="42">
        <v>239</v>
      </c>
    </row>
    <row r="1558" spans="1:2">
      <c r="A1558" s="42" t="s">
        <v>2232</v>
      </c>
      <c r="B1558" s="42">
        <v>198</v>
      </c>
    </row>
    <row r="1559" spans="1:2">
      <c r="A1559" s="42" t="s">
        <v>2233</v>
      </c>
      <c r="B1559" s="42">
        <v>374</v>
      </c>
    </row>
    <row r="1560" spans="1:2">
      <c r="A1560" s="42" t="s">
        <v>1115</v>
      </c>
      <c r="B1560" s="42">
        <v>1550</v>
      </c>
    </row>
    <row r="1561" spans="1:2">
      <c r="A1561" s="42" t="s">
        <v>2234</v>
      </c>
      <c r="B1561" s="42">
        <v>0</v>
      </c>
    </row>
    <row r="1562" spans="1:2">
      <c r="A1562" s="42" t="s">
        <v>2235</v>
      </c>
      <c r="B1562" s="42">
        <v>0</v>
      </c>
    </row>
    <row r="1563" spans="1:2">
      <c r="A1563" s="42" t="s">
        <v>2236</v>
      </c>
      <c r="B1563" s="42">
        <v>1</v>
      </c>
    </row>
    <row r="1564" spans="1:2">
      <c r="A1564" s="42" t="s">
        <v>2237</v>
      </c>
      <c r="B1564" s="42">
        <v>253</v>
      </c>
    </row>
    <row r="1565" spans="1:2">
      <c r="A1565" s="42" t="s">
        <v>1116</v>
      </c>
      <c r="B1565" s="42">
        <v>79</v>
      </c>
    </row>
    <row r="1566" spans="1:2">
      <c r="A1566" s="42" t="s">
        <v>2238</v>
      </c>
      <c r="B1566" s="42">
        <v>48</v>
      </c>
    </row>
    <row r="1567" spans="1:2">
      <c r="A1567" s="42" t="s">
        <v>2239</v>
      </c>
      <c r="B1567" s="42">
        <v>2682</v>
      </c>
    </row>
    <row r="1568" spans="1:2">
      <c r="A1568" s="42" t="s">
        <v>2240</v>
      </c>
      <c r="B1568" s="42">
        <v>2516</v>
      </c>
    </row>
    <row r="1569" spans="1:2">
      <c r="A1569" s="42" t="s">
        <v>2241</v>
      </c>
      <c r="B1569" s="42">
        <v>2685</v>
      </c>
    </row>
    <row r="1570" spans="1:2">
      <c r="A1570" s="42" t="s">
        <v>2242</v>
      </c>
      <c r="B1570" s="42">
        <v>357</v>
      </c>
    </row>
    <row r="1571" spans="1:2">
      <c r="A1571" s="42" t="s">
        <v>2243</v>
      </c>
      <c r="B1571" s="42">
        <v>539</v>
      </c>
    </row>
    <row r="1572" spans="1:2">
      <c r="A1572" s="42" t="s">
        <v>1117</v>
      </c>
      <c r="B1572" s="42">
        <v>0</v>
      </c>
    </row>
    <row r="1573" spans="1:2">
      <c r="A1573" s="42" t="s">
        <v>2244</v>
      </c>
      <c r="B1573" s="42">
        <v>0</v>
      </c>
    </row>
    <row r="1574" spans="1:2">
      <c r="A1574" s="42" t="s">
        <v>2245</v>
      </c>
      <c r="B1574" s="42">
        <v>0</v>
      </c>
    </row>
    <row r="1575" spans="1:2">
      <c r="A1575" s="42" t="s">
        <v>1118</v>
      </c>
      <c r="B1575" s="42">
        <v>4000</v>
      </c>
    </row>
    <row r="1576" spans="1:2">
      <c r="A1576" s="42" t="s">
        <v>2246</v>
      </c>
      <c r="B1576" s="42">
        <v>0</v>
      </c>
    </row>
    <row r="1577" spans="1:2">
      <c r="A1577" s="42" t="s">
        <v>2247</v>
      </c>
      <c r="B1577" s="42">
        <v>0</v>
      </c>
    </row>
    <row r="1578" spans="1:2">
      <c r="A1578" s="42" t="s">
        <v>2248</v>
      </c>
      <c r="B1578" s="42">
        <v>0</v>
      </c>
    </row>
    <row r="1579" spans="1:2">
      <c r="A1579" s="42" t="s">
        <v>2249</v>
      </c>
      <c r="B1579" s="42">
        <v>0</v>
      </c>
    </row>
    <row r="1580" spans="1:2">
      <c r="A1580" s="42" t="s">
        <v>2250</v>
      </c>
      <c r="B1580" s="42">
        <v>0</v>
      </c>
    </row>
    <row r="1581" spans="1:2">
      <c r="A1581" s="42" t="s">
        <v>1119</v>
      </c>
      <c r="B1581" s="42">
        <v>152</v>
      </c>
    </row>
    <row r="1582" spans="1:2">
      <c r="A1582" s="42" t="s">
        <v>1120</v>
      </c>
      <c r="B1582" s="42">
        <v>0</v>
      </c>
    </row>
    <row r="1583" spans="1:2">
      <c r="A1583" s="42" t="s">
        <v>1121</v>
      </c>
      <c r="B1583" s="42">
        <v>0</v>
      </c>
    </row>
    <row r="1584" spans="1:2">
      <c r="A1584" s="42" t="s">
        <v>2251</v>
      </c>
      <c r="B1584" s="42">
        <v>0</v>
      </c>
    </row>
    <row r="1585" spans="1:2">
      <c r="A1585" s="42" t="s">
        <v>2252</v>
      </c>
      <c r="B1585" s="42">
        <v>1534</v>
      </c>
    </row>
    <row r="1586" spans="1:2">
      <c r="A1586" s="42" t="s">
        <v>1122</v>
      </c>
      <c r="B1586" s="42">
        <v>0</v>
      </c>
    </row>
    <row r="1587" spans="1:2">
      <c r="A1587" s="42" t="s">
        <v>1123</v>
      </c>
      <c r="B1587" s="42">
        <v>0</v>
      </c>
    </row>
    <row r="1588" spans="1:2">
      <c r="A1588" s="42" t="s">
        <v>2253</v>
      </c>
      <c r="B1588" s="42">
        <v>0</v>
      </c>
    </row>
    <row r="1589" spans="1:2">
      <c r="A1589" s="42" t="s">
        <v>2254</v>
      </c>
      <c r="B1589" s="42">
        <v>969</v>
      </c>
    </row>
    <row r="1590" spans="1:2">
      <c r="A1590" s="42" t="s">
        <v>2255</v>
      </c>
      <c r="B1590" s="42">
        <v>0</v>
      </c>
    </row>
    <row r="1591" spans="1:2">
      <c r="A1591" s="42" t="s">
        <v>2256</v>
      </c>
      <c r="B1591" s="42">
        <v>0</v>
      </c>
    </row>
    <row r="1592" spans="1:2">
      <c r="A1592" s="42" t="s">
        <v>2257</v>
      </c>
      <c r="B1592" s="42">
        <v>0</v>
      </c>
    </row>
    <row r="1593" spans="1:2">
      <c r="A1593" s="42" t="s">
        <v>2258</v>
      </c>
      <c r="B1593" s="42">
        <v>0</v>
      </c>
    </row>
    <row r="1594" spans="1:2">
      <c r="A1594" s="42" t="s">
        <v>2259</v>
      </c>
      <c r="B1594" s="42">
        <v>0</v>
      </c>
    </row>
    <row r="1595" spans="1:2">
      <c r="A1595" s="42" t="s">
        <v>2260</v>
      </c>
      <c r="B1595" s="42">
        <v>0</v>
      </c>
    </row>
    <row r="1596" spans="1:2">
      <c r="A1596" s="42" t="s">
        <v>2261</v>
      </c>
      <c r="B1596" s="42">
        <v>0</v>
      </c>
    </row>
    <row r="1597" spans="1:2">
      <c r="A1597" s="42" t="s">
        <v>2262</v>
      </c>
      <c r="B1597" s="42">
        <v>0</v>
      </c>
    </row>
    <row r="1598" spans="1:2">
      <c r="A1598" s="42" t="s">
        <v>2263</v>
      </c>
      <c r="B1598" s="42">
        <v>100</v>
      </c>
    </row>
    <row r="1599" spans="1:2">
      <c r="A1599" s="42" t="s">
        <v>2264</v>
      </c>
      <c r="B1599" s="42">
        <v>0</v>
      </c>
    </row>
    <row r="1600" spans="1:2">
      <c r="A1600" s="42" t="s">
        <v>2265</v>
      </c>
      <c r="B1600" s="42">
        <v>0</v>
      </c>
    </row>
    <row r="1601" spans="1:2">
      <c r="A1601" s="42" t="s">
        <v>2266</v>
      </c>
      <c r="B1601" s="42">
        <v>0</v>
      </c>
    </row>
    <row r="1602" spans="1:2">
      <c r="A1602" s="42" t="s">
        <v>2267</v>
      </c>
      <c r="B1602" s="42">
        <v>0</v>
      </c>
    </row>
    <row r="1603" spans="1:2">
      <c r="A1603" s="42" t="s">
        <v>2268</v>
      </c>
      <c r="B1603" s="42">
        <v>0</v>
      </c>
    </row>
    <row r="1604" spans="1:2">
      <c r="A1604" s="42" t="s">
        <v>2269</v>
      </c>
      <c r="B1604" s="42">
        <v>0</v>
      </c>
    </row>
    <row r="1605" spans="1:2">
      <c r="A1605" s="42" t="s">
        <v>2270</v>
      </c>
      <c r="B1605" s="42">
        <v>0</v>
      </c>
    </row>
    <row r="1606" spans="1:2">
      <c r="A1606" s="42" t="s">
        <v>2271</v>
      </c>
      <c r="B1606" s="42">
        <v>0</v>
      </c>
    </row>
    <row r="1607" spans="1:2">
      <c r="A1607" s="42" t="s">
        <v>2272</v>
      </c>
      <c r="B1607" s="42">
        <v>0</v>
      </c>
    </row>
    <row r="1608" spans="1:2">
      <c r="A1608" s="42" t="s">
        <v>2273</v>
      </c>
      <c r="B1608" s="42">
        <v>0</v>
      </c>
    </row>
    <row r="1609" spans="1:2">
      <c r="A1609" s="42" t="s">
        <v>2274</v>
      </c>
      <c r="B1609" s="42">
        <v>0</v>
      </c>
    </row>
    <row r="1610" spans="1:2">
      <c r="A1610" s="42" t="s">
        <v>2275</v>
      </c>
      <c r="B1610" s="42">
        <v>0</v>
      </c>
    </row>
    <row r="1611" spans="1:2">
      <c r="A1611" s="42" t="s">
        <v>2276</v>
      </c>
      <c r="B1611" s="42">
        <v>0</v>
      </c>
    </row>
    <row r="1612" spans="1:2">
      <c r="A1612" s="42" t="s">
        <v>2277</v>
      </c>
      <c r="B1612" s="42">
        <v>0</v>
      </c>
    </row>
    <row r="1613" spans="1:2">
      <c r="A1613" s="42" t="s">
        <v>2278</v>
      </c>
      <c r="B1613" s="42">
        <v>0</v>
      </c>
    </row>
    <row r="1614" spans="1:2">
      <c r="A1614" s="42" t="s">
        <v>2279</v>
      </c>
      <c r="B1614" s="42">
        <v>0</v>
      </c>
    </row>
    <row r="1615" spans="1:2">
      <c r="A1615" s="42" t="s">
        <v>2280</v>
      </c>
      <c r="B1615" s="42">
        <v>0</v>
      </c>
    </row>
    <row r="1616" spans="1:2">
      <c r="A1616" s="42" t="s">
        <v>2281</v>
      </c>
      <c r="B1616" s="42">
        <v>0</v>
      </c>
    </row>
    <row r="1617" spans="1:2">
      <c r="A1617" s="42" t="s">
        <v>2282</v>
      </c>
      <c r="B1617" s="42">
        <v>0</v>
      </c>
    </row>
    <row r="1618" spans="1:2">
      <c r="A1618" s="42" t="s">
        <v>2283</v>
      </c>
      <c r="B1618" s="42">
        <v>1147</v>
      </c>
    </row>
    <row r="1619" spans="1:2">
      <c r="A1619" s="42" t="s">
        <v>2284</v>
      </c>
      <c r="B1619" s="42">
        <v>0</v>
      </c>
    </row>
    <row r="1620" spans="1:2">
      <c r="A1620" s="42" t="s">
        <v>2285</v>
      </c>
      <c r="B1620" s="42">
        <v>72</v>
      </c>
    </row>
    <row r="1621" spans="1:2">
      <c r="A1621" s="42" t="s">
        <v>2286</v>
      </c>
      <c r="B1621" s="42">
        <v>5633</v>
      </c>
    </row>
    <row r="1622" spans="1:2">
      <c r="A1622" s="42" t="s">
        <v>1124</v>
      </c>
      <c r="B1622" s="42">
        <v>763</v>
      </c>
    </row>
    <row r="1623" spans="1:2">
      <c r="A1623" s="42" t="s">
        <v>2287</v>
      </c>
      <c r="B1623" s="42">
        <v>0</v>
      </c>
    </row>
    <row r="1624" spans="1:2">
      <c r="A1624" s="42" t="s">
        <v>2288</v>
      </c>
      <c r="B1624" s="42">
        <v>0</v>
      </c>
    </row>
    <row r="1625" spans="1:2">
      <c r="A1625" s="42" t="s">
        <v>2289</v>
      </c>
      <c r="B1625" s="42">
        <v>0</v>
      </c>
    </row>
    <row r="1626" spans="1:2">
      <c r="A1626" s="42" t="s">
        <v>2290</v>
      </c>
      <c r="B1626" s="42">
        <v>0</v>
      </c>
    </row>
    <row r="1627" spans="1:2">
      <c r="A1627" s="42" t="s">
        <v>2291</v>
      </c>
      <c r="B1627" s="42">
        <v>0</v>
      </c>
    </row>
    <row r="1628" spans="1:2">
      <c r="A1628" s="42" t="s">
        <v>2292</v>
      </c>
      <c r="B1628" s="42">
        <v>0</v>
      </c>
    </row>
    <row r="1629" spans="1:2">
      <c r="A1629" s="42" t="s">
        <v>1125</v>
      </c>
      <c r="B1629" s="42">
        <v>80</v>
      </c>
    </row>
    <row r="1630" spans="1:2">
      <c r="A1630" s="42" t="s">
        <v>1126</v>
      </c>
      <c r="B1630" s="42">
        <v>465</v>
      </c>
    </row>
    <row r="1631" spans="1:2">
      <c r="A1631" s="42" t="s">
        <v>1127</v>
      </c>
      <c r="B1631" s="42">
        <v>515</v>
      </c>
    </row>
    <row r="1632" spans="1:2">
      <c r="A1632" s="42" t="s">
        <v>2293</v>
      </c>
      <c r="B1632" s="42">
        <v>0</v>
      </c>
    </row>
    <row r="1633" spans="1:2">
      <c r="A1633" s="42" t="s">
        <v>2294</v>
      </c>
      <c r="B1633" s="42">
        <v>0</v>
      </c>
    </row>
    <row r="1634" spans="1:2">
      <c r="A1634" s="42" t="s">
        <v>1128</v>
      </c>
      <c r="B1634" s="42">
        <v>0</v>
      </c>
    </row>
    <row r="1635" spans="1:2">
      <c r="A1635" s="42" t="s">
        <v>1129</v>
      </c>
      <c r="B1635" s="42">
        <v>0</v>
      </c>
    </row>
    <row r="1636" spans="1:2">
      <c r="A1636" s="42" t="s">
        <v>1130</v>
      </c>
      <c r="B1636" s="42">
        <v>0</v>
      </c>
    </row>
    <row r="1637" spans="1:2">
      <c r="A1637" s="42" t="s">
        <v>1131</v>
      </c>
      <c r="B1637" s="42">
        <v>559</v>
      </c>
    </row>
    <row r="1638" spans="1:2">
      <c r="A1638" s="42" t="s">
        <v>2295</v>
      </c>
      <c r="B1638" s="42">
        <v>1</v>
      </c>
    </row>
    <row r="1639" spans="1:2">
      <c r="A1639" s="42" t="s">
        <v>1132</v>
      </c>
      <c r="B1639" s="42">
        <v>0</v>
      </c>
    </row>
    <row r="1640" spans="1:2">
      <c r="A1640" s="42" t="s">
        <v>1133</v>
      </c>
      <c r="B1640" s="42">
        <v>0</v>
      </c>
    </row>
    <row r="1641" spans="1:2">
      <c r="A1641" s="42" t="s">
        <v>1134</v>
      </c>
      <c r="B1641" s="42">
        <v>0</v>
      </c>
    </row>
    <row r="1642" spans="1:2">
      <c r="A1642" s="42" t="s">
        <v>2296</v>
      </c>
      <c r="B1642" s="42">
        <v>0</v>
      </c>
    </row>
    <row r="1643" spans="1:2">
      <c r="A1643" s="42" t="s">
        <v>2297</v>
      </c>
      <c r="B1643" s="42">
        <v>0</v>
      </c>
    </row>
    <row r="1644" spans="1:2">
      <c r="A1644" s="42" t="s">
        <v>2298</v>
      </c>
      <c r="B1644" s="42">
        <v>2210</v>
      </c>
    </row>
    <row r="1645" spans="1:2">
      <c r="A1645" s="42" t="s">
        <v>2299</v>
      </c>
      <c r="B1645" s="42">
        <v>0</v>
      </c>
    </row>
    <row r="1646" spans="1:2">
      <c r="A1646" s="42" t="s">
        <v>2300</v>
      </c>
      <c r="B1646" s="42">
        <v>0</v>
      </c>
    </row>
    <row r="1647" spans="1:2">
      <c r="A1647" s="42" t="s">
        <v>2301</v>
      </c>
      <c r="B1647" s="42">
        <v>0</v>
      </c>
    </row>
    <row r="1648" spans="1:2">
      <c r="A1648" s="42" t="s">
        <v>2302</v>
      </c>
      <c r="B1648" s="42">
        <v>0</v>
      </c>
    </row>
    <row r="1649" spans="1:2">
      <c r="A1649" s="42" t="s">
        <v>2303</v>
      </c>
      <c r="B1649" s="42">
        <v>0</v>
      </c>
    </row>
    <row r="1650" spans="1:2">
      <c r="A1650" s="42" t="s">
        <v>2304</v>
      </c>
      <c r="B1650" s="42">
        <v>0</v>
      </c>
    </row>
    <row r="1651" spans="1:2">
      <c r="A1651" s="42" t="s">
        <v>2305</v>
      </c>
      <c r="B1651" s="42">
        <v>0</v>
      </c>
    </row>
    <row r="1652" spans="1:2">
      <c r="A1652" s="42" t="s">
        <v>2306</v>
      </c>
      <c r="B1652" s="42">
        <v>0</v>
      </c>
    </row>
    <row r="1653" spans="1:2">
      <c r="A1653" s="42" t="s">
        <v>1135</v>
      </c>
      <c r="B1653" s="42">
        <v>0</v>
      </c>
    </row>
    <row r="1654" spans="1:2">
      <c r="A1654" s="42" t="s">
        <v>1136</v>
      </c>
      <c r="B1654" s="42">
        <v>0</v>
      </c>
    </row>
    <row r="1655" spans="1:2">
      <c r="A1655" s="42" t="s">
        <v>1137</v>
      </c>
      <c r="B1655" s="42">
        <v>0</v>
      </c>
    </row>
    <row r="1656" spans="1:2">
      <c r="A1656" s="42" t="s">
        <v>1138</v>
      </c>
      <c r="B1656" s="42">
        <v>0</v>
      </c>
    </row>
    <row r="1657" spans="1:2">
      <c r="A1657" s="42" t="s">
        <v>1139</v>
      </c>
      <c r="B1657" s="42">
        <v>0</v>
      </c>
    </row>
    <row r="1658" spans="1:2">
      <c r="A1658" s="42" t="s">
        <v>1140</v>
      </c>
      <c r="B1658" s="42">
        <v>0</v>
      </c>
    </row>
    <row r="1659" spans="1:2">
      <c r="A1659" s="42" t="s">
        <v>1141</v>
      </c>
      <c r="B1659" s="42">
        <v>0</v>
      </c>
    </row>
    <row r="1660" spans="1:2">
      <c r="A1660" s="42" t="s">
        <v>1142</v>
      </c>
      <c r="B1660" s="42">
        <v>0</v>
      </c>
    </row>
    <row r="1661" spans="1:2">
      <c r="A1661" s="42" t="s">
        <v>1143</v>
      </c>
      <c r="B1661" s="42">
        <v>0</v>
      </c>
    </row>
    <row r="1662" spans="1:2">
      <c r="A1662" s="42" t="s">
        <v>1144</v>
      </c>
      <c r="B1662" s="42">
        <v>0</v>
      </c>
    </row>
    <row r="1663" spans="1:2">
      <c r="A1663" s="42" t="s">
        <v>1145</v>
      </c>
      <c r="B1663" s="42">
        <v>0</v>
      </c>
    </row>
    <row r="1664" spans="1:2">
      <c r="A1664" s="42" t="s">
        <v>1146</v>
      </c>
      <c r="B1664" s="42">
        <v>0</v>
      </c>
    </row>
    <row r="1665" spans="1:2">
      <c r="A1665" s="42" t="s">
        <v>1147</v>
      </c>
      <c r="B1665" s="42">
        <v>0</v>
      </c>
    </row>
    <row r="1666" spans="1:2">
      <c r="A1666" s="42" t="s">
        <v>1148</v>
      </c>
      <c r="B1666" s="42">
        <v>0</v>
      </c>
    </row>
    <row r="1667" spans="1:2">
      <c r="A1667" s="42" t="s">
        <v>1149</v>
      </c>
      <c r="B1667" s="42">
        <v>0</v>
      </c>
    </row>
    <row r="1668" spans="1:2">
      <c r="A1668" s="42" t="s">
        <v>2307</v>
      </c>
      <c r="B1668" s="42">
        <v>0</v>
      </c>
    </row>
    <row r="1669" spans="1:2">
      <c r="A1669" s="42" t="s">
        <v>1150</v>
      </c>
      <c r="B1669" s="42">
        <v>0</v>
      </c>
    </row>
    <row r="1670" spans="1:2">
      <c r="A1670" s="42" t="s">
        <v>1151</v>
      </c>
      <c r="B1670" s="42">
        <v>3</v>
      </c>
    </row>
    <row r="1671" spans="1:2">
      <c r="A1671" s="42" t="s">
        <v>1152</v>
      </c>
      <c r="B1671" s="42">
        <v>4</v>
      </c>
    </row>
    <row r="1672" spans="1:2">
      <c r="A1672" s="42" t="s">
        <v>2308</v>
      </c>
      <c r="B1672" s="42">
        <v>438</v>
      </c>
    </row>
    <row r="1673" spans="1:2">
      <c r="A1673" s="42" t="s">
        <v>2309</v>
      </c>
      <c r="B1673" s="42">
        <v>146</v>
      </c>
    </row>
    <row r="1674" spans="1:2">
      <c r="A1674" s="42" t="s">
        <v>2310</v>
      </c>
      <c r="B1674" s="42">
        <v>186</v>
      </c>
    </row>
    <row r="1675" spans="1:2">
      <c r="A1675" s="42" t="s">
        <v>2311</v>
      </c>
      <c r="B1675" s="42">
        <v>0</v>
      </c>
    </row>
    <row r="1676" spans="1:2">
      <c r="A1676" s="42" t="s">
        <v>2312</v>
      </c>
      <c r="B1676" s="42">
        <v>0</v>
      </c>
    </row>
    <row r="1677" spans="1:2">
      <c r="A1677" s="42" t="s">
        <v>2313</v>
      </c>
      <c r="B1677" s="42">
        <v>0</v>
      </c>
    </row>
    <row r="1678" spans="1:2">
      <c r="A1678" s="42" t="s">
        <v>2314</v>
      </c>
      <c r="B1678" s="42">
        <v>0</v>
      </c>
    </row>
    <row r="1679" spans="1:2">
      <c r="A1679" s="42" t="s">
        <v>2315</v>
      </c>
      <c r="B1679" s="42">
        <v>0</v>
      </c>
    </row>
    <row r="1680" spans="1:2">
      <c r="A1680" s="42" t="s">
        <v>2316</v>
      </c>
      <c r="B1680" s="42">
        <v>0</v>
      </c>
    </row>
    <row r="1681" spans="1:2">
      <c r="A1681" s="42" t="s">
        <v>2317</v>
      </c>
      <c r="B1681" s="42">
        <v>0</v>
      </c>
    </row>
    <row r="1682" spans="1:2">
      <c r="A1682" s="42" t="s">
        <v>2318</v>
      </c>
      <c r="B1682" s="42">
        <v>94</v>
      </c>
    </row>
    <row r="1683" spans="1:2">
      <c r="A1683" s="42" t="s">
        <v>2319</v>
      </c>
      <c r="B1683" s="42">
        <v>0</v>
      </c>
    </row>
    <row r="1684" spans="1:2">
      <c r="A1684" s="42" t="s">
        <v>2320</v>
      </c>
      <c r="B1684" s="42">
        <v>0</v>
      </c>
    </row>
    <row r="1685" spans="1:2">
      <c r="A1685" s="42" t="s">
        <v>2321</v>
      </c>
      <c r="B1685" s="42">
        <v>0</v>
      </c>
    </row>
    <row r="1686" spans="1:2">
      <c r="A1686" s="42" t="s">
        <v>2322</v>
      </c>
      <c r="B1686" s="42">
        <v>0</v>
      </c>
    </row>
    <row r="1687" spans="1:2">
      <c r="A1687" s="42" t="s">
        <v>2323</v>
      </c>
      <c r="B1687" s="42">
        <v>0</v>
      </c>
    </row>
    <row r="1688" spans="1:2">
      <c r="A1688" s="42" t="s">
        <v>2324</v>
      </c>
      <c r="B1688" s="42">
        <v>0</v>
      </c>
    </row>
    <row r="1689" spans="1:2">
      <c r="A1689" s="42" t="s">
        <v>1153</v>
      </c>
      <c r="B1689" s="42">
        <v>0</v>
      </c>
    </row>
    <row r="1690" spans="1:2">
      <c r="A1690" s="42" t="s">
        <v>2325</v>
      </c>
      <c r="B1690" s="42">
        <v>0</v>
      </c>
    </row>
    <row r="1691" spans="1:2">
      <c r="A1691" s="42" t="s">
        <v>2326</v>
      </c>
      <c r="B1691" s="42">
        <v>0</v>
      </c>
    </row>
    <row r="1692" spans="1:2">
      <c r="A1692" s="42" t="s">
        <v>2327</v>
      </c>
      <c r="B1692" s="42">
        <v>0</v>
      </c>
    </row>
    <row r="1693" spans="1:2">
      <c r="A1693" s="42" t="s">
        <v>2328</v>
      </c>
      <c r="B1693" s="42">
        <v>0</v>
      </c>
    </row>
    <row r="1694" spans="1:2">
      <c r="A1694" s="42" t="s">
        <v>2329</v>
      </c>
      <c r="B1694" s="42">
        <v>620</v>
      </c>
    </row>
    <row r="1695" spans="1:2">
      <c r="A1695" s="42" t="s">
        <v>2330</v>
      </c>
      <c r="B1695" s="42">
        <v>118</v>
      </c>
    </row>
    <row r="1696" spans="1:2">
      <c r="A1696" s="42" t="s">
        <v>2331</v>
      </c>
      <c r="B1696" s="42">
        <v>0</v>
      </c>
    </row>
    <row r="1697" spans="1:2">
      <c r="A1697" s="42" t="s">
        <v>1154</v>
      </c>
      <c r="B1697" s="42">
        <v>1550</v>
      </c>
    </row>
    <row r="1698" spans="1:2">
      <c r="A1698" s="42" t="s">
        <v>1155</v>
      </c>
      <c r="B1698" s="42">
        <v>1000</v>
      </c>
    </row>
    <row r="1699" spans="1:2">
      <c r="A1699" s="42" t="s">
        <v>1156</v>
      </c>
      <c r="B1699" s="42">
        <v>1400</v>
      </c>
    </row>
    <row r="1700" spans="1:2">
      <c r="A1700" s="42" t="s">
        <v>1157</v>
      </c>
      <c r="B1700" s="42">
        <v>1700</v>
      </c>
    </row>
    <row r="1701" spans="1:2">
      <c r="A1701" s="42" t="s">
        <v>1158</v>
      </c>
      <c r="B1701" s="42">
        <v>9450</v>
      </c>
    </row>
    <row r="1702" spans="1:2">
      <c r="A1702" s="42" t="s">
        <v>1159</v>
      </c>
      <c r="B1702" s="42">
        <v>1700</v>
      </c>
    </row>
    <row r="1703" spans="1:2">
      <c r="A1703" s="42" t="s">
        <v>1160</v>
      </c>
      <c r="B1703" s="42">
        <v>9100</v>
      </c>
    </row>
    <row r="1704" spans="1:2">
      <c r="A1704" s="42" t="s">
        <v>1161</v>
      </c>
      <c r="B1704" s="42">
        <v>3100</v>
      </c>
    </row>
    <row r="1705" spans="1:2">
      <c r="A1705" s="42" t="s">
        <v>1162</v>
      </c>
      <c r="B1705" s="42">
        <v>0</v>
      </c>
    </row>
    <row r="1706" spans="1:2">
      <c r="A1706" s="42" t="s">
        <v>1163</v>
      </c>
      <c r="B1706" s="42">
        <v>29</v>
      </c>
    </row>
    <row r="1707" spans="1:2">
      <c r="A1707" s="42" t="s">
        <v>1164</v>
      </c>
      <c r="B1707" s="42">
        <v>0</v>
      </c>
    </row>
    <row r="1708" spans="1:2">
      <c r="A1708" s="42" t="s">
        <v>1165</v>
      </c>
      <c r="B1708" s="42">
        <v>0</v>
      </c>
    </row>
    <row r="1709" spans="1:2">
      <c r="A1709" s="42" t="s">
        <v>1166</v>
      </c>
      <c r="B1709" s="42">
        <v>0</v>
      </c>
    </row>
    <row r="1710" spans="1:2">
      <c r="A1710" s="42" t="s">
        <v>1167</v>
      </c>
      <c r="B1710" s="42">
        <v>0</v>
      </c>
    </row>
    <row r="1711" spans="1:2">
      <c r="A1711" s="42" t="s">
        <v>1168</v>
      </c>
      <c r="B1711" s="42">
        <v>32</v>
      </c>
    </row>
    <row r="1712" spans="1:2">
      <c r="A1712" s="42" t="s">
        <v>1169</v>
      </c>
      <c r="B1712" s="42">
        <v>4</v>
      </c>
    </row>
    <row r="1713" spans="1:2">
      <c r="A1713" s="42" t="s">
        <v>1171</v>
      </c>
      <c r="B1713" s="42">
        <v>103</v>
      </c>
    </row>
    <row r="1714" spans="1:2">
      <c r="A1714" s="42" t="s">
        <v>2332</v>
      </c>
      <c r="B1714" s="42">
        <v>0</v>
      </c>
    </row>
    <row r="1715" spans="1:2">
      <c r="A1715" s="42" t="s">
        <v>1172</v>
      </c>
      <c r="B1715" s="42">
        <v>84</v>
      </c>
    </row>
    <row r="1716" spans="1:2">
      <c r="A1716" s="42" t="s">
        <v>2333</v>
      </c>
      <c r="B1716" s="42">
        <v>0</v>
      </c>
    </row>
    <row r="1717" spans="1:2">
      <c r="A1717" s="42" t="s">
        <v>2334</v>
      </c>
      <c r="B1717" s="42">
        <v>0</v>
      </c>
    </row>
    <row r="1718" spans="1:2">
      <c r="A1718" s="42" t="s">
        <v>2335</v>
      </c>
      <c r="B1718" s="42">
        <v>0</v>
      </c>
    </row>
    <row r="1719" spans="1:2">
      <c r="A1719" s="42" t="s">
        <v>1173</v>
      </c>
      <c r="B1719" s="42">
        <v>5</v>
      </c>
    </row>
    <row r="1720" spans="1:2">
      <c r="A1720" s="42" t="s">
        <v>1174</v>
      </c>
      <c r="B1720" s="42">
        <v>5</v>
      </c>
    </row>
    <row r="1721" spans="1:2">
      <c r="A1721" s="42" t="s">
        <v>1175</v>
      </c>
      <c r="B1721" s="42">
        <v>5</v>
      </c>
    </row>
    <row r="1722" spans="1:2">
      <c r="A1722" s="42" t="s">
        <v>1176</v>
      </c>
      <c r="B1722" s="42">
        <v>0</v>
      </c>
    </row>
    <row r="1723" spans="1:2">
      <c r="A1723" s="42" t="s">
        <v>2336</v>
      </c>
      <c r="B1723" s="42">
        <v>8</v>
      </c>
    </row>
    <row r="1724" spans="1:2">
      <c r="A1724" s="42" t="s">
        <v>2337</v>
      </c>
      <c r="B1724" s="42">
        <v>0</v>
      </c>
    </row>
    <row r="1725" spans="1:2">
      <c r="A1725" s="42" t="s">
        <v>1180</v>
      </c>
      <c r="B1725" s="42">
        <v>720</v>
      </c>
    </row>
    <row r="1726" spans="1:2">
      <c r="A1726" s="42" t="s">
        <v>1181</v>
      </c>
      <c r="B1726" s="42">
        <v>1440</v>
      </c>
    </row>
    <row r="1727" spans="1:2">
      <c r="A1727" s="42" t="s">
        <v>1182</v>
      </c>
      <c r="B1727" s="42">
        <v>2280</v>
      </c>
    </row>
    <row r="1728" spans="1:2">
      <c r="A1728" s="42" t="s">
        <v>2338</v>
      </c>
      <c r="B1728" s="42">
        <v>22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D5:P28"/>
  <sheetViews>
    <sheetView topLeftCell="A7" workbookViewId="0">
      <selection activeCell="P24" sqref="P24"/>
    </sheetView>
  </sheetViews>
  <sheetFormatPr defaultRowHeight="15"/>
  <sheetData>
    <row r="5" spans="4:16">
      <c r="D5">
        <v>1</v>
      </c>
      <c r="I5">
        <f>SUMIFS(GQList,GDList,"&lt;&gt;"&amp;0)</f>
        <v>138626</v>
      </c>
    </row>
    <row r="6" spans="4:16">
      <c r="D6">
        <v>2</v>
      </c>
    </row>
    <row r="7" spans="4:16">
      <c r="D7">
        <v>3</v>
      </c>
      <c r="L7" s="38">
        <v>85</v>
      </c>
    </row>
    <row r="8" spans="4:16">
      <c r="D8">
        <v>4</v>
      </c>
      <c r="L8" s="39">
        <v>188</v>
      </c>
    </row>
    <row r="9" spans="4:16">
      <c r="D9">
        <v>6</v>
      </c>
      <c r="L9" s="38">
        <v>85</v>
      </c>
      <c r="O9" s="38">
        <v>-6</v>
      </c>
      <c r="P9" s="38">
        <v>-6</v>
      </c>
    </row>
    <row r="10" spans="4:16">
      <c r="L10" s="39">
        <v>250</v>
      </c>
      <c r="O10" s="40">
        <v>-2</v>
      </c>
      <c r="P10" s="40">
        <v>-2</v>
      </c>
    </row>
    <row r="11" spans="4:16">
      <c r="L11" s="38">
        <v>100</v>
      </c>
      <c r="O11" s="41">
        <v>-140</v>
      </c>
      <c r="P11" s="41">
        <v>-140</v>
      </c>
    </row>
    <row r="12" spans="4:16">
      <c r="L12" s="39">
        <v>237</v>
      </c>
      <c r="O12" s="40">
        <v>-67</v>
      </c>
      <c r="P12" s="40">
        <v>-67</v>
      </c>
    </row>
    <row r="13" spans="4:16">
      <c r="L13" s="38">
        <v>209</v>
      </c>
      <c r="O13" s="41">
        <v>-25</v>
      </c>
      <c r="P13" s="41">
        <v>-25</v>
      </c>
    </row>
    <row r="14" spans="4:16">
      <c r="L14" s="39">
        <v>139</v>
      </c>
      <c r="O14" s="40">
        <v>-203</v>
      </c>
      <c r="P14" s="40">
        <v>-203</v>
      </c>
    </row>
    <row r="15" spans="4:16">
      <c r="L15" s="38">
        <v>317</v>
      </c>
      <c r="O15" s="41">
        <v>-74</v>
      </c>
      <c r="P15" s="41">
        <v>-74</v>
      </c>
    </row>
    <row r="16" spans="4:16">
      <c r="L16" s="39">
        <v>207</v>
      </c>
      <c r="O16" s="40">
        <v>-56</v>
      </c>
      <c r="P16" s="40">
        <v>-56</v>
      </c>
    </row>
    <row r="17" spans="12:16">
      <c r="L17" s="38">
        <v>150</v>
      </c>
      <c r="O17" s="41">
        <v>-38</v>
      </c>
      <c r="P17" s="41">
        <v>-38</v>
      </c>
    </row>
    <row r="18" spans="12:16">
      <c r="L18" s="39">
        <v>184</v>
      </c>
      <c r="O18" s="40">
        <v>-37</v>
      </c>
      <c r="P18" s="40">
        <v>-37</v>
      </c>
    </row>
    <row r="19" spans="12:16">
      <c r="L19" s="38">
        <v>312</v>
      </c>
      <c r="O19" s="41">
        <v>-76</v>
      </c>
      <c r="P19" s="41">
        <v>-76</v>
      </c>
    </row>
    <row r="20" spans="12:16">
      <c r="L20" s="39">
        <v>186</v>
      </c>
      <c r="O20" s="40">
        <v>-141</v>
      </c>
      <c r="P20" s="40">
        <v>-141</v>
      </c>
    </row>
    <row r="21" spans="12:16">
      <c r="L21" s="38">
        <v>164</v>
      </c>
      <c r="O21">
        <f>SUM(O9:O20)</f>
        <v>-865</v>
      </c>
      <c r="P21" s="41">
        <v>-9</v>
      </c>
    </row>
    <row r="22" spans="12:16">
      <c r="L22" s="39">
        <v>85</v>
      </c>
      <c r="P22" s="40">
        <v>-1507</v>
      </c>
    </row>
    <row r="23" spans="12:16">
      <c r="L23" s="38">
        <v>334</v>
      </c>
      <c r="P23">
        <f>SUM(P9:P22)</f>
        <v>-2381</v>
      </c>
    </row>
    <row r="24" spans="12:16">
      <c r="L24" s="39">
        <v>382</v>
      </c>
    </row>
    <row r="25" spans="12:16">
      <c r="L25" s="38">
        <v>364</v>
      </c>
    </row>
    <row r="26" spans="12:16">
      <c r="L26" s="39">
        <v>230</v>
      </c>
    </row>
    <row r="27" spans="12:16">
      <c r="L27" s="38">
        <v>727</v>
      </c>
    </row>
    <row r="28" spans="12:16">
      <c r="L28">
        <f>SUM(L7:L27)</f>
        <v>4935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RawData_GRN_Detail</vt:lpstr>
      <vt:lpstr>Report Criteria</vt:lpstr>
      <vt:lpstr>GRN</vt:lpstr>
      <vt:lpstr>MonthList</vt:lpstr>
      <vt:lpstr>RawIssue</vt:lpstr>
      <vt:lpstr>Issue</vt:lpstr>
      <vt:lpstr>MasterSheet</vt:lpstr>
      <vt:lpstr>RawOpening</vt:lpstr>
      <vt:lpstr>Sheet1</vt:lpstr>
      <vt:lpstr>GDList</vt:lpstr>
      <vt:lpstr>GIList</vt:lpstr>
      <vt:lpstr>GQList</vt:lpstr>
      <vt:lpstr>GTList</vt:lpstr>
      <vt:lpstr>IsDList</vt:lpstr>
      <vt:lpstr>IsIList</vt:lpstr>
      <vt:lpstr>IsITypeList</vt:lpstr>
      <vt:lpstr>IsQList</vt:lpstr>
      <vt:lpstr>OPBIList</vt:lpstr>
      <vt:lpstr>OPBQList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2012-10-03T11:25:04Z</dcterms:modified>
</cp:coreProperties>
</file>